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1c\Claude_1C\TestProject\Личное\"/>
    </mc:Choice>
  </mc:AlternateContent>
  <xr:revisionPtr revIDLastSave="0" documentId="13_ncr:1_{79CD68CD-DF82-4223-9A8C-8A92A1E7EE88}" xr6:coauthVersionLast="47" xr6:coauthVersionMax="47" xr10:uidLastSave="{00000000-0000-0000-0000-000000000000}"/>
  <bookViews>
    <workbookView xWindow="14303" yWindow="-1665" windowWidth="28995" windowHeight="15675" xr2:uid="{00000000-000D-0000-FFFF-FFFF00000000}"/>
  </bookViews>
  <sheets>
    <sheet name="КПЭ 4 кв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G8" i="1"/>
  <c r="H8" i="1" s="1"/>
  <c r="G7" i="1"/>
  <c r="H7" i="1" s="1"/>
  <c r="G6" i="1"/>
  <c r="H6" i="1" s="1"/>
  <c r="G5" i="1"/>
  <c r="H5" i="1" s="1"/>
  <c r="G4" i="1"/>
  <c r="H4" i="1" s="1"/>
  <c r="H9" i="1" l="1"/>
</calcChain>
</file>

<file path=xl/sharedStrings.xml><?xml version="1.0" encoding="utf-8"?>
<sst xmlns="http://schemas.openxmlformats.org/spreadsheetml/2006/main" count="21" uniqueCount="18">
  <si>
    <t>КПЭ ИТ за 4й квартал 2026 года</t>
  </si>
  <si>
    <t>№</t>
  </si>
  <si>
    <t>КПЭ</t>
  </si>
  <si>
    <t>Единица измерения</t>
  </si>
  <si>
    <t>Целевое значение</t>
  </si>
  <si>
    <t>Вес КПЭ, %</t>
  </si>
  <si>
    <t>Фактическое значение</t>
  </si>
  <si>
    <t>Результат, %</t>
  </si>
  <si>
    <t>Взвешенный результат, %</t>
  </si>
  <si>
    <t>Количество ошибок типа Blocker после внедрения не более 0: 0 - 100%, 1 - 50%, 2 и более - 0%</t>
  </si>
  <si>
    <t>%</t>
  </si>
  <si>
    <t>Оптимизация загрузки остатков портфелей из МО в ФО</t>
  </si>
  <si>
    <t>да/нет</t>
  </si>
  <si>
    <t>Оптимизация операции "Создание торговых поручений РОСТ"</t>
  </si>
  <si>
    <t>Оптимизация постконтроля и предконтроля лимитов ФО</t>
  </si>
  <si>
    <t>Добавление замеров производительности ключевых операций ФО</t>
  </si>
  <si>
    <t>Итого</t>
  </si>
  <si>
    <t>Фактическое значение (желтые ячейки) заполняется по итогам квартала; результат и взвешенный результат рассчитываются автоматически.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</si>
</sst>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80"/>
      <name val="Arial"/>
    </font>
    <font>
      <b/>
      <sz val="10"/>
      <color rgb="FF000080"/>
      <name val="Arial"/>
    </font>
    <font>
      <sz val="10"/>
      <color rgb="FF000080"/>
      <name val="Arial"/>
    </font>
    <font>
      <i/>
      <sz val="9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62" customWidth="1"/>
    <col min="3" max="4" width="13" customWidth="1"/>
    <col min="5" max="5" width="11" customWidth="1"/>
    <col min="6" max="6" width="14" customWidth="1"/>
    <col min="7" max="7" width="12" customWidth="1"/>
    <col min="8" max="8" width="14" customWidth="1"/>
  </cols>
  <sheetData>
    <row r="1" spans="1:8" ht="26.1" customHeight="1" x14ac:dyDescent="0.3">
      <c r="A1" s="1" t="s">
        <v>0</v>
      </c>
    </row>
    <row r="3" spans="1:8" ht="30" customHeight="1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30" customHeight="1" x14ac:dyDescent="0.25">
      <c r="A4" s="4">
        <v>1</v>
      </c>
      <c r="B4" s="5" t="s">
        <v>9</v>
      </c>
      <c r="C4" s="4" t="s">
        <v>10</v>
      </c>
      <c r="D4" s="4">
        <v>100</v>
      </c>
      <c r="E4" s="4">
        <v>30</v>
      </c>
      <c r="F4" s="6"/>
      <c r="G4" s="4" t="str">
        <f>IF(F4="","",ROUND(F4/D4*100,0))</f>
        <v/>
      </c>
      <c r="H4" s="4" t="str">
        <f>IF(G4="","",E4*G4/100)</f>
        <v/>
      </c>
    </row>
    <row r="5" spans="1:8" ht="30" customHeight="1" x14ac:dyDescent="0.25">
      <c r="A5" s="4">
        <v>2</v>
      </c>
      <c r="B5" s="5" t="s">
        <v>11</v>
      </c>
      <c r="C5" s="4" t="s">
        <v>12</v>
      </c>
      <c r="D5" s="4">
        <v>100</v>
      </c>
      <c r="E5" s="4">
        <v>20</v>
      </c>
      <c r="F5" s="6"/>
      <c r="G5" s="4" t="str">
        <f>IF(F5="","",ROUND(F5/D5*100,0))</f>
        <v/>
      </c>
      <c r="H5" s="4" t="str">
        <f>IF(G5="","",E5*G5/100)</f>
        <v/>
      </c>
    </row>
    <row r="6" spans="1:8" ht="30" customHeight="1" x14ac:dyDescent="0.25">
      <c r="A6" s="4">
        <v>3</v>
      </c>
      <c r="B6" s="5" t="s">
        <v>13</v>
      </c>
      <c r="C6" s="4" t="s">
        <v>12</v>
      </c>
      <c r="D6" s="4">
        <v>100</v>
      </c>
      <c r="E6" s="4">
        <v>15</v>
      </c>
      <c r="F6" s="6"/>
      <c r="G6" s="4" t="str">
        <f>IF(F6="","",ROUND(F6/D6*100,0))</f>
        <v/>
      </c>
      <c r="H6" s="4" t="str">
        <f>IF(G6="","",E6*G6/100)</f>
        <v/>
      </c>
    </row>
    <row r="7" spans="1:8" ht="30" customHeight="1" x14ac:dyDescent="0.25">
      <c r="A7" s="4">
        <v>4</v>
      </c>
      <c r="B7" s="5" t="s">
        <v>14</v>
      </c>
      <c r="C7" s="4" t="s">
        <v>12</v>
      </c>
      <c r="D7" s="4">
        <v>100</v>
      </c>
      <c r="E7" s="4">
        <v>20</v>
      </c>
      <c r="F7" s="6"/>
      <c r="G7" s="4" t="str">
        <f>IF(F7="","",ROUND(F7/D7*100,0))</f>
        <v/>
      </c>
      <c r="H7" s="4" t="str">
        <f>IF(G7="","",E7*G7/100)</f>
        <v/>
      </c>
    </row>
    <row r="8" spans="1:8" ht="30" customHeight="1" x14ac:dyDescent="0.25">
      <c r="A8" s="4">
        <v>5</v>
      </c>
      <c r="B8" s="5" t="s">
        <v>15</v>
      </c>
      <c r="C8" s="4" t="s">
        <v>12</v>
      </c>
      <c r="D8" s="4">
        <v>100</v>
      </c>
      <c r="E8" s="4">
        <v>15</v>
      </c>
      <c r="F8" s="6"/>
      <c r="G8" s="4" t="str">
        <f>IF(F8="","",ROUND(F8/D8*100,0))</f>
        <v/>
      </c>
      <c r="H8" s="4" t="str">
        <f>IF(G8="","",E8*G8/100)</f>
        <v/>
      </c>
    </row>
    <row r="9" spans="1:8" x14ac:dyDescent="0.25">
      <c r="A9" s="2"/>
      <c r="B9" s="3" t="s">
        <v>16</v>
      </c>
      <c r="C9" s="2"/>
      <c r="D9" s="2"/>
      <c r="E9" s="2">
        <f>SUM(E4:E8)</f>
        <v>100</v>
      </c>
      <c r="F9" s="2"/>
      <c r="G9" s="2"/>
      <c r="H9" s="2" t="str">
        <f>IF(COUNT(H4:H8)=0,"",SUM(H4:H8))</f>
        <v/>
      </c>
    </row>
    <row r="11" spans="1:8" ht="30" customHeight="1" x14ac:dyDescent="0.25">
      <c r="B11" s="7" t="s">
        <v>17</v>
      </c>
      <c r="C11" s="8"/>
      <c r="D11" s="8"/>
      <c r="E11" s="8"/>
      <c r="F11" s="8"/>
      <c r="G11" s="8"/>
      <c r="H11" s="8"/>
    </row>
  </sheetData>
  <mergeCells count="1">
    <mergeCell ref="B11:H1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КПЭ 4 кв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Чмыхалов</cp:lastModifiedBy>
  <dcterms:created xsi:type="dcterms:W3CDTF">2026-10-15T15:21:05Z</dcterms:created>
  <dcterms:modified xsi:type="dcterms:W3CDTF">2026-10-15T15:21:06Z</dcterms:modified>
</cp:coreProperties>
</file>