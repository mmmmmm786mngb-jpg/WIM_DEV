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4" i="1" l="1"/>
</calcChain>
</file>

<file path=xl/sharedStrings.xml><?xml version="1.0" encoding="utf-8"?>
<sst xmlns="http://schemas.openxmlformats.org/spreadsheetml/2006/main" count="167" uniqueCount="111">
  <si>
    <t>Номер и дата договора займа</t>
  </si>
  <si>
    <t>Сумма займа, руб.</t>
  </si>
  <si>
    <t xml:space="preserve">Остаток задолженности по основному долгу, руб. </t>
  </si>
  <si>
    <t>Остаток задолженности по процентам, руб.</t>
  </si>
  <si>
    <t>Просроченная задолженность по основному долгу, руб.</t>
  </si>
  <si>
    <t>Просроченная задолженность по процентам, руб.</t>
  </si>
  <si>
    <t>Количество дней просрочки.</t>
  </si>
  <si>
    <t>Возбуждено дело о банкротстве (Да/Нет)</t>
  </si>
  <si>
    <t>Цена уступки, руб.</t>
  </si>
  <si>
    <t>нет</t>
  </si>
  <si>
    <t>Итого общая сумма  уступки требований</t>
  </si>
  <si>
    <t>Наименование заемщика (ИНН)</t>
  </si>
  <si>
    <t>ООО "Уральская плеяда"</t>
  </si>
  <si>
    <t>1257255-1505147</t>
  </si>
  <si>
    <t>619029-1480310</t>
  </si>
  <si>
    <t>70616-939897</t>
  </si>
  <si>
    <t>641457-1232043</t>
  </si>
  <si>
    <t>79640-1340729</t>
  </si>
  <si>
    <t>3047479-1241576</t>
  </si>
  <si>
    <t>301854-1501497</t>
  </si>
  <si>
    <t>452977-1048475</t>
  </si>
  <si>
    <t>362521-1114844</t>
  </si>
  <si>
    <t>814519-1084570</t>
  </si>
  <si>
    <t>465611-1301956</t>
  </si>
  <si>
    <t>303399-1063546</t>
  </si>
  <si>
    <t>11548-1610980</t>
  </si>
  <si>
    <t>28942-917226</t>
  </si>
  <si>
    <t>465611-1537651</t>
  </si>
  <si>
    <t>54657-890954</t>
  </si>
  <si>
    <t>1603885-1762605</t>
  </si>
  <si>
    <t>691863-1809155</t>
  </si>
  <si>
    <t>707774-1890936</t>
  </si>
  <si>
    <t>400079-1466568</t>
  </si>
  <si>
    <t>699185-1372557</t>
  </si>
  <si>
    <t>446609-790110</t>
  </si>
  <si>
    <t>59230-899365</t>
  </si>
  <si>
    <t>416513-1238107</t>
  </si>
  <si>
    <t>464580-810407</t>
  </si>
  <si>
    <t>3094824-1878360</t>
  </si>
  <si>
    <t>2624768-1354291</t>
  </si>
  <si>
    <t>1082-858494</t>
  </si>
  <si>
    <t>68780-1268287</t>
  </si>
  <si>
    <t>2659307-1005857</t>
  </si>
  <si>
    <t>3403507-1618502</t>
  </si>
  <si>
    <t>2659-1039230</t>
  </si>
  <si>
    <t>465611-1147034</t>
  </si>
  <si>
    <t>465611-1060201</t>
  </si>
  <si>
    <t>3316761-1790277</t>
  </si>
  <si>
    <t>3107669-1037100</t>
  </si>
  <si>
    <t>90118-899188</t>
  </si>
  <si>
    <t>580040-1306270</t>
  </si>
  <si>
    <t>503896-1158525</t>
  </si>
  <si>
    <t>1933274-1414460</t>
  </si>
  <si>
    <t>55198-1591282</t>
  </si>
  <si>
    <t>521571-1405047</t>
  </si>
  <si>
    <t>2272491-1493051</t>
  </si>
  <si>
    <t>465611-1367553</t>
  </si>
  <si>
    <t>465611-1500456</t>
  </si>
  <si>
    <t>443006-889700</t>
  </si>
  <si>
    <t>745632-1260830</t>
  </si>
  <si>
    <t>1652027-955688</t>
  </si>
  <si>
    <t>3133145-1330266</t>
  </si>
  <si>
    <t>552828-1477199</t>
  </si>
  <si>
    <t>39094-957302</t>
  </si>
  <si>
    <t>3832911-1329481</t>
  </si>
  <si>
    <t>Шишова Юлия Михайловна</t>
  </si>
  <si>
    <t>ИП Тогмитова Динара Викторовна</t>
  </si>
  <si>
    <t>ИП Мордасова Ольга Александровна</t>
  </si>
  <si>
    <t>ИП Сахаров Константин Вячеславович</t>
  </si>
  <si>
    <t>ИП Голубева Полина Евгеньевна</t>
  </si>
  <si>
    <t>ИП Бородина Вера Сергеевна</t>
  </si>
  <si>
    <t>ООО "НРТО"</t>
  </si>
  <si>
    <t>ООО "УГК"</t>
  </si>
  <si>
    <t>ИП Реденко Илья Дмитриевич</t>
  </si>
  <si>
    <t>ООО "МАЙ МАЙ КОМПАНИ"</t>
  </si>
  <si>
    <t>ООО "ФУДЛАБ"</t>
  </si>
  <si>
    <t>ИП Бельды Евгения Эдуардовна</t>
  </si>
  <si>
    <t>ООО "КЕРАМАМАНЕ"</t>
  </si>
  <si>
    <t>ООО "Ваш слух"</t>
  </si>
  <si>
    <t>ООО "КОМЕТА-ФАРМ"</t>
  </si>
  <si>
    <t>ООО "ГРАНЭСТ"</t>
  </si>
  <si>
    <t>ООО "ИНТЕРСЕРВИС"</t>
  </si>
  <si>
    <t>ООО "ПРОФКОНСАЛТИНГ"</t>
  </si>
  <si>
    <t>ООО "ЭМПОРИЯ КЛИМАТ"</t>
  </si>
  <si>
    <t>ИП Горячев Эдуард Николаевич</t>
  </si>
  <si>
    <t>ООО "ПРОГРЕЕМ"</t>
  </si>
  <si>
    <t>ООО "Книгорама"</t>
  </si>
  <si>
    <t>ИП Уварова Елена Анатольевна</t>
  </si>
  <si>
    <t>ООО "ЛЕТИКОМ"</t>
  </si>
  <si>
    <t>ИП Белолипецкий Егор Алексеевич</t>
  </si>
  <si>
    <t>ООО "ТТТ"</t>
  </si>
  <si>
    <t>ООО "КОТМАРКОТ"</t>
  </si>
  <si>
    <t>ИП Чистяков Антон Викторович</t>
  </si>
  <si>
    <t>ООО "ОР"</t>
  </si>
  <si>
    <t>ИП Кавраков Ислом Мирзоахмадович</t>
  </si>
  <si>
    <t>ООО "ВИТЕЛИЯ.МАРКЕТ"</t>
  </si>
  <si>
    <t>ИП Давыдов Игорь Николаевич</t>
  </si>
  <si>
    <t>ООО "ФАН ЭКОТЕКС"</t>
  </si>
  <si>
    <t>ИП Давыдов Иван Васильевич</t>
  </si>
  <si>
    <t>ИП Пирцхалава Валентина Валерьевна</t>
  </si>
  <si>
    <t>ИП Сарибекян Саргис Папович</t>
  </si>
  <si>
    <t>ИП Липская Анжелика Александровна</t>
  </si>
  <si>
    <t>ИП Санду Михаил Дмитриевич</t>
  </si>
  <si>
    <t>ИП Асланов Эмиль Кара Оглы</t>
  </si>
  <si>
    <t>ИП Афанасьева Надежда Дмитриевна</t>
  </si>
  <si>
    <t>ИП Икромова Елена Илхомджон Кизи</t>
  </si>
  <si>
    <t>ИП Кальнов Олег Геннадьевич</t>
  </si>
  <si>
    <t>ИП Ержанова Эльза Фахретдиновна</t>
  </si>
  <si>
    <t>ИП Аверина Анастасия Евгеньевна</t>
  </si>
  <si>
    <t>ИП Стафутин Денис Вадимович</t>
  </si>
  <si>
    <t>ООО "АЛ ГРУПП"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</si>
</sst>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" fontId="0" fillId="0" borderId="0" xfId="0" applyNumberFormat="1"/>
    <xf numFmtId="43" fontId="0" fillId="0" borderId="0" xfId="1" applyFont="1"/>
    <xf numFmtId="0" fontId="0" fillId="0" borderId="0" xfId="0" applyAlignment="1">
      <alignment wrapText="1"/>
    </xf>
    <xf numFmtId="164" fontId="0" fillId="0" borderId="0" xfId="1" applyNumberFormat="1" applyFont="1"/>
    <xf numFmtId="0" fontId="0" fillId="0" borderId="0" xfId="0" applyFill="1"/>
    <xf numFmtId="43" fontId="0" fillId="0" borderId="0" xfId="1" applyFont="1" applyFill="1"/>
    <xf numFmtId="164" fontId="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topLeftCell="A25" zoomScaleNormal="100" workbookViewId="0">
      <selection activeCell="H48" sqref="H48"/>
    </sheetView>
  </sheetViews>
  <sheetFormatPr defaultRowHeight="15" x14ac:dyDescent="0.25"/>
  <cols>
    <col min="1" max="1" width="32.28515625" customWidth="1"/>
    <col min="2" max="2" width="42" customWidth="1"/>
    <col min="3" max="3" width="20" customWidth="1"/>
    <col min="4" max="4" width="21.7109375" customWidth="1"/>
    <col min="5" max="5" width="18.7109375" customWidth="1"/>
    <col min="6" max="6" width="15.7109375" customWidth="1"/>
    <col min="7" max="7" width="16.85546875" customWidth="1"/>
    <col min="9" max="9" width="21.140625" customWidth="1"/>
    <col min="10" max="10" width="18.7109375" customWidth="1"/>
  </cols>
  <sheetData>
    <row r="1" spans="1:10" ht="56.25" customHeight="1" x14ac:dyDescent="0.25">
      <c r="A1" s="3" t="s">
        <v>0</v>
      </c>
      <c r="B1" s="3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25">
      <c r="A2" s="5" t="s">
        <v>13</v>
      </c>
      <c r="B2" s="5" t="s">
        <v>65</v>
      </c>
      <c r="C2" s="6">
        <v>1880000</v>
      </c>
      <c r="D2" s="6">
        <v>980876.28</v>
      </c>
      <c r="E2" s="6">
        <v>181439.13</v>
      </c>
      <c r="F2" s="6">
        <v>980876.28</v>
      </c>
      <c r="G2" s="6">
        <v>181439.13</v>
      </c>
      <c r="H2" s="7">
        <v>120</v>
      </c>
      <c r="I2" t="s">
        <v>9</v>
      </c>
      <c r="J2" s="7">
        <v>1162315.4099999999</v>
      </c>
    </row>
    <row r="3" spans="1:10" x14ac:dyDescent="0.25">
      <c r="A3" s="5" t="s">
        <v>14</v>
      </c>
      <c r="B3" s="5" t="s">
        <v>66</v>
      </c>
      <c r="C3" s="6">
        <v>3880000</v>
      </c>
      <c r="D3" s="6">
        <v>1180827.8400000001</v>
      </c>
      <c r="E3" s="6">
        <v>279004.56</v>
      </c>
      <c r="F3" s="6">
        <v>674793.04</v>
      </c>
      <c r="G3" s="6">
        <v>217599.35999999999</v>
      </c>
      <c r="H3" s="7">
        <v>59</v>
      </c>
      <c r="I3" t="s">
        <v>9</v>
      </c>
      <c r="J3" s="7">
        <v>1459832.4</v>
      </c>
    </row>
    <row r="4" spans="1:10" x14ac:dyDescent="0.25">
      <c r="A4" s="5" t="s">
        <v>15</v>
      </c>
      <c r="B4" s="5" t="s">
        <v>67</v>
      </c>
      <c r="C4" s="6">
        <v>1620000</v>
      </c>
      <c r="D4" s="6">
        <v>555330</v>
      </c>
      <c r="E4" s="6">
        <v>150660</v>
      </c>
      <c r="F4" s="6">
        <v>231450</v>
      </c>
      <c r="G4" s="6">
        <v>116640</v>
      </c>
      <c r="H4" s="7">
        <v>80</v>
      </c>
      <c r="I4" t="s">
        <v>9</v>
      </c>
      <c r="J4" s="7">
        <v>705990</v>
      </c>
    </row>
    <row r="5" spans="1:10" x14ac:dyDescent="0.25">
      <c r="A5" s="5" t="s">
        <v>16</v>
      </c>
      <c r="B5" s="5" t="s">
        <v>68</v>
      </c>
      <c r="C5" s="6">
        <v>2500000</v>
      </c>
      <c r="D5" s="6">
        <v>1284700.4099999999</v>
      </c>
      <c r="E5" s="6">
        <v>246171.48</v>
      </c>
      <c r="F5" s="6">
        <v>1284700.4099999999</v>
      </c>
      <c r="G5" s="6">
        <v>246171.48</v>
      </c>
      <c r="H5" s="7">
        <v>90</v>
      </c>
      <c r="I5" t="s">
        <v>9</v>
      </c>
      <c r="J5" s="7">
        <v>1530871.89</v>
      </c>
    </row>
    <row r="6" spans="1:10" x14ac:dyDescent="0.25">
      <c r="A6" s="5" t="s">
        <v>17</v>
      </c>
      <c r="B6" s="5" t="s">
        <v>69</v>
      </c>
      <c r="C6" s="6">
        <v>1350000</v>
      </c>
      <c r="D6" s="6">
        <v>677387.03</v>
      </c>
      <c r="E6" s="6">
        <v>92201.22</v>
      </c>
      <c r="F6" s="6">
        <v>175977.41</v>
      </c>
      <c r="G6" s="6">
        <v>69150.84</v>
      </c>
      <c r="H6" s="7">
        <v>80</v>
      </c>
      <c r="I6" t="s">
        <v>9</v>
      </c>
      <c r="J6" s="7">
        <v>769588.25</v>
      </c>
    </row>
    <row r="7" spans="1:10" x14ac:dyDescent="0.25">
      <c r="A7" s="5" t="s">
        <v>18</v>
      </c>
      <c r="B7" s="5" t="s">
        <v>70</v>
      </c>
      <c r="C7" s="6">
        <v>3230000</v>
      </c>
      <c r="D7" s="6">
        <v>983108.8</v>
      </c>
      <c r="E7" s="6">
        <v>411969.05</v>
      </c>
      <c r="F7" s="6">
        <v>983108.8</v>
      </c>
      <c r="G7" s="6">
        <v>411969.05</v>
      </c>
      <c r="H7" s="7">
        <v>111</v>
      </c>
      <c r="I7" t="s">
        <v>9</v>
      </c>
      <c r="J7" s="7">
        <v>1395077.85</v>
      </c>
    </row>
    <row r="8" spans="1:10" x14ac:dyDescent="0.25">
      <c r="A8" s="5" t="s">
        <v>19</v>
      </c>
      <c r="B8" s="5" t="s">
        <v>71</v>
      </c>
      <c r="C8" s="6">
        <v>2000000</v>
      </c>
      <c r="D8" s="6">
        <v>1080910.57</v>
      </c>
      <c r="E8" s="6">
        <v>108342.93</v>
      </c>
      <c r="F8" s="6">
        <v>223796.37</v>
      </c>
      <c r="G8" s="6">
        <v>74057.13</v>
      </c>
      <c r="H8" s="7">
        <v>59</v>
      </c>
      <c r="I8" t="s">
        <v>9</v>
      </c>
      <c r="J8" s="7">
        <v>1189253.5</v>
      </c>
    </row>
    <row r="9" spans="1:10" x14ac:dyDescent="0.25">
      <c r="A9" s="5" t="s">
        <v>20</v>
      </c>
      <c r="B9" s="5" t="s">
        <v>72</v>
      </c>
      <c r="C9" s="6">
        <v>8090000</v>
      </c>
      <c r="D9" s="6">
        <v>3467194.2</v>
      </c>
      <c r="E9" s="6">
        <v>304262.73</v>
      </c>
      <c r="F9" s="6">
        <v>3467194.2</v>
      </c>
      <c r="G9" s="6">
        <v>304262.73</v>
      </c>
      <c r="H9" s="7">
        <v>90</v>
      </c>
      <c r="I9" t="s">
        <v>9</v>
      </c>
      <c r="J9" s="7">
        <v>3771456.93</v>
      </c>
    </row>
    <row r="10" spans="1:10" x14ac:dyDescent="0.25">
      <c r="A10" s="5" t="s">
        <v>21</v>
      </c>
      <c r="B10" s="5" t="s">
        <v>73</v>
      </c>
      <c r="C10" s="6">
        <v>3140000</v>
      </c>
      <c r="D10" s="6">
        <v>1435514.37</v>
      </c>
      <c r="E10" s="6">
        <v>211652.14</v>
      </c>
      <c r="F10" s="6">
        <v>448548.85</v>
      </c>
      <c r="G10" s="6">
        <v>164399.66</v>
      </c>
      <c r="H10" s="7">
        <v>80</v>
      </c>
      <c r="I10" t="s">
        <v>9</v>
      </c>
      <c r="J10" s="7">
        <v>1647166.51</v>
      </c>
    </row>
    <row r="11" spans="1:10" x14ac:dyDescent="0.25">
      <c r="A11" s="5" t="s">
        <v>22</v>
      </c>
      <c r="B11" s="5" t="s">
        <v>74</v>
      </c>
      <c r="C11" s="6">
        <v>3250000</v>
      </c>
      <c r="D11" s="6">
        <v>847781.68</v>
      </c>
      <c r="E11" s="6">
        <v>192620.46</v>
      </c>
      <c r="F11" s="6">
        <v>847781.68</v>
      </c>
      <c r="G11" s="6">
        <v>192620.46</v>
      </c>
      <c r="H11" s="7">
        <v>120</v>
      </c>
      <c r="I11" t="s">
        <v>9</v>
      </c>
      <c r="J11" s="7">
        <v>1040402.14</v>
      </c>
    </row>
    <row r="12" spans="1:10" x14ac:dyDescent="0.25">
      <c r="A12" s="5" t="s">
        <v>23</v>
      </c>
      <c r="B12" s="5" t="s">
        <v>75</v>
      </c>
      <c r="C12" s="6">
        <v>2000000</v>
      </c>
      <c r="D12" s="6">
        <v>173967.89</v>
      </c>
      <c r="E12" s="6">
        <v>19826.02</v>
      </c>
      <c r="F12" s="6">
        <v>86953.91</v>
      </c>
      <c r="G12" s="6">
        <v>0</v>
      </c>
      <c r="H12" s="7">
        <v>20</v>
      </c>
      <c r="I12" t="s">
        <v>9</v>
      </c>
      <c r="J12" s="7">
        <v>193793.91</v>
      </c>
    </row>
    <row r="13" spans="1:10" x14ac:dyDescent="0.25">
      <c r="A13" s="5" t="s">
        <v>24</v>
      </c>
      <c r="B13" s="5" t="s">
        <v>76</v>
      </c>
      <c r="C13" s="6">
        <v>1990000</v>
      </c>
      <c r="D13" s="6">
        <v>954720.55</v>
      </c>
      <c r="E13" s="6">
        <v>243502.14</v>
      </c>
      <c r="F13" s="6">
        <v>954720.55</v>
      </c>
      <c r="G13" s="6">
        <v>243502.14</v>
      </c>
      <c r="H13" s="7">
        <v>111</v>
      </c>
      <c r="I13" t="s">
        <v>9</v>
      </c>
      <c r="J13" s="7">
        <v>1198222.69</v>
      </c>
    </row>
    <row r="14" spans="1:10" x14ac:dyDescent="0.25">
      <c r="A14" s="5" t="s">
        <v>25</v>
      </c>
      <c r="B14" s="5" t="s">
        <v>77</v>
      </c>
      <c r="C14" s="6">
        <v>2000000</v>
      </c>
      <c r="D14" s="6">
        <v>1334789.3999999999</v>
      </c>
      <c r="E14" s="6">
        <v>283314.32</v>
      </c>
      <c r="F14" s="6">
        <v>1334789.3999999999</v>
      </c>
      <c r="G14" s="6">
        <v>283314.32</v>
      </c>
      <c r="H14" s="7">
        <v>111</v>
      </c>
      <c r="I14" t="s">
        <v>9</v>
      </c>
      <c r="J14" s="7">
        <v>1618103.72</v>
      </c>
    </row>
    <row r="15" spans="1:10" x14ac:dyDescent="0.25">
      <c r="A15" s="5" t="s">
        <v>26</v>
      </c>
      <c r="B15" s="5" t="s">
        <v>78</v>
      </c>
      <c r="C15" s="6">
        <v>3050000</v>
      </c>
      <c r="D15" s="6">
        <v>602593.85</v>
      </c>
      <c r="E15" s="6">
        <v>67710.080000000002</v>
      </c>
      <c r="F15" s="6">
        <v>0</v>
      </c>
      <c r="G15" s="6">
        <v>0</v>
      </c>
      <c r="H15" s="7">
        <v>0</v>
      </c>
      <c r="I15" t="s">
        <v>9</v>
      </c>
      <c r="J15" s="7">
        <v>670303.93000000005</v>
      </c>
    </row>
    <row r="16" spans="1:10" x14ac:dyDescent="0.25">
      <c r="A16" s="5" t="s">
        <v>27</v>
      </c>
      <c r="B16" s="5" t="s">
        <v>75</v>
      </c>
      <c r="C16" s="6">
        <v>1050000</v>
      </c>
      <c r="D16" s="6">
        <v>204321.14</v>
      </c>
      <c r="E16" s="6">
        <v>18900</v>
      </c>
      <c r="F16" s="6">
        <v>29321.14</v>
      </c>
      <c r="G16" s="6">
        <v>0</v>
      </c>
      <c r="H16" s="7">
        <v>10</v>
      </c>
      <c r="I16" t="s">
        <v>9</v>
      </c>
      <c r="J16" s="7">
        <v>223221.14</v>
      </c>
    </row>
    <row r="17" spans="1:10" x14ac:dyDescent="0.25">
      <c r="A17" s="5" t="s">
        <v>28</v>
      </c>
      <c r="B17" s="5" t="s">
        <v>79</v>
      </c>
      <c r="C17" s="6">
        <v>15210000</v>
      </c>
      <c r="D17" s="6">
        <v>5591382.21</v>
      </c>
      <c r="E17" s="6">
        <v>1104637.18</v>
      </c>
      <c r="F17" s="6">
        <v>5591382.21</v>
      </c>
      <c r="G17" s="6">
        <v>1104637.18</v>
      </c>
      <c r="H17" s="7">
        <v>111</v>
      </c>
      <c r="I17" t="s">
        <v>9</v>
      </c>
      <c r="J17" s="7">
        <v>6696019.3899999997</v>
      </c>
    </row>
    <row r="18" spans="1:10" x14ac:dyDescent="0.25">
      <c r="A18" s="5" t="s">
        <v>29</v>
      </c>
      <c r="B18" s="5" t="s">
        <v>80</v>
      </c>
      <c r="C18" s="6">
        <v>4900000</v>
      </c>
      <c r="D18" s="6">
        <v>594460</v>
      </c>
      <c r="E18" s="6">
        <v>0</v>
      </c>
      <c r="F18" s="6">
        <v>594460</v>
      </c>
      <c r="G18" s="6">
        <v>0</v>
      </c>
      <c r="H18" s="7">
        <v>80</v>
      </c>
      <c r="I18" t="s">
        <v>9</v>
      </c>
      <c r="J18" s="7">
        <v>594460</v>
      </c>
    </row>
    <row r="19" spans="1:10" x14ac:dyDescent="0.25">
      <c r="A19" s="5" t="s">
        <v>30</v>
      </c>
      <c r="B19" s="5" t="s">
        <v>81</v>
      </c>
      <c r="C19" s="6">
        <v>5000000</v>
      </c>
      <c r="D19" s="6">
        <v>3290974.08</v>
      </c>
      <c r="E19" s="6">
        <v>269000</v>
      </c>
      <c r="F19" s="6">
        <v>513214.08</v>
      </c>
      <c r="G19" s="6">
        <v>134500</v>
      </c>
      <c r="H19" s="7">
        <v>52</v>
      </c>
      <c r="I19" t="s">
        <v>9</v>
      </c>
      <c r="J19" s="7">
        <v>3559974.08</v>
      </c>
    </row>
    <row r="20" spans="1:10" x14ac:dyDescent="0.25">
      <c r="A20" s="5" t="s">
        <v>31</v>
      </c>
      <c r="B20" s="5" t="s">
        <v>82</v>
      </c>
      <c r="C20" s="6">
        <v>6000000</v>
      </c>
      <c r="D20" s="6">
        <v>3602698.32</v>
      </c>
      <c r="E20" s="6">
        <v>360000</v>
      </c>
      <c r="F20" s="6">
        <v>3602698.32</v>
      </c>
      <c r="G20" s="6">
        <v>360000</v>
      </c>
      <c r="H20" s="7">
        <v>93</v>
      </c>
      <c r="I20" t="s">
        <v>9</v>
      </c>
      <c r="J20" s="7">
        <v>3962698.32</v>
      </c>
    </row>
    <row r="21" spans="1:10" x14ac:dyDescent="0.25">
      <c r="A21" s="5" t="s">
        <v>32</v>
      </c>
      <c r="B21" s="5" t="s">
        <v>83</v>
      </c>
      <c r="C21" s="6">
        <v>13400000</v>
      </c>
      <c r="D21" s="6">
        <v>5544310.0899999999</v>
      </c>
      <c r="E21" s="6">
        <v>737873.98</v>
      </c>
      <c r="F21" s="6">
        <v>5544310.0899999999</v>
      </c>
      <c r="G21" s="6">
        <v>737873.98</v>
      </c>
      <c r="H21" s="7">
        <v>111</v>
      </c>
      <c r="I21" t="s">
        <v>9</v>
      </c>
      <c r="J21" s="7">
        <v>6282184.0700000003</v>
      </c>
    </row>
    <row r="22" spans="1:10" x14ac:dyDescent="0.25">
      <c r="A22" s="5" t="s">
        <v>33</v>
      </c>
      <c r="B22" s="5" t="s">
        <v>84</v>
      </c>
      <c r="C22" s="6">
        <v>3000000</v>
      </c>
      <c r="D22" s="6">
        <v>912994.72</v>
      </c>
      <c r="E22" s="6">
        <v>425806.3</v>
      </c>
      <c r="F22" s="6">
        <v>652189.15</v>
      </c>
      <c r="G22" s="6">
        <v>300901.87</v>
      </c>
      <c r="H22" s="7">
        <v>80</v>
      </c>
      <c r="I22" t="s">
        <v>9</v>
      </c>
      <c r="J22" s="7">
        <v>1338801.02</v>
      </c>
    </row>
    <row r="23" spans="1:10" x14ac:dyDescent="0.25">
      <c r="A23" s="5" t="s">
        <v>34</v>
      </c>
      <c r="B23" s="5" t="s">
        <v>85</v>
      </c>
      <c r="C23" s="6">
        <v>8460000</v>
      </c>
      <c r="D23" s="6">
        <v>1826188.74</v>
      </c>
      <c r="E23" s="6">
        <v>547700.47999999998</v>
      </c>
      <c r="F23" s="6">
        <v>1826188.74</v>
      </c>
      <c r="G23" s="6">
        <v>547700.47999999998</v>
      </c>
      <c r="H23" s="7">
        <v>90</v>
      </c>
      <c r="I23" t="s">
        <v>9</v>
      </c>
      <c r="J23" s="7">
        <v>2373889.2200000002</v>
      </c>
    </row>
    <row r="24" spans="1:10" x14ac:dyDescent="0.25">
      <c r="A24" s="5" t="s">
        <v>35</v>
      </c>
      <c r="B24" s="5" t="s">
        <v>86</v>
      </c>
      <c r="C24" s="6">
        <v>2050000</v>
      </c>
      <c r="D24" s="6">
        <v>527261.64</v>
      </c>
      <c r="E24" s="6">
        <v>122871.84</v>
      </c>
      <c r="F24" s="6">
        <v>175700.58</v>
      </c>
      <c r="G24" s="6">
        <v>71902.899999999994</v>
      </c>
      <c r="H24" s="7">
        <v>49</v>
      </c>
      <c r="I24" t="s">
        <v>9</v>
      </c>
      <c r="J24" s="7">
        <v>650133.48</v>
      </c>
    </row>
    <row r="25" spans="1:10" x14ac:dyDescent="0.25">
      <c r="A25" s="5" t="s">
        <v>36</v>
      </c>
      <c r="B25" s="5" t="s">
        <v>87</v>
      </c>
      <c r="C25" s="6">
        <v>1500000</v>
      </c>
      <c r="D25" s="6">
        <v>584150.67000000004</v>
      </c>
      <c r="E25" s="6">
        <v>53100</v>
      </c>
      <c r="F25" s="6">
        <v>69930.67</v>
      </c>
      <c r="G25" s="6">
        <v>16200</v>
      </c>
      <c r="H25" s="7">
        <v>29</v>
      </c>
      <c r="I25" t="s">
        <v>9</v>
      </c>
      <c r="J25" s="7">
        <v>637250.67000000004</v>
      </c>
    </row>
    <row r="26" spans="1:10" x14ac:dyDescent="0.25">
      <c r="A26" s="5" t="s">
        <v>37</v>
      </c>
      <c r="B26" s="5" t="s">
        <v>88</v>
      </c>
      <c r="C26" s="6">
        <v>7000000</v>
      </c>
      <c r="D26" s="6">
        <v>2400000</v>
      </c>
      <c r="E26" s="6">
        <v>437879.62</v>
      </c>
      <c r="F26" s="6">
        <v>2400000</v>
      </c>
      <c r="G26" s="6">
        <v>437879.62</v>
      </c>
      <c r="H26" s="7">
        <v>120</v>
      </c>
      <c r="I26" t="s">
        <v>9</v>
      </c>
      <c r="J26" s="7">
        <v>2837879.62</v>
      </c>
    </row>
    <row r="27" spans="1:10" x14ac:dyDescent="0.25">
      <c r="A27" s="5" t="s">
        <v>38</v>
      </c>
      <c r="B27" s="5" t="s">
        <v>89</v>
      </c>
      <c r="C27" s="6">
        <v>3000000</v>
      </c>
      <c r="D27" s="6">
        <v>1596255.35</v>
      </c>
      <c r="E27" s="6">
        <v>305100</v>
      </c>
      <c r="F27" s="6">
        <v>596255.35</v>
      </c>
      <c r="G27" s="6">
        <v>203400</v>
      </c>
      <c r="H27" s="7">
        <v>70</v>
      </c>
      <c r="I27" t="s">
        <v>9</v>
      </c>
      <c r="J27" s="7">
        <v>1901355.35</v>
      </c>
    </row>
    <row r="28" spans="1:10" x14ac:dyDescent="0.25">
      <c r="A28" s="5" t="s">
        <v>39</v>
      </c>
      <c r="B28" s="5" t="s">
        <v>90</v>
      </c>
      <c r="C28" s="6">
        <v>3360000</v>
      </c>
      <c r="D28" s="6">
        <v>1295746.6599999999</v>
      </c>
      <c r="E28" s="6">
        <v>291443.55</v>
      </c>
      <c r="F28" s="6">
        <v>1295746.6599999999</v>
      </c>
      <c r="G28" s="6">
        <v>291443.55</v>
      </c>
      <c r="H28" s="7">
        <v>111</v>
      </c>
      <c r="I28" t="s">
        <v>9</v>
      </c>
      <c r="J28" s="7">
        <v>1587190.21</v>
      </c>
    </row>
    <row r="29" spans="1:10" x14ac:dyDescent="0.25">
      <c r="A29" s="5" t="s">
        <v>40</v>
      </c>
      <c r="B29" s="5" t="s">
        <v>91</v>
      </c>
      <c r="C29" s="6">
        <v>4000000</v>
      </c>
      <c r="D29" s="6">
        <v>800119.96</v>
      </c>
      <c r="E29" s="6">
        <v>146560.04</v>
      </c>
      <c r="F29" s="6">
        <v>228562.86</v>
      </c>
      <c r="G29" s="6">
        <v>94217.14</v>
      </c>
      <c r="H29" s="7">
        <v>29</v>
      </c>
      <c r="I29" t="s">
        <v>9</v>
      </c>
      <c r="J29" s="7">
        <v>946680</v>
      </c>
    </row>
    <row r="30" spans="1:10" x14ac:dyDescent="0.25">
      <c r="A30" s="5" t="s">
        <v>41</v>
      </c>
      <c r="B30" s="5" t="s">
        <v>92</v>
      </c>
      <c r="C30" s="6">
        <v>4500000</v>
      </c>
      <c r="D30" s="6">
        <v>782567.35</v>
      </c>
      <c r="E30" s="6">
        <v>261435.15</v>
      </c>
      <c r="F30" s="6">
        <v>782567.35</v>
      </c>
      <c r="G30" s="6">
        <v>261435.15</v>
      </c>
      <c r="H30" s="7">
        <v>59</v>
      </c>
      <c r="I30" t="s">
        <v>9</v>
      </c>
      <c r="J30" s="7">
        <v>1044002.5</v>
      </c>
    </row>
    <row r="31" spans="1:10" x14ac:dyDescent="0.25">
      <c r="A31" s="5" t="s">
        <v>42</v>
      </c>
      <c r="B31" s="5" t="s">
        <v>93</v>
      </c>
      <c r="C31" s="6">
        <v>3000000</v>
      </c>
      <c r="D31" s="6">
        <v>1285628.6000000001</v>
      </c>
      <c r="E31" s="6">
        <v>220130.32</v>
      </c>
      <c r="F31" s="6">
        <v>1285628.6000000001</v>
      </c>
      <c r="G31" s="6">
        <v>220130.32</v>
      </c>
      <c r="H31" s="7">
        <v>111</v>
      </c>
      <c r="I31" t="s">
        <v>9</v>
      </c>
      <c r="J31" s="7">
        <v>1505758.92</v>
      </c>
    </row>
    <row r="32" spans="1:10" x14ac:dyDescent="0.25">
      <c r="A32" s="5" t="s">
        <v>43</v>
      </c>
      <c r="B32" s="5" t="s">
        <v>94</v>
      </c>
      <c r="C32" s="6">
        <v>1200000</v>
      </c>
      <c r="D32" s="6">
        <v>866650</v>
      </c>
      <c r="E32" s="6">
        <v>91884</v>
      </c>
      <c r="F32" s="6">
        <v>866650</v>
      </c>
      <c r="G32" s="6">
        <v>91884</v>
      </c>
      <c r="H32" s="7">
        <v>108</v>
      </c>
      <c r="I32" t="s">
        <v>9</v>
      </c>
      <c r="J32" s="7">
        <v>958534</v>
      </c>
    </row>
    <row r="33" spans="1:10" x14ac:dyDescent="0.25">
      <c r="A33" s="5" t="s">
        <v>44</v>
      </c>
      <c r="B33" s="5" t="s">
        <v>95</v>
      </c>
      <c r="C33" s="6">
        <v>1500000</v>
      </c>
      <c r="D33" s="6">
        <v>728520</v>
      </c>
      <c r="E33" s="6">
        <v>186106.49</v>
      </c>
      <c r="F33" s="6">
        <v>728520</v>
      </c>
      <c r="G33" s="6">
        <v>186106.49</v>
      </c>
      <c r="H33" s="7">
        <v>120</v>
      </c>
      <c r="I33" t="s">
        <v>9</v>
      </c>
      <c r="J33" s="7">
        <v>914626.49</v>
      </c>
    </row>
    <row r="34" spans="1:10" x14ac:dyDescent="0.25">
      <c r="A34" s="5" t="s">
        <v>45</v>
      </c>
      <c r="B34" s="5" t="s">
        <v>75</v>
      </c>
      <c r="C34" s="6">
        <v>5400000</v>
      </c>
      <c r="D34" s="6">
        <v>1583401.36</v>
      </c>
      <c r="E34" s="6">
        <v>15428.5</v>
      </c>
      <c r="F34" s="6">
        <v>40579.86</v>
      </c>
      <c r="G34" s="6">
        <v>0</v>
      </c>
      <c r="H34" s="7">
        <v>20</v>
      </c>
      <c r="I34" t="s">
        <v>9</v>
      </c>
      <c r="J34" s="7">
        <v>1598829.86</v>
      </c>
    </row>
    <row r="35" spans="1:10" x14ac:dyDescent="0.25">
      <c r="A35" s="5" t="s">
        <v>46</v>
      </c>
      <c r="B35" s="5" t="s">
        <v>75</v>
      </c>
      <c r="C35" s="6">
        <v>2500000</v>
      </c>
      <c r="D35" s="6">
        <v>714321.5</v>
      </c>
      <c r="E35" s="6">
        <v>61428.5</v>
      </c>
      <c r="F35" s="6">
        <v>0</v>
      </c>
      <c r="G35" s="6">
        <v>0</v>
      </c>
      <c r="H35" s="7">
        <v>0</v>
      </c>
      <c r="I35" t="s">
        <v>9</v>
      </c>
      <c r="J35" s="7">
        <v>775750</v>
      </c>
    </row>
    <row r="36" spans="1:10" x14ac:dyDescent="0.25">
      <c r="A36" s="5" t="s">
        <v>47</v>
      </c>
      <c r="B36" s="5" t="s">
        <v>12</v>
      </c>
      <c r="C36" s="6">
        <v>1170000</v>
      </c>
      <c r="D36" s="6">
        <v>910000</v>
      </c>
      <c r="E36" s="6">
        <v>122298.5</v>
      </c>
      <c r="F36" s="6">
        <v>910000</v>
      </c>
      <c r="G36" s="6">
        <v>122298.5</v>
      </c>
      <c r="H36" s="7">
        <v>115</v>
      </c>
      <c r="I36" t="s">
        <v>9</v>
      </c>
      <c r="J36" s="7">
        <v>1032298.5</v>
      </c>
    </row>
    <row r="37" spans="1:10" x14ac:dyDescent="0.25">
      <c r="A37" s="5" t="s">
        <v>48</v>
      </c>
      <c r="B37" s="5" t="s">
        <v>96</v>
      </c>
      <c r="C37" s="6">
        <v>1630000</v>
      </c>
      <c r="D37" s="6">
        <v>745142.83</v>
      </c>
      <c r="E37" s="6">
        <v>153115.98000000001</v>
      </c>
      <c r="F37" s="6">
        <v>745142.83</v>
      </c>
      <c r="G37" s="6">
        <v>153115.98000000001</v>
      </c>
      <c r="H37" s="7">
        <v>90</v>
      </c>
      <c r="I37" t="s">
        <v>9</v>
      </c>
      <c r="J37" s="7">
        <v>898258.81</v>
      </c>
    </row>
    <row r="38" spans="1:10" x14ac:dyDescent="0.25">
      <c r="A38" s="5" t="s">
        <v>49</v>
      </c>
      <c r="B38" s="5" t="s">
        <v>97</v>
      </c>
      <c r="C38" s="6">
        <v>4200000</v>
      </c>
      <c r="D38" s="6">
        <v>1320096</v>
      </c>
      <c r="E38" s="6">
        <v>381427</v>
      </c>
      <c r="F38" s="6">
        <v>599980</v>
      </c>
      <c r="G38" s="6">
        <v>267883</v>
      </c>
      <c r="H38" s="7">
        <v>80</v>
      </c>
      <c r="I38" t="s">
        <v>9</v>
      </c>
      <c r="J38" s="7">
        <v>1701523</v>
      </c>
    </row>
    <row r="39" spans="1:10" x14ac:dyDescent="0.25">
      <c r="A39" s="5" t="s">
        <v>50</v>
      </c>
      <c r="B39" s="5" t="s">
        <v>98</v>
      </c>
      <c r="C39" s="6">
        <v>2760000</v>
      </c>
      <c r="D39" s="6">
        <v>1025162.94</v>
      </c>
      <c r="E39" s="6">
        <v>47125.06</v>
      </c>
      <c r="F39" s="6">
        <v>0</v>
      </c>
      <c r="G39" s="6">
        <v>0</v>
      </c>
      <c r="H39" s="7">
        <v>0</v>
      </c>
      <c r="I39" t="s">
        <v>9</v>
      </c>
      <c r="J39" s="7">
        <v>1072288</v>
      </c>
    </row>
    <row r="40" spans="1:10" x14ac:dyDescent="0.25">
      <c r="A40" s="5" t="s">
        <v>51</v>
      </c>
      <c r="B40" s="5" t="s">
        <v>99</v>
      </c>
      <c r="C40" s="6">
        <v>3390000</v>
      </c>
      <c r="D40" s="6">
        <v>1405575.3</v>
      </c>
      <c r="E40" s="6">
        <v>312490.14</v>
      </c>
      <c r="F40" s="6">
        <v>340223.46</v>
      </c>
      <c r="G40" s="6">
        <v>219148.98</v>
      </c>
      <c r="H40" s="7">
        <v>59</v>
      </c>
      <c r="I40" t="s">
        <v>9</v>
      </c>
      <c r="J40" s="7">
        <v>1718065.44</v>
      </c>
    </row>
    <row r="41" spans="1:10" x14ac:dyDescent="0.25">
      <c r="A41" s="5" t="s">
        <v>52</v>
      </c>
      <c r="B41" s="5" t="s">
        <v>100</v>
      </c>
      <c r="C41" s="6">
        <v>2000000</v>
      </c>
      <c r="D41" s="6">
        <v>656434.66</v>
      </c>
      <c r="E41" s="6">
        <v>106086.88</v>
      </c>
      <c r="F41" s="6">
        <v>656434.66</v>
      </c>
      <c r="G41" s="6">
        <v>106086.88</v>
      </c>
      <c r="H41" s="7">
        <v>90</v>
      </c>
      <c r="I41" t="s">
        <v>9</v>
      </c>
      <c r="J41" s="7">
        <v>762521.54</v>
      </c>
    </row>
    <row r="42" spans="1:10" x14ac:dyDescent="0.25">
      <c r="A42" s="5" t="s">
        <v>53</v>
      </c>
      <c r="B42" s="5" t="s">
        <v>101</v>
      </c>
      <c r="C42" s="6">
        <v>2800000</v>
      </c>
      <c r="D42" s="6">
        <v>1800715.12</v>
      </c>
      <c r="E42" s="6">
        <v>148480</v>
      </c>
      <c r="F42" s="6">
        <v>1800715.12</v>
      </c>
      <c r="G42" s="6">
        <v>148480</v>
      </c>
      <c r="H42" s="7">
        <v>90</v>
      </c>
      <c r="I42" t="s">
        <v>9</v>
      </c>
      <c r="J42" s="7">
        <v>1949195.12</v>
      </c>
    </row>
    <row r="43" spans="1:10" x14ac:dyDescent="0.25">
      <c r="A43" s="5" t="s">
        <v>54</v>
      </c>
      <c r="B43" s="5" t="s">
        <v>102</v>
      </c>
      <c r="C43" s="6">
        <v>3000000</v>
      </c>
      <c r="D43" s="6">
        <v>622256.32999999996</v>
      </c>
      <c r="E43" s="6">
        <v>109565.3</v>
      </c>
      <c r="F43" s="6">
        <v>361469.03</v>
      </c>
      <c r="G43" s="6">
        <v>54782.6</v>
      </c>
      <c r="H43" s="7">
        <v>49</v>
      </c>
      <c r="I43" t="s">
        <v>9</v>
      </c>
      <c r="J43" s="7">
        <v>731821.63</v>
      </c>
    </row>
    <row r="44" spans="1:10" x14ac:dyDescent="0.25">
      <c r="A44" s="5" t="s">
        <v>55</v>
      </c>
      <c r="B44" s="5" t="s">
        <v>103</v>
      </c>
      <c r="C44" s="6">
        <v>2230000</v>
      </c>
      <c r="D44" s="6">
        <v>969544.83</v>
      </c>
      <c r="E44" s="6">
        <v>209235.72</v>
      </c>
      <c r="F44" s="6">
        <v>969544.83</v>
      </c>
      <c r="G44" s="6">
        <v>209235.72</v>
      </c>
      <c r="H44" s="7">
        <v>111</v>
      </c>
      <c r="I44" t="s">
        <v>9</v>
      </c>
      <c r="J44" s="7">
        <v>1178780.55</v>
      </c>
    </row>
    <row r="45" spans="1:10" x14ac:dyDescent="0.25">
      <c r="A45" s="5" t="s">
        <v>56</v>
      </c>
      <c r="B45" s="5" t="s">
        <v>75</v>
      </c>
      <c r="C45" s="6">
        <v>930000</v>
      </c>
      <c r="D45" s="6">
        <v>77500</v>
      </c>
      <c r="E45" s="6">
        <v>17670</v>
      </c>
      <c r="F45" s="6">
        <v>0</v>
      </c>
      <c r="G45" s="6">
        <v>0</v>
      </c>
      <c r="H45" s="7">
        <v>0</v>
      </c>
      <c r="I45" t="s">
        <v>9</v>
      </c>
      <c r="J45" s="7">
        <v>95170</v>
      </c>
    </row>
    <row r="46" spans="1:10" x14ac:dyDescent="0.25">
      <c r="A46" s="5" t="s">
        <v>57</v>
      </c>
      <c r="B46" s="5" t="s">
        <v>75</v>
      </c>
      <c r="C46" s="6">
        <v>2100000</v>
      </c>
      <c r="D46" s="6">
        <v>933300</v>
      </c>
      <c r="E46" s="6">
        <v>37800</v>
      </c>
      <c r="F46" s="6">
        <v>0</v>
      </c>
      <c r="G46" s="6">
        <v>0</v>
      </c>
      <c r="H46" s="7">
        <v>0</v>
      </c>
      <c r="I46" t="s">
        <v>9</v>
      </c>
      <c r="J46" s="7">
        <v>971100</v>
      </c>
    </row>
    <row r="47" spans="1:10" x14ac:dyDescent="0.25">
      <c r="A47" s="5" t="s">
        <v>58</v>
      </c>
      <c r="B47" s="5" t="s">
        <v>104</v>
      </c>
      <c r="C47" s="6">
        <v>1835000</v>
      </c>
      <c r="D47" s="6">
        <v>524276.5</v>
      </c>
      <c r="E47" s="6">
        <v>132067.5</v>
      </c>
      <c r="F47" s="6">
        <v>209715.76</v>
      </c>
      <c r="G47" s="6">
        <v>86444.24</v>
      </c>
      <c r="H47" s="7">
        <v>59</v>
      </c>
      <c r="I47" t="s">
        <v>9</v>
      </c>
      <c r="J47" s="7">
        <v>656344</v>
      </c>
    </row>
    <row r="48" spans="1:10" x14ac:dyDescent="0.25">
      <c r="A48" s="5" t="s">
        <v>59</v>
      </c>
      <c r="B48" s="5" t="s">
        <v>105</v>
      </c>
      <c r="C48" s="6">
        <v>1740000</v>
      </c>
      <c r="D48" s="6">
        <v>894798.93</v>
      </c>
      <c r="E48" s="6">
        <v>107681.07</v>
      </c>
      <c r="F48" s="6">
        <v>248588.55</v>
      </c>
      <c r="G48" s="6">
        <v>85011.45</v>
      </c>
      <c r="H48" s="7">
        <v>80</v>
      </c>
      <c r="I48" t="s">
        <v>9</v>
      </c>
      <c r="J48" s="7">
        <v>1002480</v>
      </c>
    </row>
    <row r="49" spans="1:10" x14ac:dyDescent="0.25">
      <c r="A49" s="5" t="s">
        <v>60</v>
      </c>
      <c r="B49" s="5" t="s">
        <v>106</v>
      </c>
      <c r="C49" s="6">
        <v>4200000</v>
      </c>
      <c r="D49" s="6">
        <v>1440000</v>
      </c>
      <c r="E49" s="6">
        <v>255886.4</v>
      </c>
      <c r="F49" s="6">
        <v>480000</v>
      </c>
      <c r="G49" s="6">
        <v>162286.39999999999</v>
      </c>
      <c r="H49" s="7">
        <v>59</v>
      </c>
      <c r="I49" t="s">
        <v>9</v>
      </c>
      <c r="J49" s="7">
        <v>1695886.4</v>
      </c>
    </row>
    <row r="50" spans="1:10" x14ac:dyDescent="0.25">
      <c r="A50" s="5" t="s">
        <v>61</v>
      </c>
      <c r="B50" s="5" t="s">
        <v>107</v>
      </c>
      <c r="C50" s="6">
        <v>2460000</v>
      </c>
      <c r="D50" s="6">
        <v>742661.96</v>
      </c>
      <c r="E50" s="6">
        <v>291862.89</v>
      </c>
      <c r="F50" s="6">
        <v>742661.96</v>
      </c>
      <c r="G50" s="6">
        <v>291862.89</v>
      </c>
      <c r="H50" s="7">
        <v>90</v>
      </c>
      <c r="I50" t="s">
        <v>9</v>
      </c>
      <c r="J50" s="7">
        <v>1034524.85</v>
      </c>
    </row>
    <row r="51" spans="1:10" x14ac:dyDescent="0.25">
      <c r="A51" s="5" t="s">
        <v>62</v>
      </c>
      <c r="B51" s="5" t="s">
        <v>108</v>
      </c>
      <c r="C51" s="6">
        <v>3370000</v>
      </c>
      <c r="D51" s="6">
        <v>1750303.59</v>
      </c>
      <c r="E51" s="6">
        <v>158977.26999999999</v>
      </c>
      <c r="F51" s="6">
        <v>306049.78999999998</v>
      </c>
      <c r="G51" s="6">
        <v>108668.07</v>
      </c>
      <c r="H51" s="7">
        <v>59</v>
      </c>
      <c r="I51" t="s">
        <v>9</v>
      </c>
      <c r="J51" s="7">
        <v>1909280.86</v>
      </c>
    </row>
    <row r="52" spans="1:10" x14ac:dyDescent="0.25">
      <c r="A52" s="5" t="s">
        <v>63</v>
      </c>
      <c r="B52" s="5" t="s">
        <v>109</v>
      </c>
      <c r="C52" s="6">
        <v>2510000</v>
      </c>
      <c r="D52" s="6">
        <v>860480.71</v>
      </c>
      <c r="E52" s="6">
        <v>272223.09000000003</v>
      </c>
      <c r="F52" s="6">
        <v>286872.92</v>
      </c>
      <c r="G52" s="6">
        <v>171815.88</v>
      </c>
      <c r="H52" s="7">
        <v>59</v>
      </c>
      <c r="I52" t="s">
        <v>9</v>
      </c>
      <c r="J52" s="7">
        <v>1132703.8</v>
      </c>
    </row>
    <row r="53" spans="1:10" x14ac:dyDescent="0.25">
      <c r="A53" s="5" t="s">
        <v>64</v>
      </c>
      <c r="B53" s="5" t="s">
        <v>110</v>
      </c>
      <c r="C53" s="6">
        <v>19900000</v>
      </c>
      <c r="D53" s="6">
        <v>6633360</v>
      </c>
      <c r="E53" s="6">
        <v>1232974.22</v>
      </c>
      <c r="F53" s="6">
        <v>4974990</v>
      </c>
      <c r="G53" s="6">
        <v>834974.22</v>
      </c>
      <c r="H53" s="7">
        <v>70</v>
      </c>
      <c r="I53" t="s">
        <v>9</v>
      </c>
      <c r="J53" s="7">
        <v>7866334.2199999997</v>
      </c>
    </row>
    <row r="54" spans="1:10" x14ac:dyDescent="0.25">
      <c r="A54" t="s">
        <v>10</v>
      </c>
      <c r="C54" s="1"/>
      <c r="D54" s="1"/>
      <c r="E54" s="1"/>
      <c r="F54" s="1"/>
      <c r="G54" s="1"/>
      <c r="J54" s="1">
        <f>SUM(J2:J53)</f>
        <v>86150194.189999998</v>
      </c>
    </row>
    <row r="55" spans="1:10" x14ac:dyDescent="0.25">
      <c r="C55" s="2"/>
      <c r="D55" s="2"/>
      <c r="E55" s="2"/>
      <c r="F55" s="2"/>
      <c r="G55" s="2"/>
      <c r="H55" s="4"/>
      <c r="J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2026-08-11T15:51:19Z</dcterms:modified>
</cp:coreProperties>
</file>