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Как_читать" sheetId="1" state="visible" r:id="rId1"/>
    <sheet xmlns:r="http://schemas.openxmlformats.org/officeDocument/2006/relationships" name="01_Нормативы" sheetId="2" state="visible" r:id="rId2"/>
    <sheet xmlns:r="http://schemas.openxmlformats.org/officeDocument/2006/relationships" name="02_Данные" sheetId="3" state="visible" r:id="rId3"/>
    <sheet xmlns:r="http://schemas.openxmlformats.org/officeDocument/2006/relationships" name="03_Расчёт" sheetId="4" state="visible" r:id="rId4"/>
    <sheet xmlns:r="http://schemas.openxmlformats.org/officeDocument/2006/relationships" name="04_Сводка" sheetId="5" state="visible" r:id="rId5"/>
    <sheet xmlns:r="http://schemas.openxmlformats.org/officeDocument/2006/relationships" name="05_Дефицит" sheetId="6" state="visible" r:id="rId6"/>
    <sheet xmlns:r="http://schemas.openxmlformats.org/officeDocument/2006/relationships" name="06_Пояснительная" sheetId="7" state="visible" r:id="rId7"/>
    <sheet xmlns:r="http://schemas.openxmlformats.org/officeDocument/2006/relationships" name="07_Мини_пример" sheetId="8" state="visible" r:id="rId8"/>
    <sheet xmlns:r="http://schemas.openxmlformats.org/officeDocument/2006/relationships" name="08_Легенда" sheetId="9" state="visible" r:id="rId9"/>
  </sheets>
  <definedNames>
    <definedName name="TGT_FS_promo">'01_Нормативы'!$C$4</definedName>
    <definedName name="TGT_FS_reg">'01_Нормативы'!$C$5</definedName>
    <definedName name="TGT_RDC">'01_Нормативы'!$C$6</definedName>
    <definedName name="TGT_FT">'01_Нормативы'!$C$7</definedName>
    <definedName name="TGT_EK">'01_Нормативы'!$C$8</definedName>
    <definedName name="TGT_KPi">'01_Нормативы'!$C$9</definedName>
    <definedName name="TGT_Ecom">'01_Нормативы'!$C$10</definedName>
    <definedName name="TGT_RKP">'01_Нормативы'!$C$11</definedName>
    <definedName name="_xlnm._FilterDatabase" localSheetId="2" hidden="1">'02_Данные'!$A$1:$AY$429</definedName>
    <definedName name="_xlnm._FilterDatabase" localSheetId="3" hidden="1">'03_Расчёт'!$A$1:$Z$429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4B183"/>
      </patternFill>
    </fill>
    <fill>
      <patternFill patternType="solid">
        <fgColor rgb="0030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3" fillId="3" borderId="0" pivotButton="0" quotePrefix="0" xfId="0"/>
    <xf numFmtId="0" fontId="3" fillId="2" borderId="0" pivotButton="0" quotePrefix="0" xfId="0"/>
    <xf numFmtId="0" fontId="3" fillId="5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3" borderId="1" pivotButton="0" quotePrefix="0" xfId="0"/>
    <xf numFmtId="0" fontId="3" fillId="2" borderId="1" pivotButton="0" quotePrefix="0" xfId="0"/>
    <xf numFmtId="0" fontId="2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1" pivotButton="0" quotePrefix="0" xfId="0"/>
    <xf numFmtId="0" fontId="2" fillId="2" borderId="1" pivotButton="0" quotePrefix="0" xfId="0"/>
    <xf numFmtId="0" fontId="0" fillId="7" borderId="0" pivotButton="0" quotePrefix="0" xfId="0"/>
    <xf numFmtId="0" fontId="2" fillId="5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0" fillId="5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B183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ТЕСТ DEMAND — РАБОЧАЯ ТЕТРАДЬ С ФОРМУЛАМИ</t>
        </is>
      </c>
    </row>
    <row r="3">
      <c r="A3" s="2" t="inlineStr">
        <is>
          <t>ЭТОТ ФАЙЛ — С ФОРМУЛАМИ (не с забитыми ответами)</t>
        </is>
      </c>
    </row>
    <row r="4">
      <c r="A4" s="3" t="inlineStr"/>
    </row>
    <row r="5">
      <c r="A5" s="4" t="inlineStr">
        <is>
          <t>Синие ячейки = исходные данные (значения из ТЗ, их не надо выдумывать).</t>
        </is>
      </c>
    </row>
    <row r="6">
      <c r="A6" s="5" t="inlineStr">
        <is>
          <t>Зелёные ячейки = ФОРМУЛЫ Excel. Кликни ячейку и смотри строку формул.</t>
        </is>
      </c>
    </row>
    <row r="7">
      <c r="A7" s="6" t="inlineStr">
        <is>
          <t>Жёлтые = пояснения / нормативы.</t>
        </is>
      </c>
    </row>
    <row r="8">
      <c r="A8" s="7" t="inlineStr">
        <is>
          <t>Оранжевые = дефицит (статус считается формулой).</t>
        </is>
      </c>
    </row>
    <row r="9">
      <c r="A9" s="3" t="inlineStr"/>
    </row>
    <row r="10">
      <c r="A10" s="3" t="inlineStr">
        <is>
          <t>Листы:</t>
        </is>
      </c>
    </row>
    <row r="11">
      <c r="A11" s="5" t="inlineStr">
        <is>
          <t>01_Нормативы — цели каналов в тоннах и кг (для ссылок в формулах).</t>
        </is>
      </c>
    </row>
    <row r="12">
      <c r="A12" s="3" t="inlineStr">
        <is>
          <t>02_Данные — вход: остаток, выпуск по неделям, прогноз по каналам/неделям.</t>
        </is>
      </c>
    </row>
    <row r="13">
      <c r="A13" s="5" t="inlineStr">
        <is>
          <t>03_Расчёт — вся логика формулами: доступно, приоритет каналов, недельный перенос, план мес, урезка до лимита канала.</t>
        </is>
      </c>
    </row>
    <row r="14">
      <c r="A14" s="5" t="inlineStr">
        <is>
          <t>04_Сводка — СУММ планов vs цели (формулы).</t>
        </is>
      </c>
    </row>
    <row r="15">
      <c r="A15" s="5" t="inlineStr">
        <is>
          <t>05_Дефицит — список через формулы/фильтр (статус на листе 03).</t>
        </is>
      </c>
    </row>
    <row r="16">
      <c r="A16" s="3" t="inlineStr">
        <is>
          <t>06_Пояснительная — текст для HR (4 пункта ТЗ).</t>
        </is>
      </c>
    </row>
    <row r="17">
      <c r="A17" s="3" t="inlineStr">
        <is>
          <t>07_Мини_пример — 1 SKU вручную, чтобы показать понимание на собеседовании.</t>
        </is>
      </c>
    </row>
    <row r="18">
      <c r="A18" s="3" t="inlineStr"/>
    </row>
    <row r="19">
      <c r="A19" s="3" t="inlineStr">
        <is>
          <t>Приоритет каналов при дефиците:</t>
        </is>
      </c>
    </row>
    <row r="20">
      <c r="A20" s="3" t="inlineStr">
        <is>
          <t>ФС промо -&gt; ФС рег -&gt; РДЦ -&gt; РКП -&gt; ЭК -&gt; ФТ -&gt; КПи -&gt; E-commerce</t>
        </is>
      </c>
    </row>
    <row r="21">
      <c r="A21" s="3" t="inlineStr"/>
    </row>
    <row r="22">
      <c r="A22" s="3" t="inlineStr">
        <is>
          <t>Важно: план производства не меняется. Прогноз = видение продаж, не заказ.</t>
        </is>
      </c>
    </row>
    <row r="23">
      <c r="A23" s="3" t="inlineStr">
        <is>
          <t>Лимит канала (кг) = тонны * 1000 из листа 01_Нормативы.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</cols>
  <sheetData>
    <row r="1">
      <c r="A1" s="1" t="inlineStr">
        <is>
          <t>Целевые планы каналов (из шапки ТЗ)</t>
        </is>
      </c>
    </row>
    <row r="3" ht="36" customHeight="1">
      <c r="A3" s="8" t="inlineStr">
        <is>
          <t>Канал</t>
        </is>
      </c>
      <c r="B3" s="8" t="inlineStr">
        <is>
          <t>Цель_тонн</t>
        </is>
      </c>
      <c r="C3" s="8" t="inlineStr">
        <is>
          <t>Цель_кг</t>
        </is>
      </c>
      <c r="D3" s="8" t="inlineStr">
        <is>
          <t>Имя_ячейки_кг</t>
        </is>
      </c>
    </row>
    <row r="4">
      <c r="A4" s="9" t="inlineStr">
        <is>
          <t>ФС промо</t>
        </is>
      </c>
      <c r="B4" s="9" t="n">
        <v>7358</v>
      </c>
      <c r="C4" s="10">
        <f>B4*1000</f>
        <v/>
      </c>
      <c r="D4" s="11" t="inlineStr">
        <is>
          <t>Цель_FS_promo</t>
        </is>
      </c>
    </row>
    <row r="5">
      <c r="A5" s="9" t="inlineStr">
        <is>
          <t>ФС рег</t>
        </is>
      </c>
      <c r="B5" s="9" t="n">
        <v>1582</v>
      </c>
      <c r="C5" s="10">
        <f>B5*1000</f>
        <v/>
      </c>
      <c r="D5" s="11" t="inlineStr">
        <is>
          <t>Цель_FS_reg</t>
        </is>
      </c>
    </row>
    <row r="6">
      <c r="A6" s="9" t="inlineStr">
        <is>
          <t>РДЦ</t>
        </is>
      </c>
      <c r="B6" s="9" t="n">
        <v>5373</v>
      </c>
      <c r="C6" s="10">
        <f>B6*1000</f>
        <v/>
      </c>
      <c r="D6" s="11" t="inlineStr">
        <is>
          <t>Цель_RDC</t>
        </is>
      </c>
    </row>
    <row r="7">
      <c r="A7" s="9" t="inlineStr">
        <is>
          <t>ФТ</t>
        </is>
      </c>
      <c r="B7" s="9" t="n">
        <v>586</v>
      </c>
      <c r="C7" s="10">
        <f>B7*1000</f>
        <v/>
      </c>
      <c r="D7" s="11" t="inlineStr">
        <is>
          <t>Цель_FT</t>
        </is>
      </c>
    </row>
    <row r="8">
      <c r="A8" s="9" t="inlineStr">
        <is>
          <t>ЭК</t>
        </is>
      </c>
      <c r="B8" s="9" t="n">
        <v>1300</v>
      </c>
      <c r="C8" s="10">
        <f>B8*1000</f>
        <v/>
      </c>
      <c r="D8" s="11" t="inlineStr">
        <is>
          <t>Цель_EK</t>
        </is>
      </c>
    </row>
    <row r="9">
      <c r="A9" s="9" t="inlineStr">
        <is>
          <t>КПи</t>
        </is>
      </c>
      <c r="B9" s="9" t="n">
        <v>748</v>
      </c>
      <c r="C9" s="10">
        <f>B9*1000</f>
        <v/>
      </c>
      <c r="D9" s="11" t="inlineStr">
        <is>
          <t>Цель_KPi</t>
        </is>
      </c>
    </row>
    <row r="10">
      <c r="A10" s="9" t="inlineStr">
        <is>
          <t>E-commerce</t>
        </is>
      </c>
      <c r="B10" s="9" t="n">
        <v>530</v>
      </c>
      <c r="C10" s="10">
        <f>B10*1000</f>
        <v/>
      </c>
      <c r="D10" s="11" t="inlineStr">
        <is>
          <t>Цель_Ecom</t>
        </is>
      </c>
    </row>
    <row r="11">
      <c r="A11" s="9" t="inlineStr">
        <is>
          <t>РКП</t>
        </is>
      </c>
      <c r="B11" s="9" t="n">
        <v>2686.5</v>
      </c>
      <c r="C11" s="10">
        <f>B11*1000</f>
        <v/>
      </c>
      <c r="D11" s="11" t="inlineStr">
        <is>
          <t>Цель_RKP</t>
        </is>
      </c>
    </row>
    <row r="12">
      <c r="A12" s="12" t="inlineStr">
        <is>
          <t>ИТОГО</t>
        </is>
      </c>
      <c r="B12" s="12">
        <f>SUM(B4:B11)</f>
        <v/>
      </c>
      <c r="C12" s="12">
        <f>SUM(C4:C11)</f>
        <v/>
      </c>
    </row>
    <row r="14">
      <c r="A14" s="13" t="inlineStr">
        <is>
          <t>Приоритет (порядок раздачи при дефиците) — номер меньше = важнее</t>
        </is>
      </c>
    </row>
    <row r="15">
      <c r="A15" s="14" t="n">
        <v>1</v>
      </c>
      <c r="B15" s="14" t="inlineStr">
        <is>
          <t>ФС промо</t>
        </is>
      </c>
    </row>
    <row r="16">
      <c r="A16" s="14" t="n">
        <v>2</v>
      </c>
      <c r="B16" s="14" t="inlineStr">
        <is>
          <t>ФС рег</t>
        </is>
      </c>
    </row>
    <row r="17">
      <c r="A17" s="14" t="n">
        <v>3</v>
      </c>
      <c r="B17" s="14" t="inlineStr">
        <is>
          <t>РДЦ</t>
        </is>
      </c>
    </row>
    <row r="18">
      <c r="A18" s="14" t="n">
        <v>4</v>
      </c>
      <c r="B18" s="14" t="inlineStr">
        <is>
          <t>РКП</t>
        </is>
      </c>
    </row>
    <row r="19">
      <c r="A19" s="14" t="n">
        <v>5</v>
      </c>
      <c r="B19" s="14" t="inlineStr">
        <is>
          <t>ЭК</t>
        </is>
      </c>
    </row>
    <row r="20">
      <c r="A20" s="14" t="n">
        <v>6</v>
      </c>
      <c r="B20" s="14" t="inlineStr">
        <is>
          <t>ФТ</t>
        </is>
      </c>
    </row>
    <row r="21">
      <c r="A21" s="14" t="n">
        <v>7</v>
      </c>
      <c r="B21" s="14" t="inlineStr">
        <is>
          <t>КПи</t>
        </is>
      </c>
    </row>
    <row r="22">
      <c r="A22" s="14" t="n">
        <v>8</v>
      </c>
      <c r="B22" s="14" t="inlineStr">
        <is>
          <t>E-commerce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28" customWidth="1" min="3" max="3"/>
  </cols>
  <sheetData>
    <row r="1" ht="36" customHeight="1">
      <c r="A1" s="8" t="inlineStr">
        <is>
          <t>Строка_ТЗ</t>
        </is>
      </c>
      <c r="B1" s="8" t="inlineStr">
        <is>
          <t>Код</t>
        </is>
      </c>
      <c r="C1" s="8" t="inlineStr">
        <is>
          <t>Наименование</t>
        </is>
      </c>
      <c r="D1" s="8" t="inlineStr">
        <is>
          <t>Категория</t>
        </is>
      </c>
      <c r="E1" s="8" t="inlineStr">
        <is>
          <t>Тип</t>
        </is>
      </c>
      <c r="F1" s="8" t="inlineStr">
        <is>
          <t>Остаток_нач</t>
        </is>
      </c>
      <c r="G1" s="8" t="inlineStr">
        <is>
          <t>Выпуск_н1</t>
        </is>
      </c>
      <c r="H1" s="8" t="inlineStr">
        <is>
          <t>Выпуск_н2</t>
        </is>
      </c>
      <c r="I1" s="8" t="inlineStr">
        <is>
          <t>Выпуск_н3</t>
        </is>
      </c>
      <c r="J1" s="8" t="inlineStr">
        <is>
          <t>Выпуск_н4</t>
        </is>
      </c>
      <c r="K1" s="8" t="inlineStr">
        <is>
          <t>Выпуск_н5</t>
        </is>
      </c>
      <c r="L1" s="8" t="inlineStr">
        <is>
          <t>Прг_н1_ФС промо</t>
        </is>
      </c>
      <c r="M1" s="8" t="inlineStr">
        <is>
          <t>Прг_н1_ФС рег</t>
        </is>
      </c>
      <c r="N1" s="8" t="inlineStr">
        <is>
          <t>Прг_н1_РДЦ</t>
        </is>
      </c>
      <c r="O1" s="8" t="inlineStr">
        <is>
          <t>Прг_н1_ФТ</t>
        </is>
      </c>
      <c r="P1" s="8" t="inlineStr">
        <is>
          <t>Прг_н1_ЭК</t>
        </is>
      </c>
      <c r="Q1" s="8" t="inlineStr">
        <is>
          <t>Прг_н1_КПи</t>
        </is>
      </c>
      <c r="R1" s="8" t="inlineStr">
        <is>
          <t>Прг_н1_E-commerce</t>
        </is>
      </c>
      <c r="S1" s="8" t="inlineStr">
        <is>
          <t>Прг_н1_РКП</t>
        </is>
      </c>
      <c r="T1" s="8" t="inlineStr">
        <is>
          <t>Прг_н2_ФС промо</t>
        </is>
      </c>
      <c r="U1" s="8" t="inlineStr">
        <is>
          <t>Прг_н2_ФС рег</t>
        </is>
      </c>
      <c r="V1" s="8" t="inlineStr">
        <is>
          <t>Прг_н2_РДЦ</t>
        </is>
      </c>
      <c r="W1" s="8" t="inlineStr">
        <is>
          <t>Прг_н2_ФТ</t>
        </is>
      </c>
      <c r="X1" s="8" t="inlineStr">
        <is>
          <t>Прг_н2_ЭК</t>
        </is>
      </c>
      <c r="Y1" s="8" t="inlineStr">
        <is>
          <t>Прг_н2_КПи</t>
        </is>
      </c>
      <c r="Z1" s="8" t="inlineStr">
        <is>
          <t>Прг_н2_E-commerce</t>
        </is>
      </c>
      <c r="AA1" s="8" t="inlineStr">
        <is>
          <t>Прг_н2_РКП</t>
        </is>
      </c>
      <c r="AB1" s="8" t="inlineStr">
        <is>
          <t>Прг_н3_ФС промо</t>
        </is>
      </c>
      <c r="AC1" s="8" t="inlineStr">
        <is>
          <t>Прг_н3_ФС рег</t>
        </is>
      </c>
      <c r="AD1" s="8" t="inlineStr">
        <is>
          <t>Прг_н3_РДЦ</t>
        </is>
      </c>
      <c r="AE1" s="8" t="inlineStr">
        <is>
          <t>Прг_н3_ФТ</t>
        </is>
      </c>
      <c r="AF1" s="8" t="inlineStr">
        <is>
          <t>Прг_н3_ЭК</t>
        </is>
      </c>
      <c r="AG1" s="8" t="inlineStr">
        <is>
          <t>Прг_н3_КПи</t>
        </is>
      </c>
      <c r="AH1" s="8" t="inlineStr">
        <is>
          <t>Прг_н3_E-commerce</t>
        </is>
      </c>
      <c r="AI1" s="8" t="inlineStr">
        <is>
          <t>Прг_н3_РКП</t>
        </is>
      </c>
      <c r="AJ1" s="8" t="inlineStr">
        <is>
          <t>Прг_н4_ФС промо</t>
        </is>
      </c>
      <c r="AK1" s="8" t="inlineStr">
        <is>
          <t>Прг_н4_ФС рег</t>
        </is>
      </c>
      <c r="AL1" s="8" t="inlineStr">
        <is>
          <t>Прг_н4_РДЦ</t>
        </is>
      </c>
      <c r="AM1" s="8" t="inlineStr">
        <is>
          <t>Прг_н4_ФТ</t>
        </is>
      </c>
      <c r="AN1" s="8" t="inlineStr">
        <is>
          <t>Прг_н4_ЭК</t>
        </is>
      </c>
      <c r="AO1" s="8" t="inlineStr">
        <is>
          <t>Прг_н4_КПи</t>
        </is>
      </c>
      <c r="AP1" s="8" t="inlineStr">
        <is>
          <t>Прг_н4_E-commerce</t>
        </is>
      </c>
      <c r="AQ1" s="8" t="inlineStr">
        <is>
          <t>Прг_н4_РКП</t>
        </is>
      </c>
      <c r="AR1" s="8" t="inlineStr">
        <is>
          <t>Прг_н5_ФС промо</t>
        </is>
      </c>
      <c r="AS1" s="8" t="inlineStr">
        <is>
          <t>Прг_н5_ФС рег</t>
        </is>
      </c>
      <c r="AT1" s="8" t="inlineStr">
        <is>
          <t>Прг_н5_РДЦ</t>
        </is>
      </c>
      <c r="AU1" s="8" t="inlineStr">
        <is>
          <t>Прг_н5_ФТ</t>
        </is>
      </c>
      <c r="AV1" s="8" t="inlineStr">
        <is>
          <t>Прг_н5_ЭК</t>
        </is>
      </c>
      <c r="AW1" s="8" t="inlineStr">
        <is>
          <t>Прг_н5_КПи</t>
        </is>
      </c>
      <c r="AX1" s="8" t="inlineStr">
        <is>
          <t>Прг_н5_E-commerce</t>
        </is>
      </c>
      <c r="AY1" s="8" t="inlineStr">
        <is>
          <t>Прг_н5_РКП</t>
        </is>
      </c>
    </row>
    <row r="2">
      <c r="A2" s="9" t="n">
        <v>8</v>
      </c>
      <c r="B2" s="9" t="inlineStr">
        <is>
          <t>ЮК207</t>
        </is>
      </c>
      <c r="C2" s="9" t="inlineStr"/>
      <c r="D2" s="9" t="inlineStr">
        <is>
          <t>МУЧНЫЕ</t>
        </is>
      </c>
      <c r="E2" s="9" t="inlineStr">
        <is>
          <t>Федеральный</t>
        </is>
      </c>
      <c r="F2" s="9" t="n">
        <v>63965.8</v>
      </c>
      <c r="G2" s="9" t="n">
        <v>0</v>
      </c>
      <c r="H2" s="9" t="n">
        <v>4367.95</v>
      </c>
      <c r="I2" s="9" t="n">
        <v>14162.16</v>
      </c>
      <c r="J2" s="9" t="n">
        <v>7733.91</v>
      </c>
      <c r="K2" s="9" t="n">
        <v>0</v>
      </c>
      <c r="L2" s="9" t="n">
        <v>3807</v>
      </c>
      <c r="M2" s="9" t="n">
        <v>447.6448806352033</v>
      </c>
      <c r="N2" s="9" t="n">
        <v>1103.983531039211</v>
      </c>
      <c r="O2" s="9" t="n">
        <v>126.44</v>
      </c>
      <c r="P2" s="9" t="n">
        <v>0</v>
      </c>
      <c r="Q2" s="9" t="n">
        <v>1.386938393379725</v>
      </c>
      <c r="R2" s="9" t="n">
        <v>244.5828875635048</v>
      </c>
      <c r="S2" s="9" t="n">
        <v>0</v>
      </c>
      <c r="T2" s="9" t="n">
        <v>6521</v>
      </c>
      <c r="U2" s="9" t="n">
        <v>1134.306829518124</v>
      </c>
      <c r="V2" s="9" t="n">
        <v>2712.389565023651</v>
      </c>
      <c r="W2" s="9" t="n">
        <v>130.94</v>
      </c>
      <c r="X2" s="9" t="n">
        <v>0</v>
      </c>
      <c r="Y2" s="9" t="n">
        <v>3.064698315254136</v>
      </c>
      <c r="Z2" s="9" t="n">
        <v>727.4575111810727</v>
      </c>
      <c r="AA2" s="9" t="n">
        <v>0</v>
      </c>
      <c r="AB2" s="9" t="n">
        <v>9537</v>
      </c>
      <c r="AC2" s="9" t="n">
        <v>1020.508085999942</v>
      </c>
      <c r="AD2" s="9" t="n">
        <v>3658.404344480103</v>
      </c>
      <c r="AE2" s="9" t="n">
        <v>138.54</v>
      </c>
      <c r="AF2" s="9" t="n">
        <v>0</v>
      </c>
      <c r="AG2" s="9" t="n">
        <v>4.564109963138907</v>
      </c>
      <c r="AH2" s="9" t="n">
        <v>566.1604184645324</v>
      </c>
      <c r="AI2" s="9" t="n">
        <v>0</v>
      </c>
      <c r="AJ2" s="9" t="n">
        <v>9949</v>
      </c>
      <c r="AK2" s="9" t="n">
        <v>1004.751167976832</v>
      </c>
      <c r="AL2" s="9" t="n">
        <v>3667.6594029333</v>
      </c>
      <c r="AM2" s="9" t="n">
        <v>129.99</v>
      </c>
      <c r="AN2" s="9" t="n">
        <v>0</v>
      </c>
      <c r="AO2" s="9" t="n">
        <v>4.110254335561889</v>
      </c>
      <c r="AP2" s="9" t="n">
        <v>61.02373639220419</v>
      </c>
      <c r="AQ2" s="9" t="n">
        <v>0</v>
      </c>
      <c r="AR2" s="9" t="n">
        <v>8483.799999999999</v>
      </c>
      <c r="AS2" s="9" t="n">
        <v>937.2169262184583</v>
      </c>
      <c r="AT2" s="9" t="n">
        <v>3581.384523500409</v>
      </c>
      <c r="AU2" s="9" t="n">
        <v>124.29</v>
      </c>
      <c r="AV2" s="9" t="n">
        <v>0</v>
      </c>
      <c r="AW2" s="9" t="n">
        <v>0.6934691966898641</v>
      </c>
      <c r="AX2" s="9" t="n">
        <v>9.042372199040246</v>
      </c>
      <c r="AY2" s="9" t="n">
        <v>0</v>
      </c>
    </row>
    <row r="3">
      <c r="A3" s="9" t="n">
        <v>9</v>
      </c>
      <c r="B3" s="9" t="inlineStr">
        <is>
          <t>ЮК207</t>
        </is>
      </c>
      <c r="C3" s="9" t="inlineStr"/>
      <c r="D3" s="9" t="inlineStr">
        <is>
          <t>МУЧНЫЕ</t>
        </is>
      </c>
      <c r="E3" s="9" t="inlineStr">
        <is>
          <t>Федеральный</t>
        </is>
      </c>
      <c r="F3" s="9" t="n">
        <v>10424.4</v>
      </c>
      <c r="G3" s="9" t="n">
        <v>0</v>
      </c>
      <c r="H3" s="9" t="n">
        <v>3455.58</v>
      </c>
      <c r="I3" s="9" t="n">
        <v>1288.59</v>
      </c>
      <c r="J3" s="9" t="n">
        <v>0</v>
      </c>
      <c r="K3" s="9" t="n">
        <v>0</v>
      </c>
      <c r="L3" s="9" t="n">
        <v>0</v>
      </c>
      <c r="M3" s="9" t="n">
        <v>88.59424339688485</v>
      </c>
      <c r="N3" s="9" t="n">
        <v>255.8279084149946</v>
      </c>
      <c r="O3" s="9" t="n">
        <v>0</v>
      </c>
      <c r="P3" s="9" t="n">
        <v>0</v>
      </c>
      <c r="Q3" s="9" t="n">
        <v>3.886217530859462</v>
      </c>
      <c r="R3" s="9" t="n">
        <v>16.94138725207678</v>
      </c>
      <c r="S3" s="9" t="n">
        <v>0</v>
      </c>
      <c r="T3" s="9" t="n">
        <v>0</v>
      </c>
      <c r="U3" s="9" t="n">
        <v>124.6463254858919</v>
      </c>
      <c r="V3" s="9" t="n">
        <v>923.0962111014468</v>
      </c>
      <c r="W3" s="9" t="n">
        <v>0</v>
      </c>
      <c r="X3" s="9" t="n">
        <v>0</v>
      </c>
      <c r="Y3" s="9" t="n">
        <v>8.587320371536688</v>
      </c>
      <c r="Z3" s="9" t="n">
        <v>49.12709739827638</v>
      </c>
      <c r="AA3" s="9" t="n">
        <v>0</v>
      </c>
      <c r="AB3" s="9" t="n">
        <v>0</v>
      </c>
      <c r="AC3" s="9" t="n">
        <v>179.8651019848459</v>
      </c>
      <c r="AD3" s="9" t="n">
        <v>1330.206952626652</v>
      </c>
      <c r="AE3" s="9" t="n">
        <v>0</v>
      </c>
      <c r="AF3" s="9" t="n">
        <v>0</v>
      </c>
      <c r="AG3" s="9" t="n">
        <v>12.78868927140916</v>
      </c>
      <c r="AH3" s="9" t="n">
        <v>47.1272335200636</v>
      </c>
      <c r="AI3" s="9" t="n">
        <v>0</v>
      </c>
      <c r="AJ3" s="9" t="n">
        <v>0</v>
      </c>
      <c r="AK3" s="9" t="n">
        <v>221.6146472578135</v>
      </c>
      <c r="AL3" s="9" t="n">
        <v>1335.759141565502</v>
      </c>
      <c r="AM3" s="9" t="n">
        <v>0</v>
      </c>
      <c r="AN3" s="9" t="n">
        <v>0</v>
      </c>
      <c r="AO3" s="9" t="n">
        <v>11.51698051722938</v>
      </c>
      <c r="AP3" s="9" t="n">
        <v>29.37571912819948</v>
      </c>
      <c r="AQ3" s="9" t="n">
        <v>0</v>
      </c>
      <c r="AR3" s="9" t="n">
        <v>0</v>
      </c>
      <c r="AS3" s="9" t="n">
        <v>44.29712169844246</v>
      </c>
      <c r="AT3" s="9" t="n">
        <v>1436.0898735175</v>
      </c>
      <c r="AU3" s="9" t="n">
        <v>0</v>
      </c>
      <c r="AV3" s="9" t="n">
        <v>0</v>
      </c>
      <c r="AW3" s="9" t="n">
        <v>1.943108765429735</v>
      </c>
      <c r="AX3" s="9" t="n">
        <v>6.148467856338871</v>
      </c>
      <c r="AY3" s="9" t="n">
        <v>0</v>
      </c>
    </row>
    <row r="4">
      <c r="A4" s="9" t="n">
        <v>10</v>
      </c>
      <c r="B4" s="9" t="inlineStr">
        <is>
          <t>ЮК207</t>
        </is>
      </c>
      <c r="C4" s="9" t="inlineStr"/>
      <c r="D4" s="9" t="inlineStr">
        <is>
          <t>МУЧНЫЕ</t>
        </is>
      </c>
      <c r="E4" s="9" t="inlineStr">
        <is>
          <t>Федеральный</t>
        </is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  <c r="AN4" s="9" t="n">
        <v>0</v>
      </c>
      <c r="AO4" s="9" t="n">
        <v>0</v>
      </c>
      <c r="AP4" s="9" t="n">
        <v>0</v>
      </c>
      <c r="AQ4" s="9" t="n">
        <v>0</v>
      </c>
      <c r="AR4" s="9" t="n">
        <v>0</v>
      </c>
      <c r="AS4" s="9" t="n">
        <v>0</v>
      </c>
      <c r="AT4" s="9" t="n">
        <v>0</v>
      </c>
      <c r="AU4" s="9" t="n">
        <v>0</v>
      </c>
      <c r="AV4" s="9" t="n">
        <v>0</v>
      </c>
      <c r="AW4" s="9" t="n">
        <v>0</v>
      </c>
      <c r="AX4" s="9" t="n">
        <v>0</v>
      </c>
      <c r="AY4" s="9" t="n">
        <v>0</v>
      </c>
    </row>
    <row r="5">
      <c r="A5" s="9" t="n">
        <v>11</v>
      </c>
      <c r="B5" s="9" t="inlineStr">
        <is>
          <t>ЮК218</t>
        </is>
      </c>
      <c r="C5" s="9" t="inlineStr"/>
      <c r="D5" s="9" t="inlineStr">
        <is>
          <t>МУЧНЫЕ</t>
        </is>
      </c>
      <c r="E5" s="9" t="inlineStr">
        <is>
          <t>Локальный</t>
        </is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s="9" t="n">
        <v>0</v>
      </c>
      <c r="AS5" s="9" t="n">
        <v>0</v>
      </c>
      <c r="AT5" s="9" t="n">
        <v>0</v>
      </c>
      <c r="AU5" s="9" t="n">
        <v>0</v>
      </c>
      <c r="AV5" s="9" t="n">
        <v>0</v>
      </c>
      <c r="AW5" s="9" t="n">
        <v>0</v>
      </c>
      <c r="AX5" s="9" t="n">
        <v>0</v>
      </c>
      <c r="AY5" s="9" t="n">
        <v>0</v>
      </c>
    </row>
    <row r="6">
      <c r="A6" s="9" t="n">
        <v>12</v>
      </c>
      <c r="B6" s="9" t="inlineStr">
        <is>
          <t>ЮК207</t>
        </is>
      </c>
      <c r="C6" s="9" t="inlineStr"/>
      <c r="D6" s="9" t="inlineStr">
        <is>
          <t>МУЧНЫЕ</t>
        </is>
      </c>
      <c r="E6" s="9" t="inlineStr">
        <is>
          <t>Федеральный</t>
        </is>
      </c>
      <c r="F6" s="9" t="n">
        <v>9897.6</v>
      </c>
      <c r="G6" s="9" t="n">
        <v>0</v>
      </c>
      <c r="H6" s="9" t="n">
        <v>2064.185</v>
      </c>
      <c r="I6" s="9" t="n">
        <v>1524.29</v>
      </c>
      <c r="J6" s="9" t="n">
        <v>0</v>
      </c>
      <c r="K6" s="9" t="n">
        <v>0</v>
      </c>
      <c r="L6" s="9" t="n">
        <v>0</v>
      </c>
      <c r="M6" s="9" t="n">
        <v>15.27218450490263</v>
      </c>
      <c r="N6" s="9" t="n">
        <v>411.3275396746427</v>
      </c>
      <c r="O6" s="9" t="n">
        <v>15.36</v>
      </c>
      <c r="P6" s="9" t="n">
        <v>0</v>
      </c>
      <c r="Q6" s="9" t="n">
        <v>2.947198985225834</v>
      </c>
      <c r="R6" s="9" t="n">
        <v>18.27736327629283</v>
      </c>
      <c r="S6" s="9" t="n">
        <v>0</v>
      </c>
      <c r="T6" s="9" t="n">
        <v>0</v>
      </c>
      <c r="U6" s="9" t="n">
        <v>38.6988524497148</v>
      </c>
      <c r="V6" s="9" t="n">
        <v>1061.070975563705</v>
      </c>
      <c r="W6" s="9" t="n">
        <v>15.36</v>
      </c>
      <c r="X6" s="9" t="n">
        <v>0</v>
      </c>
      <c r="Y6" s="9" t="n">
        <v>6.512384261517371</v>
      </c>
      <c r="Z6" s="9" t="n">
        <v>48.42553616291565</v>
      </c>
      <c r="AA6" s="9" t="n">
        <v>0</v>
      </c>
      <c r="AB6" s="9" t="n">
        <v>0</v>
      </c>
      <c r="AC6" s="9" t="n">
        <v>34.81641017768516</v>
      </c>
      <c r="AD6" s="9" t="n">
        <v>1390.550460841652</v>
      </c>
      <c r="AE6" s="9" t="n">
        <v>15.36</v>
      </c>
      <c r="AF6" s="9" t="n">
        <v>0</v>
      </c>
      <c r="AG6" s="9" t="n">
        <v>9.698585255141397</v>
      </c>
      <c r="AH6" s="9" t="n">
        <v>48.95144899466418</v>
      </c>
      <c r="AI6" s="9" t="n">
        <v>0</v>
      </c>
      <c r="AJ6" s="9" t="n">
        <v>0</v>
      </c>
      <c r="AK6" s="9" t="n">
        <v>37.17872695903549</v>
      </c>
      <c r="AL6" s="9" t="n">
        <v>1411.219305801959</v>
      </c>
      <c r="AM6" s="9" t="n">
        <v>15.36</v>
      </c>
      <c r="AN6" s="9" t="n">
        <v>0</v>
      </c>
      <c r="AO6" s="9" t="n">
        <v>8.734156805097182</v>
      </c>
      <c r="AP6" s="9" t="n">
        <v>25.73717946940918</v>
      </c>
      <c r="AQ6" s="9" t="n">
        <v>0</v>
      </c>
      <c r="AR6" s="9" t="n">
        <v>0</v>
      </c>
      <c r="AS6" s="9" t="n">
        <v>34.67976282269525</v>
      </c>
      <c r="AT6" s="9" t="n">
        <v>1275.708285526081</v>
      </c>
      <c r="AU6" s="9" t="n">
        <v>15.36</v>
      </c>
      <c r="AV6" s="9" t="n">
        <v>0</v>
      </c>
      <c r="AW6" s="9" t="n">
        <v>1.47359949261292</v>
      </c>
      <c r="AX6" s="9" t="n">
        <v>1.147903714453623</v>
      </c>
      <c r="AY6" s="9" t="n">
        <v>0</v>
      </c>
    </row>
    <row r="7">
      <c r="A7" s="9" t="n">
        <v>13</v>
      </c>
      <c r="B7" s="9" t="inlineStr">
        <is>
          <t>ЮК207</t>
        </is>
      </c>
      <c r="C7" s="9" t="inlineStr"/>
      <c r="D7" s="9" t="inlineStr">
        <is>
          <t>МУЧНЫЕ</t>
        </is>
      </c>
      <c r="E7" s="9" t="inlineStr">
        <is>
          <t>Федеральный</t>
        </is>
      </c>
      <c r="F7" s="9" t="n">
        <v>7715.6</v>
      </c>
      <c r="G7" s="9" t="n">
        <v>5000</v>
      </c>
      <c r="H7" s="9" t="n">
        <v>2070.2</v>
      </c>
      <c r="I7" s="9" t="n">
        <v>7.24</v>
      </c>
      <c r="J7" s="9" t="n">
        <v>8.59</v>
      </c>
      <c r="K7" s="9" t="n">
        <v>0</v>
      </c>
      <c r="L7" s="9" t="n">
        <v>0</v>
      </c>
      <c r="M7" s="9" t="n">
        <v>0</v>
      </c>
      <c r="N7" s="9" t="n">
        <v>43.67080723145867</v>
      </c>
      <c r="O7" s="9" t="n">
        <v>20</v>
      </c>
      <c r="P7" s="9" t="n">
        <v>0</v>
      </c>
      <c r="Q7" s="9" t="n">
        <v>0.7222364466641173</v>
      </c>
      <c r="R7" s="9" t="n">
        <v>3.626893054483391</v>
      </c>
      <c r="S7" s="9" t="n">
        <v>0</v>
      </c>
      <c r="T7" s="9" t="n">
        <v>0</v>
      </c>
      <c r="U7" s="9" t="n">
        <v>0</v>
      </c>
      <c r="V7" s="9" t="n">
        <v>150.584031865488</v>
      </c>
      <c r="W7" s="9" t="n">
        <v>38</v>
      </c>
      <c r="X7" s="9" t="n">
        <v>0</v>
      </c>
      <c r="Y7" s="9" t="n">
        <v>1.595915746418193</v>
      </c>
      <c r="Z7" s="9" t="n">
        <v>9.417510513122394</v>
      </c>
      <c r="AA7" s="9" t="n">
        <v>0</v>
      </c>
      <c r="AB7" s="9" t="n">
        <v>0</v>
      </c>
      <c r="AC7" s="9" t="n">
        <v>0</v>
      </c>
      <c r="AD7" s="9" t="n">
        <v>209.9127711491398</v>
      </c>
      <c r="AE7" s="9" t="n">
        <v>68.40000000000001</v>
      </c>
      <c r="AF7" s="9" t="n">
        <v>0</v>
      </c>
      <c r="AG7" s="9" t="n">
        <v>2.376721689799842</v>
      </c>
      <c r="AH7" s="9" t="n">
        <v>9.519786915500582</v>
      </c>
      <c r="AI7" s="9" t="n">
        <v>0</v>
      </c>
      <c r="AJ7" s="9" t="n">
        <v>0</v>
      </c>
      <c r="AK7" s="9" t="n">
        <v>0</v>
      </c>
      <c r="AL7" s="9" t="n">
        <v>207.9033075317633</v>
      </c>
      <c r="AM7" s="9" t="n">
        <v>34.2</v>
      </c>
      <c r="AN7" s="9" t="n">
        <v>0</v>
      </c>
      <c r="AO7" s="9" t="n">
        <v>2.140380207492925</v>
      </c>
      <c r="AP7" s="9" t="n">
        <v>4.571615584369789</v>
      </c>
      <c r="AQ7" s="9" t="n">
        <v>0</v>
      </c>
      <c r="AR7" s="9" t="n">
        <v>0</v>
      </c>
      <c r="AS7" s="9" t="n">
        <v>0</v>
      </c>
      <c r="AT7" s="9" t="n">
        <v>154.1688177634025</v>
      </c>
      <c r="AU7" s="9" t="n">
        <v>11.4</v>
      </c>
      <c r="AV7" s="9" t="n">
        <v>0</v>
      </c>
      <c r="AW7" s="9" t="n">
        <v>0.3611182233320593</v>
      </c>
      <c r="AX7" s="9" t="n">
        <v>0</v>
      </c>
      <c r="AY7" s="9" t="n">
        <v>0</v>
      </c>
    </row>
    <row r="8">
      <c r="A8" s="9" t="n">
        <v>14</v>
      </c>
      <c r="B8" s="9" t="inlineStr">
        <is>
          <t>ЮК207</t>
        </is>
      </c>
      <c r="C8" s="9" t="inlineStr"/>
      <c r="D8" s="9" t="inlineStr">
        <is>
          <t>МУЧНЫЕ</t>
        </is>
      </c>
      <c r="E8" s="9" t="inlineStr">
        <is>
          <t>Федеральный</t>
        </is>
      </c>
      <c r="F8" s="9" t="n">
        <v>83.16</v>
      </c>
      <c r="G8" s="9" t="n">
        <v>0</v>
      </c>
      <c r="H8" s="9" t="n">
        <v>237.86</v>
      </c>
      <c r="I8" s="9" t="n">
        <v>104.07</v>
      </c>
      <c r="J8" s="9" t="n">
        <v>76.58</v>
      </c>
      <c r="K8" s="9" t="n">
        <v>0</v>
      </c>
      <c r="L8" s="9" t="n">
        <v>49</v>
      </c>
      <c r="M8" s="9" t="n">
        <v>0</v>
      </c>
      <c r="N8" s="9" t="n">
        <v>7.889890743886544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84</v>
      </c>
      <c r="U8" s="9" t="n">
        <v>0</v>
      </c>
      <c r="V8" s="9" t="n">
        <v>26.02137489850752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84</v>
      </c>
      <c r="AC8" s="9" t="n">
        <v>0</v>
      </c>
      <c r="AD8" s="9" t="n">
        <v>22.28869588846693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84</v>
      </c>
      <c r="AK8" s="9" t="n">
        <v>0</v>
      </c>
      <c r="AL8" s="9" t="n">
        <v>22.40779993921886</v>
      </c>
      <c r="AM8" s="9" t="n">
        <v>0</v>
      </c>
      <c r="AN8" s="9" t="n">
        <v>0</v>
      </c>
      <c r="AO8" s="9" t="n">
        <v>0</v>
      </c>
      <c r="AP8" s="9" t="n">
        <v>0</v>
      </c>
      <c r="AQ8" s="9" t="n">
        <v>0</v>
      </c>
      <c r="AR8" s="9" t="n">
        <v>156</v>
      </c>
      <c r="AS8" s="9" t="n">
        <v>0</v>
      </c>
      <c r="AT8" s="9" t="n">
        <v>23.50141818450523</v>
      </c>
      <c r="AU8" s="9" t="n">
        <v>0</v>
      </c>
      <c r="AV8" s="9" t="n">
        <v>0</v>
      </c>
      <c r="AW8" s="9" t="n">
        <v>0</v>
      </c>
      <c r="AX8" s="9" t="n">
        <v>0</v>
      </c>
      <c r="AY8" s="9" t="n">
        <v>0</v>
      </c>
    </row>
    <row r="9">
      <c r="A9" s="9" t="n">
        <v>15</v>
      </c>
      <c r="B9" s="9" t="inlineStr">
        <is>
          <t>ЮК207</t>
        </is>
      </c>
      <c r="C9" s="9" t="inlineStr"/>
      <c r="D9" s="9" t="inlineStr">
        <is>
          <t>МУЧНЫЕ</t>
        </is>
      </c>
      <c r="E9" s="9" t="inlineStr">
        <is>
          <t>Федеральный</t>
        </is>
      </c>
      <c r="F9" s="9" t="n">
        <v>4176.240000000001</v>
      </c>
      <c r="G9" s="9" t="n">
        <v>0</v>
      </c>
      <c r="H9" s="9" t="n">
        <v>1958.47</v>
      </c>
      <c r="I9" s="9" t="n">
        <v>1935.79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75.99615826869345</v>
      </c>
      <c r="O9" s="9" t="n">
        <v>0</v>
      </c>
      <c r="P9" s="9" t="n">
        <v>0</v>
      </c>
      <c r="Q9" s="9" t="n">
        <v>1.309401654891113</v>
      </c>
      <c r="R9" s="9" t="n">
        <v>7.253786108966781</v>
      </c>
      <c r="S9" s="9" t="n">
        <v>0</v>
      </c>
      <c r="T9" s="9" t="n">
        <v>0</v>
      </c>
      <c r="U9" s="9" t="n">
        <v>0</v>
      </c>
      <c r="V9" s="9" t="n">
        <v>210.4921074364006</v>
      </c>
      <c r="W9" s="9" t="n">
        <v>0</v>
      </c>
      <c r="X9" s="9" t="n">
        <v>0</v>
      </c>
      <c r="Y9" s="9" t="n">
        <v>2.893366471712552</v>
      </c>
      <c r="Z9" s="9" t="n">
        <v>18.83502102624479</v>
      </c>
      <c r="AA9" s="9" t="n">
        <v>0</v>
      </c>
      <c r="AB9" s="9" t="n">
        <v>0</v>
      </c>
      <c r="AC9" s="9" t="n">
        <v>0</v>
      </c>
      <c r="AD9" s="9" t="n">
        <v>289.9748713629888</v>
      </c>
      <c r="AE9" s="9" t="n">
        <v>0</v>
      </c>
      <c r="AF9" s="9" t="n">
        <v>0</v>
      </c>
      <c r="AG9" s="9" t="n">
        <v>4.308953568064419</v>
      </c>
      <c r="AH9" s="9" t="n">
        <v>19.03957383100116</v>
      </c>
      <c r="AI9" s="9" t="n">
        <v>0</v>
      </c>
      <c r="AJ9" s="9" t="n">
        <v>0</v>
      </c>
      <c r="AK9" s="9" t="n">
        <v>0</v>
      </c>
      <c r="AL9" s="9" t="n">
        <v>292.6936133073788</v>
      </c>
      <c r="AM9" s="9" t="n">
        <v>0</v>
      </c>
      <c r="AN9" s="9" t="n">
        <v>0</v>
      </c>
      <c r="AO9" s="9" t="n">
        <v>3.880470722202147</v>
      </c>
      <c r="AP9" s="9" t="n">
        <v>9.143231168739577</v>
      </c>
      <c r="AQ9" s="9" t="n">
        <v>0</v>
      </c>
      <c r="AR9" s="9" t="n">
        <v>0</v>
      </c>
      <c r="AS9" s="9" t="n">
        <v>0</v>
      </c>
      <c r="AT9" s="9" t="n">
        <v>212.8508232487645</v>
      </c>
      <c r="AU9" s="9" t="n">
        <v>0</v>
      </c>
      <c r="AV9" s="9" t="n">
        <v>0</v>
      </c>
      <c r="AW9" s="9" t="n">
        <v>0.6547008274455577</v>
      </c>
      <c r="AX9" s="9" t="n">
        <v>0</v>
      </c>
      <c r="AY9" s="9" t="n">
        <v>0</v>
      </c>
    </row>
    <row r="10">
      <c r="A10" s="9" t="n">
        <v>16</v>
      </c>
      <c r="B10" s="9" t="inlineStr">
        <is>
          <t>ЮК207</t>
        </is>
      </c>
      <c r="C10" s="9" t="inlineStr"/>
      <c r="D10" s="9" t="inlineStr">
        <is>
          <t>МУЧНЫЕ</t>
        </is>
      </c>
      <c r="E10" s="9" t="inlineStr">
        <is>
          <t>Федеральный</t>
        </is>
      </c>
      <c r="F10" s="9" t="n">
        <v>10719</v>
      </c>
      <c r="G10" s="9" t="n">
        <v>0</v>
      </c>
      <c r="H10" s="9" t="n">
        <v>79</v>
      </c>
      <c r="I10" s="9" t="n">
        <v>0</v>
      </c>
      <c r="J10" s="9" t="n">
        <v>0</v>
      </c>
      <c r="K10" s="9" t="n">
        <v>0</v>
      </c>
      <c r="L10" s="9" t="n">
        <v>95</v>
      </c>
      <c r="M10" s="9" t="n">
        <v>91.96880765732098</v>
      </c>
      <c r="N10" s="9" t="n">
        <v>754.6361565047398</v>
      </c>
      <c r="O10" s="9" t="n">
        <v>59.23999999999999</v>
      </c>
      <c r="P10" s="9" t="n">
        <v>0</v>
      </c>
      <c r="Q10" s="9" t="n">
        <v>8.16399714047494</v>
      </c>
      <c r="R10" s="9" t="n">
        <v>2.974199772410937</v>
      </c>
      <c r="S10" s="9" t="n">
        <v>0</v>
      </c>
      <c r="T10" s="9" t="n">
        <v>166</v>
      </c>
      <c r="U10" s="9" t="n">
        <v>233.0437611177588</v>
      </c>
      <c r="V10" s="9" t="n">
        <v>1995.701053335346</v>
      </c>
      <c r="W10" s="9" t="n">
        <v>63.73999999999999</v>
      </c>
      <c r="X10" s="9" t="n">
        <v>0</v>
      </c>
      <c r="Y10" s="9" t="n">
        <v>18.03986997662046</v>
      </c>
      <c r="Z10" s="9" t="n">
        <v>9.65342691528434</v>
      </c>
      <c r="AA10" s="9" t="n">
        <v>0</v>
      </c>
      <c r="AB10" s="9" t="n">
        <v>166</v>
      </c>
      <c r="AC10" s="9" t="n">
        <v>209.6637668253691</v>
      </c>
      <c r="AD10" s="9" t="n">
        <v>2662.919013799374</v>
      </c>
      <c r="AE10" s="9" t="n">
        <v>71.34</v>
      </c>
      <c r="AF10" s="9" t="n">
        <v>0</v>
      </c>
      <c r="AG10" s="9" t="n">
        <v>26.86592343664218</v>
      </c>
      <c r="AH10" s="9" t="n">
        <v>7.80661234068712</v>
      </c>
      <c r="AI10" s="9" t="n">
        <v>0</v>
      </c>
      <c r="AJ10" s="9" t="n">
        <v>717</v>
      </c>
      <c r="AK10" s="9" t="n">
        <v>165.7733830893443</v>
      </c>
      <c r="AL10" s="9" t="n">
        <v>2703.054091993974</v>
      </c>
      <c r="AM10" s="9" t="n">
        <v>62.78999999999999</v>
      </c>
      <c r="AN10" s="9" t="n">
        <v>0</v>
      </c>
      <c r="AO10" s="9" t="n">
        <v>24.19437287360807</v>
      </c>
      <c r="AP10" s="9" t="n">
        <v>5.623365988325085</v>
      </c>
      <c r="AQ10" s="9" t="n">
        <v>0</v>
      </c>
      <c r="AR10" s="9" t="n">
        <v>2081</v>
      </c>
      <c r="AS10" s="9" t="n">
        <v>154.6309429633952</v>
      </c>
      <c r="AT10" s="9" t="n">
        <v>2676.155928379485</v>
      </c>
      <c r="AU10" s="9" t="n">
        <v>57.09</v>
      </c>
      <c r="AV10" s="9" t="n">
        <v>0</v>
      </c>
      <c r="AW10" s="9" t="n">
        <v>4.081998570237477</v>
      </c>
      <c r="AX10" s="9" t="n">
        <v>1.528013446690472</v>
      </c>
      <c r="AY10" s="9" t="n">
        <v>0</v>
      </c>
    </row>
    <row r="11">
      <c r="A11" s="9" t="n">
        <v>17</v>
      </c>
      <c r="B11" s="9" t="inlineStr">
        <is>
          <t>ЮК207</t>
        </is>
      </c>
      <c r="C11" s="9" t="inlineStr"/>
      <c r="D11" s="9" t="inlineStr">
        <is>
          <t>МУЧНЫЕ</t>
        </is>
      </c>
      <c r="E11" s="9" t="inlineStr">
        <is>
          <t>Федеральный</t>
        </is>
      </c>
      <c r="F11" s="9" t="n">
        <v>9491.475</v>
      </c>
      <c r="G11" s="9" t="n">
        <v>0</v>
      </c>
      <c r="H11" s="9" t="n">
        <v>1958.47</v>
      </c>
      <c r="I11" s="9" t="n">
        <v>1935.79</v>
      </c>
      <c r="J11" s="9" t="n">
        <v>0</v>
      </c>
      <c r="K11" s="9" t="n">
        <v>0</v>
      </c>
      <c r="L11" s="9" t="n">
        <v>240</v>
      </c>
      <c r="M11" s="9" t="n">
        <v>31.1850025348717</v>
      </c>
      <c r="N11" s="9" t="n">
        <v>649.9367267781828</v>
      </c>
      <c r="O11" s="9" t="n">
        <v>91.56</v>
      </c>
      <c r="P11" s="9" t="n">
        <v>0</v>
      </c>
      <c r="Q11" s="9" t="n">
        <v>1.126236205203774</v>
      </c>
      <c r="R11" s="9" t="n">
        <v>92.34385120390475</v>
      </c>
      <c r="S11" s="9" t="n">
        <v>0</v>
      </c>
      <c r="T11" s="9" t="n">
        <v>257</v>
      </c>
      <c r="U11" s="9" t="n">
        <v>79.0210340474587</v>
      </c>
      <c r="V11" s="9" t="n">
        <v>1427.738284963421</v>
      </c>
      <c r="W11" s="9" t="n">
        <v>91.56</v>
      </c>
      <c r="X11" s="9" t="n">
        <v>0</v>
      </c>
      <c r="Y11" s="9" t="n">
        <v>2.488628346537683</v>
      </c>
      <c r="Z11" s="9" t="n">
        <v>216.5507010875632</v>
      </c>
      <c r="AA11" s="9" t="n">
        <v>0</v>
      </c>
      <c r="AB11" s="9" t="n">
        <v>81</v>
      </c>
      <c r="AC11" s="9" t="n">
        <v>71.09328984977233</v>
      </c>
      <c r="AD11" s="9" t="n">
        <v>1895.527458205505</v>
      </c>
      <c r="AE11" s="9" t="n">
        <v>91.56</v>
      </c>
      <c r="AF11" s="9" t="n">
        <v>0</v>
      </c>
      <c r="AG11" s="9" t="n">
        <v>3.706196259007851</v>
      </c>
      <c r="AH11" s="9" t="n">
        <v>213.7575280145249</v>
      </c>
      <c r="AI11" s="9" t="n">
        <v>0</v>
      </c>
      <c r="AJ11" s="9" t="n">
        <v>40</v>
      </c>
      <c r="AK11" s="9" t="n">
        <v>75.91701724718108</v>
      </c>
      <c r="AL11" s="9" t="n">
        <v>1876.976487685311</v>
      </c>
      <c r="AM11" s="9" t="n">
        <v>91.56</v>
      </c>
      <c r="AN11" s="9" t="n">
        <v>0</v>
      </c>
      <c r="AO11" s="9" t="n">
        <v>3.337651670327789</v>
      </c>
      <c r="AP11" s="9" t="n">
        <v>19.60043861458417</v>
      </c>
      <c r="AQ11" s="9" t="n">
        <v>0</v>
      </c>
      <c r="AR11" s="9" t="n">
        <v>37</v>
      </c>
      <c r="AS11" s="9" t="n">
        <v>70.81426309296648</v>
      </c>
      <c r="AT11" s="9" t="n">
        <v>1645.52281112104</v>
      </c>
      <c r="AU11" s="9" t="n">
        <v>91.56</v>
      </c>
      <c r="AV11" s="9" t="n">
        <v>0</v>
      </c>
      <c r="AW11" s="9" t="n">
        <v>0.563118102601888</v>
      </c>
      <c r="AX11" s="9" t="n">
        <v>2.608575403309871</v>
      </c>
      <c r="AY11" s="9" t="n">
        <v>0</v>
      </c>
    </row>
    <row r="12">
      <c r="A12" s="9" t="n">
        <v>18</v>
      </c>
      <c r="B12" s="9" t="inlineStr">
        <is>
          <t>ЮК207</t>
        </is>
      </c>
      <c r="C12" s="9" t="inlineStr"/>
      <c r="D12" s="9" t="inlineStr">
        <is>
          <t>МУЧНЫЕ</t>
        </is>
      </c>
      <c r="E12" s="9" t="inlineStr">
        <is>
          <t>Федеральный</t>
        </is>
      </c>
      <c r="F12" s="9" t="n">
        <v>8636.65</v>
      </c>
      <c r="G12" s="9" t="n">
        <v>5900</v>
      </c>
      <c r="H12" s="9" t="n">
        <v>7030.34</v>
      </c>
      <c r="I12" s="9" t="n">
        <v>2324.42</v>
      </c>
      <c r="J12" s="9" t="n">
        <v>0</v>
      </c>
      <c r="K12" s="9" t="n">
        <v>0</v>
      </c>
      <c r="L12" s="9" t="n">
        <v>19</v>
      </c>
      <c r="M12" s="9" t="n">
        <v>0</v>
      </c>
      <c r="N12" s="9" t="n">
        <v>881.3721937593409</v>
      </c>
      <c r="O12" s="9" t="n">
        <v>91.14</v>
      </c>
      <c r="P12" s="9" t="n">
        <v>0</v>
      </c>
      <c r="Q12" s="9" t="n">
        <v>1.344306129128153</v>
      </c>
      <c r="R12" s="9" t="n">
        <v>151.1341444650626</v>
      </c>
      <c r="S12" s="9" t="n">
        <v>0</v>
      </c>
      <c r="T12" s="9" t="n">
        <v>33</v>
      </c>
      <c r="U12" s="9" t="n">
        <v>0</v>
      </c>
      <c r="V12" s="9" t="n">
        <v>1958.572245383936</v>
      </c>
      <c r="W12" s="9" t="n">
        <v>91.14</v>
      </c>
      <c r="X12" s="9" t="n">
        <v>0</v>
      </c>
      <c r="Y12" s="9" t="n">
        <v>2.970494398879105</v>
      </c>
      <c r="Z12" s="9" t="n">
        <v>326.073496623115</v>
      </c>
      <c r="AA12" s="9" t="n">
        <v>0</v>
      </c>
      <c r="AB12" s="9" t="n">
        <v>33</v>
      </c>
      <c r="AC12" s="9" t="n">
        <v>72.11848775756593</v>
      </c>
      <c r="AD12" s="9" t="n">
        <v>2376.947132541366</v>
      </c>
      <c r="AE12" s="9" t="n">
        <v>91.14</v>
      </c>
      <c r="AF12" s="9" t="n">
        <v>0</v>
      </c>
      <c r="AG12" s="9" t="n">
        <v>4.423816534857915</v>
      </c>
      <c r="AH12" s="9" t="n">
        <v>349.8452869169031</v>
      </c>
      <c r="AI12" s="9" t="n">
        <v>0</v>
      </c>
      <c r="AJ12" s="9" t="n">
        <v>79</v>
      </c>
      <c r="AK12" s="9" t="n">
        <v>0</v>
      </c>
      <c r="AL12" s="9" t="n">
        <v>2368.313181666045</v>
      </c>
      <c r="AM12" s="9" t="n">
        <v>91.14</v>
      </c>
      <c r="AN12" s="9" t="n">
        <v>0</v>
      </c>
      <c r="AO12" s="9" t="n">
        <v>3.983911702167883</v>
      </c>
      <c r="AP12" s="9" t="n">
        <v>27.43154127927651</v>
      </c>
      <c r="AQ12" s="9" t="n">
        <v>0</v>
      </c>
      <c r="AR12" s="9" t="n">
        <v>131</v>
      </c>
      <c r="AS12" s="9" t="n">
        <v>0</v>
      </c>
      <c r="AT12" s="9" t="n">
        <v>1940.846873155156</v>
      </c>
      <c r="AU12" s="9" t="n">
        <v>91.14</v>
      </c>
      <c r="AV12" s="9" t="n">
        <v>0</v>
      </c>
      <c r="AW12" s="9" t="n">
        <v>0.6721530645640778</v>
      </c>
      <c r="AX12" s="9" t="n">
        <v>3.502994769303609</v>
      </c>
      <c r="AY12" s="9" t="n">
        <v>0</v>
      </c>
    </row>
    <row r="13">
      <c r="A13" s="9" t="n">
        <v>19</v>
      </c>
      <c r="B13" s="9" t="inlineStr">
        <is>
          <t>СБ105</t>
        </is>
      </c>
      <c r="C13" s="9" t="inlineStr"/>
      <c r="D13" s="9" t="inlineStr">
        <is>
          <t>МУЧНЫЕ</t>
        </is>
      </c>
      <c r="E13" s="9" t="inlineStr">
        <is>
          <t>Федеральный</t>
        </is>
      </c>
      <c r="F13" s="9" t="n">
        <v>39333.75</v>
      </c>
      <c r="G13" s="9" t="n">
        <v>0</v>
      </c>
      <c r="H13" s="9" t="n">
        <v>31553.79</v>
      </c>
      <c r="I13" s="9" t="n">
        <v>23061.51</v>
      </c>
      <c r="J13" s="9" t="n">
        <v>21060.55</v>
      </c>
      <c r="K13" s="9" t="n">
        <v>10974.44</v>
      </c>
      <c r="L13" s="9" t="n">
        <v>17210</v>
      </c>
      <c r="M13" s="9" t="n">
        <v>246.6778751806396</v>
      </c>
      <c r="N13" s="9" t="n">
        <v>1966.210447074619</v>
      </c>
      <c r="O13" s="9" t="n">
        <v>181.6</v>
      </c>
      <c r="P13" s="9" t="n">
        <v>0</v>
      </c>
      <c r="Q13" s="9" t="n">
        <v>5.649712090701348</v>
      </c>
      <c r="R13" s="9" t="n">
        <v>479.893227720956</v>
      </c>
      <c r="S13" s="9" t="n">
        <v>0.2636646304638265</v>
      </c>
      <c r="T13" s="9" t="n">
        <v>7946.5</v>
      </c>
      <c r="U13" s="9" t="n">
        <v>586.719207899038</v>
      </c>
      <c r="V13" s="9" t="n">
        <v>5188.293382763349</v>
      </c>
      <c r="W13" s="9" t="n">
        <v>190.6</v>
      </c>
      <c r="X13" s="9" t="n">
        <v>0</v>
      </c>
      <c r="Y13" s="9" t="n">
        <v>12.4840895664086</v>
      </c>
      <c r="Z13" s="9" t="n">
        <v>1572.554615969037</v>
      </c>
      <c r="AA13" s="9" t="n">
        <v>0.5273292609276535</v>
      </c>
      <c r="AB13" s="9" t="n">
        <v>7358.5</v>
      </c>
      <c r="AC13" s="9" t="n">
        <v>530.3650201206792</v>
      </c>
      <c r="AD13" s="9" t="n">
        <v>6256.564213925154</v>
      </c>
      <c r="AE13" s="9" t="n">
        <v>205.8</v>
      </c>
      <c r="AF13" s="9" t="n">
        <v>0</v>
      </c>
      <c r="AG13" s="9" t="n">
        <v>18.59196296325797</v>
      </c>
      <c r="AH13" s="9" t="n">
        <v>1221.627172256966</v>
      </c>
      <c r="AI13" s="9" t="n">
        <v>0.8437268174842465</v>
      </c>
      <c r="AJ13" s="9" t="n">
        <v>7938.5</v>
      </c>
      <c r="AK13" s="9" t="n">
        <v>563.6373160638353</v>
      </c>
      <c r="AL13" s="9" t="n">
        <v>6322.390134124098</v>
      </c>
      <c r="AM13" s="9" t="n">
        <v>188.7</v>
      </c>
      <c r="AN13" s="9" t="n">
        <v>0</v>
      </c>
      <c r="AO13" s="9" t="n">
        <v>16.74317599565061</v>
      </c>
      <c r="AP13" s="9" t="n">
        <v>636.7975747101681</v>
      </c>
      <c r="AQ13" s="9" t="n">
        <v>1.171124471669247</v>
      </c>
      <c r="AR13" s="9" t="n">
        <v>8628</v>
      </c>
      <c r="AS13" s="9" t="n">
        <v>522.8099892948487</v>
      </c>
      <c r="AT13" s="9" t="n">
        <v>6417.176799549453</v>
      </c>
      <c r="AU13" s="9" t="n">
        <v>177.3</v>
      </c>
      <c r="AV13" s="9" t="n">
        <v>0</v>
      </c>
      <c r="AW13" s="9" t="n">
        <v>2.824856045350679</v>
      </c>
      <c r="AX13" s="9" t="n">
        <v>97.43454846915454</v>
      </c>
      <c r="AY13" s="9" t="n">
        <v>0.527329260927654</v>
      </c>
    </row>
    <row r="14">
      <c r="A14" s="9" t="n">
        <v>20</v>
      </c>
      <c r="B14" s="9" t="inlineStr">
        <is>
          <t>ОК157</t>
        </is>
      </c>
      <c r="C14" s="9" t="inlineStr"/>
      <c r="D14" s="9" t="inlineStr">
        <is>
          <t>МУЧНЫЕ</t>
        </is>
      </c>
      <c r="E14" s="9" t="inlineStr">
        <is>
          <t>Локальный</t>
        </is>
      </c>
      <c r="F14" s="9" t="n">
        <v>133624.202</v>
      </c>
      <c r="G14" s="9" t="n">
        <v>34000</v>
      </c>
      <c r="H14" s="9" t="n">
        <v>131524</v>
      </c>
      <c r="I14" s="9" t="n">
        <v>116276</v>
      </c>
      <c r="J14" s="9" t="n">
        <v>32372.5</v>
      </c>
      <c r="K14" s="9" t="n">
        <v>2048.7</v>
      </c>
      <c r="L14" s="9" t="n">
        <v>0</v>
      </c>
      <c r="M14" s="9" t="n">
        <v>0</v>
      </c>
      <c r="N14" s="9" t="n">
        <v>289.1777523459493</v>
      </c>
      <c r="O14" s="9" t="n">
        <v>116</v>
      </c>
      <c r="P14" s="9" t="n">
        <v>0</v>
      </c>
      <c r="Q14" s="9" t="n">
        <v>0</v>
      </c>
      <c r="R14" s="9" t="n">
        <v>0</v>
      </c>
      <c r="S14" s="9" t="n">
        <v>25114.91694405154</v>
      </c>
      <c r="T14" s="9" t="n">
        <v>0</v>
      </c>
      <c r="U14" s="9" t="n">
        <v>0</v>
      </c>
      <c r="V14" s="9" t="n">
        <v>770.5513727980529</v>
      </c>
      <c r="W14" s="9" t="n">
        <v>116</v>
      </c>
      <c r="X14" s="9" t="n">
        <v>0</v>
      </c>
      <c r="Y14" s="9" t="n">
        <v>0</v>
      </c>
      <c r="Z14" s="9" t="n">
        <v>0</v>
      </c>
      <c r="AA14" s="9" t="n">
        <v>58960.27065588311</v>
      </c>
      <c r="AB14" s="9" t="n">
        <v>0</v>
      </c>
      <c r="AC14" s="9" t="n">
        <v>0</v>
      </c>
      <c r="AD14" s="9" t="n">
        <v>1021.001911894861</v>
      </c>
      <c r="AE14" s="9" t="n">
        <v>116</v>
      </c>
      <c r="AF14" s="9" t="n">
        <v>0</v>
      </c>
      <c r="AG14" s="9" t="n">
        <v>0</v>
      </c>
      <c r="AH14" s="9" t="n">
        <v>0</v>
      </c>
      <c r="AI14" s="9" t="n">
        <v>73834.20687058536</v>
      </c>
      <c r="AJ14" s="9" t="n">
        <v>0</v>
      </c>
      <c r="AK14" s="9" t="n">
        <v>0</v>
      </c>
      <c r="AL14" s="9" t="n">
        <v>1014.538690546635</v>
      </c>
      <c r="AM14" s="9" t="n">
        <v>116</v>
      </c>
      <c r="AN14" s="9" t="n">
        <v>0</v>
      </c>
      <c r="AO14" s="9" t="n">
        <v>0</v>
      </c>
      <c r="AP14" s="9" t="n">
        <v>0</v>
      </c>
      <c r="AQ14" s="9" t="n">
        <v>98731.83590508589</v>
      </c>
      <c r="AR14" s="9" t="n">
        <v>0</v>
      </c>
      <c r="AS14" s="9" t="n">
        <v>0</v>
      </c>
      <c r="AT14" s="9" t="n">
        <v>1058.486751542789</v>
      </c>
      <c r="AU14" s="9" t="n">
        <v>116</v>
      </c>
      <c r="AV14" s="9" t="n">
        <v>0</v>
      </c>
      <c r="AW14" s="9" t="n">
        <v>0</v>
      </c>
      <c r="AX14" s="9" t="n">
        <v>0</v>
      </c>
      <c r="AY14" s="9" t="n">
        <v>34028.59063956734</v>
      </c>
    </row>
    <row r="15">
      <c r="A15" s="9" t="n">
        <v>21</v>
      </c>
      <c r="B15" s="9" t="inlineStr">
        <is>
          <t>ОК157</t>
        </is>
      </c>
      <c r="C15" s="9" t="inlineStr"/>
      <c r="D15" s="9" t="inlineStr">
        <is>
          <t>МУЧНЫЕ</t>
        </is>
      </c>
      <c r="E15" s="9" t="inlineStr">
        <is>
          <t>Локальный</t>
        </is>
      </c>
      <c r="F15" s="9" t="n">
        <v>17157.35</v>
      </c>
      <c r="G15" s="9" t="n">
        <v>2000</v>
      </c>
      <c r="H15" s="9" t="n">
        <v>18000</v>
      </c>
      <c r="I15" s="9" t="n">
        <v>18000</v>
      </c>
      <c r="J15" s="9" t="n">
        <v>16311</v>
      </c>
      <c r="K15" s="9" t="n">
        <v>0</v>
      </c>
      <c r="L15" s="9" t="n">
        <v>0</v>
      </c>
      <c r="M15" s="9" t="n">
        <v>0</v>
      </c>
      <c r="N15" s="9" t="n">
        <v>0.45554363435469</v>
      </c>
      <c r="O15" s="9" t="n">
        <v>158</v>
      </c>
      <c r="P15" s="9" t="n">
        <v>0</v>
      </c>
      <c r="Q15" s="9" t="n">
        <v>0</v>
      </c>
      <c r="R15" s="9" t="n">
        <v>2.498928065220029</v>
      </c>
      <c r="S15" s="9" t="n">
        <v>3045.837042720791</v>
      </c>
      <c r="T15" s="9" t="n">
        <v>0</v>
      </c>
      <c r="U15" s="9" t="n">
        <v>0</v>
      </c>
      <c r="V15" s="9" t="n">
        <v>0.9985443140583146</v>
      </c>
      <c r="W15" s="9" t="n">
        <v>162.5</v>
      </c>
      <c r="X15" s="9" t="n">
        <v>0</v>
      </c>
      <c r="Y15" s="9" t="n">
        <v>0</v>
      </c>
      <c r="Z15" s="9" t="n">
        <v>7.252033440714991</v>
      </c>
      <c r="AA15" s="9" t="n">
        <v>7514.668077413249</v>
      </c>
      <c r="AB15" s="9" t="n">
        <v>0</v>
      </c>
      <c r="AC15" s="9" t="n">
        <v>0</v>
      </c>
      <c r="AD15" s="9" t="n">
        <v>1.723266737594619</v>
      </c>
      <c r="AE15" s="9" t="n">
        <v>170.1</v>
      </c>
      <c r="AF15" s="9" t="n">
        <v>0</v>
      </c>
      <c r="AG15" s="9" t="n">
        <v>0</v>
      </c>
      <c r="AH15" s="9" t="n">
        <v>7.330792247430325</v>
      </c>
      <c r="AI15" s="9" t="n">
        <v>9109.602079030214</v>
      </c>
      <c r="AJ15" s="9" t="n">
        <v>0</v>
      </c>
      <c r="AK15" s="9" t="n">
        <v>0</v>
      </c>
      <c r="AL15" s="9" t="n">
        <v>1.736458039518155</v>
      </c>
      <c r="AM15" s="9" t="n">
        <v>161.55</v>
      </c>
      <c r="AN15" s="9" t="n">
        <v>0</v>
      </c>
      <c r="AO15" s="9" t="n">
        <v>0</v>
      </c>
      <c r="AP15" s="9" t="n">
        <v>5.280616737790834</v>
      </c>
      <c r="AQ15" s="9" t="n">
        <v>17964.25284947535</v>
      </c>
      <c r="AR15" s="9" t="n">
        <v>0</v>
      </c>
      <c r="AS15" s="9" t="n">
        <v>0</v>
      </c>
      <c r="AT15" s="9" t="n">
        <v>1.828068422611566</v>
      </c>
      <c r="AU15" s="9" t="n">
        <v>155.85</v>
      </c>
      <c r="AV15" s="9" t="n">
        <v>0</v>
      </c>
      <c r="AW15" s="9" t="n">
        <v>0</v>
      </c>
      <c r="AX15" s="9" t="n">
        <v>0.90623977456865</v>
      </c>
      <c r="AY15" s="9" t="n">
        <v>2522.918521360396</v>
      </c>
    </row>
    <row r="16">
      <c r="A16" s="9" t="n">
        <v>22</v>
      </c>
      <c r="B16" s="9" t="inlineStr">
        <is>
          <t>ЗЕ169</t>
        </is>
      </c>
      <c r="C16" s="9" t="inlineStr"/>
      <c r="D16" s="9" t="inlineStr">
        <is>
          <t>МУЧНЫЕ</t>
        </is>
      </c>
      <c r="E16" s="9" t="inlineStr">
        <is>
          <t>Локальный</t>
        </is>
      </c>
      <c r="F16" s="9" t="n">
        <v>4229.1</v>
      </c>
      <c r="G16" s="9" t="n">
        <v>0</v>
      </c>
      <c r="H16" s="9" t="n">
        <v>16317.255</v>
      </c>
      <c r="I16" s="9" t="n">
        <v>17404</v>
      </c>
      <c r="J16" s="9" t="n">
        <v>1851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1064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2536</v>
      </c>
      <c r="AB16" s="9" t="n">
        <v>0</v>
      </c>
      <c r="AC16" s="9" t="n">
        <v>0</v>
      </c>
      <c r="AD16" s="9" t="n">
        <v>0</v>
      </c>
      <c r="AE16" s="9" t="n">
        <v>0</v>
      </c>
      <c r="AF16" s="9" t="n">
        <v>0</v>
      </c>
      <c r="AG16" s="9" t="n">
        <v>0</v>
      </c>
      <c r="AH16" s="9" t="n">
        <v>0</v>
      </c>
      <c r="AI16" s="9" t="n">
        <v>6115</v>
      </c>
      <c r="AJ16" s="9" t="n">
        <v>0</v>
      </c>
      <c r="AK16" s="9" t="n">
        <v>0</v>
      </c>
      <c r="AL16" s="9" t="n">
        <v>0</v>
      </c>
      <c r="AM16" s="9" t="n">
        <v>0</v>
      </c>
      <c r="AN16" s="9" t="n">
        <v>0</v>
      </c>
      <c r="AO16" s="9" t="n">
        <v>0</v>
      </c>
      <c r="AP16" s="9" t="n">
        <v>0</v>
      </c>
      <c r="AQ16" s="9" t="n">
        <v>6944</v>
      </c>
      <c r="AR16" s="9" t="n">
        <v>0</v>
      </c>
      <c r="AS16" s="9" t="n">
        <v>0</v>
      </c>
      <c r="AT16" s="9" t="n">
        <v>0</v>
      </c>
      <c r="AU16" s="9" t="n">
        <v>0</v>
      </c>
      <c r="AV16" s="9" t="n">
        <v>0</v>
      </c>
      <c r="AW16" s="9" t="n">
        <v>0</v>
      </c>
      <c r="AX16" s="9" t="n">
        <v>0</v>
      </c>
      <c r="AY16" s="9" t="n">
        <v>3455</v>
      </c>
    </row>
    <row r="17">
      <c r="A17" s="9" t="n">
        <v>23</v>
      </c>
      <c r="B17" s="9" t="inlineStr">
        <is>
          <t>ОК157</t>
        </is>
      </c>
      <c r="C17" s="9" t="inlineStr"/>
      <c r="D17" s="9" t="inlineStr">
        <is>
          <t>МУЧНЫЕ</t>
        </is>
      </c>
      <c r="E17" s="9" t="inlineStr">
        <is>
          <t>Локальный</t>
        </is>
      </c>
      <c r="F17" s="9" t="n">
        <v>4144</v>
      </c>
      <c r="G17" s="9" t="n">
        <v>0</v>
      </c>
      <c r="H17" s="9" t="n">
        <v>17412.095</v>
      </c>
      <c r="I17" s="9" t="n">
        <v>2545.78</v>
      </c>
      <c r="J17" s="9" t="n">
        <v>9.779999999999999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6.4</v>
      </c>
      <c r="P17" s="9" t="n">
        <v>0</v>
      </c>
      <c r="Q17" s="9" t="n">
        <v>0</v>
      </c>
      <c r="R17" s="9" t="n">
        <v>0</v>
      </c>
      <c r="S17" s="9" t="n">
        <v>1000</v>
      </c>
      <c r="T17" s="9" t="n">
        <v>0</v>
      </c>
      <c r="U17" s="9" t="n">
        <v>0</v>
      </c>
      <c r="V17" s="9" t="n">
        <v>0</v>
      </c>
      <c r="W17" s="9" t="n">
        <v>6.4</v>
      </c>
      <c r="X17" s="9" t="n">
        <v>0</v>
      </c>
      <c r="Y17" s="9" t="n">
        <v>0</v>
      </c>
      <c r="Z17" s="9" t="n">
        <v>0</v>
      </c>
      <c r="AA17" s="9" t="n">
        <v>7160</v>
      </c>
      <c r="AB17" s="9" t="n">
        <v>0</v>
      </c>
      <c r="AC17" s="9" t="n">
        <v>0</v>
      </c>
      <c r="AD17" s="9" t="n">
        <v>0</v>
      </c>
      <c r="AE17" s="9" t="n">
        <v>6.4</v>
      </c>
      <c r="AF17" s="9" t="n">
        <v>0</v>
      </c>
      <c r="AG17" s="9" t="n">
        <v>0</v>
      </c>
      <c r="AH17" s="9" t="n">
        <v>0</v>
      </c>
      <c r="AI17" s="9" t="n">
        <v>5005</v>
      </c>
      <c r="AJ17" s="9" t="n">
        <v>0</v>
      </c>
      <c r="AK17" s="9" t="n">
        <v>0</v>
      </c>
      <c r="AL17" s="9" t="n">
        <v>0</v>
      </c>
      <c r="AM17" s="9" t="n">
        <v>6.4</v>
      </c>
      <c r="AN17" s="9" t="n">
        <v>0</v>
      </c>
      <c r="AO17" s="9" t="n">
        <v>0</v>
      </c>
      <c r="AP17" s="9" t="n">
        <v>0</v>
      </c>
      <c r="AQ17" s="9" t="n">
        <v>3500</v>
      </c>
      <c r="AR17" s="9" t="n">
        <v>0</v>
      </c>
      <c r="AS17" s="9" t="n">
        <v>0</v>
      </c>
      <c r="AT17" s="9" t="n">
        <v>0</v>
      </c>
      <c r="AU17" s="9" t="n">
        <v>6.4</v>
      </c>
      <c r="AV17" s="9" t="n">
        <v>0</v>
      </c>
      <c r="AW17" s="9" t="n">
        <v>0</v>
      </c>
      <c r="AX17" s="9" t="n">
        <v>0</v>
      </c>
      <c r="AY17" s="9" t="n">
        <v>771</v>
      </c>
    </row>
    <row r="18">
      <c r="A18" s="9" t="n">
        <v>24</v>
      </c>
      <c r="B18" s="9" t="inlineStr">
        <is>
          <t>ЗЕ155</t>
        </is>
      </c>
      <c r="C18" s="9" t="inlineStr"/>
      <c r="D18" s="9" t="inlineStr">
        <is>
          <t>МУЧНЫЕ</t>
        </is>
      </c>
      <c r="E18" s="9" t="inlineStr">
        <is>
          <t>Локальный</t>
        </is>
      </c>
      <c r="F18" s="9" t="n">
        <v>6624</v>
      </c>
      <c r="G18" s="9" t="n">
        <v>0</v>
      </c>
      <c r="H18" s="9" t="n">
        <v>7646</v>
      </c>
      <c r="I18" s="9" t="n">
        <v>1404</v>
      </c>
      <c r="J18" s="9" t="n">
        <v>2517</v>
      </c>
      <c r="K18" s="9" t="n">
        <v>458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109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910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  <c r="AI18" s="9" t="n">
        <v>1893</v>
      </c>
      <c r="AJ18" s="9" t="n">
        <v>0</v>
      </c>
      <c r="AK18" s="9" t="n">
        <v>0</v>
      </c>
      <c r="AL18" s="9" t="n">
        <v>0</v>
      </c>
      <c r="AM18" s="9" t="n">
        <v>0</v>
      </c>
      <c r="AN18" s="9" t="n">
        <v>0</v>
      </c>
      <c r="AO18" s="9" t="n">
        <v>0</v>
      </c>
      <c r="AP18" s="9" t="n">
        <v>0</v>
      </c>
      <c r="AQ18" s="9" t="n">
        <v>1602</v>
      </c>
      <c r="AR18" s="9" t="n">
        <v>0</v>
      </c>
      <c r="AS18" s="9" t="n">
        <v>0</v>
      </c>
      <c r="AT18" s="9" t="n">
        <v>0</v>
      </c>
      <c r="AU18" s="9" t="n">
        <v>0</v>
      </c>
      <c r="AV18" s="9" t="n">
        <v>0</v>
      </c>
      <c r="AW18" s="9" t="n">
        <v>0</v>
      </c>
      <c r="AX18" s="9" t="n">
        <v>0</v>
      </c>
      <c r="AY18" s="9" t="n">
        <v>2766</v>
      </c>
    </row>
    <row r="19">
      <c r="A19" s="9" t="n">
        <v>25</v>
      </c>
      <c r="B19" s="9" t="inlineStr">
        <is>
          <t>ОК157</t>
        </is>
      </c>
      <c r="C19" s="9" t="inlineStr"/>
      <c r="D19" s="9" t="inlineStr">
        <is>
          <t>МУЧНЫЕ</t>
        </is>
      </c>
      <c r="E19" s="9" t="inlineStr">
        <is>
          <t>Локальный</t>
        </is>
      </c>
      <c r="F19" s="9" t="n">
        <v>4989.078000000001</v>
      </c>
      <c r="G19" s="9" t="n">
        <v>0</v>
      </c>
      <c r="H19" s="9" t="n">
        <v>1594.31</v>
      </c>
      <c r="I19" s="9" t="n">
        <v>1266.41</v>
      </c>
      <c r="J19" s="9" t="n">
        <v>342.25</v>
      </c>
      <c r="K19" s="9" t="n">
        <v>0</v>
      </c>
      <c r="L19" s="9" t="n">
        <v>0</v>
      </c>
      <c r="M19" s="9" t="n">
        <v>0</v>
      </c>
      <c r="N19" s="9" t="n">
        <v>2.979352052863966</v>
      </c>
      <c r="O19" s="9" t="n">
        <v>31.512</v>
      </c>
      <c r="P19" s="9" t="n">
        <v>0</v>
      </c>
      <c r="Q19" s="9" t="n">
        <v>27.74962079379149</v>
      </c>
      <c r="R19" s="9" t="n">
        <v>3.04773317775396</v>
      </c>
      <c r="S19" s="9" t="n">
        <v>233.3154332932934</v>
      </c>
      <c r="T19" s="9" t="n">
        <v>0</v>
      </c>
      <c r="U19" s="9" t="n">
        <v>0</v>
      </c>
      <c r="V19" s="9" t="n">
        <v>8.217359459471917</v>
      </c>
      <c r="W19" s="9" t="n">
        <v>58.51199999999999</v>
      </c>
      <c r="X19" s="9" t="n">
        <v>0</v>
      </c>
      <c r="Y19" s="9" t="n">
        <v>61.31794786388174</v>
      </c>
      <c r="Z19" s="9" t="n">
        <v>9.289968359565723</v>
      </c>
      <c r="AA19" s="9" t="n">
        <v>466.6308665865872</v>
      </c>
      <c r="AB19" s="9" t="n">
        <v>0</v>
      </c>
      <c r="AC19" s="9" t="n">
        <v>0</v>
      </c>
      <c r="AD19" s="9" t="n">
        <v>11.27053020850067</v>
      </c>
      <c r="AE19" s="9" t="n">
        <v>104.112</v>
      </c>
      <c r="AF19" s="9" t="n">
        <v>0</v>
      </c>
      <c r="AG19" s="9" t="n">
        <v>91.31791386179802</v>
      </c>
      <c r="AH19" s="9" t="n">
        <v>9.390859623844072</v>
      </c>
      <c r="AI19" s="9" t="n">
        <v>746.6093865385404</v>
      </c>
      <c r="AJ19" s="9" t="n">
        <v>0</v>
      </c>
      <c r="AK19" s="9" t="n">
        <v>0</v>
      </c>
      <c r="AL19" s="9" t="n">
        <v>11.35680412279103</v>
      </c>
      <c r="AM19" s="9" t="n">
        <v>52.812</v>
      </c>
      <c r="AN19" s="9" t="n">
        <v>0</v>
      </c>
      <c r="AO19" s="9" t="n">
        <v>82.23724984636158</v>
      </c>
      <c r="AP19" s="9" t="n">
        <v>6.764552702922098</v>
      </c>
      <c r="AQ19" s="9" t="n">
        <v>1036.321834548746</v>
      </c>
      <c r="AR19" s="9" t="n">
        <v>0</v>
      </c>
      <c r="AS19" s="9" t="n">
        <v>0</v>
      </c>
      <c r="AT19" s="9" t="n">
        <v>11.95595547152988</v>
      </c>
      <c r="AU19" s="9" t="n">
        <v>18.612</v>
      </c>
      <c r="AV19" s="9" t="n">
        <v>0</v>
      </c>
      <c r="AW19" s="9" t="n">
        <v>13.87481039689577</v>
      </c>
      <c r="AX19" s="9" t="n">
        <v>2.178492781171312</v>
      </c>
      <c r="AY19" s="9" t="n">
        <v>466.6308665865877</v>
      </c>
    </row>
    <row r="20">
      <c r="A20" s="9" t="n">
        <v>26</v>
      </c>
      <c r="B20" s="9" t="inlineStr">
        <is>
          <t>ЗЕ169</t>
        </is>
      </c>
      <c r="C20" s="9" t="inlineStr"/>
      <c r="D20" s="9" t="inlineStr">
        <is>
          <t>МУЧНЫЕ</t>
        </is>
      </c>
      <c r="E20" s="9" t="inlineStr">
        <is>
          <t>Локальный</t>
        </is>
      </c>
      <c r="F20" s="9" t="n">
        <v>1128.96</v>
      </c>
      <c r="G20" s="9" t="n">
        <v>0</v>
      </c>
      <c r="H20" s="9" t="n">
        <v>1649.18</v>
      </c>
      <c r="I20" s="9" t="n">
        <v>506</v>
      </c>
      <c r="J20" s="9" t="n">
        <v>837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29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243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  <c r="AI20" s="9" t="n">
        <v>504</v>
      </c>
      <c r="AJ20" s="9" t="n">
        <v>0</v>
      </c>
      <c r="AK20" s="9" t="n">
        <v>0</v>
      </c>
      <c r="AL20" s="9" t="n">
        <v>0</v>
      </c>
      <c r="AM20" s="9" t="n">
        <v>0</v>
      </c>
      <c r="AN20" s="9" t="n">
        <v>0</v>
      </c>
      <c r="AO20" s="9" t="n">
        <v>0</v>
      </c>
      <c r="AP20" s="9" t="n">
        <v>0</v>
      </c>
      <c r="AQ20" s="9" t="n">
        <v>427</v>
      </c>
      <c r="AR20" s="9" t="n">
        <v>0</v>
      </c>
      <c r="AS20" s="9" t="n">
        <v>0</v>
      </c>
      <c r="AT20" s="9" t="n">
        <v>0</v>
      </c>
      <c r="AU20" s="9" t="n">
        <v>0</v>
      </c>
      <c r="AV20" s="9" t="n">
        <v>0</v>
      </c>
      <c r="AW20" s="9" t="n">
        <v>0</v>
      </c>
      <c r="AX20" s="9" t="n">
        <v>0</v>
      </c>
      <c r="AY20" s="9" t="n">
        <v>737</v>
      </c>
    </row>
    <row r="21">
      <c r="A21" s="9" t="n">
        <v>27</v>
      </c>
      <c r="B21" s="9" t="inlineStr">
        <is>
          <t>ОК184</t>
        </is>
      </c>
      <c r="C21" s="9" t="inlineStr"/>
      <c r="D21" s="9" t="inlineStr">
        <is>
          <t>МУЧНЫЕ</t>
        </is>
      </c>
      <c r="E21" s="9" t="inlineStr">
        <is>
          <t>Локальный</t>
        </is>
      </c>
      <c r="F21" s="9" t="n">
        <v>2532.8</v>
      </c>
      <c r="G21" s="9" t="n">
        <v>1000</v>
      </c>
      <c r="H21" s="9" t="n">
        <v>401.95</v>
      </c>
      <c r="I21" s="9" t="n">
        <v>413.23</v>
      </c>
      <c r="J21" s="9" t="n">
        <v>740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160.2984775390241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347.2307465514991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384.6907304762667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690.3635266636982</v>
      </c>
      <c r="AR21" s="9" t="n">
        <v>0</v>
      </c>
      <c r="AS21" s="9" t="n">
        <v>0</v>
      </c>
      <c r="AT21" s="9" t="n">
        <v>0</v>
      </c>
      <c r="AU21" s="9" t="n">
        <v>0</v>
      </c>
      <c r="AV21" s="9" t="n">
        <v>0</v>
      </c>
      <c r="AW21" s="9" t="n">
        <v>0</v>
      </c>
      <c r="AX21" s="9" t="n">
        <v>0</v>
      </c>
      <c r="AY21" s="9" t="n">
        <v>80.14923876951205</v>
      </c>
    </row>
    <row r="22">
      <c r="A22" s="9" t="n">
        <v>28</v>
      </c>
      <c r="B22" s="9" t="inlineStr">
        <is>
          <t>ОК157</t>
        </is>
      </c>
      <c r="C22" s="9" t="inlineStr"/>
      <c r="D22" s="9" t="inlineStr">
        <is>
          <t>МУЧНЫЕ</t>
        </is>
      </c>
      <c r="E22" s="9" t="inlineStr">
        <is>
          <t>Локальный</t>
        </is>
      </c>
      <c r="F22" s="9" t="n">
        <v>1657.435</v>
      </c>
      <c r="G22" s="9" t="n">
        <v>0</v>
      </c>
      <c r="H22" s="9" t="n">
        <v>430.55</v>
      </c>
      <c r="I22" s="9" t="n">
        <v>549.49</v>
      </c>
      <c r="J22" s="9" t="n">
        <v>149.78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10.75</v>
      </c>
      <c r="P22" s="9" t="n">
        <v>0</v>
      </c>
      <c r="Q22" s="9" t="n">
        <v>0</v>
      </c>
      <c r="R22" s="9" t="n">
        <v>0</v>
      </c>
      <c r="S22" s="9" t="n">
        <v>101.379267745119</v>
      </c>
      <c r="T22" s="9" t="n">
        <v>0</v>
      </c>
      <c r="U22" s="9" t="n">
        <v>0</v>
      </c>
      <c r="V22" s="9" t="n">
        <v>0</v>
      </c>
      <c r="W22" s="9" t="n">
        <v>10.75</v>
      </c>
      <c r="X22" s="9" t="n">
        <v>0</v>
      </c>
      <c r="Y22" s="9" t="n">
        <v>0</v>
      </c>
      <c r="Z22" s="9" t="n">
        <v>0</v>
      </c>
      <c r="AA22" s="9" t="n">
        <v>202.7585354902381</v>
      </c>
      <c r="AB22" s="9" t="n">
        <v>0</v>
      </c>
      <c r="AC22" s="9" t="n">
        <v>0</v>
      </c>
      <c r="AD22" s="9" t="n">
        <v>0</v>
      </c>
      <c r="AE22" s="9" t="n">
        <v>10.75</v>
      </c>
      <c r="AF22" s="9" t="n">
        <v>0</v>
      </c>
      <c r="AG22" s="9" t="n">
        <v>0</v>
      </c>
      <c r="AH22" s="9" t="n">
        <v>0</v>
      </c>
      <c r="AI22" s="9" t="n">
        <v>324.4136567843813</v>
      </c>
      <c r="AJ22" s="9" t="n">
        <v>0</v>
      </c>
      <c r="AK22" s="9" t="n">
        <v>0</v>
      </c>
      <c r="AL22" s="9" t="n">
        <v>0</v>
      </c>
      <c r="AM22" s="9" t="n">
        <v>10.75</v>
      </c>
      <c r="AN22" s="9" t="n">
        <v>0</v>
      </c>
      <c r="AO22" s="9" t="n">
        <v>0</v>
      </c>
      <c r="AP22" s="9" t="n">
        <v>0</v>
      </c>
      <c r="AQ22" s="9" t="n">
        <v>450.2983246837369</v>
      </c>
      <c r="AR22" s="9" t="n">
        <v>0</v>
      </c>
      <c r="AS22" s="9" t="n">
        <v>0</v>
      </c>
      <c r="AT22" s="9" t="n">
        <v>0</v>
      </c>
      <c r="AU22" s="9" t="n">
        <v>10.75</v>
      </c>
      <c r="AV22" s="9" t="n">
        <v>0</v>
      </c>
      <c r="AW22" s="9" t="n">
        <v>0</v>
      </c>
      <c r="AX22" s="9" t="n">
        <v>0</v>
      </c>
      <c r="AY22" s="9" t="n">
        <v>202.7585354902383</v>
      </c>
    </row>
    <row r="23">
      <c r="A23" s="9" t="n">
        <v>29</v>
      </c>
      <c r="B23" s="9" t="inlineStr">
        <is>
          <t>ОК157</t>
        </is>
      </c>
      <c r="C23" s="9" t="inlineStr"/>
      <c r="D23" s="9" t="inlineStr">
        <is>
          <t>МУЧНЫЕ</t>
        </is>
      </c>
      <c r="E23" s="9" t="inlineStr">
        <is>
          <t>Локальный</t>
        </is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s="9" t="n">
        <v>0</v>
      </c>
      <c r="AS23" s="9" t="n">
        <v>0</v>
      </c>
      <c r="AT23" s="9" t="n">
        <v>0</v>
      </c>
      <c r="AU23" s="9" t="n">
        <v>0</v>
      </c>
      <c r="AV23" s="9" t="n">
        <v>0</v>
      </c>
      <c r="AW23" s="9" t="n">
        <v>0</v>
      </c>
      <c r="AX23" s="9" t="n">
        <v>0</v>
      </c>
      <c r="AY23" s="9" t="n">
        <v>0</v>
      </c>
    </row>
    <row r="24">
      <c r="A24" s="9" t="n">
        <v>30</v>
      </c>
      <c r="B24" s="9" t="inlineStr">
        <is>
          <t>РФ103</t>
        </is>
      </c>
      <c r="C24" s="9" t="inlineStr"/>
      <c r="D24" s="9" t="inlineStr">
        <is>
          <t>МУЧНЫЕ</t>
        </is>
      </c>
      <c r="E24" s="9" t="inlineStr">
        <is>
          <t>Федеральный</t>
        </is>
      </c>
      <c r="F24" s="9" t="n">
        <v>59452.64999999999</v>
      </c>
      <c r="G24" s="9" t="n">
        <v>0</v>
      </c>
      <c r="H24" s="9" t="n">
        <v>2541.06</v>
      </c>
      <c r="I24" s="9" t="n">
        <v>0</v>
      </c>
      <c r="J24" s="9" t="n">
        <v>0</v>
      </c>
      <c r="K24" s="9" t="n">
        <v>0</v>
      </c>
      <c r="L24" s="9" t="n">
        <v>8105</v>
      </c>
      <c r="M24" s="9" t="n">
        <v>594.3052907884306</v>
      </c>
      <c r="N24" s="9" t="n">
        <v>1262.463729928276</v>
      </c>
      <c r="O24" s="9" t="n">
        <v>177.36</v>
      </c>
      <c r="P24" s="9" t="n">
        <v>0</v>
      </c>
      <c r="Q24" s="9" t="n">
        <v>6.230181580191488</v>
      </c>
      <c r="R24" s="9" t="n">
        <v>250.0224512789825</v>
      </c>
      <c r="S24" s="9" t="n">
        <v>1000</v>
      </c>
      <c r="T24" s="9" t="n">
        <v>3007</v>
      </c>
      <c r="U24" s="9" t="n">
        <v>1505.936020542659</v>
      </c>
      <c r="V24" s="9" t="n">
        <v>3495.944335390299</v>
      </c>
      <c r="W24" s="9" t="n">
        <v>190.86</v>
      </c>
      <c r="X24" s="9" t="n">
        <v>0</v>
      </c>
      <c r="Y24" s="9" t="n">
        <v>13.76674485592138</v>
      </c>
      <c r="Z24" s="9" t="n">
        <v>497.0747588015909</v>
      </c>
      <c r="AA24" s="9" t="n">
        <v>0</v>
      </c>
      <c r="AB24" s="9" t="n">
        <v>3550</v>
      </c>
      <c r="AC24" s="9" t="n">
        <v>1368.367443114427</v>
      </c>
      <c r="AD24" s="9" t="n">
        <v>4307.909428725895</v>
      </c>
      <c r="AE24" s="9" t="n">
        <v>213.66</v>
      </c>
      <c r="AF24" s="9" t="n">
        <v>0</v>
      </c>
      <c r="AG24" s="9" t="n">
        <v>20.50216070017702</v>
      </c>
      <c r="AH24" s="9" t="n">
        <v>503.8642146871971</v>
      </c>
      <c r="AI24" s="9" t="n">
        <v>2677</v>
      </c>
      <c r="AJ24" s="9" t="n">
        <v>3461</v>
      </c>
      <c r="AK24" s="9" t="n">
        <v>1509.482966862945</v>
      </c>
      <c r="AL24" s="9" t="n">
        <v>4357.111952064557</v>
      </c>
      <c r="AM24" s="9" t="n">
        <v>188.01</v>
      </c>
      <c r="AN24" s="9" t="n">
        <v>0</v>
      </c>
      <c r="AO24" s="9" t="n">
        <v>18.46342344660211</v>
      </c>
      <c r="AP24" s="9" t="n">
        <v>52.12135622518726</v>
      </c>
      <c r="AQ24" s="9" t="n">
        <v>0</v>
      </c>
      <c r="AR24" s="9" t="n">
        <v>5215</v>
      </c>
      <c r="AS24" s="9" t="n">
        <v>1408.023231494297</v>
      </c>
      <c r="AT24" s="9" t="n">
        <v>3815.466263968533</v>
      </c>
      <c r="AU24" s="9" t="n">
        <v>170.91</v>
      </c>
      <c r="AV24" s="9" t="n">
        <v>0</v>
      </c>
      <c r="AW24" s="9" t="n">
        <v>3.11509079009575</v>
      </c>
      <c r="AX24" s="9" t="n">
        <v>10.87064934735813</v>
      </c>
      <c r="AY24" s="9" t="n">
        <v>0</v>
      </c>
    </row>
    <row r="25">
      <c r="A25" s="9" t="n">
        <v>31</v>
      </c>
      <c r="B25" s="9" t="inlineStr">
        <is>
          <t>РФ150</t>
        </is>
      </c>
      <c r="C25" s="9" t="inlineStr"/>
      <c r="D25" s="9" t="inlineStr">
        <is>
          <t>МУЧНЫЕ</t>
        </is>
      </c>
      <c r="E25" s="9" t="inlineStr">
        <is>
          <t>Федеральный</t>
        </is>
      </c>
      <c r="F25" s="9" t="n">
        <v>23484.3</v>
      </c>
      <c r="G25" s="9" t="n">
        <v>0</v>
      </c>
      <c r="H25" s="9" t="n">
        <v>1253.435</v>
      </c>
      <c r="I25" s="9" t="n">
        <v>4298.08</v>
      </c>
      <c r="J25" s="9" t="n">
        <v>5767.43</v>
      </c>
      <c r="K25" s="9" t="n">
        <v>4733.14</v>
      </c>
      <c r="L25" s="9" t="n">
        <v>3782</v>
      </c>
      <c r="M25" s="9" t="n">
        <v>457.9867786758174</v>
      </c>
      <c r="N25" s="9" t="n">
        <v>502.0227954412561</v>
      </c>
      <c r="O25" s="9" t="n">
        <v>18.86</v>
      </c>
      <c r="P25" s="9" t="n">
        <v>0</v>
      </c>
      <c r="Q25" s="9" t="n">
        <v>15.22849146867777</v>
      </c>
      <c r="R25" s="9" t="n">
        <v>30.35911930516673</v>
      </c>
      <c r="S25" s="9" t="n">
        <v>244</v>
      </c>
      <c r="T25" s="9" t="n">
        <v>3862</v>
      </c>
      <c r="U25" s="9" t="n">
        <v>1213.815440374066</v>
      </c>
      <c r="V25" s="9" t="n">
        <v>1429.962169687386</v>
      </c>
      <c r="W25" s="9" t="n">
        <v>23.36</v>
      </c>
      <c r="X25" s="9" t="n">
        <v>0</v>
      </c>
      <c r="Y25" s="9" t="n">
        <v>33.65018401011335</v>
      </c>
      <c r="Z25" s="9" t="n">
        <v>98.88631579998035</v>
      </c>
      <c r="AA25" s="9" t="n">
        <v>500</v>
      </c>
      <c r="AB25" s="9" t="n">
        <v>2239</v>
      </c>
      <c r="AC25" s="9" t="n">
        <v>1080.098443277043</v>
      </c>
      <c r="AD25" s="9" t="n">
        <v>1973.757579234831</v>
      </c>
      <c r="AE25" s="9" t="n">
        <v>30.96</v>
      </c>
      <c r="AF25" s="9" t="n">
        <v>0</v>
      </c>
      <c r="AG25" s="9" t="n">
        <v>50.1136243452009</v>
      </c>
      <c r="AH25" s="9" t="n">
        <v>86.41341534464301</v>
      </c>
      <c r="AI25" s="9" t="n">
        <v>500</v>
      </c>
      <c r="AJ25" s="9" t="n">
        <v>5648</v>
      </c>
      <c r="AK25" s="9" t="n">
        <v>1003.130216049322</v>
      </c>
      <c r="AL25" s="9" t="n">
        <v>2111.270818169661</v>
      </c>
      <c r="AM25" s="9" t="n">
        <v>22.41</v>
      </c>
      <c r="AN25" s="9" t="n">
        <v>0</v>
      </c>
      <c r="AO25" s="9" t="n">
        <v>45.13031968973902</v>
      </c>
      <c r="AP25" s="9" t="n">
        <v>54.95485900867641</v>
      </c>
      <c r="AQ25" s="9" t="n">
        <v>500</v>
      </c>
      <c r="AR25" s="9" t="n">
        <v>23291.5</v>
      </c>
      <c r="AS25" s="9" t="n">
        <v>935.7049264005259</v>
      </c>
      <c r="AT25" s="9" t="n">
        <v>1754.805953357034</v>
      </c>
      <c r="AU25" s="9" t="n">
        <v>16.71</v>
      </c>
      <c r="AV25" s="9" t="n">
        <v>0</v>
      </c>
      <c r="AW25" s="9" t="n">
        <v>7.614245734338898</v>
      </c>
      <c r="AX25" s="9" t="n">
        <v>12.58473319657226</v>
      </c>
      <c r="AY25" s="9" t="n">
        <v>500</v>
      </c>
    </row>
    <row r="26">
      <c r="A26" s="9" t="n">
        <v>32</v>
      </c>
      <c r="B26" s="9" t="inlineStr">
        <is>
          <t>РФ182</t>
        </is>
      </c>
      <c r="C26" s="9" t="inlineStr"/>
      <c r="D26" s="9" t="inlineStr">
        <is>
          <t>МУЧНЫЕ</t>
        </is>
      </c>
      <c r="E26" s="9" t="inlineStr">
        <is>
          <t>Федеральный</t>
        </is>
      </c>
      <c r="F26" s="9" t="n">
        <v>769.5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  <c r="AN26" s="9" t="n">
        <v>0</v>
      </c>
      <c r="AO26" s="9" t="n">
        <v>0</v>
      </c>
      <c r="AP26" s="9" t="n">
        <v>0</v>
      </c>
      <c r="AQ26" s="9" t="n">
        <v>0</v>
      </c>
      <c r="AR26" s="9" t="n">
        <v>0</v>
      </c>
      <c r="AS26" s="9" t="n">
        <v>0</v>
      </c>
      <c r="AT26" s="9" t="n">
        <v>0</v>
      </c>
      <c r="AU26" s="9" t="n">
        <v>0</v>
      </c>
      <c r="AV26" s="9" t="n">
        <v>0</v>
      </c>
      <c r="AW26" s="9" t="n">
        <v>0</v>
      </c>
      <c r="AX26" s="9" t="n">
        <v>0</v>
      </c>
      <c r="AY26" s="9" t="n">
        <v>0</v>
      </c>
    </row>
    <row r="27">
      <c r="A27" s="9" t="n">
        <v>33</v>
      </c>
      <c r="B27" s="9" t="inlineStr">
        <is>
          <t>РФ066</t>
        </is>
      </c>
      <c r="C27" s="9" t="inlineStr"/>
      <c r="D27" s="9" t="inlineStr">
        <is>
          <t>МУЧНЫЕ</t>
        </is>
      </c>
      <c r="E27" s="9" t="inlineStr">
        <is>
          <t>Федеральный</t>
        </is>
      </c>
      <c r="F27" s="9" t="n">
        <v>159551.5</v>
      </c>
      <c r="G27" s="9" t="n">
        <v>11500</v>
      </c>
      <c r="H27" s="9" t="n">
        <v>4427.73</v>
      </c>
      <c r="I27" s="9" t="n">
        <v>55646.13</v>
      </c>
      <c r="J27" s="9" t="n">
        <v>53733.69</v>
      </c>
      <c r="K27" s="9" t="n">
        <v>27478.38</v>
      </c>
      <c r="L27" s="9" t="n">
        <v>50493.39999999999</v>
      </c>
      <c r="M27" s="9" t="n">
        <v>1446.428788558487</v>
      </c>
      <c r="N27" s="9" t="n">
        <v>4579.952938796952</v>
      </c>
      <c r="O27" s="9" t="n">
        <v>232.14</v>
      </c>
      <c r="P27" s="9" t="n">
        <v>0</v>
      </c>
      <c r="Q27" s="9" t="n">
        <v>7.258167845639027</v>
      </c>
      <c r="R27" s="9" t="n">
        <v>756.29603351501</v>
      </c>
      <c r="S27" s="9" t="n">
        <v>0</v>
      </c>
      <c r="T27" s="9" t="n">
        <v>25422.4</v>
      </c>
      <c r="U27" s="9" t="n">
        <v>3158.380110063318</v>
      </c>
      <c r="V27" s="9" t="n">
        <v>14002.52597676031</v>
      </c>
      <c r="W27" s="9" t="n">
        <v>245.64</v>
      </c>
      <c r="X27" s="9" t="n">
        <v>0</v>
      </c>
      <c r="Y27" s="9" t="n">
        <v>16.0382716885908</v>
      </c>
      <c r="Z27" s="9" t="n">
        <v>2513.076438837186</v>
      </c>
      <c r="AA27" s="9" t="n">
        <v>0</v>
      </c>
      <c r="AB27" s="9" t="n">
        <v>32219.39999999999</v>
      </c>
      <c r="AC27" s="9" t="n">
        <v>2841.517265967851</v>
      </c>
      <c r="AD27" s="9" t="n">
        <v>16705.91624680732</v>
      </c>
      <c r="AE27" s="9" t="n">
        <v>268.4399999999999</v>
      </c>
      <c r="AF27" s="9" t="n">
        <v>0</v>
      </c>
      <c r="AG27" s="9" t="n">
        <v>23.88503796314317</v>
      </c>
      <c r="AH27" s="9" t="n">
        <v>2167.360973229686</v>
      </c>
      <c r="AI27" s="9" t="n">
        <v>0</v>
      </c>
      <c r="AJ27" s="9" t="n">
        <v>31993.69999999999</v>
      </c>
      <c r="AK27" s="9" t="n">
        <v>3216.178647232851</v>
      </c>
      <c r="AL27" s="9" t="n">
        <v>15219.7791852067</v>
      </c>
      <c r="AM27" s="9" t="n">
        <v>242.79</v>
      </c>
      <c r="AN27" s="9" t="n">
        <v>0</v>
      </c>
      <c r="AO27" s="9" t="n">
        <v>21.50990699960084</v>
      </c>
      <c r="AP27" s="9" t="n">
        <v>1545.682840959729</v>
      </c>
      <c r="AQ27" s="9" t="n">
        <v>0</v>
      </c>
      <c r="AR27" s="9" t="n">
        <v>17921.1</v>
      </c>
      <c r="AS27" s="9" t="n">
        <v>3000.00354515489</v>
      </c>
      <c r="AT27" s="9" t="n">
        <v>10655.43115721764</v>
      </c>
      <c r="AU27" s="9" t="n">
        <v>225.69</v>
      </c>
      <c r="AV27" s="9" t="n">
        <v>0</v>
      </c>
      <c r="AW27" s="9" t="n">
        <v>3.62908392281952</v>
      </c>
      <c r="AX27" s="9" t="n">
        <v>236.2722217016431</v>
      </c>
      <c r="AY27" s="9" t="n">
        <v>0</v>
      </c>
    </row>
    <row r="28">
      <c r="A28" s="9" t="n">
        <v>34</v>
      </c>
      <c r="B28" s="9" t="inlineStr">
        <is>
          <t>РФ150</t>
        </is>
      </c>
      <c r="C28" s="9" t="inlineStr"/>
      <c r="D28" s="9" t="inlineStr">
        <is>
          <t>МУЧНЫЕ</t>
        </is>
      </c>
      <c r="E28" s="9" t="inlineStr">
        <is>
          <t>Федеральный</t>
        </is>
      </c>
      <c r="F28" s="9" t="n">
        <v>35618.10000000001</v>
      </c>
      <c r="G28" s="9" t="n">
        <v>0</v>
      </c>
      <c r="H28" s="9" t="n">
        <v>22066.395</v>
      </c>
      <c r="I28" s="9" t="n">
        <v>13613.2</v>
      </c>
      <c r="J28" s="9" t="n">
        <v>7920.08</v>
      </c>
      <c r="K28" s="9" t="n">
        <v>14335.55</v>
      </c>
      <c r="L28" s="9" t="n">
        <v>9524</v>
      </c>
      <c r="M28" s="9" t="n">
        <v>524.9125834229787</v>
      </c>
      <c r="N28" s="9" t="n">
        <v>804.3930841073624</v>
      </c>
      <c r="O28" s="9" t="n">
        <v>28.76</v>
      </c>
      <c r="P28" s="9" t="n">
        <v>0</v>
      </c>
      <c r="Q28" s="9" t="n">
        <v>9.475629333763381</v>
      </c>
      <c r="R28" s="9" t="n">
        <v>269.6412779200883</v>
      </c>
      <c r="S28" s="9" t="n">
        <v>0</v>
      </c>
      <c r="T28" s="9" t="n">
        <v>8704</v>
      </c>
      <c r="U28" s="9" t="n">
        <v>1383.401647387045</v>
      </c>
      <c r="V28" s="9" t="n">
        <v>2251.861621969596</v>
      </c>
      <c r="W28" s="9" t="n">
        <v>33.26</v>
      </c>
      <c r="X28" s="9" t="n">
        <v>0</v>
      </c>
      <c r="Y28" s="9" t="n">
        <v>20.93816523774503</v>
      </c>
      <c r="Z28" s="9" t="n">
        <v>474.3520028074901</v>
      </c>
      <c r="AA28" s="9" t="n">
        <v>0</v>
      </c>
      <c r="AB28" s="9" t="n">
        <v>3636</v>
      </c>
      <c r="AC28" s="9" t="n">
        <v>1304.132828698595</v>
      </c>
      <c r="AD28" s="9" t="n">
        <v>3306.789643767614</v>
      </c>
      <c r="AE28" s="9" t="n">
        <v>40.86</v>
      </c>
      <c r="AF28" s="9" t="n">
        <v>0</v>
      </c>
      <c r="AG28" s="9" t="n">
        <v>31.18221721719982</v>
      </c>
      <c r="AH28" s="9" t="n">
        <v>521.0629642322625</v>
      </c>
      <c r="AI28" s="9" t="n">
        <v>0</v>
      </c>
      <c r="AJ28" s="9" t="n">
        <v>15899</v>
      </c>
      <c r="AK28" s="9" t="n">
        <v>1268.649635526925</v>
      </c>
      <c r="AL28" s="9" t="n">
        <v>3384.456922968204</v>
      </c>
      <c r="AM28" s="9" t="n">
        <v>32.31</v>
      </c>
      <c r="AN28" s="9" t="n">
        <v>0</v>
      </c>
      <c r="AO28" s="9" t="n">
        <v>28.08145389671616</v>
      </c>
      <c r="AP28" s="9" t="n">
        <v>27.3224162222301</v>
      </c>
      <c r="AQ28" s="9" t="n">
        <v>0</v>
      </c>
      <c r="AR28" s="9" t="n">
        <v>67894.2</v>
      </c>
      <c r="AS28" s="9" t="n">
        <v>1183.377486637695</v>
      </c>
      <c r="AT28" s="9" t="n">
        <v>2718.708826459928</v>
      </c>
      <c r="AU28" s="9" t="n">
        <v>26.61</v>
      </c>
      <c r="AV28" s="9" t="n">
        <v>0</v>
      </c>
      <c r="AW28" s="9" t="n">
        <v>4.737814666881699</v>
      </c>
      <c r="AX28" s="9" t="n">
        <v>6.161892286308629</v>
      </c>
      <c r="AY28" s="9" t="n">
        <v>0</v>
      </c>
    </row>
    <row r="29">
      <c r="A29" s="9" t="n">
        <v>35</v>
      </c>
      <c r="B29" s="9" t="inlineStr">
        <is>
          <t>РФ097</t>
        </is>
      </c>
      <c r="C29" s="9" t="inlineStr"/>
      <c r="D29" s="9" t="inlineStr">
        <is>
          <t>МУЧНЫЕ</t>
        </is>
      </c>
      <c r="E29" s="9" t="inlineStr">
        <is>
          <t>Локальный</t>
        </is>
      </c>
      <c r="F29" s="9" t="n">
        <v>202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s="9" t="n">
        <v>0</v>
      </c>
      <c r="AS29" s="9" t="n">
        <v>0</v>
      </c>
      <c r="AT29" s="9" t="n">
        <v>0</v>
      </c>
      <c r="AU29" s="9" t="n">
        <v>0</v>
      </c>
      <c r="AV29" s="9" t="n">
        <v>0</v>
      </c>
      <c r="AW29" s="9" t="n">
        <v>0</v>
      </c>
      <c r="AX29" s="9" t="n">
        <v>0</v>
      </c>
      <c r="AY29" s="9" t="n">
        <v>0</v>
      </c>
    </row>
    <row r="30">
      <c r="A30" s="9" t="n">
        <v>36</v>
      </c>
      <c r="B30" s="9" t="inlineStr">
        <is>
          <t>РФ143</t>
        </is>
      </c>
      <c r="C30" s="9" t="inlineStr"/>
      <c r="D30" s="9" t="inlineStr">
        <is>
          <t>МУЧНЫЕ</t>
        </is>
      </c>
      <c r="E30" s="9" t="inlineStr">
        <is>
          <t>Федеральный</t>
        </is>
      </c>
      <c r="F30" s="9" t="n">
        <v>1669.8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  <c r="AN30" s="9" t="n">
        <v>0</v>
      </c>
      <c r="AO30" s="9" t="n">
        <v>0</v>
      </c>
      <c r="AP30" s="9" t="n">
        <v>0</v>
      </c>
      <c r="AQ30" s="9" t="n">
        <v>0</v>
      </c>
      <c r="AR30" s="9" t="n">
        <v>0</v>
      </c>
      <c r="AS30" s="9" t="n">
        <v>0</v>
      </c>
      <c r="AT30" s="9" t="n">
        <v>0</v>
      </c>
      <c r="AU30" s="9" t="n">
        <v>0</v>
      </c>
      <c r="AV30" s="9" t="n">
        <v>0</v>
      </c>
      <c r="AW30" s="9" t="n">
        <v>0</v>
      </c>
      <c r="AX30" s="9" t="n">
        <v>0</v>
      </c>
      <c r="AY30" s="9" t="n">
        <v>0</v>
      </c>
    </row>
    <row r="31">
      <c r="A31" s="9" t="n">
        <v>37</v>
      </c>
      <c r="B31" s="9" t="inlineStr">
        <is>
          <t>РФ182</t>
        </is>
      </c>
      <c r="C31" s="9" t="inlineStr"/>
      <c r="D31" s="9" t="inlineStr">
        <is>
          <t>МУЧНЫЕ</t>
        </is>
      </c>
      <c r="E31" s="9" t="inlineStr">
        <is>
          <t>Федеральный</t>
        </is>
      </c>
      <c r="F31" s="9" t="n">
        <v>769.5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s="9" t="n">
        <v>0</v>
      </c>
      <c r="AS31" s="9" t="n">
        <v>0</v>
      </c>
      <c r="AT31" s="9" t="n">
        <v>0</v>
      </c>
      <c r="AU31" s="9" t="n">
        <v>0</v>
      </c>
      <c r="AV31" s="9" t="n">
        <v>0</v>
      </c>
      <c r="AW31" s="9" t="n">
        <v>0</v>
      </c>
      <c r="AX31" s="9" t="n">
        <v>0</v>
      </c>
      <c r="AY31" s="9" t="n">
        <v>0</v>
      </c>
    </row>
    <row r="32">
      <c r="A32" s="9" t="n">
        <v>38</v>
      </c>
      <c r="B32" s="9" t="inlineStr">
        <is>
          <t>ББ227</t>
        </is>
      </c>
      <c r="C32" s="9" t="inlineStr"/>
      <c r="D32" s="9" t="inlineStr">
        <is>
          <t>САХАРИСТЫЕ</t>
        </is>
      </c>
      <c r="E32" s="9" t="inlineStr">
        <is>
          <t>Федеральный</t>
        </is>
      </c>
      <c r="F32" s="9" t="n">
        <v>6275.430000000001</v>
      </c>
      <c r="G32" s="9" t="n">
        <v>0</v>
      </c>
      <c r="H32" s="9" t="n">
        <v>3623.89</v>
      </c>
      <c r="I32" s="9" t="n">
        <v>2724.7</v>
      </c>
      <c r="J32" s="9" t="n">
        <v>2242.01</v>
      </c>
      <c r="K32" s="9" t="n">
        <v>0</v>
      </c>
      <c r="L32" s="9" t="n">
        <v>33</v>
      </c>
      <c r="M32" s="9" t="n">
        <v>356.7976897553669</v>
      </c>
      <c r="N32" s="9" t="n">
        <v>769.7622224991999</v>
      </c>
      <c r="O32" s="9" t="n">
        <v>165.82</v>
      </c>
      <c r="P32" s="9" t="n">
        <v>0</v>
      </c>
      <c r="Q32" s="9" t="n">
        <v>1.207343247514855</v>
      </c>
      <c r="R32" s="9" t="n">
        <v>22.30520471745352</v>
      </c>
      <c r="S32" s="9" t="n">
        <v>0.1432875043872729</v>
      </c>
      <c r="T32" s="9" t="n">
        <v>57</v>
      </c>
      <c r="U32" s="9" t="n">
        <v>893.5799592186081</v>
      </c>
      <c r="V32" s="9" t="n">
        <v>1034.945894943485</v>
      </c>
      <c r="W32" s="9" t="n">
        <v>174.82</v>
      </c>
      <c r="X32" s="9" t="n">
        <v>0</v>
      </c>
      <c r="Y32" s="9" t="n">
        <v>2.667849440360241</v>
      </c>
      <c r="Z32" s="9" t="n">
        <v>59.54094213060237</v>
      </c>
      <c r="AA32" s="9" t="n">
        <v>0.2865750087745462</v>
      </c>
      <c r="AB32" s="9" t="n">
        <v>67</v>
      </c>
      <c r="AC32" s="9" t="n">
        <v>816.2138158852019</v>
      </c>
      <c r="AD32" s="9" t="n">
        <v>1472.235098183866</v>
      </c>
      <c r="AE32" s="9" t="n">
        <v>190.02</v>
      </c>
      <c r="AF32" s="9" t="n">
        <v>0</v>
      </c>
      <c r="AG32" s="9" t="n">
        <v>3.973101740649806</v>
      </c>
      <c r="AH32" s="9" t="n">
        <v>58.7552278849645</v>
      </c>
      <c r="AI32" s="9" t="n">
        <v>0.4585200140392743</v>
      </c>
      <c r="AJ32" s="9" t="n">
        <v>74</v>
      </c>
      <c r="AK32" s="9" t="n">
        <v>863.288138154343</v>
      </c>
      <c r="AL32" s="9" t="n">
        <v>1486.360850874442</v>
      </c>
      <c r="AM32" s="9" t="n">
        <v>172.92</v>
      </c>
      <c r="AN32" s="9" t="n">
        <v>0</v>
      </c>
      <c r="AO32" s="9" t="n">
        <v>3.578016039715067</v>
      </c>
      <c r="AP32" s="9" t="n">
        <v>26.40405349095911</v>
      </c>
      <c r="AQ32" s="9" t="n">
        <v>0.636442979011447</v>
      </c>
      <c r="AR32" s="9" t="n">
        <v>64</v>
      </c>
      <c r="AS32" s="9" t="n">
        <v>813.4908188355244</v>
      </c>
      <c r="AT32" s="9" t="n">
        <v>1211.758979313587</v>
      </c>
      <c r="AU32" s="9" t="n">
        <v>161.52</v>
      </c>
      <c r="AV32" s="9" t="n">
        <v>0</v>
      </c>
      <c r="AW32" s="9" t="n">
        <v>0.6036716237574286</v>
      </c>
      <c r="AX32" s="9" t="n">
        <v>20.48675315023382</v>
      </c>
      <c r="AY32" s="9" t="n">
        <v>0.2865750087745464</v>
      </c>
    </row>
    <row r="33">
      <c r="A33" s="9" t="n">
        <v>39</v>
      </c>
      <c r="B33" s="9" t="inlineStr">
        <is>
          <t>ББ196</t>
        </is>
      </c>
      <c r="C33" s="9" t="inlineStr"/>
      <c r="D33" s="9" t="inlineStr">
        <is>
          <t>САХАРИСТЫЕ</t>
        </is>
      </c>
      <c r="E33" s="9" t="inlineStr">
        <is>
          <t>Федеральный</t>
        </is>
      </c>
      <c r="F33" s="9" t="n">
        <v>9450.630000000001</v>
      </c>
      <c r="G33" s="9" t="n">
        <v>0</v>
      </c>
      <c r="H33" s="9" t="n">
        <v>2667.325</v>
      </c>
      <c r="I33" s="9" t="n">
        <v>2968.67</v>
      </c>
      <c r="J33" s="9" t="n">
        <v>2863.91</v>
      </c>
      <c r="K33" s="9" t="n">
        <v>1120.61</v>
      </c>
      <c r="L33" s="9" t="n">
        <v>681</v>
      </c>
      <c r="M33" s="9" t="n">
        <v>162.9995504245355</v>
      </c>
      <c r="N33" s="9" t="n">
        <v>218.1239852731055</v>
      </c>
      <c r="O33" s="9" t="n">
        <v>103.784</v>
      </c>
      <c r="P33" s="9" t="n">
        <v>0</v>
      </c>
      <c r="Q33" s="9" t="n">
        <v>3.039607192877932</v>
      </c>
      <c r="R33" s="9" t="n">
        <v>14.37341405824779</v>
      </c>
      <c r="S33" s="9" t="n">
        <v>0.02397793649226258</v>
      </c>
      <c r="T33" s="9" t="n">
        <v>1450</v>
      </c>
      <c r="U33" s="9" t="n">
        <v>413.0316490888389</v>
      </c>
      <c r="V33" s="9" t="n">
        <v>551.5629347887718</v>
      </c>
      <c r="W33" s="9" t="n">
        <v>108.284</v>
      </c>
      <c r="X33" s="9" t="n">
        <v>0</v>
      </c>
      <c r="Y33" s="9" t="n">
        <v>6.716577381888725</v>
      </c>
      <c r="Z33" s="9" t="n">
        <v>38.43298212357449</v>
      </c>
      <c r="AA33" s="9" t="n">
        <v>0.04795587298452521</v>
      </c>
      <c r="AB33" s="9" t="n">
        <v>1499</v>
      </c>
      <c r="AC33" s="9" t="n">
        <v>370.8715081546827</v>
      </c>
      <c r="AD33" s="9" t="n">
        <v>819.6678409722228</v>
      </c>
      <c r="AE33" s="9" t="n">
        <v>115.884</v>
      </c>
      <c r="AF33" s="9" t="n">
        <v>0</v>
      </c>
      <c r="AG33" s="9" t="n">
        <v>10.00268039248415</v>
      </c>
      <c r="AH33" s="9" t="n">
        <v>37.93412861777982</v>
      </c>
      <c r="AI33" s="9" t="n">
        <v>0.07672939677524042</v>
      </c>
      <c r="AJ33" s="9" t="n">
        <v>1033</v>
      </c>
      <c r="AK33" s="9" t="n">
        <v>396.0353887204063</v>
      </c>
      <c r="AL33" s="9" t="n">
        <v>864.1753557041881</v>
      </c>
      <c r="AM33" s="9" t="n">
        <v>107.334</v>
      </c>
      <c r="AN33" s="9" t="n">
        <v>0</v>
      </c>
      <c r="AO33" s="9" t="n">
        <v>9.008012686480624</v>
      </c>
      <c r="AP33" s="9" t="n">
        <v>19.69949914144263</v>
      </c>
      <c r="AQ33" s="9" t="n">
        <v>0.1065032809172043</v>
      </c>
      <c r="AR33" s="9" t="n">
        <v>1286.25</v>
      </c>
      <c r="AS33" s="9" t="n">
        <v>369.4159126360231</v>
      </c>
      <c r="AT33" s="9" t="n">
        <v>2075.310826220162</v>
      </c>
      <c r="AU33" s="9" t="n">
        <v>101.634</v>
      </c>
      <c r="AV33" s="9" t="n">
        <v>0</v>
      </c>
      <c r="AW33" s="9" t="n">
        <v>1.519803596438969</v>
      </c>
      <c r="AX33" s="9" t="n">
        <v>1.707948020265639</v>
      </c>
      <c r="AY33" s="9" t="n">
        <v>0.04795587298452525</v>
      </c>
    </row>
    <row r="34">
      <c r="A34" s="9" t="n">
        <v>40</v>
      </c>
      <c r="B34" s="9" t="inlineStr">
        <is>
          <t>ББ227</t>
        </is>
      </c>
      <c r="C34" s="9" t="inlineStr"/>
      <c r="D34" s="9" t="inlineStr">
        <is>
          <t>САХАРИСТЫЕ</t>
        </is>
      </c>
      <c r="E34" s="9" t="inlineStr">
        <is>
          <t>Федеральный</t>
        </is>
      </c>
      <c r="F34" s="9" t="n">
        <v>889.8400000000006</v>
      </c>
      <c r="G34" s="9" t="n">
        <v>0</v>
      </c>
      <c r="H34" s="9" t="n">
        <v>2840.35</v>
      </c>
      <c r="I34" s="9" t="n">
        <v>1372.23</v>
      </c>
      <c r="J34" s="9" t="n">
        <v>1333.75</v>
      </c>
      <c r="K34" s="9" t="n">
        <v>0</v>
      </c>
      <c r="L34" s="9" t="n">
        <v>35</v>
      </c>
      <c r="M34" s="9" t="n">
        <v>788.632067516695</v>
      </c>
      <c r="N34" s="9" t="n">
        <v>147.7194184096733</v>
      </c>
      <c r="O34" s="9" t="n">
        <v>39.98399999999999</v>
      </c>
      <c r="P34" s="9" t="n">
        <v>0</v>
      </c>
      <c r="Q34" s="9" t="n">
        <v>1.641540590187546</v>
      </c>
      <c r="R34" s="9" t="n">
        <v>19.47001809428566</v>
      </c>
      <c r="S34" s="9" t="n">
        <v>0</v>
      </c>
      <c r="T34" s="9" t="n">
        <v>62</v>
      </c>
      <c r="U34" s="9" t="n">
        <v>860.5525125511268</v>
      </c>
      <c r="V34" s="9" t="n">
        <v>240.4368750042204</v>
      </c>
      <c r="W34" s="9" t="n">
        <v>39.98399999999999</v>
      </c>
      <c r="X34" s="9" t="n">
        <v>0</v>
      </c>
      <c r="Y34" s="9" t="n">
        <v>3.627289218600265</v>
      </c>
      <c r="Z34" s="9" t="n">
        <v>53.55533640368492</v>
      </c>
      <c r="AA34" s="9" t="n">
        <v>0</v>
      </c>
      <c r="AB34" s="9" t="n">
        <v>73</v>
      </c>
      <c r="AC34" s="9" t="n">
        <v>860.0316589583381</v>
      </c>
      <c r="AD34" s="9" t="n">
        <v>310.4989915231588</v>
      </c>
      <c r="AE34" s="9" t="n">
        <v>39.98399999999999</v>
      </c>
      <c r="AF34" s="9" t="n">
        <v>0</v>
      </c>
      <c r="AG34" s="9" t="n">
        <v>5.401949933994394</v>
      </c>
      <c r="AH34" s="9" t="n">
        <v>53.30938411352535</v>
      </c>
      <c r="AI34" s="9" t="n">
        <v>0</v>
      </c>
      <c r="AJ34" s="9" t="n">
        <v>80</v>
      </c>
      <c r="AK34" s="9" t="n">
        <v>860.3485783345091</v>
      </c>
      <c r="AL34" s="9" t="n">
        <v>308.3882384565639</v>
      </c>
      <c r="AM34" s="9" t="n">
        <v>39.98399999999999</v>
      </c>
      <c r="AN34" s="9" t="n">
        <v>0</v>
      </c>
      <c r="AO34" s="9" t="n">
        <v>4.864779401900875</v>
      </c>
      <c r="AP34" s="9" t="n">
        <v>30.23354539491949</v>
      </c>
      <c r="AQ34" s="9" t="n">
        <v>0</v>
      </c>
      <c r="AR34" s="9" t="n">
        <v>69</v>
      </c>
      <c r="AS34" s="9" t="n">
        <v>860.0133268722941</v>
      </c>
      <c r="AT34" s="9" t="n">
        <v>311.3922313740667</v>
      </c>
      <c r="AU34" s="9" t="n">
        <v>39.98399999999999</v>
      </c>
      <c r="AV34" s="9" t="n">
        <v>0</v>
      </c>
      <c r="AW34" s="9" t="n">
        <v>0.8207702950937744</v>
      </c>
      <c r="AX34" s="9" t="n">
        <v>4.100546431160272</v>
      </c>
      <c r="AY34" s="9" t="n">
        <v>0</v>
      </c>
    </row>
    <row r="35">
      <c r="A35" s="9" t="n">
        <v>41</v>
      </c>
      <c r="B35" s="9" t="inlineStr">
        <is>
          <t>ББ227</t>
        </is>
      </c>
      <c r="C35" s="9" t="inlineStr"/>
      <c r="D35" s="9" t="inlineStr">
        <is>
          <t>САХАРИСТЫЕ</t>
        </is>
      </c>
      <c r="E35" s="9" t="inlineStr">
        <is>
          <t>Федеральный</t>
        </is>
      </c>
      <c r="F35" s="9" t="n">
        <v>8658.055</v>
      </c>
      <c r="G35" s="9" t="n">
        <v>0</v>
      </c>
      <c r="H35" s="9" t="n">
        <v>79.575</v>
      </c>
      <c r="I35" s="9" t="n">
        <v>1188.68</v>
      </c>
      <c r="J35" s="9" t="n">
        <v>1479.75</v>
      </c>
      <c r="K35" s="9" t="n">
        <v>0.08</v>
      </c>
      <c r="L35" s="9" t="n">
        <v>0</v>
      </c>
      <c r="M35" s="9" t="n">
        <v>3.813267674002917</v>
      </c>
      <c r="N35" s="9" t="n">
        <v>711.473536526431</v>
      </c>
      <c r="O35" s="9" t="n">
        <v>308.996</v>
      </c>
      <c r="P35" s="9" t="n">
        <v>0</v>
      </c>
      <c r="Q35" s="9" t="n">
        <v>0.9701977252434931</v>
      </c>
      <c r="R35" s="9" t="n">
        <v>16.25465936178385</v>
      </c>
      <c r="S35" s="9" t="n">
        <v>0.01894878027187031</v>
      </c>
      <c r="T35" s="9" t="n">
        <v>0</v>
      </c>
      <c r="U35" s="9" t="n">
        <v>5.365019051286469</v>
      </c>
      <c r="V35" s="9" t="n">
        <v>895.845836616926</v>
      </c>
      <c r="W35" s="9" t="n">
        <v>313.496</v>
      </c>
      <c r="X35" s="9" t="n">
        <v>0</v>
      </c>
      <c r="Y35" s="9" t="n">
        <v>2.143832305897571</v>
      </c>
      <c r="Z35" s="9" t="n">
        <v>31.36124080046905</v>
      </c>
      <c r="AA35" s="9" t="n">
        <v>0.03789756054374064</v>
      </c>
      <c r="AB35" s="9" t="n">
        <v>0</v>
      </c>
      <c r="AC35" s="9" t="n">
        <v>7.741742045332121</v>
      </c>
      <c r="AD35" s="9" t="n">
        <v>1234.480240645998</v>
      </c>
      <c r="AE35" s="9" t="n">
        <v>321.096</v>
      </c>
      <c r="AF35" s="9" t="n">
        <v>0</v>
      </c>
      <c r="AG35" s="9" t="n">
        <v>3.192707855759948</v>
      </c>
      <c r="AH35" s="9" t="n">
        <v>47.62471818019346</v>
      </c>
      <c r="AI35" s="9" t="n">
        <v>0.06063609686998508</v>
      </c>
      <c r="AJ35" s="9" t="n">
        <v>17</v>
      </c>
      <c r="AK35" s="9" t="n">
        <v>0</v>
      </c>
      <c r="AL35" s="9" t="n">
        <v>1285.575697611176</v>
      </c>
      <c r="AM35" s="9" t="n">
        <v>312.546</v>
      </c>
      <c r="AN35" s="9" t="n">
        <v>0</v>
      </c>
      <c r="AO35" s="9" t="n">
        <v>2.875224613846675</v>
      </c>
      <c r="AP35" s="9" t="n">
        <v>25.1994098517604</v>
      </c>
      <c r="AQ35" s="9" t="n">
        <v>0.08416517697361506</v>
      </c>
      <c r="AR35" s="9" t="n">
        <v>69</v>
      </c>
      <c r="AS35" s="9" t="n">
        <v>0</v>
      </c>
      <c r="AT35" s="9" t="n">
        <v>947.5024955094034</v>
      </c>
      <c r="AU35" s="9" t="n">
        <v>306.846</v>
      </c>
      <c r="AV35" s="9" t="n">
        <v>0</v>
      </c>
      <c r="AW35" s="9" t="n">
        <v>0.4850988626217475</v>
      </c>
      <c r="AX35" s="9" t="n">
        <v>21.31215177923919</v>
      </c>
      <c r="AY35" s="9" t="n">
        <v>0.03789756054374068</v>
      </c>
    </row>
    <row r="36">
      <c r="A36" s="9" t="n">
        <v>42</v>
      </c>
      <c r="B36" s="9" t="inlineStr">
        <is>
          <t>ББ196</t>
        </is>
      </c>
      <c r="C36" s="9" t="inlineStr"/>
      <c r="D36" s="9" t="inlineStr">
        <is>
          <t>САХАРИСТЫЕ</t>
        </is>
      </c>
      <c r="E36" s="9" t="inlineStr">
        <is>
          <t>Федеральный</t>
        </is>
      </c>
      <c r="F36" s="9" t="n">
        <v>6249.650000000001</v>
      </c>
      <c r="G36" s="9" t="n">
        <v>0</v>
      </c>
      <c r="H36" s="9" t="n">
        <v>3588.945</v>
      </c>
      <c r="I36" s="9" t="n">
        <v>1974.9</v>
      </c>
      <c r="J36" s="9" t="n">
        <v>2068.31</v>
      </c>
      <c r="K36" s="9" t="n">
        <v>0</v>
      </c>
      <c r="L36" s="9" t="n">
        <v>0</v>
      </c>
      <c r="M36" s="9" t="n">
        <v>1513.643571245333</v>
      </c>
      <c r="N36" s="9" t="n">
        <v>167.5781283487636</v>
      </c>
      <c r="O36" s="9" t="n">
        <v>192.11</v>
      </c>
      <c r="P36" s="9" t="n">
        <v>0</v>
      </c>
      <c r="Q36" s="9" t="n">
        <v>2.616512135515704</v>
      </c>
      <c r="R36" s="9" t="n">
        <v>16.45503048736263</v>
      </c>
      <c r="S36" s="9" t="n">
        <v>0</v>
      </c>
      <c r="T36" s="9" t="n">
        <v>0</v>
      </c>
      <c r="U36" s="9" t="n">
        <v>1580.59034308154</v>
      </c>
      <c r="V36" s="9" t="n">
        <v>351.8448228810132</v>
      </c>
      <c r="W36" s="9" t="n">
        <v>196.61</v>
      </c>
      <c r="X36" s="9" t="n">
        <v>0</v>
      </c>
      <c r="Y36" s="9" t="n">
        <v>5.781670167783387</v>
      </c>
      <c r="Z36" s="9" t="n">
        <v>43.39619761810044</v>
      </c>
      <c r="AA36" s="9" t="n">
        <v>0</v>
      </c>
      <c r="AB36" s="9" t="n">
        <v>104</v>
      </c>
      <c r="AC36" s="9" t="n">
        <v>1470</v>
      </c>
      <c r="AD36" s="9" t="n">
        <v>394.5894570069394</v>
      </c>
      <c r="AE36" s="9" t="n">
        <v>204.21</v>
      </c>
      <c r="AF36" s="9" t="n">
        <v>0</v>
      </c>
      <c r="AG36" s="9" t="n">
        <v>8.610367384293403</v>
      </c>
      <c r="AH36" s="9" t="n">
        <v>41.46780180847423</v>
      </c>
      <c r="AI36" s="9" t="n">
        <v>0</v>
      </c>
      <c r="AJ36" s="9" t="n">
        <v>99</v>
      </c>
      <c r="AK36" s="9" t="n">
        <v>1470</v>
      </c>
      <c r="AL36" s="9" t="n">
        <v>447.7529112845847</v>
      </c>
      <c r="AM36" s="9" t="n">
        <v>195.66</v>
      </c>
      <c r="AN36" s="9" t="n">
        <v>0</v>
      </c>
      <c r="AO36" s="9" t="n">
        <v>7.754151446371612</v>
      </c>
      <c r="AP36" s="9" t="n">
        <v>14.77177126406894</v>
      </c>
      <c r="AQ36" s="9" t="n">
        <v>0</v>
      </c>
      <c r="AR36" s="9" t="n">
        <v>183</v>
      </c>
      <c r="AS36" s="9" t="n">
        <v>1470</v>
      </c>
      <c r="AT36" s="9" t="n">
        <v>329.0217843063101</v>
      </c>
      <c r="AU36" s="9" t="n">
        <v>189.96</v>
      </c>
      <c r="AV36" s="9" t="n">
        <v>0</v>
      </c>
      <c r="AW36" s="9" t="n">
        <v>1.308256067757854</v>
      </c>
      <c r="AX36" s="9" t="n">
        <v>1.878795379764848</v>
      </c>
      <c r="AY36" s="9" t="n">
        <v>0</v>
      </c>
    </row>
    <row r="37">
      <c r="A37" s="9" t="n">
        <v>43</v>
      </c>
      <c r="B37" s="9" t="inlineStr">
        <is>
          <t>ББ196</t>
        </is>
      </c>
      <c r="C37" s="9" t="inlineStr"/>
      <c r="D37" s="9" t="inlineStr">
        <is>
          <t>САХАРИСТЫЕ</t>
        </is>
      </c>
      <c r="E37" s="9" t="inlineStr">
        <is>
          <t>Федеральный</t>
        </is>
      </c>
      <c r="F37" s="9" t="n">
        <v>9272.025</v>
      </c>
      <c r="G37" s="9" t="n">
        <v>0</v>
      </c>
      <c r="H37" s="9" t="n">
        <v>3084.77</v>
      </c>
      <c r="I37" s="9" t="n">
        <v>2065.6</v>
      </c>
      <c r="J37" s="9" t="n">
        <v>2086.73</v>
      </c>
      <c r="K37" s="9" t="n">
        <v>455.47</v>
      </c>
      <c r="L37" s="9" t="n">
        <v>1049</v>
      </c>
      <c r="M37" s="9" t="n">
        <v>276.8762673857466</v>
      </c>
      <c r="N37" s="9" t="n">
        <v>154.1010952086366</v>
      </c>
      <c r="O37" s="9" t="n">
        <v>83.20399999999999</v>
      </c>
      <c r="P37" s="9" t="n">
        <v>0</v>
      </c>
      <c r="Q37" s="9" t="n">
        <v>2.479114409894914</v>
      </c>
      <c r="R37" s="9" t="n">
        <v>12.02551389019886</v>
      </c>
      <c r="S37" s="9" t="n">
        <v>0</v>
      </c>
      <c r="T37" s="9" t="n">
        <v>602</v>
      </c>
      <c r="U37" s="9" t="n">
        <v>701.5888142884313</v>
      </c>
      <c r="V37" s="9" t="n">
        <v>370.4071769881936</v>
      </c>
      <c r="W37" s="9" t="n">
        <v>87.70399999999999</v>
      </c>
      <c r="X37" s="9" t="n">
        <v>0</v>
      </c>
      <c r="Y37" s="9" t="n">
        <v>5.478064340560103</v>
      </c>
      <c r="Z37" s="9" t="n">
        <v>32.56384915288662</v>
      </c>
      <c r="AA37" s="9" t="n">
        <v>0</v>
      </c>
      <c r="AB37" s="9" t="n">
        <v>725</v>
      </c>
      <c r="AC37" s="9" t="n">
        <v>640.9224719677603</v>
      </c>
      <c r="AD37" s="9" t="n">
        <v>571.4416160259208</v>
      </c>
      <c r="AE37" s="9" t="n">
        <v>95.304</v>
      </c>
      <c r="AF37" s="9" t="n">
        <v>0</v>
      </c>
      <c r="AG37" s="9" t="n">
        <v>8.158221613859906</v>
      </c>
      <c r="AH37" s="9" t="n">
        <v>31.63475753782589</v>
      </c>
      <c r="AI37" s="9" t="n">
        <v>0</v>
      </c>
      <c r="AJ37" s="9" t="n">
        <v>1127</v>
      </c>
      <c r="AK37" s="9" t="n">
        <v>684.4094915469465</v>
      </c>
      <c r="AL37" s="9" t="n">
        <v>589.6248930474521</v>
      </c>
      <c r="AM37" s="9" t="n">
        <v>86.75399999999999</v>
      </c>
      <c r="AN37" s="9" t="n">
        <v>0</v>
      </c>
      <c r="AO37" s="9" t="n">
        <v>7.346967104136322</v>
      </c>
      <c r="AP37" s="9" t="n">
        <v>14.78798882090661</v>
      </c>
      <c r="AQ37" s="9" t="n">
        <v>0</v>
      </c>
      <c r="AR37" s="9" t="n">
        <v>1797.25</v>
      </c>
      <c r="AS37" s="9" t="n">
        <v>638.4069811374013</v>
      </c>
      <c r="AT37" s="9" t="n">
        <v>506.8120696257595</v>
      </c>
      <c r="AU37" s="9" t="n">
        <v>81.05399999999999</v>
      </c>
      <c r="AV37" s="9" t="n">
        <v>0</v>
      </c>
      <c r="AW37" s="9" t="n">
        <v>1.239557204947459</v>
      </c>
      <c r="AX37" s="9" t="n">
        <v>2.127393854247607</v>
      </c>
      <c r="AY37" s="9" t="n">
        <v>0</v>
      </c>
    </row>
    <row r="38">
      <c r="A38" s="9" t="n">
        <v>44</v>
      </c>
      <c r="B38" s="9" t="inlineStr">
        <is>
          <t>РФ133</t>
        </is>
      </c>
      <c r="C38" s="9" t="inlineStr"/>
      <c r="D38" s="9" t="inlineStr">
        <is>
          <t>САХАРИСТЫЕ</t>
        </is>
      </c>
      <c r="E38" s="9" t="inlineStr">
        <is>
          <t>Федеральный</t>
        </is>
      </c>
      <c r="F38" s="9" t="n">
        <v>25196.5</v>
      </c>
      <c r="G38" s="9" t="n">
        <v>0</v>
      </c>
      <c r="H38" s="9" t="n">
        <v>13062.135</v>
      </c>
      <c r="I38" s="9" t="n">
        <v>8481.290000000001</v>
      </c>
      <c r="J38" s="9" t="n">
        <v>7888.46</v>
      </c>
      <c r="K38" s="9" t="n">
        <v>5485.08</v>
      </c>
      <c r="L38" s="9" t="n">
        <v>1501</v>
      </c>
      <c r="M38" s="9" t="n">
        <v>93.44065446952783</v>
      </c>
      <c r="N38" s="9" t="n">
        <v>485.3669660802015</v>
      </c>
      <c r="O38" s="9" t="n">
        <v>110.4</v>
      </c>
      <c r="P38" s="9" t="n">
        <v>0</v>
      </c>
      <c r="Q38" s="9" t="n">
        <v>13.93529961536906</v>
      </c>
      <c r="R38" s="9" t="n">
        <v>292.7293889072856</v>
      </c>
      <c r="S38" s="9" t="n">
        <v>0</v>
      </c>
      <c r="T38" s="9" t="n">
        <v>6961</v>
      </c>
      <c r="U38" s="9" t="n">
        <v>236.4087250048251</v>
      </c>
      <c r="V38" s="9" t="n">
        <v>864.2253170229068</v>
      </c>
      <c r="W38" s="9" t="n">
        <v>110.4</v>
      </c>
      <c r="X38" s="9" t="n">
        <v>0</v>
      </c>
      <c r="Y38" s="9" t="n">
        <v>30.79263610960578</v>
      </c>
      <c r="Z38" s="9" t="n">
        <v>836.8336477136116</v>
      </c>
      <c r="AA38" s="9" t="n">
        <v>0</v>
      </c>
      <c r="AB38" s="9" t="n">
        <v>6577</v>
      </c>
      <c r="AC38" s="9" t="n">
        <v>212.9384519381642</v>
      </c>
      <c r="AD38" s="9" t="n">
        <v>1155.933764845537</v>
      </c>
      <c r="AE38" s="9" t="n">
        <v>110.4</v>
      </c>
      <c r="AF38" s="9" t="n">
        <v>0</v>
      </c>
      <c r="AG38" s="9" t="n">
        <v>45.85801367776993</v>
      </c>
      <c r="AH38" s="9" t="n">
        <v>677.6099299980023</v>
      </c>
      <c r="AI38" s="9" t="n">
        <v>0</v>
      </c>
      <c r="AJ38" s="9" t="n">
        <v>5280</v>
      </c>
      <c r="AK38" s="9" t="n">
        <v>227.4943612968519</v>
      </c>
      <c r="AL38" s="9" t="n">
        <v>1152.980572860925</v>
      </c>
      <c r="AM38" s="9" t="n">
        <v>110.4</v>
      </c>
      <c r="AN38" s="9" t="n">
        <v>0</v>
      </c>
      <c r="AO38" s="9" t="n">
        <v>41.29788744390375</v>
      </c>
      <c r="AP38" s="9" t="n">
        <v>68.09391708674691</v>
      </c>
      <c r="AQ38" s="9" t="n">
        <v>0</v>
      </c>
      <c r="AR38" s="9" t="n">
        <v>2736</v>
      </c>
      <c r="AS38" s="9" t="n">
        <v>211.6102313863216</v>
      </c>
      <c r="AT38" s="9" t="n">
        <v>888.6822727274697</v>
      </c>
      <c r="AU38" s="9" t="n">
        <v>110.4</v>
      </c>
      <c r="AV38" s="9" t="n">
        <v>0</v>
      </c>
      <c r="AW38" s="9" t="n">
        <v>6.967649807684543</v>
      </c>
      <c r="AX38" s="9" t="n">
        <v>9.538445202079329</v>
      </c>
      <c r="AY38" s="9" t="n">
        <v>0</v>
      </c>
    </row>
    <row r="39">
      <c r="A39" s="9" t="n">
        <v>45</v>
      </c>
      <c r="B39" s="9" t="inlineStr">
        <is>
          <t>РФ133</t>
        </is>
      </c>
      <c r="C39" s="9" t="inlineStr"/>
      <c r="D39" s="9" t="inlineStr">
        <is>
          <t>САХАРИСТЫЕ</t>
        </is>
      </c>
      <c r="E39" s="9" t="inlineStr">
        <is>
          <t>Федеральный</t>
        </is>
      </c>
      <c r="F39" s="9" t="n">
        <v>15669.75</v>
      </c>
      <c r="G39" s="9" t="n">
        <v>0</v>
      </c>
      <c r="H39" s="9" t="n">
        <v>7267.99</v>
      </c>
      <c r="I39" s="9" t="n">
        <v>6947.74</v>
      </c>
      <c r="J39" s="9" t="n">
        <v>5701.64</v>
      </c>
      <c r="K39" s="9" t="n">
        <v>5036.24</v>
      </c>
      <c r="L39" s="9" t="n">
        <v>3095</v>
      </c>
      <c r="M39" s="9" t="n">
        <v>188.6394600380696</v>
      </c>
      <c r="N39" s="9" t="n">
        <v>154.9319828413487</v>
      </c>
      <c r="O39" s="9" t="n">
        <v>0</v>
      </c>
      <c r="P39" s="9" t="n">
        <v>0</v>
      </c>
      <c r="Q39" s="9" t="n">
        <v>9.569184804814908</v>
      </c>
      <c r="R39" s="9" t="n">
        <v>175.3429955058282</v>
      </c>
      <c r="S39" s="9" t="n">
        <v>0</v>
      </c>
      <c r="T39" s="9" t="n">
        <v>1590</v>
      </c>
      <c r="U39" s="9" t="n">
        <v>464.8452026599747</v>
      </c>
      <c r="V39" s="9" t="n">
        <v>409.007977765083</v>
      </c>
      <c r="W39" s="9" t="n">
        <v>0</v>
      </c>
      <c r="X39" s="9" t="n">
        <v>0</v>
      </c>
      <c r="Y39" s="9" t="n">
        <v>21.14489344995908</v>
      </c>
      <c r="Z39" s="9" t="n">
        <v>420.1613278837955</v>
      </c>
      <c r="AA39" s="9" t="n">
        <v>0</v>
      </c>
      <c r="AB39" s="9" t="n">
        <v>2704</v>
      </c>
      <c r="AC39" s="9" t="n">
        <v>433.5621015842256</v>
      </c>
      <c r="AD39" s="9" t="n">
        <v>614.9651128062578</v>
      </c>
      <c r="AE39" s="9" t="n">
        <v>0</v>
      </c>
      <c r="AF39" s="9" t="n">
        <v>0</v>
      </c>
      <c r="AG39" s="9" t="n">
        <v>31.49008774668448</v>
      </c>
      <c r="AH39" s="9" t="n">
        <v>405.8839303899736</v>
      </c>
      <c r="AI39" s="9" t="n">
        <v>0</v>
      </c>
      <c r="AJ39" s="9" t="n">
        <v>1958</v>
      </c>
      <c r="AK39" s="9" t="n">
        <v>579.2934762829419</v>
      </c>
      <c r="AL39" s="9" t="n">
        <v>609.2227626739417</v>
      </c>
      <c r="AM39" s="9" t="n">
        <v>0</v>
      </c>
      <c r="AN39" s="9" t="n">
        <v>0</v>
      </c>
      <c r="AO39" s="9" t="n">
        <v>28.35870974480616</v>
      </c>
      <c r="AP39" s="9" t="n">
        <v>56.77296695780745</v>
      </c>
      <c r="AQ39" s="9" t="n">
        <v>0</v>
      </c>
      <c r="AR39" s="9" t="n">
        <v>4609</v>
      </c>
      <c r="AS39" s="9" t="n">
        <v>432.4610541717038</v>
      </c>
      <c r="AT39" s="9" t="n">
        <v>475.3287346068475</v>
      </c>
      <c r="AU39" s="9" t="n">
        <v>0</v>
      </c>
      <c r="AV39" s="9" t="n">
        <v>0</v>
      </c>
      <c r="AW39" s="9" t="n">
        <v>4.784592402407463</v>
      </c>
      <c r="AX39" s="9" t="n">
        <v>7.754927051588252</v>
      </c>
      <c r="AY39" s="9" t="n">
        <v>0</v>
      </c>
    </row>
    <row r="40">
      <c r="A40" s="9" t="n">
        <v>46</v>
      </c>
      <c r="B40" s="9" t="inlineStr">
        <is>
          <t>РФ136</t>
        </is>
      </c>
      <c r="C40" s="9" t="inlineStr"/>
      <c r="D40" s="9" t="inlineStr">
        <is>
          <t>САХАРИСТЫЕ</t>
        </is>
      </c>
      <c r="E40" s="9" t="inlineStr">
        <is>
          <t>Федеральный</t>
        </is>
      </c>
      <c r="F40" s="9" t="n">
        <v>1980.75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0</v>
      </c>
      <c r="Z40" s="9" t="n">
        <v>0</v>
      </c>
      <c r="AA40" s="9" t="n">
        <v>0</v>
      </c>
      <c r="AB40" s="9" t="n">
        <v>0</v>
      </c>
      <c r="AC40" s="9" t="n">
        <v>0</v>
      </c>
      <c r="AD40" s="9" t="n">
        <v>0</v>
      </c>
      <c r="AE40" s="9" t="n">
        <v>0</v>
      </c>
      <c r="AF40" s="9" t="n">
        <v>0</v>
      </c>
      <c r="AG40" s="9" t="n">
        <v>0</v>
      </c>
      <c r="AH40" s="9" t="n">
        <v>0</v>
      </c>
      <c r="AI40" s="9" t="n">
        <v>0</v>
      </c>
      <c r="AJ40" s="9" t="n">
        <v>0</v>
      </c>
      <c r="AK40" s="9" t="n">
        <v>0</v>
      </c>
      <c r="AL40" s="9" t="n">
        <v>0</v>
      </c>
      <c r="AM40" s="9" t="n">
        <v>0</v>
      </c>
      <c r="AN40" s="9" t="n">
        <v>0</v>
      </c>
      <c r="AO40" s="9" t="n">
        <v>0</v>
      </c>
      <c r="AP40" s="9" t="n">
        <v>0</v>
      </c>
      <c r="AQ40" s="9" t="n">
        <v>0</v>
      </c>
      <c r="AR40" s="9" t="n">
        <v>0</v>
      </c>
      <c r="AS40" s="9" t="n">
        <v>0</v>
      </c>
      <c r="AT40" s="9" t="n">
        <v>0</v>
      </c>
      <c r="AU40" s="9" t="n">
        <v>0</v>
      </c>
      <c r="AV40" s="9" t="n">
        <v>0</v>
      </c>
      <c r="AW40" s="9" t="n">
        <v>0</v>
      </c>
      <c r="AX40" s="9" t="n">
        <v>0</v>
      </c>
      <c r="AY40" s="9" t="n">
        <v>0</v>
      </c>
    </row>
    <row r="41">
      <c r="A41" s="9" t="n">
        <v>47</v>
      </c>
      <c r="B41" s="9" t="inlineStr">
        <is>
          <t>РФ133</t>
        </is>
      </c>
      <c r="C41" s="9" t="inlineStr"/>
      <c r="D41" s="9" t="inlineStr">
        <is>
          <t>САХАРИСТЫЕ</t>
        </is>
      </c>
      <c r="E41" s="9" t="inlineStr">
        <is>
          <t>Федеральный</t>
        </is>
      </c>
      <c r="F41" s="9" t="n">
        <v>17581.5</v>
      </c>
      <c r="G41" s="9" t="n">
        <v>0</v>
      </c>
      <c r="H41" s="9" t="n">
        <v>5903.86</v>
      </c>
      <c r="I41" s="9" t="n">
        <v>7119.82</v>
      </c>
      <c r="J41" s="9" t="n">
        <v>6644.92</v>
      </c>
      <c r="K41" s="9" t="n">
        <v>4481.23</v>
      </c>
      <c r="L41" s="9" t="n">
        <v>5073</v>
      </c>
      <c r="M41" s="9" t="n">
        <v>390.107942167827</v>
      </c>
      <c r="N41" s="9" t="n">
        <v>411.5541919462279</v>
      </c>
      <c r="O41" s="9" t="n">
        <v>122.4</v>
      </c>
      <c r="P41" s="9" t="n">
        <v>0</v>
      </c>
      <c r="Q41" s="9" t="n">
        <v>10.72046467772142</v>
      </c>
      <c r="R41" s="9" t="n">
        <v>127.1964941620472</v>
      </c>
      <c r="S41" s="9" t="n">
        <v>0</v>
      </c>
      <c r="T41" s="9" t="n">
        <v>2370</v>
      </c>
      <c r="U41" s="9" t="n">
        <v>988.5114790597449</v>
      </c>
      <c r="V41" s="9" t="n">
        <v>485.3726128763965</v>
      </c>
      <c r="W41" s="9" t="n">
        <v>122.4</v>
      </c>
      <c r="X41" s="9" t="n">
        <v>0</v>
      </c>
      <c r="Y41" s="9" t="n">
        <v>23.68886043776786</v>
      </c>
      <c r="Z41" s="9" t="n">
        <v>351.8401539629546</v>
      </c>
      <c r="AA41" s="9" t="n">
        <v>0</v>
      </c>
      <c r="AB41" s="9" t="n">
        <v>2997</v>
      </c>
      <c r="AC41" s="9" t="n">
        <v>889.3395783509326</v>
      </c>
      <c r="AD41" s="9" t="n">
        <v>654.0444694555347</v>
      </c>
      <c r="AE41" s="9" t="n">
        <v>122.4</v>
      </c>
      <c r="AF41" s="9" t="n">
        <v>0</v>
      </c>
      <c r="AG41" s="9" t="n">
        <v>35.27869722160819</v>
      </c>
      <c r="AH41" s="9" t="n">
        <v>294.4344188565036</v>
      </c>
      <c r="AI41" s="9" t="n">
        <v>0</v>
      </c>
      <c r="AJ41" s="9" t="n">
        <v>1956</v>
      </c>
      <c r="AK41" s="9" t="n">
        <v>949.6818652074896</v>
      </c>
      <c r="AL41" s="9" t="n">
        <v>657.5099675539606</v>
      </c>
      <c r="AM41" s="9" t="n">
        <v>122.4</v>
      </c>
      <c r="AN41" s="9" t="n">
        <v>0</v>
      </c>
      <c r="AO41" s="9" t="n">
        <v>31.7705794512377</v>
      </c>
      <c r="AP41" s="9" t="n">
        <v>68.57047296809382</v>
      </c>
      <c r="AQ41" s="9" t="n">
        <v>0</v>
      </c>
      <c r="AR41" s="9" t="n">
        <v>4382.5</v>
      </c>
      <c r="AS41" s="9" t="n">
        <v>885.8491007155507</v>
      </c>
      <c r="AT41" s="9" t="n">
        <v>513.5145765521916</v>
      </c>
      <c r="AU41" s="9" t="n">
        <v>122.4</v>
      </c>
      <c r="AV41" s="9" t="n">
        <v>0</v>
      </c>
      <c r="AW41" s="9" t="n">
        <v>5.360232338860719</v>
      </c>
      <c r="AX41" s="9" t="n">
        <v>10.96621985440846</v>
      </c>
      <c r="AY41" s="9" t="n">
        <v>0</v>
      </c>
    </row>
    <row r="42">
      <c r="A42" s="9" t="n">
        <v>48</v>
      </c>
      <c r="B42" s="9" t="inlineStr">
        <is>
          <t>РФ234</t>
        </is>
      </c>
      <c r="C42" s="9" t="inlineStr"/>
      <c r="D42" s="9" t="inlineStr">
        <is>
          <t>САХАРИСТЫЕ</t>
        </is>
      </c>
      <c r="E42" s="9" t="inlineStr">
        <is>
          <t>Федеральный</t>
        </is>
      </c>
      <c r="F42" s="9" t="n">
        <v>1722.25</v>
      </c>
      <c r="G42" s="9" t="n">
        <v>0</v>
      </c>
      <c r="H42" s="9" t="n">
        <v>943.1849999999999</v>
      </c>
      <c r="I42" s="9" t="n">
        <v>515.27</v>
      </c>
      <c r="J42" s="9" t="n">
        <v>379.54</v>
      </c>
      <c r="K42" s="9" t="n">
        <v>0</v>
      </c>
      <c r="L42" s="9" t="n">
        <v>0</v>
      </c>
      <c r="M42" s="9" t="n">
        <v>0</v>
      </c>
      <c r="N42" s="9" t="n">
        <v>166.3717132937726</v>
      </c>
      <c r="O42" s="9" t="n">
        <v>70.67823499730484</v>
      </c>
      <c r="P42" s="9" t="n">
        <v>0</v>
      </c>
      <c r="Q42" s="9" t="n">
        <v>0</v>
      </c>
      <c r="R42" s="9" t="n">
        <v>17.83149471448365</v>
      </c>
      <c r="S42" s="9" t="n">
        <v>0</v>
      </c>
      <c r="T42" s="9" t="n">
        <v>0</v>
      </c>
      <c r="U42" s="9" t="n">
        <v>0</v>
      </c>
      <c r="V42" s="9" t="n">
        <v>200.4968352368413</v>
      </c>
      <c r="W42" s="9" t="n">
        <v>125.404367399331</v>
      </c>
      <c r="X42" s="9" t="n">
        <v>0</v>
      </c>
      <c r="Y42" s="9" t="n">
        <v>0</v>
      </c>
      <c r="Z42" s="9" t="n">
        <v>32.12675513386288</v>
      </c>
      <c r="AA42" s="9" t="n">
        <v>0</v>
      </c>
      <c r="AB42" s="9" t="n">
        <v>0</v>
      </c>
      <c r="AC42" s="9" t="n">
        <v>0</v>
      </c>
      <c r="AD42" s="9" t="n">
        <v>264.3432618813937</v>
      </c>
      <c r="AE42" s="9" t="n">
        <v>150.0392268969097</v>
      </c>
      <c r="AF42" s="9" t="n">
        <v>0</v>
      </c>
      <c r="AG42" s="9" t="n">
        <v>0</v>
      </c>
      <c r="AH42" s="9" t="n">
        <v>48.78721696723873</v>
      </c>
      <c r="AI42" s="9" t="n">
        <v>0</v>
      </c>
      <c r="AJ42" s="9" t="n">
        <v>0</v>
      </c>
      <c r="AK42" s="9" t="n">
        <v>0</v>
      </c>
      <c r="AL42" s="9" t="n">
        <v>263.6036335539789</v>
      </c>
      <c r="AM42" s="9" t="n">
        <v>148.3818611200863</v>
      </c>
      <c r="AN42" s="9" t="n">
        <v>0</v>
      </c>
      <c r="AO42" s="9" t="n">
        <v>0</v>
      </c>
      <c r="AP42" s="9" t="n">
        <v>25.8145165548823</v>
      </c>
      <c r="AQ42" s="9" t="n">
        <v>0</v>
      </c>
      <c r="AR42" s="9" t="n">
        <v>20</v>
      </c>
      <c r="AS42" s="9" t="n">
        <v>0</v>
      </c>
      <c r="AT42" s="9" t="n">
        <v>192.0883249328598</v>
      </c>
      <c r="AU42" s="9" t="n">
        <v>126.8047172546153</v>
      </c>
      <c r="AV42" s="9" t="n">
        <v>0</v>
      </c>
      <c r="AW42" s="9" t="n">
        <v>0</v>
      </c>
      <c r="AX42" s="9" t="n">
        <v>23.22592786479865</v>
      </c>
      <c r="AY42" s="9" t="n">
        <v>0</v>
      </c>
    </row>
    <row r="43">
      <c r="A43" s="9" t="n">
        <v>49</v>
      </c>
      <c r="B43" s="9" t="inlineStr">
        <is>
          <t>РФ234</t>
        </is>
      </c>
      <c r="C43" s="9" t="inlineStr"/>
      <c r="D43" s="9" t="inlineStr">
        <is>
          <t>САХАРИСТЫЕ</t>
        </is>
      </c>
      <c r="E43" s="9" t="inlineStr">
        <is>
          <t>Федеральный</t>
        </is>
      </c>
      <c r="F43" s="9" t="n">
        <v>491.5000000000001</v>
      </c>
      <c r="G43" s="9" t="n">
        <v>0</v>
      </c>
      <c r="H43" s="9" t="n">
        <v>1006.18</v>
      </c>
      <c r="I43" s="9" t="n">
        <v>512.01</v>
      </c>
      <c r="J43" s="9" t="n">
        <v>347.39</v>
      </c>
      <c r="K43" s="9" t="n">
        <v>56.59</v>
      </c>
      <c r="L43" s="9" t="n">
        <v>0</v>
      </c>
      <c r="M43" s="9" t="n">
        <v>0</v>
      </c>
      <c r="N43" s="9" t="n">
        <v>166.0377016861506</v>
      </c>
      <c r="O43" s="9" t="n">
        <v>75.55904131325156</v>
      </c>
      <c r="P43" s="9" t="n">
        <v>0</v>
      </c>
      <c r="Q43" s="9" t="n">
        <v>0</v>
      </c>
      <c r="R43" s="9" t="n">
        <v>17.83149471448365</v>
      </c>
      <c r="S43" s="9" t="n">
        <v>0</v>
      </c>
      <c r="T43" s="9" t="n">
        <v>0</v>
      </c>
      <c r="U43" s="9" t="n">
        <v>0</v>
      </c>
      <c r="V43" s="9" t="n">
        <v>209.2112643946422</v>
      </c>
      <c r="W43" s="9" t="n">
        <v>127.1679872380671</v>
      </c>
      <c r="X43" s="9" t="n">
        <v>0</v>
      </c>
      <c r="Y43" s="9" t="n">
        <v>0</v>
      </c>
      <c r="Z43" s="9" t="n">
        <v>32.12675513386288</v>
      </c>
      <c r="AA43" s="9" t="n">
        <v>0</v>
      </c>
      <c r="AB43" s="9" t="n">
        <v>0</v>
      </c>
      <c r="AC43" s="9" t="n">
        <v>0</v>
      </c>
      <c r="AD43" s="9" t="n">
        <v>261.2902659713104</v>
      </c>
      <c r="AE43" s="9" t="n">
        <v>150.7456115648785</v>
      </c>
      <c r="AF43" s="9" t="n">
        <v>0</v>
      </c>
      <c r="AG43" s="9" t="n">
        <v>0</v>
      </c>
      <c r="AH43" s="9" t="n">
        <v>48.78721696723873</v>
      </c>
      <c r="AI43" s="9" t="n">
        <v>0</v>
      </c>
      <c r="AJ43" s="9" t="n">
        <v>0</v>
      </c>
      <c r="AK43" s="9" t="n">
        <v>0</v>
      </c>
      <c r="AL43" s="9" t="n">
        <v>260.2013370084204</v>
      </c>
      <c r="AM43" s="9" t="n">
        <v>148.6604679527868</v>
      </c>
      <c r="AN43" s="9" t="n">
        <v>0</v>
      </c>
      <c r="AO43" s="9" t="n">
        <v>0</v>
      </c>
      <c r="AP43" s="9" t="n">
        <v>25.8145165548823</v>
      </c>
      <c r="AQ43" s="9" t="n">
        <v>0</v>
      </c>
      <c r="AR43" s="9" t="n">
        <v>0</v>
      </c>
      <c r="AS43" s="9" t="n">
        <v>0</v>
      </c>
      <c r="AT43" s="9" t="n">
        <v>187.7894458967378</v>
      </c>
      <c r="AU43" s="9" t="n">
        <v>128.0687079062015</v>
      </c>
      <c r="AV43" s="9" t="n">
        <v>0</v>
      </c>
      <c r="AW43" s="9" t="n">
        <v>0</v>
      </c>
      <c r="AX43" s="9" t="n">
        <v>23.22592786479865</v>
      </c>
      <c r="AY43" s="9" t="n">
        <v>0</v>
      </c>
    </row>
    <row r="44">
      <c r="A44" s="9" t="n">
        <v>50</v>
      </c>
      <c r="B44" s="9" t="inlineStr">
        <is>
          <t>РФ133</t>
        </is>
      </c>
      <c r="C44" s="9" t="inlineStr"/>
      <c r="D44" s="9" t="inlineStr">
        <is>
          <t>САХАРИСТЫЕ</t>
        </is>
      </c>
      <c r="E44" s="9" t="inlineStr">
        <is>
          <t>Федеральный</t>
        </is>
      </c>
      <c r="F44" s="9" t="n">
        <v>11025.75</v>
      </c>
      <c r="G44" s="9" t="n">
        <v>0</v>
      </c>
      <c r="H44" s="9" t="n">
        <v>4710.02</v>
      </c>
      <c r="I44" s="9" t="n">
        <v>5477.94</v>
      </c>
      <c r="J44" s="9" t="n">
        <v>2169.7</v>
      </c>
      <c r="K44" s="9" t="n">
        <v>873.75</v>
      </c>
      <c r="L44" s="9" t="n">
        <v>246</v>
      </c>
      <c r="M44" s="9" t="n">
        <v>144.1603431079135</v>
      </c>
      <c r="N44" s="9" t="n">
        <v>206.4933330917063</v>
      </c>
      <c r="O44" s="9" t="n">
        <v>102.4</v>
      </c>
      <c r="P44" s="9" t="n">
        <v>0</v>
      </c>
      <c r="Q44" s="9" t="n">
        <v>8.054637600053987</v>
      </c>
      <c r="R44" s="9" t="n">
        <v>19.56042101696402</v>
      </c>
      <c r="S44" s="9" t="n">
        <v>0</v>
      </c>
      <c r="T44" s="9" t="n">
        <v>245</v>
      </c>
      <c r="U44" s="9" t="n">
        <v>351.9605269198674</v>
      </c>
      <c r="V44" s="9" t="n">
        <v>395.6020076859642</v>
      </c>
      <c r="W44" s="9" t="n">
        <v>102.4</v>
      </c>
      <c r="X44" s="9" t="n">
        <v>0</v>
      </c>
      <c r="Y44" s="9" t="n">
        <v>17.79821973398182</v>
      </c>
      <c r="Z44" s="9" t="n">
        <v>199.7963579775159</v>
      </c>
      <c r="AA44" s="9" t="n">
        <v>0</v>
      </c>
      <c r="AB44" s="9" t="n">
        <v>46</v>
      </c>
      <c r="AC44" s="9" t="n">
        <v>332.2091872427466</v>
      </c>
      <c r="AD44" s="9" t="n">
        <v>751.0493767859052</v>
      </c>
      <c r="AE44" s="9" t="n">
        <v>102.4</v>
      </c>
      <c r="AF44" s="9" t="n">
        <v>0</v>
      </c>
      <c r="AG44" s="9" t="n">
        <v>26.50604518222075</v>
      </c>
      <c r="AH44" s="9" t="n">
        <v>57.30117568130964</v>
      </c>
      <c r="AI44" s="9" t="n">
        <v>0</v>
      </c>
      <c r="AJ44" s="9" t="n">
        <v>0</v>
      </c>
      <c r="AK44" s="9" t="n">
        <v>432.0974708122596</v>
      </c>
      <c r="AL44" s="9" t="n">
        <v>751.7189770474358</v>
      </c>
      <c r="AM44" s="9" t="n">
        <v>102.4</v>
      </c>
      <c r="AN44" s="9" t="n">
        <v>0</v>
      </c>
      <c r="AO44" s="9" t="n">
        <v>23.87028095482072</v>
      </c>
      <c r="AP44" s="9" t="n">
        <v>41.27596816072406</v>
      </c>
      <c r="AQ44" s="9" t="n">
        <v>0</v>
      </c>
      <c r="AR44" s="9" t="n">
        <v>124</v>
      </c>
      <c r="AS44" s="9" t="n">
        <v>331.5140144274725</v>
      </c>
      <c r="AT44" s="9" t="n">
        <v>680.9921108972634</v>
      </c>
      <c r="AU44" s="9" t="n">
        <v>102.4</v>
      </c>
      <c r="AV44" s="9" t="n">
        <v>0</v>
      </c>
      <c r="AW44" s="9" t="n">
        <v>4.027318800027</v>
      </c>
      <c r="AX44" s="9" t="n">
        <v>12.25178139357381</v>
      </c>
      <c r="AY44" s="9" t="n">
        <v>0</v>
      </c>
    </row>
    <row r="45">
      <c r="A45" s="9" t="n">
        <v>51</v>
      </c>
      <c r="B45" s="9" t="inlineStr">
        <is>
          <t>РФ234</t>
        </is>
      </c>
      <c r="C45" s="9" t="inlineStr"/>
      <c r="D45" s="9" t="inlineStr">
        <is>
          <t>САХАРИСТЫЕ</t>
        </is>
      </c>
      <c r="E45" s="9" t="inlineStr">
        <is>
          <t>Федеральный</t>
        </is>
      </c>
      <c r="F45" s="9" t="n">
        <v>1000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150.3886430940092</v>
      </c>
      <c r="O45" s="9" t="n">
        <v>68.52304021776015</v>
      </c>
      <c r="P45" s="9" t="n">
        <v>0</v>
      </c>
      <c r="Q45" s="9" t="n">
        <v>0</v>
      </c>
      <c r="R45" s="9" t="n">
        <v>17.83149471448365</v>
      </c>
      <c r="S45" s="9" t="n">
        <v>0</v>
      </c>
      <c r="T45" s="9" t="n">
        <v>0</v>
      </c>
      <c r="U45" s="9" t="n">
        <v>0</v>
      </c>
      <c r="V45" s="9" t="n">
        <v>196.4728058972718</v>
      </c>
      <c r="W45" s="9" t="n">
        <v>125.3929760983743</v>
      </c>
      <c r="X45" s="9" t="n">
        <v>0</v>
      </c>
      <c r="Y45" s="9" t="n">
        <v>0</v>
      </c>
      <c r="Z45" s="9" t="n">
        <v>32.12675513386288</v>
      </c>
      <c r="AA45" s="9" t="n">
        <v>0</v>
      </c>
      <c r="AB45" s="9" t="n">
        <v>0</v>
      </c>
      <c r="AC45" s="9" t="n">
        <v>0</v>
      </c>
      <c r="AD45" s="9" t="n">
        <v>240.8314562579214</v>
      </c>
      <c r="AE45" s="9" t="n">
        <v>150.7549350022113</v>
      </c>
      <c r="AF45" s="9" t="n">
        <v>0</v>
      </c>
      <c r="AG45" s="9" t="n">
        <v>0</v>
      </c>
      <c r="AH45" s="9" t="n">
        <v>48.78721696723873</v>
      </c>
      <c r="AI45" s="9" t="n">
        <v>0</v>
      </c>
      <c r="AJ45" s="9" t="n">
        <v>0</v>
      </c>
      <c r="AK45" s="9" t="n">
        <v>0</v>
      </c>
      <c r="AL45" s="9" t="n">
        <v>240.3724635000411</v>
      </c>
      <c r="AM45" s="9" t="n">
        <v>149.3917677335671</v>
      </c>
      <c r="AN45" s="9" t="n">
        <v>0</v>
      </c>
      <c r="AO45" s="9" t="n">
        <v>0</v>
      </c>
      <c r="AP45" s="9" t="n">
        <v>25.8145165548823</v>
      </c>
      <c r="AQ45" s="9" t="n">
        <v>0</v>
      </c>
      <c r="AR45" s="9" t="n">
        <v>20</v>
      </c>
      <c r="AS45" s="9" t="n">
        <v>0</v>
      </c>
      <c r="AT45" s="9" t="n">
        <v>172.8009418464904</v>
      </c>
      <c r="AU45" s="9" t="n">
        <v>127.1369392720297</v>
      </c>
      <c r="AV45" s="9" t="n">
        <v>0</v>
      </c>
      <c r="AW45" s="9" t="n">
        <v>0</v>
      </c>
      <c r="AX45" s="9" t="n">
        <v>23.22592786479865</v>
      </c>
      <c r="AY45" s="9" t="n">
        <v>0</v>
      </c>
    </row>
    <row r="46">
      <c r="A46" s="9" t="n">
        <v>52</v>
      </c>
      <c r="B46" s="9" t="inlineStr">
        <is>
          <t>РФ214</t>
        </is>
      </c>
      <c r="C46" s="9" t="inlineStr"/>
      <c r="D46" s="9" t="inlineStr">
        <is>
          <t>САХАРИСТЫЕ</t>
        </is>
      </c>
      <c r="E46" s="9" t="inlineStr">
        <is>
          <t>Федеральный</t>
        </is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  <c r="Z46" s="9" t="n">
        <v>0</v>
      </c>
      <c r="AA46" s="9" t="n">
        <v>0</v>
      </c>
      <c r="AB46" s="9" t="n">
        <v>0</v>
      </c>
      <c r="AC46" s="9" t="n">
        <v>0</v>
      </c>
      <c r="AD46" s="9" t="n">
        <v>0</v>
      </c>
      <c r="AE46" s="9" t="n">
        <v>0</v>
      </c>
      <c r="AF46" s="9" t="n">
        <v>0</v>
      </c>
      <c r="AG46" s="9" t="n">
        <v>0</v>
      </c>
      <c r="AH46" s="9" t="n">
        <v>0</v>
      </c>
      <c r="AI46" s="9" t="n">
        <v>0</v>
      </c>
      <c r="AJ46" s="9" t="n">
        <v>0</v>
      </c>
      <c r="AK46" s="9" t="n">
        <v>0</v>
      </c>
      <c r="AL46" s="9" t="n">
        <v>0</v>
      </c>
      <c r="AM46" s="9" t="n">
        <v>0</v>
      </c>
      <c r="AN46" s="9" t="n">
        <v>0</v>
      </c>
      <c r="AO46" s="9" t="n">
        <v>0</v>
      </c>
      <c r="AP46" s="9" t="n">
        <v>0</v>
      </c>
      <c r="AQ46" s="9" t="n">
        <v>0</v>
      </c>
      <c r="AR46" s="9" t="n">
        <v>0</v>
      </c>
      <c r="AS46" s="9" t="n">
        <v>0</v>
      </c>
      <c r="AT46" s="9" t="n">
        <v>0</v>
      </c>
      <c r="AU46" s="9" t="n">
        <v>0</v>
      </c>
      <c r="AV46" s="9" t="n">
        <v>0</v>
      </c>
      <c r="AW46" s="9" t="n">
        <v>0</v>
      </c>
      <c r="AX46" s="9" t="n">
        <v>0</v>
      </c>
      <c r="AY46" s="9" t="n">
        <v>0</v>
      </c>
    </row>
    <row r="47">
      <c r="A47" s="9" t="n">
        <v>53</v>
      </c>
      <c r="B47" s="9" t="inlineStr">
        <is>
          <t>РФ189</t>
        </is>
      </c>
      <c r="C47" s="9" t="inlineStr"/>
      <c r="D47" s="9" t="inlineStr">
        <is>
          <t>САХАРИСТЫЕ</t>
        </is>
      </c>
      <c r="E47" s="9" t="inlineStr">
        <is>
          <t>Федеральный</t>
        </is>
      </c>
      <c r="F47" s="9" t="n">
        <v>301.5</v>
      </c>
      <c r="G47" s="9" t="n">
        <v>0</v>
      </c>
      <c r="H47" s="9" t="n">
        <v>241.74</v>
      </c>
      <c r="I47" s="9" t="n">
        <v>151.32</v>
      </c>
      <c r="J47" s="9" t="n">
        <v>112.84</v>
      </c>
      <c r="K47" s="9" t="n">
        <v>0</v>
      </c>
      <c r="L47" s="9" t="n">
        <v>0</v>
      </c>
      <c r="M47" s="9" t="n">
        <v>0</v>
      </c>
      <c r="N47" s="9" t="n">
        <v>20.12104671211582</v>
      </c>
      <c r="O47" s="9" t="n">
        <v>0</v>
      </c>
      <c r="P47" s="9" t="n">
        <v>0</v>
      </c>
      <c r="Q47" s="9" t="n">
        <v>0</v>
      </c>
      <c r="R47" s="9" t="n">
        <v>16.76358468360805</v>
      </c>
      <c r="S47" s="9" t="n">
        <v>0</v>
      </c>
      <c r="T47" s="9" t="n">
        <v>0</v>
      </c>
      <c r="U47" s="9" t="n">
        <v>0</v>
      </c>
      <c r="V47" s="9" t="n">
        <v>66.86552613968821</v>
      </c>
      <c r="W47" s="9" t="n">
        <v>0</v>
      </c>
      <c r="X47" s="9" t="n">
        <v>0</v>
      </c>
      <c r="Y47" s="9" t="n">
        <v>0</v>
      </c>
      <c r="Z47" s="9" t="n">
        <v>50.32248166962662</v>
      </c>
      <c r="AA47" s="9" t="n">
        <v>0</v>
      </c>
      <c r="AB47" s="9" t="n">
        <v>0</v>
      </c>
      <c r="AC47" s="9" t="n">
        <v>0</v>
      </c>
      <c r="AD47" s="9" t="n">
        <v>118.6610982381258</v>
      </c>
      <c r="AE47" s="9" t="n">
        <v>0</v>
      </c>
      <c r="AF47" s="9" t="n">
        <v>0</v>
      </c>
      <c r="AG47" s="9" t="n">
        <v>0</v>
      </c>
      <c r="AH47" s="9" t="n">
        <v>44.00067819221349</v>
      </c>
      <c r="AI47" s="9" t="n">
        <v>0</v>
      </c>
      <c r="AJ47" s="9" t="n">
        <v>0</v>
      </c>
      <c r="AK47" s="9" t="n">
        <v>0</v>
      </c>
      <c r="AL47" s="9" t="n">
        <v>119.5647548875964</v>
      </c>
      <c r="AM47" s="9" t="n">
        <v>0</v>
      </c>
      <c r="AN47" s="9" t="n">
        <v>0</v>
      </c>
      <c r="AO47" s="9" t="n">
        <v>0</v>
      </c>
      <c r="AP47" s="9" t="n">
        <v>27.72675522451254</v>
      </c>
      <c r="AQ47" s="9" t="n">
        <v>0</v>
      </c>
      <c r="AR47" s="9" t="n">
        <v>0</v>
      </c>
      <c r="AS47" s="9" t="n">
        <v>0</v>
      </c>
      <c r="AT47" s="9" t="n">
        <v>36.10275144459098</v>
      </c>
      <c r="AU47" s="9" t="n">
        <v>0</v>
      </c>
      <c r="AV47" s="9" t="n">
        <v>0</v>
      </c>
      <c r="AW47" s="9" t="n">
        <v>0</v>
      </c>
      <c r="AX47" s="9" t="n">
        <v>5.37743193739147</v>
      </c>
      <c r="AY47" s="9" t="n">
        <v>0</v>
      </c>
    </row>
    <row r="48">
      <c r="A48" s="9" t="n">
        <v>54</v>
      </c>
      <c r="B48" s="9" t="inlineStr">
        <is>
          <t>КО176</t>
        </is>
      </c>
      <c r="C48" s="9" t="inlineStr"/>
      <c r="D48" s="9" t="inlineStr">
        <is>
          <t>САХАРИСТЫЕ</t>
        </is>
      </c>
      <c r="E48" s="9" t="inlineStr">
        <is>
          <t>Федеральный</t>
        </is>
      </c>
      <c r="F48" s="9" t="n">
        <v>39945.51</v>
      </c>
      <c r="G48" s="9" t="n">
        <v>0</v>
      </c>
      <c r="H48" s="9" t="n">
        <v>19043</v>
      </c>
      <c r="I48" s="9" t="n">
        <v>24992</v>
      </c>
      <c r="J48" s="9" t="n">
        <v>21428</v>
      </c>
      <c r="K48" s="9" t="n">
        <v>1631</v>
      </c>
      <c r="L48" s="9" t="n">
        <v>8289</v>
      </c>
      <c r="M48" s="9" t="n">
        <v>200</v>
      </c>
      <c r="N48" s="9" t="n">
        <v>3253.425321130319</v>
      </c>
      <c r="O48" s="9" t="n">
        <v>333</v>
      </c>
      <c r="P48" s="9" t="n">
        <v>0</v>
      </c>
      <c r="Q48" s="9" t="n">
        <v>81.34426731098362</v>
      </c>
      <c r="R48" s="9" t="n">
        <v>0</v>
      </c>
      <c r="S48" s="9" t="n">
        <v>0.3120672761510681</v>
      </c>
      <c r="T48" s="9" t="n">
        <v>13709</v>
      </c>
      <c r="U48" s="9" t="n">
        <v>400</v>
      </c>
      <c r="V48" s="9" t="n">
        <v>8177.33878763449</v>
      </c>
      <c r="W48" s="9" t="n">
        <v>346.5</v>
      </c>
      <c r="X48" s="9" t="n">
        <v>0</v>
      </c>
      <c r="Y48" s="9" t="n">
        <v>179.7452865776279</v>
      </c>
      <c r="Z48" s="9" t="n">
        <v>0</v>
      </c>
      <c r="AA48" s="9" t="n">
        <v>0.6241345523021365</v>
      </c>
      <c r="AB48" s="9" t="n">
        <v>2473</v>
      </c>
      <c r="AC48" s="9" t="n">
        <v>400</v>
      </c>
      <c r="AD48" s="9" t="n">
        <v>11440.01296735049</v>
      </c>
      <c r="AE48" s="9" t="n">
        <v>369.3</v>
      </c>
      <c r="AF48" s="9" t="n">
        <v>0</v>
      </c>
      <c r="AG48" s="9" t="n">
        <v>267.6861370702914</v>
      </c>
      <c r="AH48" s="9" t="n">
        <v>0</v>
      </c>
      <c r="AI48" s="9" t="n">
        <v>0.9986152836834197</v>
      </c>
      <c r="AJ48" s="9" t="n">
        <v>2884</v>
      </c>
      <c r="AK48" s="9" t="n">
        <v>0</v>
      </c>
      <c r="AL48" s="9" t="n">
        <v>10918.72686641452</v>
      </c>
      <c r="AM48" s="9" t="n">
        <v>343.65</v>
      </c>
      <c r="AN48" s="9" t="n">
        <v>0</v>
      </c>
      <c r="AO48" s="9" t="n">
        <v>241.0673963486828</v>
      </c>
      <c r="AP48" s="9" t="n">
        <v>0</v>
      </c>
      <c r="AQ48" s="9" t="n">
        <v>1.386115472768432</v>
      </c>
      <c r="AR48" s="9" t="n">
        <v>4428</v>
      </c>
      <c r="AS48" s="9" t="n">
        <v>0</v>
      </c>
      <c r="AT48" s="9" t="n">
        <v>9709.584488987972</v>
      </c>
      <c r="AU48" s="9" t="n">
        <v>326.55</v>
      </c>
      <c r="AV48" s="9" t="n">
        <v>0</v>
      </c>
      <c r="AW48" s="9" t="n">
        <v>40.67213365549188</v>
      </c>
      <c r="AX48" s="9" t="n">
        <v>0</v>
      </c>
      <c r="AY48" s="9" t="n">
        <v>0.6241345523021372</v>
      </c>
    </row>
    <row r="49">
      <c r="A49" s="9" t="n">
        <v>55</v>
      </c>
      <c r="B49" s="9" t="inlineStr">
        <is>
          <t>КО054</t>
        </is>
      </c>
      <c r="C49" s="9" t="inlineStr"/>
      <c r="D49" s="9" t="inlineStr">
        <is>
          <t>САХАРИСТЫЕ</t>
        </is>
      </c>
      <c r="E49" s="9" t="inlineStr">
        <is>
          <t>Федеральный</t>
        </is>
      </c>
      <c r="F49" s="9" t="n">
        <v>44814.24999999999</v>
      </c>
      <c r="G49" s="9" t="n">
        <v>0</v>
      </c>
      <c r="H49" s="9" t="n">
        <v>35957</v>
      </c>
      <c r="I49" s="9" t="n">
        <v>18625</v>
      </c>
      <c r="J49" s="9" t="n">
        <v>18638</v>
      </c>
      <c r="K49" s="9" t="n">
        <v>0</v>
      </c>
      <c r="L49" s="9" t="n">
        <v>7827</v>
      </c>
      <c r="M49" s="9" t="n">
        <v>1880.758991576662</v>
      </c>
      <c r="N49" s="9" t="n">
        <v>1644.802154659871</v>
      </c>
      <c r="O49" s="9" t="n">
        <v>40.4</v>
      </c>
      <c r="P49" s="9" t="n">
        <v>0</v>
      </c>
      <c r="Q49" s="9" t="n">
        <v>23.92489720173418</v>
      </c>
      <c r="R49" s="9" t="n">
        <v>245.6208163129186</v>
      </c>
      <c r="S49" s="9" t="n">
        <v>0.1066100320177168</v>
      </c>
      <c r="T49" s="9" t="n">
        <v>3935</v>
      </c>
      <c r="U49" s="9" t="n">
        <v>4765.736996245365</v>
      </c>
      <c r="V49" s="9" t="n">
        <v>5001.119810127764</v>
      </c>
      <c r="W49" s="9" t="n">
        <v>44.9</v>
      </c>
      <c r="X49" s="9" t="n">
        <v>0</v>
      </c>
      <c r="Y49" s="9" t="n">
        <v>52.86650978642881</v>
      </c>
      <c r="Z49" s="9" t="n">
        <v>848.0021701363146</v>
      </c>
      <c r="AA49" s="9" t="n">
        <v>0.2132200640354338</v>
      </c>
      <c r="AB49" s="9" t="n">
        <v>2421</v>
      </c>
      <c r="AC49" s="9" t="n">
        <v>4287.616907396712</v>
      </c>
      <c r="AD49" s="9" t="n">
        <v>6071.472307409644</v>
      </c>
      <c r="AE49" s="9" t="n">
        <v>52.5</v>
      </c>
      <c r="AF49" s="9" t="n">
        <v>0</v>
      </c>
      <c r="AG49" s="9" t="n">
        <v>78.73158765142982</v>
      </c>
      <c r="AH49" s="9" t="n">
        <v>568.5630157229037</v>
      </c>
      <c r="AI49" s="9" t="n">
        <v>0.3411521024566945</v>
      </c>
      <c r="AJ49" s="9" t="n">
        <v>4086</v>
      </c>
      <c r="AK49" s="9" t="n">
        <v>4582.687736968152</v>
      </c>
      <c r="AL49" s="9" t="n">
        <v>6043.113818008167</v>
      </c>
      <c r="AM49" s="9" t="n">
        <v>43.95</v>
      </c>
      <c r="AN49" s="9" t="n">
        <v>0</v>
      </c>
      <c r="AO49" s="9" t="n">
        <v>70.90250938375812</v>
      </c>
      <c r="AP49" s="9" t="n">
        <v>152.2911846899618</v>
      </c>
      <c r="AQ49" s="9" t="n">
        <v>0.4735319151520381</v>
      </c>
      <c r="AR49" s="9" t="n">
        <v>10580.5</v>
      </c>
      <c r="AS49" s="9" t="n">
        <v>4346.887703756981</v>
      </c>
      <c r="AT49" s="9" t="n">
        <v>5593.905790298301</v>
      </c>
      <c r="AU49" s="9" t="n">
        <v>38.25</v>
      </c>
      <c r="AV49" s="9" t="n">
        <v>0</v>
      </c>
      <c r="AW49" s="9" t="n">
        <v>11.96244860086711</v>
      </c>
      <c r="AX49" s="9" t="n">
        <v>20.42901027136329</v>
      </c>
      <c r="AY49" s="9" t="n">
        <v>0.213220064035434</v>
      </c>
    </row>
    <row r="50">
      <c r="A50" s="9" t="n">
        <v>56</v>
      </c>
      <c r="B50" s="9" t="inlineStr">
        <is>
          <t>КО142</t>
        </is>
      </c>
      <c r="C50" s="9" t="inlineStr"/>
      <c r="D50" s="9" t="inlineStr">
        <is>
          <t>САХАРИСТЫЕ</t>
        </is>
      </c>
      <c r="E50" s="9" t="inlineStr">
        <is>
          <t>Федеральный</t>
        </is>
      </c>
      <c r="F50" s="9" t="n">
        <v>15885</v>
      </c>
      <c r="G50" s="9" t="n">
        <v>0</v>
      </c>
      <c r="H50" s="9" t="n">
        <v>0</v>
      </c>
      <c r="I50" s="9" t="n">
        <v>4148</v>
      </c>
      <c r="J50" s="9" t="n">
        <v>7223</v>
      </c>
      <c r="K50" s="9" t="n">
        <v>4554</v>
      </c>
      <c r="L50" s="9" t="n">
        <v>0</v>
      </c>
      <c r="M50" s="9" t="n">
        <v>0</v>
      </c>
      <c r="N50" s="9" t="n">
        <v>1072.29992100787</v>
      </c>
      <c r="O50" s="9" t="n">
        <v>0</v>
      </c>
      <c r="P50" s="9" t="n">
        <v>0</v>
      </c>
      <c r="Q50" s="9" t="n">
        <v>62.02730898409847</v>
      </c>
      <c r="R50" s="9" t="n">
        <v>96.92263154768375</v>
      </c>
      <c r="S50" s="9" t="n">
        <v>0</v>
      </c>
      <c r="T50" s="9" t="n">
        <v>0</v>
      </c>
      <c r="U50" s="9" t="n">
        <v>0</v>
      </c>
      <c r="V50" s="9" t="n">
        <v>2908.197168585614</v>
      </c>
      <c r="W50" s="9" t="n">
        <v>0</v>
      </c>
      <c r="X50" s="9" t="n">
        <v>0</v>
      </c>
      <c r="Y50" s="9" t="n">
        <v>137.0608746939986</v>
      </c>
      <c r="Z50" s="9" t="n">
        <v>254.2638721555721</v>
      </c>
      <c r="AA50" s="9" t="n">
        <v>0</v>
      </c>
      <c r="AB50" s="9" t="n">
        <v>0</v>
      </c>
      <c r="AC50" s="9" t="n">
        <v>0</v>
      </c>
      <c r="AD50" s="9" t="n">
        <v>4237.330214822283</v>
      </c>
      <c r="AE50" s="9" t="n">
        <v>0</v>
      </c>
      <c r="AF50" s="9" t="n">
        <v>0</v>
      </c>
      <c r="AG50" s="9" t="n">
        <v>204.1182652901803</v>
      </c>
      <c r="AH50" s="9" t="n">
        <v>257.0252382366168</v>
      </c>
      <c r="AI50" s="9" t="n">
        <v>0</v>
      </c>
      <c r="AJ50" s="9" t="n">
        <v>0</v>
      </c>
      <c r="AK50" s="9" t="n">
        <v>0</v>
      </c>
      <c r="AL50" s="9" t="n">
        <v>3790.292649431199</v>
      </c>
      <c r="AM50" s="9" t="n">
        <v>0</v>
      </c>
      <c r="AN50" s="9" t="n">
        <v>0</v>
      </c>
      <c r="AO50" s="9" t="n">
        <v>183.8207211596934</v>
      </c>
      <c r="AP50" s="9" t="n">
        <v>127.9987472492144</v>
      </c>
      <c r="AQ50" s="9" t="n">
        <v>0</v>
      </c>
      <c r="AR50" s="9" t="n">
        <v>0</v>
      </c>
      <c r="AS50" s="9" t="n">
        <v>0</v>
      </c>
      <c r="AT50" s="9" t="n">
        <v>3401.119005298994</v>
      </c>
      <c r="AU50" s="9" t="n">
        <v>0</v>
      </c>
      <c r="AV50" s="9" t="n">
        <v>0</v>
      </c>
      <c r="AW50" s="9" t="n">
        <v>31.01365449204929</v>
      </c>
      <c r="AX50" s="9" t="n">
        <v>4.110249952399479</v>
      </c>
      <c r="AY50" s="9" t="n">
        <v>0</v>
      </c>
    </row>
    <row r="51">
      <c r="A51" s="9" t="n">
        <v>57</v>
      </c>
      <c r="B51" s="9" t="inlineStr">
        <is>
          <t>КО013</t>
        </is>
      </c>
      <c r="C51" s="9" t="inlineStr"/>
      <c r="D51" s="9" t="inlineStr">
        <is>
          <t>САХАРИСТЫЕ</t>
        </is>
      </c>
      <c r="E51" s="9" t="inlineStr">
        <is>
          <t>Федеральный</t>
        </is>
      </c>
      <c r="F51" s="9" t="n">
        <v>25086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R51" s="9" t="n">
        <v>0</v>
      </c>
      <c r="AS51" s="9" t="n">
        <v>0</v>
      </c>
      <c r="AT51" s="9" t="n">
        <v>0</v>
      </c>
      <c r="AU51" s="9" t="n">
        <v>0</v>
      </c>
      <c r="AV51" s="9" t="n">
        <v>0</v>
      </c>
      <c r="AW51" s="9" t="n">
        <v>0</v>
      </c>
      <c r="AX51" s="9" t="n">
        <v>0</v>
      </c>
      <c r="AY51" s="9" t="n">
        <v>0</v>
      </c>
    </row>
    <row r="52">
      <c r="A52" s="9" t="n">
        <v>58</v>
      </c>
      <c r="B52" s="9" t="inlineStr">
        <is>
          <t>КО181</t>
        </is>
      </c>
      <c r="C52" s="9" t="inlineStr"/>
      <c r="D52" s="9" t="inlineStr">
        <is>
          <t>САХАРИСТЫЕ</t>
        </is>
      </c>
      <c r="E52" s="9" t="inlineStr">
        <is>
          <t>Федеральный</t>
        </is>
      </c>
      <c r="F52" s="9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0</v>
      </c>
      <c r="Y52" s="9" t="n">
        <v>0</v>
      </c>
      <c r="Z52" s="9" t="n">
        <v>0</v>
      </c>
      <c r="AA52" s="9" t="n">
        <v>0</v>
      </c>
      <c r="AB52" s="9" t="n">
        <v>0</v>
      </c>
      <c r="AC52" s="9" t="n">
        <v>0</v>
      </c>
      <c r="AD52" s="9" t="n">
        <v>0</v>
      </c>
      <c r="AE52" s="9" t="n">
        <v>0</v>
      </c>
      <c r="AF52" s="9" t="n">
        <v>0</v>
      </c>
      <c r="AG52" s="9" t="n">
        <v>0</v>
      </c>
      <c r="AH52" s="9" t="n">
        <v>0</v>
      </c>
      <c r="AI52" s="9" t="n">
        <v>0</v>
      </c>
      <c r="AJ52" s="9" t="n">
        <v>0</v>
      </c>
      <c r="AK52" s="9" t="n">
        <v>0</v>
      </c>
      <c r="AL52" s="9" t="n">
        <v>0</v>
      </c>
      <c r="AM52" s="9" t="n">
        <v>0</v>
      </c>
      <c r="AN52" s="9" t="n">
        <v>0</v>
      </c>
      <c r="AO52" s="9" t="n">
        <v>0</v>
      </c>
      <c r="AP52" s="9" t="n">
        <v>0</v>
      </c>
      <c r="AQ52" s="9" t="n">
        <v>0</v>
      </c>
      <c r="AR52" s="9" t="n">
        <v>0</v>
      </c>
      <c r="AS52" s="9" t="n">
        <v>0</v>
      </c>
      <c r="AT52" s="9" t="n">
        <v>0</v>
      </c>
      <c r="AU52" s="9" t="n">
        <v>0</v>
      </c>
      <c r="AV52" s="9" t="n">
        <v>0</v>
      </c>
      <c r="AW52" s="9" t="n">
        <v>0</v>
      </c>
      <c r="AX52" s="9" t="n">
        <v>0</v>
      </c>
      <c r="AY52" s="9" t="n">
        <v>0</v>
      </c>
    </row>
    <row r="53">
      <c r="A53" s="9" t="n">
        <v>59</v>
      </c>
      <c r="B53" s="9" t="inlineStr">
        <is>
          <t>КО176</t>
        </is>
      </c>
      <c r="C53" s="9" t="inlineStr"/>
      <c r="D53" s="9" t="inlineStr">
        <is>
          <t>САХАРИСТЫЕ</t>
        </is>
      </c>
      <c r="E53" s="9" t="inlineStr">
        <is>
          <t>Федеральный</t>
        </is>
      </c>
      <c r="F53" s="9" t="n">
        <v>88198.60500000001</v>
      </c>
      <c r="G53" s="9" t="n">
        <v>50690</v>
      </c>
      <c r="H53" s="9" t="n">
        <v>51000</v>
      </c>
      <c r="I53" s="9" t="n">
        <v>39874</v>
      </c>
      <c r="J53" s="9" t="n">
        <v>36412</v>
      </c>
      <c r="K53" s="9" t="n">
        <v>22000</v>
      </c>
      <c r="L53" s="9" t="n">
        <v>919</v>
      </c>
      <c r="M53" s="9" t="n">
        <v>0</v>
      </c>
      <c r="N53" s="9" t="n">
        <v>4657.490657320383</v>
      </c>
      <c r="O53" s="9" t="n">
        <v>425.6</v>
      </c>
      <c r="P53" s="9" t="n">
        <v>0</v>
      </c>
      <c r="Q53" s="9" t="n">
        <v>82.18998071173428</v>
      </c>
      <c r="R53" s="9" t="n">
        <v>0</v>
      </c>
      <c r="S53" s="9" t="n">
        <v>0.06186729226344202</v>
      </c>
      <c r="T53" s="9" t="n">
        <v>6000</v>
      </c>
      <c r="U53" s="9" t="n">
        <v>0</v>
      </c>
      <c r="V53" s="9" t="n">
        <v>12675.76378110929</v>
      </c>
      <c r="W53" s="9" t="n">
        <v>425.6</v>
      </c>
      <c r="X53" s="9" t="n">
        <v>0</v>
      </c>
      <c r="Y53" s="9" t="n">
        <v>181.6140476176568</v>
      </c>
      <c r="Z53" s="9" t="n">
        <v>0</v>
      </c>
      <c r="AA53" s="9" t="n">
        <v>0.1237345845268841</v>
      </c>
      <c r="AB53" s="9" t="n">
        <v>8600</v>
      </c>
      <c r="AC53" s="9" t="n">
        <v>0</v>
      </c>
      <c r="AD53" s="9" t="n">
        <v>17700.93209822495</v>
      </c>
      <c r="AE53" s="9" t="n">
        <v>425.6</v>
      </c>
      <c r="AF53" s="9" t="n">
        <v>0</v>
      </c>
      <c r="AG53" s="9" t="n">
        <v>270.4691943255744</v>
      </c>
      <c r="AH53" s="9" t="n">
        <v>0</v>
      </c>
      <c r="AI53" s="9" t="n">
        <v>0.1979753352430148</v>
      </c>
      <c r="AJ53" s="9" t="n">
        <v>8210</v>
      </c>
      <c r="AK53" s="9" t="n">
        <v>0</v>
      </c>
      <c r="AL53" s="9" t="n">
        <v>17322.15576381262</v>
      </c>
      <c r="AM53" s="9" t="n">
        <v>425.6</v>
      </c>
      <c r="AN53" s="9" t="n">
        <v>0</v>
      </c>
      <c r="AO53" s="9" t="n">
        <v>243.5737060655892</v>
      </c>
      <c r="AP53" s="9" t="n">
        <v>0</v>
      </c>
      <c r="AQ53" s="9" t="n">
        <v>0.2747971915617664</v>
      </c>
      <c r="AR53" s="9" t="n">
        <v>3975</v>
      </c>
      <c r="AS53" s="9" t="n">
        <v>0</v>
      </c>
      <c r="AT53" s="9" t="n">
        <v>14167.92067415611</v>
      </c>
      <c r="AU53" s="9" t="n">
        <v>425.6</v>
      </c>
      <c r="AV53" s="9" t="n">
        <v>0</v>
      </c>
      <c r="AW53" s="9" t="n">
        <v>41.09499035586721</v>
      </c>
      <c r="AX53" s="9" t="n">
        <v>0</v>
      </c>
      <c r="AY53" s="9" t="n">
        <v>0.1237345845268843</v>
      </c>
    </row>
    <row r="54">
      <c r="A54" s="9" t="n">
        <v>60</v>
      </c>
      <c r="B54" s="9" t="inlineStr">
        <is>
          <t>КО057</t>
        </is>
      </c>
      <c r="C54" s="9" t="inlineStr"/>
      <c r="D54" s="9" t="inlineStr">
        <is>
          <t>САХАРИСТЫЕ</t>
        </is>
      </c>
      <c r="E54" s="9" t="inlineStr">
        <is>
          <t>Федеральный</t>
        </is>
      </c>
      <c r="F54" s="9" t="n">
        <v>12121</v>
      </c>
      <c r="G54" s="9" t="n">
        <v>0</v>
      </c>
      <c r="H54" s="9" t="n">
        <v>0</v>
      </c>
      <c r="I54" s="9" t="n">
        <v>6195</v>
      </c>
      <c r="J54" s="9" t="n">
        <v>4720</v>
      </c>
      <c r="K54" s="9" t="n">
        <v>0</v>
      </c>
      <c r="L54" s="9" t="n">
        <v>833</v>
      </c>
      <c r="M54" s="9" t="n">
        <v>155.9034710164134</v>
      </c>
      <c r="N54" s="9" t="n">
        <v>1389.371914513366</v>
      </c>
      <c r="O54" s="9" t="n">
        <v>57.4</v>
      </c>
      <c r="P54" s="9" t="n">
        <v>0</v>
      </c>
      <c r="Q54" s="9" t="n">
        <v>8.996957111496753</v>
      </c>
      <c r="R54" s="9" t="n">
        <v>1156.553961000157</v>
      </c>
      <c r="S54" s="9" t="n">
        <v>0.1564240287132192</v>
      </c>
      <c r="T54" s="9" t="n">
        <v>923</v>
      </c>
      <c r="U54" s="9" t="n">
        <v>395.0505848934567</v>
      </c>
      <c r="V54" s="9" t="n">
        <v>3323.70881123332</v>
      </c>
      <c r="W54" s="9" t="n">
        <v>66.40000000000001</v>
      </c>
      <c r="X54" s="9" t="n">
        <v>0</v>
      </c>
      <c r="Y54" s="9" t="n">
        <v>19.88044994185167</v>
      </c>
      <c r="Z54" s="9" t="n">
        <v>2541.411674509176</v>
      </c>
      <c r="AA54" s="9" t="n">
        <v>0.3128480574264387</v>
      </c>
      <c r="AB54" s="9" t="n">
        <v>376</v>
      </c>
      <c r="AC54" s="9" t="n">
        <v>436.9632907594581</v>
      </c>
      <c r="AD54" s="9" t="n">
        <v>4365.327128865934</v>
      </c>
      <c r="AE54" s="9" t="n">
        <v>81.59999999999999</v>
      </c>
      <c r="AF54" s="9" t="n">
        <v>0</v>
      </c>
      <c r="AG54" s="9" t="n">
        <v>29.60701195274593</v>
      </c>
      <c r="AH54" s="9" t="n">
        <v>2677.190874061648</v>
      </c>
      <c r="AI54" s="9" t="n">
        <v>0.5005568918823025</v>
      </c>
      <c r="AJ54" s="9" t="n">
        <v>1675</v>
      </c>
      <c r="AK54" s="9" t="n">
        <v>587.821651710318</v>
      </c>
      <c r="AL54" s="9" t="n">
        <v>4317.869974533057</v>
      </c>
      <c r="AM54" s="9" t="n">
        <v>64.5</v>
      </c>
      <c r="AN54" s="9" t="n">
        <v>0</v>
      </c>
      <c r="AO54" s="9" t="n">
        <v>26.6628872276588</v>
      </c>
      <c r="AP54" s="9" t="n">
        <v>270.438958566112</v>
      </c>
      <c r="AQ54" s="9" t="n">
        <v>0.6947917423011242</v>
      </c>
      <c r="AR54" s="9" t="n">
        <v>5400.099999999999</v>
      </c>
      <c r="AS54" s="9" t="n">
        <v>505.0735148402579</v>
      </c>
      <c r="AT54" s="9" t="n">
        <v>3621.310761358889</v>
      </c>
      <c r="AU54" s="9" t="n">
        <v>53.1</v>
      </c>
      <c r="AV54" s="9" t="n">
        <v>0</v>
      </c>
      <c r="AW54" s="9" t="n">
        <v>4.498478555748385</v>
      </c>
      <c r="AX54" s="9" t="n">
        <v>13.90187316049579</v>
      </c>
      <c r="AY54" s="9" t="n">
        <v>0.312848057426439</v>
      </c>
    </row>
    <row r="55">
      <c r="A55" s="9" t="n">
        <v>61</v>
      </c>
      <c r="B55" s="9" t="inlineStr">
        <is>
          <t>КО142</t>
        </is>
      </c>
      <c r="C55" s="9" t="inlineStr"/>
      <c r="D55" s="9" t="inlineStr">
        <is>
          <t>САХАРИСТЫЕ</t>
        </is>
      </c>
      <c r="E55" s="9" t="inlineStr">
        <is>
          <t>Федеральный</t>
        </is>
      </c>
      <c r="F55" s="9" t="n">
        <v>5109</v>
      </c>
      <c r="G55" s="9" t="n">
        <v>0</v>
      </c>
      <c r="H55" s="9" t="n">
        <v>0</v>
      </c>
      <c r="I55" s="9" t="n">
        <v>4931</v>
      </c>
      <c r="J55" s="9" t="n">
        <v>8874</v>
      </c>
      <c r="K55" s="9" t="n">
        <v>0</v>
      </c>
      <c r="L55" s="9" t="n">
        <v>0</v>
      </c>
      <c r="M55" s="9" t="n">
        <v>0</v>
      </c>
      <c r="N55" s="9" t="n">
        <v>1478.796211035707</v>
      </c>
      <c r="O55" s="9" t="n">
        <v>0</v>
      </c>
      <c r="P55" s="9" t="n">
        <v>0</v>
      </c>
      <c r="Q55" s="9" t="n">
        <v>1.176293893215293</v>
      </c>
      <c r="R55" s="9" t="n">
        <v>90.67232636208477</v>
      </c>
      <c r="S55" s="9" t="n">
        <v>0</v>
      </c>
      <c r="T55" s="9" t="n">
        <v>0</v>
      </c>
      <c r="U55" s="9" t="n">
        <v>0</v>
      </c>
      <c r="V55" s="9" t="n">
        <v>5168.989472992946</v>
      </c>
      <c r="W55" s="9" t="n">
        <v>0</v>
      </c>
      <c r="X55" s="9" t="n">
        <v>0</v>
      </c>
      <c r="Y55" s="9" t="n">
        <v>2.599240117649292</v>
      </c>
      <c r="Z55" s="9" t="n">
        <v>235.4377628280599</v>
      </c>
      <c r="AA55" s="9" t="n">
        <v>0</v>
      </c>
      <c r="AB55" s="9" t="n">
        <v>0</v>
      </c>
      <c r="AC55" s="9" t="n">
        <v>0</v>
      </c>
      <c r="AD55" s="9" t="n">
        <v>5228.14828238974</v>
      </c>
      <c r="AE55" s="9" t="n">
        <v>0</v>
      </c>
      <c r="AF55" s="9" t="n">
        <v>0</v>
      </c>
      <c r="AG55" s="9" t="n">
        <v>3.870925127770606</v>
      </c>
      <c r="AH55" s="9" t="n">
        <v>237.9946728875147</v>
      </c>
      <c r="AI55" s="9" t="n">
        <v>0</v>
      </c>
      <c r="AJ55" s="9" t="n">
        <v>0</v>
      </c>
      <c r="AK55" s="9" t="n">
        <v>0</v>
      </c>
      <c r="AL55" s="9" t="n">
        <v>5181.542946148691</v>
      </c>
      <c r="AM55" s="9" t="n">
        <v>0</v>
      </c>
      <c r="AN55" s="9" t="n">
        <v>0</v>
      </c>
      <c r="AO55" s="9" t="n">
        <v>3.485999881149306</v>
      </c>
      <c r="AP55" s="9" t="n">
        <v>114.2903896092447</v>
      </c>
      <c r="AQ55" s="9" t="n">
        <v>0</v>
      </c>
      <c r="AR55" s="9" t="n">
        <v>0</v>
      </c>
      <c r="AS55" s="9" t="n">
        <v>0</v>
      </c>
      <c r="AT55" s="9" t="n">
        <v>4731.122430820903</v>
      </c>
      <c r="AU55" s="9" t="n">
        <v>0</v>
      </c>
      <c r="AV55" s="9" t="n">
        <v>0</v>
      </c>
      <c r="AW55" s="9" t="n">
        <v>0.5881469466076477</v>
      </c>
      <c r="AX55" s="9" t="n">
        <v>0</v>
      </c>
      <c r="AY55" s="9" t="n">
        <v>0</v>
      </c>
    </row>
    <row r="56">
      <c r="A56" s="9" t="n">
        <v>62</v>
      </c>
      <c r="B56" s="9" t="inlineStr">
        <is>
          <t>КО014</t>
        </is>
      </c>
      <c r="C56" s="9" t="inlineStr"/>
      <c r="D56" s="9" t="inlineStr">
        <is>
          <t>САХАРИСТЫЕ</t>
        </is>
      </c>
      <c r="E56" s="9" t="inlineStr">
        <is>
          <t>Федеральный</t>
        </is>
      </c>
      <c r="F56" s="9" t="n">
        <v>22687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9" t="n">
        <v>0</v>
      </c>
      <c r="Y56" s="9" t="n">
        <v>0</v>
      </c>
      <c r="Z56" s="9" t="n">
        <v>0</v>
      </c>
      <c r="AA56" s="9" t="n">
        <v>0</v>
      </c>
      <c r="AB56" s="9" t="n">
        <v>0</v>
      </c>
      <c r="AC56" s="9" t="n">
        <v>0</v>
      </c>
      <c r="AD56" s="9" t="n">
        <v>0</v>
      </c>
      <c r="AE56" s="9" t="n">
        <v>0</v>
      </c>
      <c r="AF56" s="9" t="n">
        <v>0</v>
      </c>
      <c r="AG56" s="9" t="n">
        <v>0</v>
      </c>
      <c r="AH56" s="9" t="n">
        <v>0</v>
      </c>
      <c r="AI56" s="9" t="n">
        <v>0</v>
      </c>
      <c r="AJ56" s="9" t="n">
        <v>0</v>
      </c>
      <c r="AK56" s="9" t="n">
        <v>0</v>
      </c>
      <c r="AL56" s="9" t="n">
        <v>0</v>
      </c>
      <c r="AM56" s="9" t="n">
        <v>0</v>
      </c>
      <c r="AN56" s="9" t="n">
        <v>0</v>
      </c>
      <c r="AO56" s="9" t="n">
        <v>0</v>
      </c>
      <c r="AP56" s="9" t="n">
        <v>0</v>
      </c>
      <c r="AQ56" s="9" t="n">
        <v>0</v>
      </c>
      <c r="AR56" s="9" t="n">
        <v>0</v>
      </c>
      <c r="AS56" s="9" t="n">
        <v>0</v>
      </c>
      <c r="AT56" s="9" t="n">
        <v>0</v>
      </c>
      <c r="AU56" s="9" t="n">
        <v>0</v>
      </c>
      <c r="AV56" s="9" t="n">
        <v>0</v>
      </c>
      <c r="AW56" s="9" t="n">
        <v>0</v>
      </c>
      <c r="AX56" s="9" t="n">
        <v>0</v>
      </c>
      <c r="AY56" s="9" t="n">
        <v>0</v>
      </c>
    </row>
    <row r="57">
      <c r="A57" s="9" t="n">
        <v>63</v>
      </c>
      <c r="B57" s="9" t="inlineStr">
        <is>
          <t>КО014</t>
        </is>
      </c>
      <c r="C57" s="9" t="inlineStr"/>
      <c r="D57" s="9" t="inlineStr">
        <is>
          <t>САХАРИСТЫЕ</t>
        </is>
      </c>
      <c r="E57" s="9" t="inlineStr">
        <is>
          <t>Федеральный</t>
        </is>
      </c>
      <c r="F57" s="9" t="n">
        <v>63838.7</v>
      </c>
      <c r="G57" s="9" t="n">
        <v>22349</v>
      </c>
      <c r="H57" s="9" t="n">
        <v>0</v>
      </c>
      <c r="I57" s="9" t="n">
        <v>6768.99</v>
      </c>
      <c r="J57" s="9" t="n">
        <v>27346.48</v>
      </c>
      <c r="K57" s="9" t="n">
        <v>16472.35</v>
      </c>
      <c r="L57" s="9" t="n">
        <v>5320</v>
      </c>
      <c r="M57" s="9" t="n">
        <v>584.9884444801082</v>
      </c>
      <c r="N57" s="9" t="n">
        <v>2335.773584834692</v>
      </c>
      <c r="O57" s="9" t="n">
        <v>115.52</v>
      </c>
      <c r="P57" s="9" t="n">
        <v>0</v>
      </c>
      <c r="Q57" s="9" t="n">
        <v>1500</v>
      </c>
      <c r="R57" s="9" t="n">
        <v>386.9744077947967</v>
      </c>
      <c r="S57" s="9" t="n">
        <v>0.0611659515559085</v>
      </c>
      <c r="T57" s="9" t="n">
        <v>5484</v>
      </c>
      <c r="U57" s="9" t="n">
        <v>1482.327658525641</v>
      </c>
      <c r="V57" s="9" t="n">
        <v>7298.874152065763</v>
      </c>
      <c r="W57" s="9" t="n">
        <v>120.02</v>
      </c>
      <c r="X57" s="9" t="n">
        <v>0</v>
      </c>
      <c r="Y57" s="9" t="n">
        <v>1500</v>
      </c>
      <c r="Z57" s="9" t="n">
        <v>1007.878938830563</v>
      </c>
      <c r="AA57" s="9" t="n">
        <v>0.1223319031118171</v>
      </c>
      <c r="AB57" s="9" t="n">
        <v>7691</v>
      </c>
      <c r="AC57" s="9" t="n">
        <v>1333.613906097536</v>
      </c>
      <c r="AD57" s="9" t="n">
        <v>7651.629297337564</v>
      </c>
      <c r="AE57" s="9" t="n">
        <v>127.62</v>
      </c>
      <c r="AF57" s="9" t="n">
        <v>0</v>
      </c>
      <c r="AG57" s="9" t="n">
        <v>1500</v>
      </c>
      <c r="AH57" s="9" t="n">
        <v>1020.551734873276</v>
      </c>
      <c r="AI57" s="9" t="n">
        <v>0.1957310449789076</v>
      </c>
      <c r="AJ57" s="9" t="n">
        <v>14725</v>
      </c>
      <c r="AK57" s="9" t="n">
        <v>2519.598670300357</v>
      </c>
      <c r="AL57" s="9" t="n">
        <v>7014.239565928669</v>
      </c>
      <c r="AM57" s="9" t="n">
        <v>119.07</v>
      </c>
      <c r="AN57" s="9" t="n">
        <v>0</v>
      </c>
      <c r="AO57" s="9" t="n">
        <v>1500</v>
      </c>
      <c r="AP57" s="9" t="n">
        <v>565.1555422769663</v>
      </c>
      <c r="AQ57" s="9" t="n">
        <v>0.2716820324897079</v>
      </c>
      <c r="AR57" s="9" t="n">
        <v>38923.3</v>
      </c>
      <c r="AS57" s="9" t="n">
        <v>1243.997332823673</v>
      </c>
      <c r="AT57" s="9" t="n">
        <v>6191.49145468718</v>
      </c>
      <c r="AU57" s="9" t="n">
        <v>113.37</v>
      </c>
      <c r="AV57" s="9" t="n">
        <v>0</v>
      </c>
      <c r="AW57" s="9" t="n">
        <v>500</v>
      </c>
      <c r="AX57" s="9" t="n">
        <v>87.97241761639881</v>
      </c>
      <c r="AY57" s="9" t="n">
        <v>0.1223319031118173</v>
      </c>
    </row>
    <row r="58">
      <c r="A58" s="9" t="n">
        <v>64</v>
      </c>
      <c r="B58" s="9" t="inlineStr">
        <is>
          <t>РФ176</t>
        </is>
      </c>
      <c r="C58" s="9" t="inlineStr"/>
      <c r="D58" s="9" t="inlineStr">
        <is>
          <t>КАРАМЕЛЬ</t>
        </is>
      </c>
      <c r="E58" s="9" t="inlineStr">
        <is>
          <t>Федеральный</t>
        </is>
      </c>
      <c r="F58" s="9" t="n">
        <v>88473.217</v>
      </c>
      <c r="G58" s="9" t="n">
        <v>0</v>
      </c>
      <c r="H58" s="9" t="n">
        <v>57745.665</v>
      </c>
      <c r="I58" s="9" t="n">
        <v>55594.25</v>
      </c>
      <c r="J58" s="9" t="n">
        <v>42695.78</v>
      </c>
      <c r="K58" s="9" t="n">
        <v>11157.21</v>
      </c>
      <c r="L58" s="9" t="n">
        <v>15464</v>
      </c>
      <c r="M58" s="9" t="n">
        <v>643.773834812162</v>
      </c>
      <c r="N58" s="9" t="n">
        <v>4888.999683347908</v>
      </c>
      <c r="O58" s="9" t="n">
        <v>268</v>
      </c>
      <c r="P58" s="9" t="n">
        <v>0</v>
      </c>
      <c r="Q58" s="9" t="n">
        <v>75.69825260882206</v>
      </c>
      <c r="R58" s="9" t="n">
        <v>0</v>
      </c>
      <c r="S58" s="9" t="n">
        <v>0.4029368203704938</v>
      </c>
      <c r="T58" s="9" t="n">
        <v>17760</v>
      </c>
      <c r="U58" s="9" t="n">
        <v>1459.341214849258</v>
      </c>
      <c r="V58" s="9" t="n">
        <v>10608.49831355733</v>
      </c>
      <c r="W58" s="9" t="n">
        <v>268</v>
      </c>
      <c r="X58" s="9" t="n">
        <v>0</v>
      </c>
      <c r="Y58" s="9" t="n">
        <v>167.2693670788177</v>
      </c>
      <c r="Z58" s="9" t="n">
        <v>0</v>
      </c>
      <c r="AA58" s="9" t="n">
        <v>0.8058736407409883</v>
      </c>
      <c r="AB58" s="9" t="n">
        <v>23903</v>
      </c>
      <c r="AC58" s="9" t="n">
        <v>1353.387838291032</v>
      </c>
      <c r="AD58" s="9" t="n">
        <v>15060.7393972786</v>
      </c>
      <c r="AE58" s="9" t="n">
        <v>268</v>
      </c>
      <c r="AF58" s="9" t="n">
        <v>0</v>
      </c>
      <c r="AG58" s="9" t="n">
        <v>249.1063414015236</v>
      </c>
      <c r="AH58" s="9" t="n">
        <v>0</v>
      </c>
      <c r="AI58" s="9" t="n">
        <v>1.289397825185583</v>
      </c>
      <c r="AJ58" s="9" t="n">
        <v>12627</v>
      </c>
      <c r="AK58" s="9" t="n">
        <v>5077.325033831805</v>
      </c>
      <c r="AL58" s="9" t="n">
        <v>14498.2268879573</v>
      </c>
      <c r="AM58" s="9" t="n">
        <v>268</v>
      </c>
      <c r="AN58" s="9" t="n">
        <v>0</v>
      </c>
      <c r="AO58" s="9" t="n">
        <v>224.3351777303378</v>
      </c>
      <c r="AP58" s="9" t="n">
        <v>0</v>
      </c>
      <c r="AQ58" s="9" t="n">
        <v>1.789732547905101</v>
      </c>
      <c r="AR58" s="9" t="n">
        <v>10268.2</v>
      </c>
      <c r="AS58" s="9" t="n">
        <v>1053.178301843884</v>
      </c>
      <c r="AT58" s="9" t="n">
        <v>12955.71580879165</v>
      </c>
      <c r="AU58" s="9" t="n">
        <v>268</v>
      </c>
      <c r="AV58" s="9" t="n">
        <v>0</v>
      </c>
      <c r="AW58" s="9" t="n">
        <v>37.8491263044111</v>
      </c>
      <c r="AX58" s="9" t="n">
        <v>0</v>
      </c>
      <c r="AY58" s="9" t="n">
        <v>0.8058736407409891</v>
      </c>
    </row>
    <row r="59">
      <c r="A59" s="9" t="n">
        <v>65</v>
      </c>
      <c r="B59" s="9" t="inlineStr">
        <is>
          <t>РФ142</t>
        </is>
      </c>
      <c r="C59" s="9" t="inlineStr"/>
      <c r="D59" s="9" t="inlineStr">
        <is>
          <t>КАРАМЕЛЬ</t>
        </is>
      </c>
      <c r="E59" s="9" t="inlineStr">
        <is>
          <t>Федеральный</t>
        </is>
      </c>
      <c r="F59" s="9" t="n">
        <v>23930</v>
      </c>
      <c r="G59" s="9" t="n">
        <v>0</v>
      </c>
      <c r="H59" s="9" t="n">
        <v>6759.78</v>
      </c>
      <c r="I59" s="9" t="n">
        <v>6369.83</v>
      </c>
      <c r="J59" s="9" t="n">
        <v>7794.44</v>
      </c>
      <c r="K59" s="9" t="n">
        <v>0</v>
      </c>
      <c r="L59" s="9" t="n">
        <v>0</v>
      </c>
      <c r="M59" s="9" t="n">
        <v>0</v>
      </c>
      <c r="N59" s="9" t="n">
        <v>1162.645248609427</v>
      </c>
      <c r="O59" s="9" t="n">
        <v>0</v>
      </c>
      <c r="P59" s="9" t="n">
        <v>0</v>
      </c>
      <c r="Q59" s="9" t="n">
        <v>16.68124610282005</v>
      </c>
      <c r="R59" s="9" t="n">
        <v>114.2580217085332</v>
      </c>
      <c r="S59" s="9" t="n">
        <v>0</v>
      </c>
      <c r="T59" s="9" t="n">
        <v>0</v>
      </c>
      <c r="U59" s="9" t="n">
        <v>0</v>
      </c>
      <c r="V59" s="9" t="n">
        <v>3409.172299617927</v>
      </c>
      <c r="W59" s="9" t="n">
        <v>0</v>
      </c>
      <c r="X59" s="9" t="n">
        <v>0</v>
      </c>
      <c r="Y59" s="9" t="n">
        <v>36.86031554947043</v>
      </c>
      <c r="Z59" s="9" t="n">
        <v>299.1415189636269</v>
      </c>
      <c r="AA59" s="9" t="n">
        <v>0</v>
      </c>
      <c r="AB59" s="9" t="n">
        <v>0</v>
      </c>
      <c r="AC59" s="9" t="n">
        <v>0</v>
      </c>
      <c r="AD59" s="9" t="n">
        <v>4305.457313323326</v>
      </c>
      <c r="AE59" s="9" t="n">
        <v>0</v>
      </c>
      <c r="AF59" s="9" t="n">
        <v>0</v>
      </c>
      <c r="AG59" s="9" t="n">
        <v>54.8943211168344</v>
      </c>
      <c r="AH59" s="9" t="n">
        <v>302.3902669548199</v>
      </c>
      <c r="AI59" s="9" t="n">
        <v>0</v>
      </c>
      <c r="AJ59" s="9" t="n">
        <v>0</v>
      </c>
      <c r="AK59" s="9" t="n">
        <v>0</v>
      </c>
      <c r="AL59" s="9" t="n">
        <v>4358.116954249097</v>
      </c>
      <c r="AM59" s="9" t="n">
        <v>0</v>
      </c>
      <c r="AN59" s="9" t="n">
        <v>0</v>
      </c>
      <c r="AO59" s="9" t="n">
        <v>49.43562341627312</v>
      </c>
      <c r="AP59" s="9" t="n">
        <v>149.2476674875397</v>
      </c>
      <c r="AQ59" s="9" t="n">
        <v>0</v>
      </c>
      <c r="AR59" s="9" t="n">
        <v>0</v>
      </c>
      <c r="AS59" s="9" t="n">
        <v>0</v>
      </c>
      <c r="AT59" s="9" t="n">
        <v>3446.411001286413</v>
      </c>
      <c r="AU59" s="9" t="n">
        <v>0</v>
      </c>
      <c r="AV59" s="9" t="n">
        <v>0</v>
      </c>
      <c r="AW59" s="9" t="n">
        <v>8.34062305141004</v>
      </c>
      <c r="AX59" s="9" t="n">
        <v>3.896491153314543</v>
      </c>
      <c r="AY59" s="9" t="n">
        <v>0</v>
      </c>
    </row>
    <row r="60">
      <c r="A60" s="9" t="n">
        <v>66</v>
      </c>
      <c r="B60" s="9" t="inlineStr">
        <is>
          <t>РФ038</t>
        </is>
      </c>
      <c r="C60" s="9" t="inlineStr"/>
      <c r="D60" s="9" t="inlineStr">
        <is>
          <t>КАРАМЕЛЬ</t>
        </is>
      </c>
      <c r="E60" s="9" t="inlineStr">
        <is>
          <t>Федеральный</t>
        </is>
      </c>
      <c r="F60" s="9" t="n">
        <v>27723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2156</v>
      </c>
      <c r="M60" s="9" t="n">
        <v>1146.235536813242</v>
      </c>
      <c r="N60" s="9" t="n">
        <v>2241.085217720077</v>
      </c>
      <c r="O60" s="9" t="n">
        <v>110</v>
      </c>
      <c r="P60" s="9" t="n">
        <v>0</v>
      </c>
      <c r="Q60" s="9" t="n">
        <v>53.75513456384161</v>
      </c>
      <c r="R60" s="9" t="n">
        <v>283.0597135789155</v>
      </c>
      <c r="S60" s="9" t="n">
        <v>0.1517861390508962</v>
      </c>
      <c r="T60" s="9" t="n">
        <v>549</v>
      </c>
      <c r="U60" s="9" t="n">
        <v>3028.732930525385</v>
      </c>
      <c r="V60" s="9" t="n">
        <v>5493.344109500966</v>
      </c>
      <c r="W60" s="9" t="n">
        <v>119</v>
      </c>
      <c r="X60" s="9" t="n">
        <v>0</v>
      </c>
      <c r="Y60" s="9" t="n">
        <v>118.7819668994917</v>
      </c>
      <c r="Z60" s="9" t="n">
        <v>1076.477900282243</v>
      </c>
      <c r="AA60" s="9" t="n">
        <v>0.3035722781017927</v>
      </c>
      <c r="AB60" s="9" t="n">
        <v>1338</v>
      </c>
      <c r="AC60" s="9" t="n">
        <v>2757.167897696611</v>
      </c>
      <c r="AD60" s="9" t="n">
        <v>7147.58469238918</v>
      </c>
      <c r="AE60" s="9" t="n">
        <v>134.2</v>
      </c>
      <c r="AF60" s="9" t="n">
        <v>0</v>
      </c>
      <c r="AG60" s="9" t="n">
        <v>176.8963541594958</v>
      </c>
      <c r="AH60" s="9" t="n">
        <v>708.231026304675</v>
      </c>
      <c r="AI60" s="9" t="n">
        <v>0.4857156449628688</v>
      </c>
      <c r="AJ60" s="9" t="n">
        <v>3131</v>
      </c>
      <c r="AK60" s="9" t="n">
        <v>3062.858165047586</v>
      </c>
      <c r="AL60" s="9" t="n">
        <v>6947.187402034343</v>
      </c>
      <c r="AM60" s="9" t="n">
        <v>117.1</v>
      </c>
      <c r="AN60" s="9" t="n">
        <v>0</v>
      </c>
      <c r="AO60" s="9" t="n">
        <v>159.3057600498988</v>
      </c>
      <c r="AP60" s="9" t="n">
        <v>318.9667598085338</v>
      </c>
      <c r="AQ60" s="9" t="n">
        <v>0.6741915348675622</v>
      </c>
      <c r="AR60" s="9" t="n">
        <v>11074.3</v>
      </c>
      <c r="AS60" s="9" t="n">
        <v>2535.797266729051</v>
      </c>
      <c r="AT60" s="9" t="n">
        <v>5911.25218067967</v>
      </c>
      <c r="AU60" s="9" t="n">
        <v>105.7</v>
      </c>
      <c r="AV60" s="9" t="n">
        <v>0</v>
      </c>
      <c r="AW60" s="9" t="n">
        <v>26.87756728192085</v>
      </c>
      <c r="AX60" s="9" t="n">
        <v>68.14362248695519</v>
      </c>
      <c r="AY60" s="9" t="n">
        <v>0.303572278101793</v>
      </c>
    </row>
    <row r="61">
      <c r="A61" s="9" t="n">
        <v>67</v>
      </c>
      <c r="B61" s="9" t="inlineStr">
        <is>
          <t>ЮК033</t>
        </is>
      </c>
      <c r="C61" s="9" t="inlineStr"/>
      <c r="D61" s="9" t="inlineStr">
        <is>
          <t>КАРАМЕЛЬ</t>
        </is>
      </c>
      <c r="E61" s="9" t="inlineStr">
        <is>
          <t>Локальный</t>
        </is>
      </c>
      <c r="F61" s="9" t="n">
        <v>11318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9.199999999999999</v>
      </c>
      <c r="P61" s="9" t="n">
        <v>0</v>
      </c>
      <c r="Q61" s="9" t="n">
        <v>0</v>
      </c>
      <c r="R61" s="9" t="n">
        <v>0</v>
      </c>
      <c r="S61" s="9" t="n">
        <v>2375.947428107432</v>
      </c>
      <c r="T61" s="9" t="n">
        <v>0</v>
      </c>
      <c r="U61" s="9" t="n">
        <v>0</v>
      </c>
      <c r="V61" s="9" t="n">
        <v>0</v>
      </c>
      <c r="W61" s="9" t="n">
        <v>13.7</v>
      </c>
      <c r="X61" s="9" t="n">
        <v>0</v>
      </c>
      <c r="Y61" s="9" t="n">
        <v>0</v>
      </c>
      <c r="Z61" s="9" t="n">
        <v>0</v>
      </c>
      <c r="AA61" s="9" t="n">
        <v>5146.661477355663</v>
      </c>
      <c r="AB61" s="9" t="n">
        <v>0</v>
      </c>
      <c r="AC61" s="9" t="n">
        <v>0</v>
      </c>
      <c r="AD61" s="9" t="n">
        <v>0</v>
      </c>
      <c r="AE61" s="9" t="n">
        <v>21.3</v>
      </c>
      <c r="AF61" s="9" t="n">
        <v>0</v>
      </c>
      <c r="AG61" s="9" t="n">
        <v>0</v>
      </c>
      <c r="AH61" s="9" t="n">
        <v>0</v>
      </c>
      <c r="AI61" s="9" t="n">
        <v>5701.894152234507</v>
      </c>
      <c r="AJ61" s="9" t="n">
        <v>0</v>
      </c>
      <c r="AK61" s="9" t="n">
        <v>0</v>
      </c>
      <c r="AL61" s="9" t="n">
        <v>0</v>
      </c>
      <c r="AM61" s="9" t="n">
        <v>12.75</v>
      </c>
      <c r="AN61" s="9" t="n">
        <v>0</v>
      </c>
      <c r="AO61" s="9" t="n">
        <v>0</v>
      </c>
      <c r="AP61" s="9" t="n">
        <v>0</v>
      </c>
      <c r="AQ61" s="9" t="n">
        <v>9337.912940839069</v>
      </c>
      <c r="AR61" s="9" t="n">
        <v>0</v>
      </c>
      <c r="AS61" s="9" t="n">
        <v>0</v>
      </c>
      <c r="AT61" s="9" t="n">
        <v>0</v>
      </c>
      <c r="AU61" s="9" t="n">
        <v>7.050000000000001</v>
      </c>
      <c r="AV61" s="9" t="n">
        <v>0</v>
      </c>
      <c r="AW61" s="9" t="n">
        <v>0</v>
      </c>
      <c r="AX61" s="9" t="n">
        <v>0</v>
      </c>
      <c r="AY61" s="9" t="n">
        <v>1187.973714053716</v>
      </c>
    </row>
    <row r="62">
      <c r="A62" s="9" t="n">
        <v>68</v>
      </c>
      <c r="B62" s="9" t="inlineStr">
        <is>
          <t>ЮК133</t>
        </is>
      </c>
      <c r="C62" s="9" t="inlineStr"/>
      <c r="D62" s="9" t="inlineStr">
        <is>
          <t>КАРАМЕЛЬ</t>
        </is>
      </c>
      <c r="E62" s="9" t="inlineStr">
        <is>
          <t>Локальный</t>
        </is>
      </c>
      <c r="F62" s="9" t="n">
        <v>5856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0</v>
      </c>
      <c r="R62" s="9" t="n">
        <v>0</v>
      </c>
      <c r="S62" s="9" t="n">
        <v>2512.63320679006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  <c r="AA62" s="9" t="n">
        <v>5442.743546902379</v>
      </c>
      <c r="AB62" s="9" t="n">
        <v>0</v>
      </c>
      <c r="AC62" s="9" t="n">
        <v>0</v>
      </c>
      <c r="AD62" s="9" t="n">
        <v>0</v>
      </c>
      <c r="AE62" s="9" t="n">
        <v>0</v>
      </c>
      <c r="AF62" s="9" t="n">
        <v>0</v>
      </c>
      <c r="AG62" s="9" t="n">
        <v>0</v>
      </c>
      <c r="AH62" s="9" t="n">
        <v>0</v>
      </c>
      <c r="AI62" s="9" t="n">
        <v>6029.918178753017</v>
      </c>
      <c r="AJ62" s="9" t="n">
        <v>0</v>
      </c>
      <c r="AK62" s="9" t="n">
        <v>0</v>
      </c>
      <c r="AL62" s="9" t="n">
        <v>0</v>
      </c>
      <c r="AM62" s="9" t="n">
        <v>0</v>
      </c>
      <c r="AN62" s="9" t="n">
        <v>0</v>
      </c>
      <c r="AO62" s="9" t="n">
        <v>0</v>
      </c>
      <c r="AP62" s="9" t="n">
        <v>0</v>
      </c>
      <c r="AQ62" s="9" t="n">
        <v>9875.113337821702</v>
      </c>
      <c r="AR62" s="9" t="n">
        <v>0</v>
      </c>
      <c r="AS62" s="9" t="n">
        <v>0</v>
      </c>
      <c r="AT62" s="9" t="n">
        <v>0</v>
      </c>
      <c r="AU62" s="9" t="n">
        <v>0</v>
      </c>
      <c r="AV62" s="9" t="n">
        <v>0</v>
      </c>
      <c r="AW62" s="9" t="n">
        <v>0</v>
      </c>
      <c r="AX62" s="9" t="n">
        <v>0</v>
      </c>
      <c r="AY62" s="9" t="n">
        <v>1256.31660339503</v>
      </c>
    </row>
    <row r="63">
      <c r="A63" s="9" t="n">
        <v>69</v>
      </c>
      <c r="B63" s="9" t="inlineStr">
        <is>
          <t>ЮК033</t>
        </is>
      </c>
      <c r="C63" s="9" t="inlineStr"/>
      <c r="D63" s="9" t="inlineStr">
        <is>
          <t>КАРАМЕЛЬ</t>
        </is>
      </c>
      <c r="E63" s="9" t="inlineStr">
        <is>
          <t>Локальный</t>
        </is>
      </c>
      <c r="F63" s="9" t="n">
        <v>862.8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1150.041117083738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2491.162996558659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2759.914904999533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4519.874346827372</v>
      </c>
      <c r="AR63" s="9" t="n">
        <v>0</v>
      </c>
      <c r="AS63" s="9" t="n">
        <v>0</v>
      </c>
      <c r="AT63" s="9" t="n">
        <v>0</v>
      </c>
      <c r="AU63" s="9" t="n">
        <v>0</v>
      </c>
      <c r="AV63" s="9" t="n">
        <v>0</v>
      </c>
      <c r="AW63" s="9" t="n">
        <v>0</v>
      </c>
      <c r="AX63" s="9" t="n">
        <v>0</v>
      </c>
      <c r="AY63" s="9" t="n">
        <v>575.0205585418691</v>
      </c>
    </row>
    <row r="64">
      <c r="A64" s="9" t="n">
        <v>70</v>
      </c>
      <c r="B64" s="9" t="inlineStr">
        <is>
          <t>РФ023</t>
        </is>
      </c>
      <c r="C64" s="9" t="inlineStr"/>
      <c r="D64" s="9" t="inlineStr">
        <is>
          <t>КАРАМЕЛЬ</t>
        </is>
      </c>
      <c r="E64" s="9" t="inlineStr">
        <is>
          <t>Федеральный</t>
        </is>
      </c>
      <c r="F64" s="9" t="n">
        <v>1316.102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0</v>
      </c>
      <c r="AA64" s="9" t="n">
        <v>0</v>
      </c>
      <c r="AB64" s="9" t="n">
        <v>0</v>
      </c>
      <c r="AC64" s="9" t="n">
        <v>0</v>
      </c>
      <c r="AD64" s="9" t="n">
        <v>0</v>
      </c>
      <c r="AE64" s="9" t="n">
        <v>0</v>
      </c>
      <c r="AF64" s="9" t="n">
        <v>0</v>
      </c>
      <c r="AG64" s="9" t="n">
        <v>0</v>
      </c>
      <c r="AH64" s="9" t="n">
        <v>0</v>
      </c>
      <c r="AI64" s="9" t="n">
        <v>0</v>
      </c>
      <c r="AJ64" s="9" t="n">
        <v>0</v>
      </c>
      <c r="AK64" s="9" t="n">
        <v>0</v>
      </c>
      <c r="AL64" s="9" t="n">
        <v>0</v>
      </c>
      <c r="AM64" s="9" t="n">
        <v>0</v>
      </c>
      <c r="AN64" s="9" t="n">
        <v>0</v>
      </c>
      <c r="AO64" s="9" t="n">
        <v>0</v>
      </c>
      <c r="AP64" s="9" t="n">
        <v>0</v>
      </c>
      <c r="AQ64" s="9" t="n">
        <v>0</v>
      </c>
      <c r="AR64" s="9" t="n">
        <v>0</v>
      </c>
      <c r="AS64" s="9" t="n">
        <v>0</v>
      </c>
      <c r="AT64" s="9" t="n">
        <v>0</v>
      </c>
      <c r="AU64" s="9" t="n">
        <v>0</v>
      </c>
      <c r="AV64" s="9" t="n">
        <v>0</v>
      </c>
      <c r="AW64" s="9" t="n">
        <v>0</v>
      </c>
      <c r="AX64" s="9" t="n">
        <v>0</v>
      </c>
      <c r="AY64" s="9" t="n">
        <v>0</v>
      </c>
    </row>
    <row r="65">
      <c r="A65" s="9" t="n">
        <v>71</v>
      </c>
      <c r="B65" s="9" t="inlineStr">
        <is>
          <t>РФ176</t>
        </is>
      </c>
      <c r="C65" s="9" t="inlineStr"/>
      <c r="D65" s="9" t="inlineStr">
        <is>
          <t>КАРАМЕЛЬ</t>
        </is>
      </c>
      <c r="E65" s="9" t="inlineStr">
        <is>
          <t>Федеральный</t>
        </is>
      </c>
      <c r="F65" s="9" t="n">
        <v>47907.181</v>
      </c>
      <c r="G65" s="9" t="n">
        <v>2500</v>
      </c>
      <c r="H65" s="9" t="n">
        <v>26502.385</v>
      </c>
      <c r="I65" s="9" t="n">
        <v>15707.14</v>
      </c>
      <c r="J65" s="9" t="n">
        <v>13411.72</v>
      </c>
      <c r="K65" s="9" t="n">
        <v>0</v>
      </c>
      <c r="L65" s="9" t="n">
        <v>1315</v>
      </c>
      <c r="M65" s="9" t="n">
        <v>168.5122552386264</v>
      </c>
      <c r="N65" s="9" t="n">
        <v>2717.183428997925</v>
      </c>
      <c r="O65" s="9" t="n">
        <v>470</v>
      </c>
      <c r="P65" s="9" t="n">
        <v>0</v>
      </c>
      <c r="Q65" s="9" t="n">
        <v>51.83689243976156</v>
      </c>
      <c r="R65" s="9" t="n">
        <v>2.703983171642596</v>
      </c>
      <c r="S65" s="9" t="n">
        <v>0.2984067410922667</v>
      </c>
      <c r="T65" s="9" t="n">
        <v>2266</v>
      </c>
      <c r="U65" s="9" t="n">
        <v>511.6646839073077</v>
      </c>
      <c r="V65" s="9" t="n">
        <v>9396.084461527164</v>
      </c>
      <c r="W65" s="9" t="n">
        <v>474.5</v>
      </c>
      <c r="X65" s="9" t="n">
        <v>0</v>
      </c>
      <c r="Y65" s="9" t="n">
        <v>114.543254182345</v>
      </c>
      <c r="Z65" s="9" t="n">
        <v>8.242164469223694</v>
      </c>
      <c r="AA65" s="9" t="n">
        <v>0.5968134821845338</v>
      </c>
      <c r="AB65" s="9" t="n">
        <v>1750</v>
      </c>
      <c r="AC65" s="9" t="n">
        <v>445.4457584621252</v>
      </c>
      <c r="AD65" s="9" t="n">
        <v>9301.930338952174</v>
      </c>
      <c r="AE65" s="9" t="n">
        <v>482.1</v>
      </c>
      <c r="AF65" s="9" t="n">
        <v>0</v>
      </c>
      <c r="AG65" s="9" t="n">
        <v>170.5838401848182</v>
      </c>
      <c r="AH65" s="9" t="n">
        <v>8.331676334227391</v>
      </c>
      <c r="AI65" s="9" t="n">
        <v>0.9549015714952551</v>
      </c>
      <c r="AJ65" s="9" t="n">
        <v>1504</v>
      </c>
      <c r="AK65" s="9" t="n">
        <v>355.3143507218614</v>
      </c>
      <c r="AL65" s="9" t="n">
        <v>10335.51769843633</v>
      </c>
      <c r="AM65" s="9" t="n">
        <v>473.55</v>
      </c>
      <c r="AN65" s="9" t="n">
        <v>0</v>
      </c>
      <c r="AO65" s="9" t="n">
        <v>153.6209632018251</v>
      </c>
      <c r="AP65" s="9" t="n">
        <v>6.001587279983149</v>
      </c>
      <c r="AQ65" s="9" t="n">
        <v>1.325439200508043</v>
      </c>
      <c r="AR65" s="9" t="n">
        <v>1050</v>
      </c>
      <c r="AS65" s="9" t="n">
        <v>294.8749133322879</v>
      </c>
      <c r="AT65" s="9" t="n">
        <v>9414.721586994829</v>
      </c>
      <c r="AU65" s="9" t="n">
        <v>467.85</v>
      </c>
      <c r="AV65" s="9" t="n">
        <v>0</v>
      </c>
      <c r="AW65" s="9" t="n">
        <v>25.91844621988082</v>
      </c>
      <c r="AX65" s="9" t="n">
        <v>1.932783310175865</v>
      </c>
      <c r="AY65" s="9" t="n">
        <v>0.5968134821845344</v>
      </c>
    </row>
    <row r="66">
      <c r="A66" s="9" t="n">
        <v>72</v>
      </c>
      <c r="B66" s="9" t="inlineStr">
        <is>
          <t>РФ038</t>
        </is>
      </c>
      <c r="C66" s="9" t="inlineStr"/>
      <c r="D66" s="9" t="inlineStr">
        <is>
          <t>КАРАМЕЛЬ</t>
        </is>
      </c>
      <c r="E66" s="9" t="inlineStr">
        <is>
          <t>Федеральный</t>
        </is>
      </c>
      <c r="F66" s="9" t="n">
        <v>26303.25</v>
      </c>
      <c r="G66" s="9" t="n">
        <v>0</v>
      </c>
      <c r="H66" s="9" t="n">
        <v>7016.8</v>
      </c>
      <c r="I66" s="9" t="n">
        <v>9723.799999999999</v>
      </c>
      <c r="J66" s="9" t="n">
        <v>6957.5</v>
      </c>
      <c r="K66" s="9" t="n">
        <v>1180.38</v>
      </c>
      <c r="L66" s="9" t="n">
        <v>2088</v>
      </c>
      <c r="M66" s="9" t="n">
        <v>666.4911438999885</v>
      </c>
      <c r="N66" s="9" t="n">
        <v>1724.68797925175</v>
      </c>
      <c r="O66" s="9" t="n">
        <v>15</v>
      </c>
      <c r="P66" s="9" t="n">
        <v>0</v>
      </c>
      <c r="Q66" s="9" t="n">
        <v>28.78856945651162</v>
      </c>
      <c r="R66" s="9" t="n">
        <v>249.0694182867778</v>
      </c>
      <c r="S66" s="9" t="n">
        <v>0</v>
      </c>
      <c r="T66" s="9" t="n">
        <v>3300</v>
      </c>
      <c r="U66" s="9" t="n">
        <v>1080.655160171405</v>
      </c>
      <c r="V66" s="9" t="n">
        <v>4082.121001463859</v>
      </c>
      <c r="W66" s="9" t="n">
        <v>28.5</v>
      </c>
      <c r="X66" s="9" t="n">
        <v>0</v>
      </c>
      <c r="Y66" s="9" t="n">
        <v>63.61369815205057</v>
      </c>
      <c r="Z66" s="9" t="n">
        <v>847.0347747801154</v>
      </c>
      <c r="AA66" s="9" t="n">
        <v>0</v>
      </c>
      <c r="AB66" s="9" t="n">
        <v>2635</v>
      </c>
      <c r="AC66" s="9" t="n">
        <v>1380.007474250482</v>
      </c>
      <c r="AD66" s="9" t="n">
        <v>5097.730513970936</v>
      </c>
      <c r="AE66" s="9" t="n">
        <v>51.3</v>
      </c>
      <c r="AF66" s="9" t="n">
        <v>0</v>
      </c>
      <c r="AG66" s="9" t="n">
        <v>94.73686596907631</v>
      </c>
      <c r="AH66" s="9" t="n">
        <v>576.5458388716849</v>
      </c>
      <c r="AI66" s="9" t="n">
        <v>0</v>
      </c>
      <c r="AJ66" s="9" t="n">
        <v>2981</v>
      </c>
      <c r="AK66" s="9" t="n">
        <v>1659.973083610939</v>
      </c>
      <c r="AL66" s="9" t="n">
        <v>5125.946930761987</v>
      </c>
      <c r="AM66" s="9" t="n">
        <v>25.65</v>
      </c>
      <c r="AN66" s="9" t="n">
        <v>0</v>
      </c>
      <c r="AO66" s="9" t="n">
        <v>85.31622095694246</v>
      </c>
      <c r="AP66" s="9" t="n">
        <v>195.3896094979371</v>
      </c>
      <c r="AQ66" s="9" t="n">
        <v>0</v>
      </c>
      <c r="AR66" s="9" t="n">
        <v>5857.999999999999</v>
      </c>
      <c r="AS66" s="9" t="n">
        <v>599.0191602544689</v>
      </c>
      <c r="AT66" s="9" t="n">
        <v>4127.384720734349</v>
      </c>
      <c r="AU66" s="9" t="n">
        <v>8.550000000000001</v>
      </c>
      <c r="AV66" s="9" t="n">
        <v>0</v>
      </c>
      <c r="AW66" s="9" t="n">
        <v>14.39428472825583</v>
      </c>
      <c r="AX66" s="9" t="n">
        <v>17.83980039218876</v>
      </c>
      <c r="AY66" s="9" t="n">
        <v>0</v>
      </c>
    </row>
    <row r="67">
      <c r="A67" s="9" t="n">
        <v>73</v>
      </c>
      <c r="B67" s="9" t="inlineStr">
        <is>
          <t>РФ129</t>
        </is>
      </c>
      <c r="C67" s="9" t="inlineStr"/>
      <c r="D67" s="9" t="inlineStr">
        <is>
          <t>КАРАМЕЛЬ</t>
        </is>
      </c>
      <c r="E67" s="9" t="inlineStr">
        <is>
          <t>Федеральный</t>
        </is>
      </c>
      <c r="F67" s="9" t="n">
        <v>19058</v>
      </c>
      <c r="G67" s="9" t="n">
        <v>0</v>
      </c>
      <c r="H67" s="9" t="n">
        <v>237.5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610.5373717439834</v>
      </c>
      <c r="O67" s="9" t="n">
        <v>0</v>
      </c>
      <c r="P67" s="9" t="n">
        <v>0</v>
      </c>
      <c r="Q67" s="9" t="n">
        <v>0</v>
      </c>
      <c r="R67" s="9" t="n">
        <v>110.6730141274443</v>
      </c>
      <c r="S67" s="9" t="n">
        <v>0</v>
      </c>
      <c r="T67" s="9" t="n">
        <v>0</v>
      </c>
      <c r="U67" s="9" t="n">
        <v>0</v>
      </c>
      <c r="V67" s="9" t="n">
        <v>1704.877388009273</v>
      </c>
      <c r="W67" s="9" t="n">
        <v>0</v>
      </c>
      <c r="X67" s="9" t="n">
        <v>0</v>
      </c>
      <c r="Y67" s="9" t="n">
        <v>0</v>
      </c>
      <c r="Z67" s="9" t="n">
        <v>303.3969410259393</v>
      </c>
      <c r="AA67" s="9" t="n">
        <v>0</v>
      </c>
      <c r="AB67" s="9" t="n">
        <v>0</v>
      </c>
      <c r="AC67" s="9" t="n">
        <v>0</v>
      </c>
      <c r="AD67" s="9" t="n">
        <v>2026.779800654503</v>
      </c>
      <c r="AE67" s="9" t="n">
        <v>0</v>
      </c>
      <c r="AF67" s="9" t="n">
        <v>0</v>
      </c>
      <c r="AG67" s="9" t="n">
        <v>0</v>
      </c>
      <c r="AH67" s="9" t="n">
        <v>306.6919039120908</v>
      </c>
      <c r="AI67" s="9" t="n">
        <v>0</v>
      </c>
      <c r="AJ67" s="9" t="n">
        <v>0</v>
      </c>
      <c r="AK67" s="9" t="n">
        <v>0</v>
      </c>
      <c r="AL67" s="9" t="n">
        <v>2023.305715400245</v>
      </c>
      <c r="AM67" s="9" t="n">
        <v>0</v>
      </c>
      <c r="AN67" s="9" t="n">
        <v>0</v>
      </c>
      <c r="AO67" s="9" t="n">
        <v>0</v>
      </c>
      <c r="AP67" s="9" t="n">
        <v>174.8868861905144</v>
      </c>
      <c r="AQ67" s="9" t="n">
        <v>0</v>
      </c>
      <c r="AR67" s="9" t="n">
        <v>0</v>
      </c>
      <c r="AS67" s="9" t="n">
        <v>0</v>
      </c>
      <c r="AT67" s="9" t="n">
        <v>2059.470299070012</v>
      </c>
      <c r="AU67" s="9" t="n">
        <v>0</v>
      </c>
      <c r="AV67" s="9" t="n">
        <v>0</v>
      </c>
      <c r="AW67" s="9" t="n">
        <v>0</v>
      </c>
      <c r="AX67" s="9" t="n">
        <v>25.3668352670339</v>
      </c>
      <c r="AY67" s="9" t="n">
        <v>0</v>
      </c>
    </row>
    <row r="68">
      <c r="A68" s="9" t="n">
        <v>74</v>
      </c>
      <c r="B68" s="9" t="inlineStr">
        <is>
          <t>РФ023</t>
        </is>
      </c>
      <c r="C68" s="9" t="inlineStr"/>
      <c r="D68" s="9" t="inlineStr">
        <is>
          <t>КАРАМЕЛЬ</t>
        </is>
      </c>
      <c r="E68" s="9" t="inlineStr">
        <is>
          <t>Федеральный</t>
        </is>
      </c>
      <c r="F68" s="9" t="n">
        <v>6396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9" t="n">
        <v>0</v>
      </c>
      <c r="AA68" s="9" t="n">
        <v>0</v>
      </c>
      <c r="AB68" s="9" t="n">
        <v>0</v>
      </c>
      <c r="AC68" s="9" t="n">
        <v>0</v>
      </c>
      <c r="AD68" s="9" t="n">
        <v>0</v>
      </c>
      <c r="AE68" s="9" t="n">
        <v>0</v>
      </c>
      <c r="AF68" s="9" t="n">
        <v>0</v>
      </c>
      <c r="AG68" s="9" t="n">
        <v>0</v>
      </c>
      <c r="AH68" s="9" t="n">
        <v>0</v>
      </c>
      <c r="AI68" s="9" t="n">
        <v>0</v>
      </c>
      <c r="AJ68" s="9" t="n">
        <v>0</v>
      </c>
      <c r="AK68" s="9" t="n">
        <v>0</v>
      </c>
      <c r="AL68" s="9" t="n">
        <v>0</v>
      </c>
      <c r="AM68" s="9" t="n">
        <v>0</v>
      </c>
      <c r="AN68" s="9" t="n">
        <v>0</v>
      </c>
      <c r="AO68" s="9" t="n">
        <v>0</v>
      </c>
      <c r="AP68" s="9" t="n">
        <v>0</v>
      </c>
      <c r="AQ68" s="9" t="n">
        <v>0</v>
      </c>
      <c r="AR68" s="9" t="n">
        <v>0</v>
      </c>
      <c r="AS68" s="9" t="n">
        <v>0</v>
      </c>
      <c r="AT68" s="9" t="n">
        <v>0</v>
      </c>
      <c r="AU68" s="9" t="n">
        <v>0</v>
      </c>
      <c r="AV68" s="9" t="n">
        <v>0</v>
      </c>
      <c r="AW68" s="9" t="n">
        <v>0</v>
      </c>
      <c r="AX68" s="9" t="n">
        <v>0</v>
      </c>
      <c r="AY68" s="9" t="n">
        <v>0</v>
      </c>
    </row>
    <row r="69">
      <c r="A69" s="9" t="n">
        <v>75</v>
      </c>
      <c r="B69" s="9" t="inlineStr">
        <is>
          <t>РФ025</t>
        </is>
      </c>
      <c r="C69" s="9" t="inlineStr"/>
      <c r="D69" s="9" t="inlineStr">
        <is>
          <t>КАРАМЕЛЬ</t>
        </is>
      </c>
      <c r="E69" s="9" t="inlineStr">
        <is>
          <t>Федеральный</t>
        </is>
      </c>
      <c r="F69" s="9" t="n">
        <v>98607.37299999999</v>
      </c>
      <c r="G69" s="9" t="n">
        <v>51480</v>
      </c>
      <c r="H69" s="9" t="n">
        <v>61188.565</v>
      </c>
      <c r="I69" s="9" t="n">
        <v>34493.16</v>
      </c>
      <c r="J69" s="9" t="n">
        <v>34392.02</v>
      </c>
      <c r="K69" s="9" t="n">
        <v>0</v>
      </c>
      <c r="L69" s="9" t="n">
        <v>700</v>
      </c>
      <c r="M69" s="9" t="n">
        <v>0</v>
      </c>
      <c r="N69" s="9" t="n">
        <v>3984.261015257193</v>
      </c>
      <c r="O69" s="9" t="n">
        <v>286.8</v>
      </c>
      <c r="P69" s="9" t="n">
        <v>0</v>
      </c>
      <c r="Q69" s="9" t="n">
        <v>127.85028973705</v>
      </c>
      <c r="R69" s="9" t="n">
        <v>0</v>
      </c>
      <c r="S69" s="9" t="n">
        <v>0.3086746116703893</v>
      </c>
      <c r="T69" s="9" t="n">
        <v>1111</v>
      </c>
      <c r="U69" s="9" t="n">
        <v>0</v>
      </c>
      <c r="V69" s="9" t="n">
        <v>13177.04146642415</v>
      </c>
      <c r="W69" s="9" t="n">
        <v>286.8</v>
      </c>
      <c r="X69" s="9" t="n">
        <v>0</v>
      </c>
      <c r="Y69" s="9" t="n">
        <v>282.5089920591839</v>
      </c>
      <c r="Z69" s="9" t="n">
        <v>0</v>
      </c>
      <c r="AA69" s="9" t="n">
        <v>0.6173492233407791</v>
      </c>
      <c r="AB69" s="9" t="n">
        <v>303</v>
      </c>
      <c r="AC69" s="9" t="n">
        <v>0</v>
      </c>
      <c r="AD69" s="9" t="n">
        <v>16634.41054893969</v>
      </c>
      <c r="AE69" s="9" t="n">
        <v>286.8</v>
      </c>
      <c r="AF69" s="9" t="n">
        <v>0</v>
      </c>
      <c r="AG69" s="9" t="n">
        <v>420.7272536144328</v>
      </c>
      <c r="AH69" s="9" t="n">
        <v>0</v>
      </c>
      <c r="AI69" s="9" t="n">
        <v>0.9877587573452474</v>
      </c>
      <c r="AJ69" s="9" t="n">
        <v>208</v>
      </c>
      <c r="AK69" s="9" t="n">
        <v>291.7558655526691</v>
      </c>
      <c r="AL69" s="9" t="n">
        <v>17726.71140781998</v>
      </c>
      <c r="AM69" s="9" t="n">
        <v>286.8</v>
      </c>
      <c r="AN69" s="9" t="n">
        <v>0</v>
      </c>
      <c r="AO69" s="9" t="n">
        <v>378.8900863967063</v>
      </c>
      <c r="AP69" s="9" t="n">
        <v>0</v>
      </c>
      <c r="AQ69" s="9" t="n">
        <v>1.371046206972347</v>
      </c>
      <c r="AR69" s="9" t="n">
        <v>369.0000000000001</v>
      </c>
      <c r="AS69" s="9" t="n">
        <v>272.145526409364</v>
      </c>
      <c r="AT69" s="9" t="n">
        <v>16445.04585385292</v>
      </c>
      <c r="AU69" s="9" t="n">
        <v>286.8</v>
      </c>
      <c r="AV69" s="9" t="n">
        <v>0</v>
      </c>
      <c r="AW69" s="9" t="n">
        <v>63.92514486852509</v>
      </c>
      <c r="AX69" s="9" t="n">
        <v>0</v>
      </c>
      <c r="AY69" s="9" t="n">
        <v>0.6173492233407796</v>
      </c>
    </row>
    <row r="70">
      <c r="A70" s="9" t="n">
        <v>76</v>
      </c>
      <c r="B70" s="9" t="inlineStr">
        <is>
          <t>РФ142</t>
        </is>
      </c>
      <c r="C70" s="9" t="inlineStr"/>
      <c r="D70" s="9" t="inlineStr">
        <is>
          <t>КАРАМЕЛЬ</t>
        </is>
      </c>
      <c r="E70" s="9" t="inlineStr">
        <is>
          <t>Федеральный</t>
        </is>
      </c>
      <c r="F70" s="9" t="n">
        <v>3360</v>
      </c>
      <c r="G70" s="9" t="n">
        <v>0</v>
      </c>
      <c r="H70" s="9" t="n">
        <v>26534.465</v>
      </c>
      <c r="I70" s="9" t="n">
        <v>7266.09</v>
      </c>
      <c r="J70" s="9" t="n">
        <v>14181.29</v>
      </c>
      <c r="K70" s="9" t="n">
        <v>0</v>
      </c>
      <c r="L70" s="9" t="n">
        <v>0</v>
      </c>
      <c r="M70" s="9" t="n">
        <v>0</v>
      </c>
      <c r="N70" s="9" t="n">
        <v>1555.768203208166</v>
      </c>
      <c r="O70" s="9" t="n">
        <v>0</v>
      </c>
      <c r="P70" s="9" t="n">
        <v>0</v>
      </c>
      <c r="Q70" s="9" t="n">
        <v>0</v>
      </c>
      <c r="R70" s="9" t="n">
        <v>90.67232636208477</v>
      </c>
      <c r="S70" s="9" t="n">
        <v>0</v>
      </c>
      <c r="T70" s="9" t="n">
        <v>0</v>
      </c>
      <c r="U70" s="9" t="n">
        <v>0</v>
      </c>
      <c r="V70" s="9" t="n">
        <v>8159.50443610454</v>
      </c>
      <c r="W70" s="9" t="n">
        <v>0</v>
      </c>
      <c r="X70" s="9" t="n">
        <v>0</v>
      </c>
      <c r="Y70" s="9" t="n">
        <v>0</v>
      </c>
      <c r="Z70" s="9" t="n">
        <v>235.4377628280599</v>
      </c>
      <c r="AA70" s="9" t="n">
        <v>0</v>
      </c>
      <c r="AB70" s="9" t="n">
        <v>0</v>
      </c>
      <c r="AC70" s="9" t="n">
        <v>0</v>
      </c>
      <c r="AD70" s="9" t="n">
        <v>9728.92018789531</v>
      </c>
      <c r="AE70" s="9" t="n">
        <v>0</v>
      </c>
      <c r="AF70" s="9" t="n">
        <v>0</v>
      </c>
      <c r="AG70" s="9" t="n">
        <v>0</v>
      </c>
      <c r="AH70" s="9" t="n">
        <v>237.9946728875147</v>
      </c>
      <c r="AI70" s="9" t="n">
        <v>0</v>
      </c>
      <c r="AJ70" s="9" t="n">
        <v>0</v>
      </c>
      <c r="AK70" s="9" t="n">
        <v>0</v>
      </c>
      <c r="AL70" s="9" t="n">
        <v>6271.821324866705</v>
      </c>
      <c r="AM70" s="9" t="n">
        <v>0</v>
      </c>
      <c r="AN70" s="9" t="n">
        <v>0</v>
      </c>
      <c r="AO70" s="9" t="n">
        <v>0</v>
      </c>
      <c r="AP70" s="9" t="n">
        <v>114.2903896092447</v>
      </c>
      <c r="AQ70" s="9" t="n">
        <v>0</v>
      </c>
      <c r="AR70" s="9" t="n">
        <v>0</v>
      </c>
      <c r="AS70" s="9" t="n">
        <v>0</v>
      </c>
      <c r="AT70" s="9" t="n">
        <v>6458.072164011275</v>
      </c>
      <c r="AU70" s="9" t="n">
        <v>0</v>
      </c>
      <c r="AV70" s="9" t="n">
        <v>0</v>
      </c>
      <c r="AW70" s="9" t="n">
        <v>0</v>
      </c>
      <c r="AX70" s="9" t="n">
        <v>0</v>
      </c>
      <c r="AY70" s="9" t="n">
        <v>0</v>
      </c>
    </row>
    <row r="71">
      <c r="A71" s="9" t="n">
        <v>77</v>
      </c>
      <c r="B71" s="9" t="inlineStr">
        <is>
          <t>РФ039</t>
        </is>
      </c>
      <c r="C71" s="9" t="inlineStr"/>
      <c r="D71" s="9" t="inlineStr">
        <is>
          <t>КАРАМЕЛЬ</t>
        </is>
      </c>
      <c r="E71" s="9" t="inlineStr">
        <is>
          <t>Федеральный</t>
        </is>
      </c>
      <c r="F71" s="9" t="n">
        <v>13877.25</v>
      </c>
      <c r="G71" s="9" t="n">
        <v>0</v>
      </c>
      <c r="H71" s="9" t="n">
        <v>5673.255</v>
      </c>
      <c r="I71" s="9" t="n">
        <v>4691.62</v>
      </c>
      <c r="J71" s="9" t="n">
        <v>3098.34</v>
      </c>
      <c r="K71" s="9" t="n">
        <v>1240.57</v>
      </c>
      <c r="L71" s="9" t="n">
        <v>940</v>
      </c>
      <c r="M71" s="9" t="n">
        <v>62.741481223472</v>
      </c>
      <c r="N71" s="9" t="n">
        <v>737.7285322061649</v>
      </c>
      <c r="O71" s="9" t="n">
        <v>5</v>
      </c>
      <c r="P71" s="9" t="n">
        <v>0</v>
      </c>
      <c r="Q71" s="9" t="n">
        <v>18.01889406534432</v>
      </c>
      <c r="R71" s="9" t="n">
        <v>267.7521357762283</v>
      </c>
      <c r="S71" s="9" t="n">
        <v>0.03481481645616712</v>
      </c>
      <c r="T71" s="9" t="n">
        <v>1645</v>
      </c>
      <c r="U71" s="9" t="n">
        <v>158.9833676750211</v>
      </c>
      <c r="V71" s="9" t="n">
        <v>2053.755375145976</v>
      </c>
      <c r="W71" s="9" t="n">
        <v>9.5</v>
      </c>
      <c r="X71" s="9" t="n">
        <v>0</v>
      </c>
      <c r="Y71" s="9" t="n">
        <v>39.81609749098948</v>
      </c>
      <c r="Z71" s="9" t="n">
        <v>705.136827632076</v>
      </c>
      <c r="AA71" s="9" t="n">
        <v>0.06962963291233432</v>
      </c>
      <c r="AB71" s="9" t="n">
        <v>1870</v>
      </c>
      <c r="AC71" s="9" t="n">
        <v>143.0334438881807</v>
      </c>
      <c r="AD71" s="9" t="n">
        <v>2495.538396236599</v>
      </c>
      <c r="AE71" s="9" t="n">
        <v>17.1</v>
      </c>
      <c r="AF71" s="9" t="n">
        <v>0</v>
      </c>
      <c r="AG71" s="9" t="n">
        <v>59.29622708617759</v>
      </c>
      <c r="AH71" s="9" t="n">
        <v>619.7925895223638</v>
      </c>
      <c r="AI71" s="9" t="n">
        <v>0.111407412659735</v>
      </c>
      <c r="AJ71" s="9" t="n">
        <v>1982</v>
      </c>
      <c r="AK71" s="9" t="n">
        <v>152.738358986175</v>
      </c>
      <c r="AL71" s="9" t="n">
        <v>2474.760690220407</v>
      </c>
      <c r="AM71" s="9" t="n">
        <v>8.550000000000001</v>
      </c>
      <c r="AN71" s="9" t="n">
        <v>0</v>
      </c>
      <c r="AO71" s="9" t="n">
        <v>53.39980334211903</v>
      </c>
      <c r="AP71" s="9" t="n">
        <v>107.5859168347331</v>
      </c>
      <c r="AQ71" s="9" t="n">
        <v>0.1546376677704761</v>
      </c>
      <c r="AR71" s="9" t="n">
        <v>1541</v>
      </c>
      <c r="AS71" s="9" t="n">
        <v>142.4720666042313</v>
      </c>
      <c r="AT71" s="9" t="n">
        <v>1838.44822780179</v>
      </c>
      <c r="AU71" s="9" t="n">
        <v>2.85</v>
      </c>
      <c r="AV71" s="9" t="n">
        <v>0</v>
      </c>
      <c r="AW71" s="9" t="n">
        <v>9.009447032672174</v>
      </c>
      <c r="AX71" s="9" t="n">
        <v>13.30658865323647</v>
      </c>
      <c r="AY71" s="9" t="n">
        <v>0.06962963291233437</v>
      </c>
    </row>
    <row r="72">
      <c r="A72" s="9" t="n">
        <v>78</v>
      </c>
      <c r="B72" s="9" t="inlineStr">
        <is>
          <t>РФ039</t>
        </is>
      </c>
      <c r="C72" s="9" t="inlineStr"/>
      <c r="D72" s="9" t="inlineStr">
        <is>
          <t>КАРАМЕЛЬ</t>
        </is>
      </c>
      <c r="E72" s="9" t="inlineStr">
        <is>
          <t>Федеральный</t>
        </is>
      </c>
      <c r="F72" s="9" t="n">
        <v>85581.74999999999</v>
      </c>
      <c r="G72" s="9" t="n">
        <v>0</v>
      </c>
      <c r="H72" s="9" t="n">
        <v>21550.725</v>
      </c>
      <c r="I72" s="9" t="n">
        <v>23760.31</v>
      </c>
      <c r="J72" s="9" t="n">
        <v>16865.67</v>
      </c>
      <c r="K72" s="9" t="n">
        <v>1434.73</v>
      </c>
      <c r="L72" s="9" t="n">
        <v>2399</v>
      </c>
      <c r="M72" s="9" t="n">
        <v>2913.818969920638</v>
      </c>
      <c r="N72" s="9" t="n">
        <v>1975.133160291457</v>
      </c>
      <c r="O72" s="9" t="n">
        <v>5</v>
      </c>
      <c r="P72" s="9" t="n">
        <v>0</v>
      </c>
      <c r="Q72" s="9" t="n">
        <v>9.027078029390937</v>
      </c>
      <c r="R72" s="9" t="n">
        <v>181.4852939314199</v>
      </c>
      <c r="S72" s="9" t="n">
        <v>0.4253777716611948</v>
      </c>
      <c r="T72" s="9" t="n">
        <v>5401</v>
      </c>
      <c r="U72" s="9" t="n">
        <v>7497.083225197743</v>
      </c>
      <c r="V72" s="9" t="n">
        <v>5427.569374289847</v>
      </c>
      <c r="W72" s="9" t="n">
        <v>9.5</v>
      </c>
      <c r="X72" s="9" t="n">
        <v>0</v>
      </c>
      <c r="Y72" s="9" t="n">
        <v>19.94700771165951</v>
      </c>
      <c r="Z72" s="9" t="n">
        <v>498.4473883387706</v>
      </c>
      <c r="AA72" s="9" t="n">
        <v>0.8507555433223905</v>
      </c>
      <c r="AB72" s="9" t="n">
        <v>3829</v>
      </c>
      <c r="AC72" s="9" t="n">
        <v>6999.51519133092</v>
      </c>
      <c r="AD72" s="9" t="n">
        <v>6485.488191206112</v>
      </c>
      <c r="AE72" s="9" t="n">
        <v>17.1</v>
      </c>
      <c r="AF72" s="9" t="n">
        <v>0</v>
      </c>
      <c r="AG72" s="9" t="n">
        <v>29.70613328511076</v>
      </c>
      <c r="AH72" s="9" t="n">
        <v>409.994773783303</v>
      </c>
      <c r="AI72" s="9" t="n">
        <v>1.361208869315826</v>
      </c>
      <c r="AJ72" s="9" t="n">
        <v>8118</v>
      </c>
      <c r="AK72" s="9" t="n">
        <v>7395.405607247125</v>
      </c>
      <c r="AL72" s="9" t="n">
        <v>6453.954342284841</v>
      </c>
      <c r="AM72" s="9" t="n">
        <v>8.550000000000001</v>
      </c>
      <c r="AN72" s="9" t="n">
        <v>0</v>
      </c>
      <c r="AO72" s="9" t="n">
        <v>26.75215192316123</v>
      </c>
      <c r="AP72" s="9" t="n">
        <v>136.8486333170869</v>
      </c>
      <c r="AQ72" s="9" t="n">
        <v>1.889408970858931</v>
      </c>
      <c r="AR72" s="9" t="n">
        <v>26137.4</v>
      </c>
      <c r="AS72" s="9" t="n">
        <v>5891.491738302837</v>
      </c>
      <c r="AT72" s="9" t="n">
        <v>5356.842597946023</v>
      </c>
      <c r="AU72" s="9" t="n">
        <v>2.85</v>
      </c>
      <c r="AV72" s="9" t="n">
        <v>0</v>
      </c>
      <c r="AW72" s="9" t="n">
        <v>4.513539014695477</v>
      </c>
      <c r="AX72" s="9" t="n">
        <v>24.72550684505292</v>
      </c>
      <c r="AY72" s="9" t="n">
        <v>0.8507555433223913</v>
      </c>
    </row>
    <row r="73">
      <c r="A73" s="9" t="n">
        <v>79</v>
      </c>
      <c r="B73" s="9" t="inlineStr">
        <is>
          <t>РФ176</t>
        </is>
      </c>
      <c r="C73" s="9" t="inlineStr"/>
      <c r="D73" s="9" t="inlineStr">
        <is>
          <t>КАРАМЕЛЬ</t>
        </is>
      </c>
      <c r="E73" s="9" t="inlineStr">
        <is>
          <t>Федеральный</t>
        </is>
      </c>
      <c r="F73" s="9" t="n">
        <v>45191.536</v>
      </c>
      <c r="G73" s="9" t="n">
        <v>0</v>
      </c>
      <c r="H73" s="9" t="n">
        <v>26934.23</v>
      </c>
      <c r="I73" s="9" t="n">
        <v>13319.57</v>
      </c>
      <c r="J73" s="9" t="n">
        <v>11387.33</v>
      </c>
      <c r="K73" s="9" t="n">
        <v>0</v>
      </c>
      <c r="L73" s="9" t="n">
        <v>0</v>
      </c>
      <c r="M73" s="9" t="n">
        <v>21.60063336869365</v>
      </c>
      <c r="N73" s="9" t="n">
        <v>3044.855559412247</v>
      </c>
      <c r="O73" s="9" t="n">
        <v>288.2</v>
      </c>
      <c r="P73" s="9" t="n">
        <v>0</v>
      </c>
      <c r="Q73" s="9" t="n">
        <v>87.9026742971749</v>
      </c>
      <c r="R73" s="9" t="n">
        <v>0</v>
      </c>
      <c r="S73" s="9" t="n">
        <v>0.605616351464175</v>
      </c>
      <c r="T73" s="9" t="n">
        <v>0</v>
      </c>
      <c r="U73" s="9" t="n">
        <v>54.73478422730668</v>
      </c>
      <c r="V73" s="9" t="n">
        <v>8701.235643928103</v>
      </c>
      <c r="W73" s="9" t="n">
        <v>292.7</v>
      </c>
      <c r="X73" s="9" t="n">
        <v>0</v>
      </c>
      <c r="Y73" s="9" t="n">
        <v>194.2373065096397</v>
      </c>
      <c r="Z73" s="9" t="n">
        <v>0</v>
      </c>
      <c r="AA73" s="9" t="n">
        <v>1.211232702928351</v>
      </c>
      <c r="AB73" s="9" t="n">
        <v>0</v>
      </c>
      <c r="AC73" s="9" t="n">
        <v>49.24354542867189</v>
      </c>
      <c r="AD73" s="9" t="n">
        <v>10780.40307857638</v>
      </c>
      <c r="AE73" s="9" t="n">
        <v>300.3</v>
      </c>
      <c r="AF73" s="9" t="n">
        <v>0</v>
      </c>
      <c r="AG73" s="9" t="n">
        <v>289.2684155700978</v>
      </c>
      <c r="AH73" s="9" t="n">
        <v>0</v>
      </c>
      <c r="AI73" s="9" t="n">
        <v>1.937972324685364</v>
      </c>
      <c r="AJ73" s="9" t="n">
        <v>72</v>
      </c>
      <c r="AK73" s="9" t="n">
        <v>0</v>
      </c>
      <c r="AL73" s="9" t="n">
        <v>10753.87215869983</v>
      </c>
      <c r="AM73" s="9" t="n">
        <v>291.75</v>
      </c>
      <c r="AN73" s="9" t="n">
        <v>0</v>
      </c>
      <c r="AO73" s="9" t="n">
        <v>260.5035305548196</v>
      </c>
      <c r="AP73" s="9" t="n">
        <v>0</v>
      </c>
      <c r="AQ73" s="9" t="n">
        <v>2.689978281861531</v>
      </c>
      <c r="AR73" s="9" t="n">
        <v>116</v>
      </c>
      <c r="AS73" s="9" t="n">
        <v>0</v>
      </c>
      <c r="AT73" s="9" t="n">
        <v>8712.250651525752</v>
      </c>
      <c r="AU73" s="9" t="n">
        <v>286.05</v>
      </c>
      <c r="AV73" s="9" t="n">
        <v>0</v>
      </c>
      <c r="AW73" s="9" t="n">
        <v>43.95133714858753</v>
      </c>
      <c r="AX73" s="9" t="n">
        <v>0</v>
      </c>
      <c r="AY73" s="9" t="n">
        <v>1.211232702928352</v>
      </c>
    </row>
    <row r="74">
      <c r="A74" s="9" t="n">
        <v>80</v>
      </c>
      <c r="B74" s="9" t="inlineStr">
        <is>
          <t>РФ142</t>
        </is>
      </c>
      <c r="C74" s="9" t="inlineStr"/>
      <c r="D74" s="9" t="inlineStr">
        <is>
          <t>КАРАМЕЛЬ</t>
        </is>
      </c>
      <c r="E74" s="9" t="inlineStr">
        <is>
          <t>Федеральный</t>
        </is>
      </c>
      <c r="F74" s="9" t="n">
        <v>20778</v>
      </c>
      <c r="G74" s="9" t="n">
        <v>0</v>
      </c>
      <c r="H74" s="9" t="n">
        <v>3205</v>
      </c>
      <c r="I74" s="9" t="n">
        <v>0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674.4675369680839</v>
      </c>
      <c r="O74" s="9" t="n">
        <v>0</v>
      </c>
      <c r="P74" s="9" t="n">
        <v>0</v>
      </c>
      <c r="Q74" s="9" t="n">
        <v>0</v>
      </c>
      <c r="R74" s="9" t="n">
        <v>73.36210283406845</v>
      </c>
      <c r="S74" s="9" t="n">
        <v>0</v>
      </c>
      <c r="T74" s="9" t="n">
        <v>0</v>
      </c>
      <c r="U74" s="9" t="n">
        <v>0</v>
      </c>
      <c r="V74" s="9" t="n">
        <v>1303.492542482312</v>
      </c>
      <c r="W74" s="9" t="n">
        <v>0</v>
      </c>
      <c r="X74" s="9" t="n">
        <v>0</v>
      </c>
      <c r="Y74" s="9" t="n">
        <v>0</v>
      </c>
      <c r="Z74" s="9" t="n">
        <v>191.7725326700649</v>
      </c>
      <c r="AA74" s="9" t="n">
        <v>0</v>
      </c>
      <c r="AB74" s="9" t="n">
        <v>0</v>
      </c>
      <c r="AC74" s="9" t="n">
        <v>0</v>
      </c>
      <c r="AD74" s="9" t="n">
        <v>1394.75336016618</v>
      </c>
      <c r="AE74" s="9" t="n">
        <v>0</v>
      </c>
      <c r="AF74" s="9" t="n">
        <v>0</v>
      </c>
      <c r="AG74" s="9" t="n">
        <v>0</v>
      </c>
      <c r="AH74" s="9" t="n">
        <v>193.855227952339</v>
      </c>
      <c r="AI74" s="9" t="n">
        <v>0</v>
      </c>
      <c r="AJ74" s="9" t="n">
        <v>0</v>
      </c>
      <c r="AK74" s="9" t="n">
        <v>0</v>
      </c>
      <c r="AL74" s="9" t="n">
        <v>1407.608330139061</v>
      </c>
      <c r="AM74" s="9" t="n">
        <v>0</v>
      </c>
      <c r="AN74" s="9" t="n">
        <v>0</v>
      </c>
      <c r="AO74" s="9" t="n">
        <v>0</v>
      </c>
      <c r="AP74" s="9" t="n">
        <v>95.19419189561708</v>
      </c>
      <c r="AQ74" s="9" t="n">
        <v>0</v>
      </c>
      <c r="AR74" s="9" t="n">
        <v>0</v>
      </c>
      <c r="AS74" s="9" t="n">
        <v>0</v>
      </c>
      <c r="AT74" s="9" t="n">
        <v>1185.695039872661</v>
      </c>
      <c r="AU74" s="9" t="n">
        <v>0</v>
      </c>
      <c r="AV74" s="9" t="n">
        <v>0</v>
      </c>
      <c r="AW74" s="9" t="n">
        <v>0</v>
      </c>
      <c r="AX74" s="9" t="n">
        <v>2.029422475684658</v>
      </c>
      <c r="AY74" s="9" t="n">
        <v>0</v>
      </c>
    </row>
    <row r="75">
      <c r="A75" s="9" t="n">
        <v>81</v>
      </c>
      <c r="B75" s="9" t="inlineStr">
        <is>
          <t>РФ177</t>
        </is>
      </c>
      <c r="C75" s="9" t="inlineStr"/>
      <c r="D75" s="9" t="inlineStr">
        <is>
          <t>КАРАМЕЛЬ</t>
        </is>
      </c>
      <c r="E75" s="9" t="inlineStr">
        <is>
          <t>Федеральный</t>
        </is>
      </c>
      <c r="F75" s="9" t="n">
        <v>0</v>
      </c>
      <c r="G75" s="9" t="n">
        <v>0</v>
      </c>
      <c r="H75" s="9" t="n">
        <v>0.915</v>
      </c>
      <c r="I75" s="9" t="n">
        <v>1</v>
      </c>
      <c r="J75" s="9" t="n">
        <v>0.67</v>
      </c>
      <c r="K75" s="9" t="n">
        <v>0</v>
      </c>
      <c r="L75" s="9" t="n">
        <v>0</v>
      </c>
      <c r="M75" s="9" t="n">
        <v>0.3300236549100942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0.6700180064961523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0.825539821385354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  <c r="AR75" s="9" t="n">
        <v>0</v>
      </c>
      <c r="AS75" s="9" t="n">
        <v>0.1650118274550472</v>
      </c>
      <c r="AT75" s="9" t="n">
        <v>0</v>
      </c>
      <c r="AU75" s="9" t="n">
        <v>0</v>
      </c>
      <c r="AV75" s="9" t="n">
        <v>0</v>
      </c>
      <c r="AW75" s="9" t="n">
        <v>0</v>
      </c>
      <c r="AX75" s="9" t="n">
        <v>0</v>
      </c>
      <c r="AY75" s="9" t="n">
        <v>0</v>
      </c>
    </row>
    <row r="76">
      <c r="A76" s="9" t="n">
        <v>82</v>
      </c>
      <c r="B76" s="9" t="inlineStr">
        <is>
          <t>РФ025</t>
        </is>
      </c>
      <c r="C76" s="9" t="inlineStr"/>
      <c r="D76" s="9" t="inlineStr">
        <is>
          <t>КАРАМЕЛЬ</t>
        </is>
      </c>
      <c r="E76" s="9" t="inlineStr">
        <is>
          <t>Федеральный</t>
        </is>
      </c>
      <c r="F76" s="9" t="n">
        <v>5153.224000000001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  <c r="Z76" s="9" t="n">
        <v>0</v>
      </c>
      <c r="AA76" s="9" t="n">
        <v>0</v>
      </c>
      <c r="AB76" s="9" t="n">
        <v>0</v>
      </c>
      <c r="AC76" s="9" t="n">
        <v>0</v>
      </c>
      <c r="AD76" s="9" t="n">
        <v>0</v>
      </c>
      <c r="AE76" s="9" t="n">
        <v>0</v>
      </c>
      <c r="AF76" s="9" t="n">
        <v>0</v>
      </c>
      <c r="AG76" s="9" t="n">
        <v>0</v>
      </c>
      <c r="AH76" s="9" t="n">
        <v>0</v>
      </c>
      <c r="AI76" s="9" t="n">
        <v>0</v>
      </c>
      <c r="AJ76" s="9" t="n">
        <v>0</v>
      </c>
      <c r="AK76" s="9" t="n">
        <v>0</v>
      </c>
      <c r="AL76" s="9" t="n">
        <v>0</v>
      </c>
      <c r="AM76" s="9" t="n">
        <v>0</v>
      </c>
      <c r="AN76" s="9" t="n">
        <v>0</v>
      </c>
      <c r="AO76" s="9" t="n">
        <v>0</v>
      </c>
      <c r="AP76" s="9" t="n">
        <v>0</v>
      </c>
      <c r="AQ76" s="9" t="n">
        <v>0</v>
      </c>
      <c r="AR76" s="9" t="n">
        <v>0</v>
      </c>
      <c r="AS76" s="9" t="n">
        <v>0</v>
      </c>
      <c r="AT76" s="9" t="n">
        <v>0</v>
      </c>
      <c r="AU76" s="9" t="n">
        <v>0</v>
      </c>
      <c r="AV76" s="9" t="n">
        <v>0</v>
      </c>
      <c r="AW76" s="9" t="n">
        <v>0</v>
      </c>
      <c r="AX76" s="9" t="n">
        <v>0</v>
      </c>
      <c r="AY76" s="9" t="n">
        <v>0</v>
      </c>
    </row>
    <row r="77">
      <c r="A77" s="9" t="n">
        <v>83</v>
      </c>
      <c r="B77" s="9" t="inlineStr">
        <is>
          <t>РФ181</t>
        </is>
      </c>
      <c r="C77" s="9" t="inlineStr"/>
      <c r="D77" s="9" t="inlineStr">
        <is>
          <t>КАРАМЕЛЬ</t>
        </is>
      </c>
      <c r="E77" s="9" t="inlineStr">
        <is>
          <t>Федеральный</t>
        </is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  <c r="AR77" s="9" t="n">
        <v>0</v>
      </c>
      <c r="AS77" s="9" t="n">
        <v>0</v>
      </c>
      <c r="AT77" s="9" t="n">
        <v>0</v>
      </c>
      <c r="AU77" s="9" t="n">
        <v>0</v>
      </c>
      <c r="AV77" s="9" t="n">
        <v>0</v>
      </c>
      <c r="AW77" s="9" t="n">
        <v>0</v>
      </c>
      <c r="AX77" s="9" t="n">
        <v>0</v>
      </c>
      <c r="AY77" s="9" t="n">
        <v>0</v>
      </c>
    </row>
    <row r="78">
      <c r="A78" s="9" t="n">
        <v>84</v>
      </c>
      <c r="B78" s="9" t="inlineStr">
        <is>
          <t>РФ176</t>
        </is>
      </c>
      <c r="C78" s="9" t="inlineStr"/>
      <c r="D78" s="9" t="inlineStr">
        <is>
          <t>КАРАМЕЛЬ</t>
        </is>
      </c>
      <c r="E78" s="9" t="inlineStr">
        <is>
          <t>Федеральный</t>
        </is>
      </c>
      <c r="F78" s="9" t="n">
        <v>483355.716</v>
      </c>
      <c r="G78" s="9" t="n">
        <v>60650</v>
      </c>
      <c r="H78" s="9" t="n">
        <v>95839.90999999999</v>
      </c>
      <c r="I78" s="9" t="n">
        <v>133295.22</v>
      </c>
      <c r="J78" s="9" t="n">
        <v>152771.57</v>
      </c>
      <c r="K78" s="9" t="n">
        <v>105302.16</v>
      </c>
      <c r="L78" s="9" t="n">
        <v>54122</v>
      </c>
      <c r="M78" s="9" t="n">
        <v>9106.42060737374</v>
      </c>
      <c r="N78" s="9" t="n">
        <v>7967.220605555429</v>
      </c>
      <c r="O78" s="9" t="n">
        <v>787</v>
      </c>
      <c r="P78" s="9" t="n">
        <v>0</v>
      </c>
      <c r="Q78" s="9" t="n">
        <v>200</v>
      </c>
      <c r="R78" s="9" t="n">
        <v>0</v>
      </c>
      <c r="S78" s="9" t="n">
        <v>1001.011926850111</v>
      </c>
      <c r="T78" s="9" t="n">
        <v>61322</v>
      </c>
      <c r="U78" s="9" t="n">
        <v>7722.002838803568</v>
      </c>
      <c r="V78" s="9" t="n">
        <v>21881.65707987499</v>
      </c>
      <c r="W78" s="9" t="n">
        <v>877</v>
      </c>
      <c r="X78" s="9" t="n">
        <v>0</v>
      </c>
      <c r="Y78" s="9" t="n">
        <v>324.3798373100719</v>
      </c>
      <c r="Z78" s="9" t="n">
        <v>0</v>
      </c>
      <c r="AA78" s="9" t="n">
        <v>2.023853700221359</v>
      </c>
      <c r="AB78" s="9" t="n">
        <v>87763</v>
      </c>
      <c r="AC78" s="9" t="n">
        <v>9055.826119976697</v>
      </c>
      <c r="AD78" s="9" t="n">
        <v>23097.66965223685</v>
      </c>
      <c r="AE78" s="9" t="n">
        <v>1029</v>
      </c>
      <c r="AF78" s="9" t="n">
        <v>0</v>
      </c>
      <c r="AG78" s="9" t="n">
        <v>483.0835191637804</v>
      </c>
      <c r="AH78" s="9" t="n">
        <v>0</v>
      </c>
      <c r="AI78" s="9" t="n">
        <v>4003.238165920354</v>
      </c>
      <c r="AJ78" s="9" t="n">
        <v>92932</v>
      </c>
      <c r="AK78" s="9" t="n">
        <v>7419.657692205233</v>
      </c>
      <c r="AL78" s="9" t="n">
        <v>23854.13216800451</v>
      </c>
      <c r="AM78" s="9" t="n">
        <v>858</v>
      </c>
      <c r="AN78" s="9" t="n">
        <v>0</v>
      </c>
      <c r="AO78" s="9" t="n">
        <v>435.04563761997</v>
      </c>
      <c r="AP78" s="9" t="n">
        <v>0</v>
      </c>
      <c r="AQ78" s="9" t="n">
        <v>3004.494695764157</v>
      </c>
      <c r="AR78" s="9" t="n">
        <v>41931.5</v>
      </c>
      <c r="AS78" s="9" t="n">
        <v>6922.626570249553</v>
      </c>
      <c r="AT78" s="9" t="n">
        <v>19797.3291009763</v>
      </c>
      <c r="AU78" s="9" t="n">
        <v>744</v>
      </c>
      <c r="AV78" s="9" t="n">
        <v>0</v>
      </c>
      <c r="AW78" s="9" t="n">
        <v>200</v>
      </c>
      <c r="AX78" s="9" t="n">
        <v>0</v>
      </c>
      <c r="AY78" s="9" t="n">
        <v>763.0238537002214</v>
      </c>
    </row>
    <row r="79">
      <c r="A79" s="9" t="n">
        <v>85</v>
      </c>
      <c r="B79" s="9" t="inlineStr">
        <is>
          <t>РФ039</t>
        </is>
      </c>
      <c r="C79" s="9" t="inlineStr"/>
      <c r="D79" s="9" t="inlineStr">
        <is>
          <t>КАРАМЕЛЬ</t>
        </is>
      </c>
      <c r="E79" s="9" t="inlineStr">
        <is>
          <t>Федеральный</t>
        </is>
      </c>
      <c r="F79" s="9" t="n">
        <v>72029</v>
      </c>
      <c r="G79" s="9" t="n">
        <v>0</v>
      </c>
      <c r="H79" s="9" t="n">
        <v>34186.43</v>
      </c>
      <c r="I79" s="9" t="n">
        <v>20168.1</v>
      </c>
      <c r="J79" s="9" t="n">
        <v>21639.09</v>
      </c>
      <c r="K79" s="9" t="n">
        <v>9687.98</v>
      </c>
      <c r="L79" s="9" t="n">
        <v>3609</v>
      </c>
      <c r="M79" s="9" t="n">
        <v>336.0988447101849</v>
      </c>
      <c r="N79" s="9" t="n">
        <v>7413.083911070491</v>
      </c>
      <c r="O79" s="9" t="n">
        <v>20</v>
      </c>
      <c r="P79" s="9" t="n">
        <v>0</v>
      </c>
      <c r="Q79" s="9" t="n">
        <v>41.87662408181757</v>
      </c>
      <c r="R79" s="9" t="n">
        <v>297.7933993682281</v>
      </c>
      <c r="S79" s="9" t="n">
        <v>0</v>
      </c>
      <c r="T79" s="9" t="n">
        <v>11661</v>
      </c>
      <c r="U79" s="9" t="n">
        <v>851.6554783491323</v>
      </c>
      <c r="V79" s="9" t="n">
        <v>7591.669601864905</v>
      </c>
      <c r="W79" s="9" t="n">
        <v>38</v>
      </c>
      <c r="X79" s="9" t="n">
        <v>0</v>
      </c>
      <c r="Y79" s="9" t="n">
        <v>92.53418889020509</v>
      </c>
      <c r="Z79" s="9" t="n">
        <v>900.4129366475562</v>
      </c>
      <c r="AA79" s="9" t="n">
        <v>0</v>
      </c>
      <c r="AB79" s="9" t="n">
        <v>9248</v>
      </c>
      <c r="AC79" s="9" t="n">
        <v>766.2135848292984</v>
      </c>
      <c r="AD79" s="9" t="n">
        <v>9282.299874009055</v>
      </c>
      <c r="AE79" s="9" t="n">
        <v>68.40000000000001</v>
      </c>
      <c r="AF79" s="9" t="n">
        <v>0</v>
      </c>
      <c r="AG79" s="9" t="n">
        <v>137.8067822671613</v>
      </c>
      <c r="AH79" s="9" t="n">
        <v>733.3196187147405</v>
      </c>
      <c r="AI79" s="9" t="n">
        <v>0</v>
      </c>
      <c r="AJ79" s="9" t="n">
        <v>1884</v>
      </c>
      <c r="AK79" s="9" t="n">
        <v>845.5294769242525</v>
      </c>
      <c r="AL79" s="9" t="n">
        <v>9273.218949205508</v>
      </c>
      <c r="AM79" s="9" t="n">
        <v>34.2</v>
      </c>
      <c r="AN79" s="9" t="n">
        <v>0</v>
      </c>
      <c r="AO79" s="9" t="n">
        <v>124.1032597500969</v>
      </c>
      <c r="AP79" s="9" t="n">
        <v>316.1978963987688</v>
      </c>
      <c r="AQ79" s="9" t="n">
        <v>0</v>
      </c>
      <c r="AR79" s="9" t="n">
        <v>3792</v>
      </c>
      <c r="AS79" s="9" t="n">
        <v>811.8559373411057</v>
      </c>
      <c r="AT79" s="9" t="n">
        <v>7509.644512942625</v>
      </c>
      <c r="AU79" s="9" t="n">
        <v>11.4</v>
      </c>
      <c r="AV79" s="9" t="n">
        <v>0</v>
      </c>
      <c r="AW79" s="9" t="n">
        <v>20.93831204090883</v>
      </c>
      <c r="AX79" s="9" t="n">
        <v>51.24915728168425</v>
      </c>
      <c r="AY79" s="9" t="n">
        <v>0</v>
      </c>
    </row>
    <row r="80">
      <c r="A80" s="9" t="n">
        <v>86</v>
      </c>
      <c r="B80" s="9" t="inlineStr">
        <is>
          <t>РФ129</t>
        </is>
      </c>
      <c r="C80" s="9" t="inlineStr"/>
      <c r="D80" s="9" t="inlineStr">
        <is>
          <t>КАРАМЕЛЬ</t>
        </is>
      </c>
      <c r="E80" s="9" t="inlineStr">
        <is>
          <t>Федеральный</t>
        </is>
      </c>
      <c r="F80" s="9" t="n">
        <v>92432</v>
      </c>
      <c r="G80" s="9" t="n">
        <v>0</v>
      </c>
      <c r="H80" s="9" t="n">
        <v>13738.05</v>
      </c>
      <c r="I80" s="9" t="n">
        <v>11497.36</v>
      </c>
      <c r="J80" s="9" t="n">
        <v>14385.94</v>
      </c>
      <c r="K80" s="9" t="n">
        <v>0</v>
      </c>
      <c r="L80" s="9" t="n">
        <v>0</v>
      </c>
      <c r="M80" s="9" t="n">
        <v>0</v>
      </c>
      <c r="N80" s="9" t="n">
        <v>2387.88675663095</v>
      </c>
      <c r="O80" s="9" t="n">
        <v>0</v>
      </c>
      <c r="P80" s="9" t="n">
        <v>0</v>
      </c>
      <c r="Q80" s="9" t="n">
        <v>34.1042448474431</v>
      </c>
      <c r="R80" s="9" t="n">
        <v>105.0936311443192</v>
      </c>
      <c r="S80" s="9" t="n">
        <v>0</v>
      </c>
      <c r="T80" s="9" t="n">
        <v>0</v>
      </c>
      <c r="U80" s="9" t="n">
        <v>0</v>
      </c>
      <c r="V80" s="9" t="n">
        <v>7886.991963988403</v>
      </c>
      <c r="W80" s="9" t="n">
        <v>0</v>
      </c>
      <c r="X80" s="9" t="n">
        <v>0</v>
      </c>
      <c r="Y80" s="9" t="n">
        <v>75.35967150803174</v>
      </c>
      <c r="Z80" s="9" t="n">
        <v>285.8978708419804</v>
      </c>
      <c r="AA80" s="9" t="n">
        <v>0</v>
      </c>
      <c r="AB80" s="9" t="n">
        <v>0</v>
      </c>
      <c r="AC80" s="9" t="n">
        <v>0</v>
      </c>
      <c r="AD80" s="9" t="n">
        <v>13419.73327345877</v>
      </c>
      <c r="AE80" s="9" t="n">
        <v>0</v>
      </c>
      <c r="AF80" s="9" t="n">
        <v>0</v>
      </c>
      <c r="AG80" s="9" t="n">
        <v>112.2295874398852</v>
      </c>
      <c r="AH80" s="9" t="n">
        <v>289.0027896670305</v>
      </c>
      <c r="AI80" s="9" t="n">
        <v>0</v>
      </c>
      <c r="AJ80" s="9" t="n">
        <v>0</v>
      </c>
      <c r="AK80" s="9" t="n">
        <v>0</v>
      </c>
      <c r="AL80" s="9" t="n">
        <v>13541.92686426067</v>
      </c>
      <c r="AM80" s="9" t="n">
        <v>0</v>
      </c>
      <c r="AN80" s="9" t="n">
        <v>0</v>
      </c>
      <c r="AO80" s="9" t="n">
        <v>101.0694641624854</v>
      </c>
      <c r="AP80" s="9" t="n">
        <v>160.5574544716084</v>
      </c>
      <c r="AQ80" s="9" t="n">
        <v>0</v>
      </c>
      <c r="AR80" s="9" t="n">
        <v>0</v>
      </c>
      <c r="AS80" s="9" t="n">
        <v>0</v>
      </c>
      <c r="AT80" s="9" t="n">
        <v>5945.733306845695</v>
      </c>
      <c r="AU80" s="9" t="n">
        <v>0</v>
      </c>
      <c r="AV80" s="9" t="n">
        <v>0</v>
      </c>
      <c r="AW80" s="9" t="n">
        <v>17.05212242372158</v>
      </c>
      <c r="AX80" s="9" t="n">
        <v>20.59959446982506</v>
      </c>
      <c r="AY80" s="9" t="n">
        <v>0</v>
      </c>
    </row>
    <row r="81">
      <c r="A81" s="9" t="n">
        <v>87</v>
      </c>
      <c r="B81" s="9" t="inlineStr">
        <is>
          <t>РФ025</t>
        </is>
      </c>
      <c r="C81" s="9" t="inlineStr"/>
      <c r="D81" s="9" t="inlineStr">
        <is>
          <t>КАРАМЕЛЬ</t>
        </is>
      </c>
      <c r="E81" s="9" t="inlineStr">
        <is>
          <t>Федеральный</t>
        </is>
      </c>
      <c r="F81" s="9" t="n">
        <v>27643</v>
      </c>
      <c r="G81" s="9" t="n">
        <v>12650</v>
      </c>
      <c r="H81" s="9" t="n">
        <v>9660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s="9" t="n">
        <v>0</v>
      </c>
      <c r="AS81" s="9" t="n">
        <v>0</v>
      </c>
      <c r="AT81" s="9" t="n">
        <v>0</v>
      </c>
      <c r="AU81" s="9" t="n">
        <v>0</v>
      </c>
      <c r="AV81" s="9" t="n">
        <v>0</v>
      </c>
      <c r="AW81" s="9" t="n">
        <v>0</v>
      </c>
      <c r="AX81" s="9" t="n">
        <v>0</v>
      </c>
      <c r="AY81" s="9" t="n">
        <v>0</v>
      </c>
    </row>
    <row r="82">
      <c r="A82" s="9" t="n">
        <v>88</v>
      </c>
      <c r="B82" s="9" t="inlineStr">
        <is>
          <t>КО238</t>
        </is>
      </c>
      <c r="C82" s="9" t="inlineStr"/>
      <c r="D82" s="9" t="inlineStr">
        <is>
          <t>КАРАМЕЛЬ</t>
        </is>
      </c>
      <c r="E82" s="9" t="inlineStr">
        <is>
          <t>Федеральный</t>
        </is>
      </c>
      <c r="F82" s="9" t="n">
        <v>0</v>
      </c>
      <c r="G82" s="9" t="n">
        <v>0</v>
      </c>
      <c r="H82" s="9" t="n">
        <v>6230.22</v>
      </c>
      <c r="I82" s="9" t="n">
        <v>5104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9" t="n">
        <v>0</v>
      </c>
      <c r="R82" s="9" t="n">
        <v>0</v>
      </c>
      <c r="S82" s="9" t="n">
        <v>2000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0</v>
      </c>
      <c r="Y82" s="9" t="n">
        <v>0</v>
      </c>
      <c r="Z82" s="9" t="n">
        <v>0</v>
      </c>
      <c r="AA82" s="9" t="n">
        <v>5000</v>
      </c>
      <c r="AB82" s="9" t="n">
        <v>0</v>
      </c>
      <c r="AC82" s="9" t="n">
        <v>0</v>
      </c>
      <c r="AD82" s="9" t="n">
        <v>0</v>
      </c>
      <c r="AE82" s="9" t="n">
        <v>0</v>
      </c>
      <c r="AF82" s="9" t="n">
        <v>0</v>
      </c>
      <c r="AG82" s="9" t="n">
        <v>0</v>
      </c>
      <c r="AH82" s="9" t="n">
        <v>0</v>
      </c>
      <c r="AI82" s="9" t="n">
        <v>2000</v>
      </c>
      <c r="AJ82" s="9" t="n">
        <v>0</v>
      </c>
      <c r="AK82" s="9" t="n">
        <v>0</v>
      </c>
      <c r="AL82" s="9" t="n">
        <v>0</v>
      </c>
      <c r="AM82" s="9" t="n">
        <v>0</v>
      </c>
      <c r="AN82" s="9" t="n">
        <v>0</v>
      </c>
      <c r="AO82" s="9" t="n">
        <v>0</v>
      </c>
      <c r="AP82" s="9" t="n">
        <v>0</v>
      </c>
      <c r="AQ82" s="9" t="n">
        <v>3000</v>
      </c>
      <c r="AR82" s="9" t="n">
        <v>0</v>
      </c>
      <c r="AS82" s="9" t="n">
        <v>0</v>
      </c>
      <c r="AT82" s="9" t="n">
        <v>0</v>
      </c>
      <c r="AU82" s="9" t="n">
        <v>0</v>
      </c>
      <c r="AV82" s="9" t="n">
        <v>0</v>
      </c>
      <c r="AW82" s="9" t="n">
        <v>0</v>
      </c>
      <c r="AX82" s="9" t="n">
        <v>0</v>
      </c>
      <c r="AY82" s="9" t="n">
        <v>25</v>
      </c>
    </row>
    <row r="83">
      <c r="A83" s="9" t="n">
        <v>89</v>
      </c>
      <c r="B83" s="9" t="inlineStr">
        <is>
          <t>РФ181</t>
        </is>
      </c>
      <c r="C83" s="9" t="inlineStr"/>
      <c r="D83" s="9" t="inlineStr">
        <is>
          <t>КАРАМЕЛЬ</t>
        </is>
      </c>
      <c r="E83" s="9" t="inlineStr">
        <is>
          <t>Федеральный</t>
        </is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s="9" t="n">
        <v>0</v>
      </c>
      <c r="AS83" s="9" t="n">
        <v>0</v>
      </c>
      <c r="AT83" s="9" t="n">
        <v>0</v>
      </c>
      <c r="AU83" s="9" t="n">
        <v>0</v>
      </c>
      <c r="AV83" s="9" t="n">
        <v>0</v>
      </c>
      <c r="AW83" s="9" t="n">
        <v>0</v>
      </c>
      <c r="AX83" s="9" t="n">
        <v>0</v>
      </c>
      <c r="AY83" s="9" t="n">
        <v>0</v>
      </c>
    </row>
    <row r="84">
      <c r="A84" s="9" t="n">
        <v>90</v>
      </c>
      <c r="B84" s="9" t="inlineStr">
        <is>
          <t>КО180</t>
        </is>
      </c>
      <c r="C84" s="9" t="inlineStr"/>
      <c r="D84" s="9" t="inlineStr">
        <is>
          <t>КОНФЕТЫ ВЕСОВЫЕ</t>
        </is>
      </c>
      <c r="E84" s="9" t="inlineStr">
        <is>
          <t>Федеральный</t>
        </is>
      </c>
      <c r="F84" s="9" t="n">
        <v>47837.565</v>
      </c>
      <c r="G84" s="9" t="n">
        <v>14500</v>
      </c>
      <c r="H84" s="9" t="n">
        <v>69074.93500000006</v>
      </c>
      <c r="I84" s="9" t="n">
        <v>58128</v>
      </c>
      <c r="J84" s="9" t="n">
        <v>52958</v>
      </c>
      <c r="K84" s="9" t="n">
        <v>38294</v>
      </c>
      <c r="L84" s="9" t="n">
        <v>1959</v>
      </c>
      <c r="M84" s="9" t="n">
        <v>51.60518069507308</v>
      </c>
      <c r="N84" s="9" t="n">
        <v>4867.526091684492</v>
      </c>
      <c r="O84" s="9" t="n">
        <v>1897</v>
      </c>
      <c r="P84" s="9" t="n">
        <v>0</v>
      </c>
      <c r="Q84" s="9" t="n">
        <v>176.4180102869214</v>
      </c>
      <c r="R84" s="9" t="n">
        <v>9.270799445631759</v>
      </c>
      <c r="S84" s="9" t="n">
        <v>0.6449326562291435</v>
      </c>
      <c r="T84" s="9" t="n">
        <v>3728</v>
      </c>
      <c r="U84" s="9" t="n">
        <v>20</v>
      </c>
      <c r="V84" s="9" t="n">
        <v>12222.88781578289</v>
      </c>
      <c r="W84" s="9" t="n">
        <v>1955.5</v>
      </c>
      <c r="X84" s="9" t="n">
        <v>0</v>
      </c>
      <c r="Y84" s="9" t="n">
        <v>389.8284029684274</v>
      </c>
      <c r="Z84" s="9" t="n">
        <v>28.25884960876693</v>
      </c>
      <c r="AA84" s="9" t="n">
        <v>1.289865312458288</v>
      </c>
      <c r="AB84" s="9" t="n">
        <v>2246</v>
      </c>
      <c r="AC84" s="9" t="n">
        <v>20</v>
      </c>
      <c r="AD84" s="9" t="n">
        <v>16331.63706903498</v>
      </c>
      <c r="AE84" s="9" t="n">
        <v>2054.3</v>
      </c>
      <c r="AF84" s="9" t="n">
        <v>0</v>
      </c>
      <c r="AG84" s="9" t="n">
        <v>580.5529663545981</v>
      </c>
      <c r="AH84" s="9" t="n">
        <v>28.56574743163676</v>
      </c>
      <c r="AI84" s="9" t="n">
        <v>2.063784499933263</v>
      </c>
      <c r="AJ84" s="9" t="n">
        <v>1716</v>
      </c>
      <c r="AK84" s="9" t="n">
        <v>20</v>
      </c>
      <c r="AL84" s="9" t="n">
        <v>15506.36878933302</v>
      </c>
      <c r="AM84" s="9" t="n">
        <v>1943.15</v>
      </c>
      <c r="AN84" s="9" t="n">
        <v>0</v>
      </c>
      <c r="AO84" s="9" t="n">
        <v>522.8227116029453</v>
      </c>
      <c r="AP84" s="9" t="n">
        <v>20.57687067422794</v>
      </c>
      <c r="AQ84" s="9" t="n">
        <v>2.864610300440821</v>
      </c>
      <c r="AR84" s="9" t="n">
        <v>1800</v>
      </c>
      <c r="AS84" s="9" t="n">
        <v>20</v>
      </c>
      <c r="AT84" s="9" t="n">
        <v>14614.51923386964</v>
      </c>
      <c r="AU84" s="9" t="n">
        <v>1869.05</v>
      </c>
      <c r="AV84" s="9" t="n">
        <v>0</v>
      </c>
      <c r="AW84" s="9" t="n">
        <v>88.20900514346087</v>
      </c>
      <c r="AX84" s="9" t="n">
        <v>6.62668563488868</v>
      </c>
      <c r="AY84" s="9" t="n">
        <v>1.289865312458289</v>
      </c>
    </row>
    <row r="85">
      <c r="A85" s="9" t="n">
        <v>91</v>
      </c>
      <c r="B85" s="9" t="inlineStr">
        <is>
          <t>КО113</t>
        </is>
      </c>
      <c r="C85" s="9" t="inlineStr"/>
      <c r="D85" s="9" t="inlineStr">
        <is>
          <t>КОНФЕТЫ ВЕСОВЫЕ</t>
        </is>
      </c>
      <c r="E85" s="9" t="inlineStr">
        <is>
          <t>Федеральный</t>
        </is>
      </c>
      <c r="F85" s="9" t="n">
        <v>19181</v>
      </c>
      <c r="G85" s="9" t="n">
        <v>0</v>
      </c>
      <c r="H85" s="9" t="n">
        <v>0</v>
      </c>
      <c r="I85" s="9" t="n">
        <v>12649</v>
      </c>
      <c r="J85" s="9" t="n">
        <v>8267</v>
      </c>
      <c r="K85" s="9" t="n">
        <v>11262.7</v>
      </c>
      <c r="L85" s="9" t="n">
        <v>0</v>
      </c>
      <c r="M85" s="9" t="n">
        <v>0</v>
      </c>
      <c r="N85" s="9" t="n">
        <v>726.2138544355313</v>
      </c>
      <c r="O85" s="9" t="n">
        <v>0</v>
      </c>
      <c r="P85" s="9" t="n">
        <v>0</v>
      </c>
      <c r="Q85" s="9" t="n">
        <v>1.449789600798359</v>
      </c>
      <c r="R85" s="9" t="n">
        <v>121.0901460520796</v>
      </c>
      <c r="S85" s="9" t="n">
        <v>0</v>
      </c>
      <c r="T85" s="9" t="n">
        <v>0</v>
      </c>
      <c r="U85" s="9" t="n">
        <v>0</v>
      </c>
      <c r="V85" s="9" t="n">
        <v>3527.257745776034</v>
      </c>
      <c r="W85" s="9" t="n">
        <v>0</v>
      </c>
      <c r="X85" s="9" t="n">
        <v>0</v>
      </c>
      <c r="Y85" s="9" t="n">
        <v>3.203579746763284</v>
      </c>
      <c r="Z85" s="9" t="n">
        <v>579.4019801918724</v>
      </c>
      <c r="AA85" s="9" t="n">
        <v>0</v>
      </c>
      <c r="AB85" s="9" t="n">
        <v>0</v>
      </c>
      <c r="AC85" s="9" t="n">
        <v>0</v>
      </c>
      <c r="AD85" s="9" t="n">
        <v>5069.671215972576</v>
      </c>
      <c r="AE85" s="9" t="n">
        <v>0</v>
      </c>
      <c r="AF85" s="9" t="n">
        <v>0</v>
      </c>
      <c r="AG85" s="9" t="n">
        <v>4.770939497416681</v>
      </c>
      <c r="AH85" s="9" t="n">
        <v>366.8507951589643</v>
      </c>
      <c r="AI85" s="9" t="n">
        <v>0</v>
      </c>
      <c r="AJ85" s="9" t="n">
        <v>0</v>
      </c>
      <c r="AK85" s="9" t="n">
        <v>0</v>
      </c>
      <c r="AL85" s="9" t="n">
        <v>3554.32080193957</v>
      </c>
      <c r="AM85" s="9" t="n">
        <v>0</v>
      </c>
      <c r="AN85" s="9" t="n">
        <v>0</v>
      </c>
      <c r="AO85" s="9" t="n">
        <v>4.29651671680452</v>
      </c>
      <c r="AP85" s="9" t="n">
        <v>259.889734403191</v>
      </c>
      <c r="AQ85" s="9" t="n">
        <v>0</v>
      </c>
      <c r="AR85" s="9" t="n">
        <v>0</v>
      </c>
      <c r="AS85" s="9" t="n">
        <v>0</v>
      </c>
      <c r="AT85" s="9" t="n">
        <v>2731.930229009688</v>
      </c>
      <c r="AU85" s="9" t="n">
        <v>0</v>
      </c>
      <c r="AV85" s="9" t="n">
        <v>0</v>
      </c>
      <c r="AW85" s="9" t="n">
        <v>0.7248948003991807</v>
      </c>
      <c r="AX85" s="9" t="n">
        <v>76.75266255511535</v>
      </c>
      <c r="AY85" s="9" t="n">
        <v>0</v>
      </c>
    </row>
    <row r="86">
      <c r="A86" s="9" t="n">
        <v>92</v>
      </c>
      <c r="B86" s="9" t="inlineStr">
        <is>
          <t>КО011</t>
        </is>
      </c>
      <c r="C86" s="9" t="inlineStr"/>
      <c r="D86" s="9" t="inlineStr">
        <is>
          <t>КОНФЕТЫ ВЕСОВЫЕ</t>
        </is>
      </c>
      <c r="E86" s="9" t="inlineStr">
        <is>
          <t>Федеральный</t>
        </is>
      </c>
      <c r="F86" s="9" t="n">
        <v>33043.5</v>
      </c>
      <c r="G86" s="9" t="n">
        <v>20869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0</v>
      </c>
      <c r="Z86" s="9" t="n">
        <v>0</v>
      </c>
      <c r="AA86" s="9" t="n">
        <v>0</v>
      </c>
      <c r="AB86" s="9" t="n">
        <v>0</v>
      </c>
      <c r="AC86" s="9" t="n">
        <v>0</v>
      </c>
      <c r="AD86" s="9" t="n">
        <v>0</v>
      </c>
      <c r="AE86" s="9" t="n">
        <v>0</v>
      </c>
      <c r="AF86" s="9" t="n">
        <v>0</v>
      </c>
      <c r="AG86" s="9" t="n">
        <v>0</v>
      </c>
      <c r="AH86" s="9" t="n">
        <v>0</v>
      </c>
      <c r="AI86" s="9" t="n">
        <v>0</v>
      </c>
      <c r="AJ86" s="9" t="n">
        <v>0</v>
      </c>
      <c r="AK86" s="9" t="n">
        <v>0</v>
      </c>
      <c r="AL86" s="9" t="n">
        <v>0</v>
      </c>
      <c r="AM86" s="9" t="n">
        <v>0</v>
      </c>
      <c r="AN86" s="9" t="n">
        <v>0</v>
      </c>
      <c r="AO86" s="9" t="n">
        <v>0</v>
      </c>
      <c r="AP86" s="9" t="n">
        <v>0</v>
      </c>
      <c r="AQ86" s="9" t="n">
        <v>0</v>
      </c>
      <c r="AR86" s="9" t="n">
        <v>0</v>
      </c>
      <c r="AS86" s="9" t="n">
        <v>0</v>
      </c>
      <c r="AT86" s="9" t="n">
        <v>0</v>
      </c>
      <c r="AU86" s="9" t="n">
        <v>0</v>
      </c>
      <c r="AV86" s="9" t="n">
        <v>0</v>
      </c>
      <c r="AW86" s="9" t="n">
        <v>0</v>
      </c>
      <c r="AX86" s="9" t="n">
        <v>0</v>
      </c>
      <c r="AY86" s="9" t="n">
        <v>0</v>
      </c>
    </row>
    <row r="87">
      <c r="A87" s="9" t="n">
        <v>93</v>
      </c>
      <c r="B87" s="9" t="inlineStr">
        <is>
          <t>КО012</t>
        </is>
      </c>
      <c r="C87" s="9" t="inlineStr"/>
      <c r="D87" s="9" t="inlineStr">
        <is>
          <t>КОНФЕТЫ ВЕСОВЫЕ</t>
        </is>
      </c>
      <c r="E87" s="9" t="inlineStr">
        <is>
          <t>Федеральный</t>
        </is>
      </c>
      <c r="F87" s="9" t="n">
        <v>22729.25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2251</v>
      </c>
      <c r="M87" s="9" t="n">
        <v>46.81575336319514</v>
      </c>
      <c r="N87" s="9" t="n">
        <v>1537.020674905886</v>
      </c>
      <c r="O87" s="9" t="n">
        <v>20</v>
      </c>
      <c r="P87" s="9" t="n">
        <v>0</v>
      </c>
      <c r="Q87" s="9" t="n">
        <v>22.57868948007544</v>
      </c>
      <c r="R87" s="9" t="n">
        <v>96.5197087631002</v>
      </c>
      <c r="S87" s="9" t="n">
        <v>0</v>
      </c>
      <c r="T87" s="9" t="n">
        <v>5447</v>
      </c>
      <c r="U87" s="9" t="n">
        <v>87.94960356831079</v>
      </c>
      <c r="V87" s="9" t="n">
        <v>1473.944440815431</v>
      </c>
      <c r="W87" s="9" t="n">
        <v>38</v>
      </c>
      <c r="X87" s="9" t="n">
        <v>0</v>
      </c>
      <c r="Y87" s="9" t="n">
        <v>49.89181346520579</v>
      </c>
      <c r="Z87" s="9" t="n">
        <v>246.8133104116791</v>
      </c>
      <c r="AA87" s="9" t="n">
        <v>0</v>
      </c>
      <c r="AB87" s="9" t="n">
        <v>1857</v>
      </c>
      <c r="AC87" s="9" t="n">
        <v>81.13259488300001</v>
      </c>
      <c r="AD87" s="9" t="n">
        <v>1733.401832072434</v>
      </c>
      <c r="AE87" s="9" t="n">
        <v>68.40000000000001</v>
      </c>
      <c r="AF87" s="9" t="n">
        <v>0</v>
      </c>
      <c r="AG87" s="9" t="n">
        <v>74.30151339275656</v>
      </c>
      <c r="AH87" s="9" t="n">
        <v>234.3063703316782</v>
      </c>
      <c r="AI87" s="9" t="n">
        <v>0</v>
      </c>
      <c r="AJ87" s="9" t="n">
        <v>1695</v>
      </c>
      <c r="AK87" s="9" t="n">
        <v>85.28048244643875</v>
      </c>
      <c r="AL87" s="9" t="n">
        <v>1675.11322783658</v>
      </c>
      <c r="AM87" s="9" t="n">
        <v>34.2</v>
      </c>
      <c r="AN87" s="9" t="n">
        <v>0</v>
      </c>
      <c r="AO87" s="9" t="n">
        <v>66.91296222656166</v>
      </c>
      <c r="AP87" s="9" t="n">
        <v>97.11844007575682</v>
      </c>
      <c r="AQ87" s="9" t="n">
        <v>0</v>
      </c>
      <c r="AR87" s="9" t="n">
        <v>2954.9</v>
      </c>
      <c r="AS87" s="9" t="n">
        <v>60.89266183557213</v>
      </c>
      <c r="AT87" s="9" t="n">
        <v>1629.446489238573</v>
      </c>
      <c r="AU87" s="9" t="n">
        <v>11.4</v>
      </c>
      <c r="AV87" s="9" t="n">
        <v>0</v>
      </c>
      <c r="AW87" s="9" t="n">
        <v>11.28934474003774</v>
      </c>
      <c r="AX87" s="9" t="n">
        <v>21.19894528227003</v>
      </c>
      <c r="AY87" s="9" t="n">
        <v>0</v>
      </c>
    </row>
    <row r="88">
      <c r="A88" s="9" t="n">
        <v>94</v>
      </c>
      <c r="B88" s="9" t="inlineStr">
        <is>
          <t>КО124</t>
        </is>
      </c>
      <c r="C88" s="9" t="inlineStr"/>
      <c r="D88" s="9" t="inlineStr">
        <is>
          <t>КОНФЕТЫ ВЕСОВЫЕ</t>
        </is>
      </c>
      <c r="E88" s="9" t="inlineStr">
        <is>
          <t>Федеральный</t>
        </is>
      </c>
      <c r="F88" s="9" t="n">
        <v>0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9" t="n">
        <v>0</v>
      </c>
      <c r="AA88" s="9" t="n">
        <v>0</v>
      </c>
      <c r="AB88" s="9" t="n">
        <v>0</v>
      </c>
      <c r="AC88" s="9" t="n">
        <v>0</v>
      </c>
      <c r="AD88" s="9" t="n">
        <v>0</v>
      </c>
      <c r="AE88" s="9" t="n">
        <v>0</v>
      </c>
      <c r="AF88" s="9" t="n">
        <v>0</v>
      </c>
      <c r="AG88" s="9" t="n">
        <v>0</v>
      </c>
      <c r="AH88" s="9" t="n">
        <v>0</v>
      </c>
      <c r="AI88" s="9" t="n">
        <v>0</v>
      </c>
      <c r="AJ88" s="9" t="n">
        <v>0</v>
      </c>
      <c r="AK88" s="9" t="n">
        <v>0</v>
      </c>
      <c r="AL88" s="9" t="n">
        <v>0</v>
      </c>
      <c r="AM88" s="9" t="n">
        <v>0</v>
      </c>
      <c r="AN88" s="9" t="n">
        <v>0</v>
      </c>
      <c r="AO88" s="9" t="n">
        <v>0</v>
      </c>
      <c r="AP88" s="9" t="n">
        <v>0</v>
      </c>
      <c r="AQ88" s="9" t="n">
        <v>0</v>
      </c>
      <c r="AR88" s="9" t="n">
        <v>0</v>
      </c>
      <c r="AS88" s="9" t="n">
        <v>0</v>
      </c>
      <c r="AT88" s="9" t="n">
        <v>0</v>
      </c>
      <c r="AU88" s="9" t="n">
        <v>0</v>
      </c>
      <c r="AV88" s="9" t="n">
        <v>0</v>
      </c>
      <c r="AW88" s="9" t="n">
        <v>0</v>
      </c>
      <c r="AX88" s="9" t="n">
        <v>0</v>
      </c>
      <c r="AY88" s="9" t="n">
        <v>0</v>
      </c>
    </row>
    <row r="89">
      <c r="A89" s="9" t="n">
        <v>95</v>
      </c>
      <c r="B89" s="9" t="inlineStr">
        <is>
          <t>КО222</t>
        </is>
      </c>
      <c r="C89" s="9" t="inlineStr"/>
      <c r="D89" s="9" t="inlineStr">
        <is>
          <t>КОНФЕТЫ ВЕСОВЫЕ</t>
        </is>
      </c>
      <c r="E89" s="9" t="inlineStr">
        <is>
          <t>Федеральный</t>
        </is>
      </c>
      <c r="F89" s="9" t="n">
        <v>725.22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0</v>
      </c>
      <c r="O89" s="9" t="n">
        <v>0</v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  <c r="AA89" s="9" t="n">
        <v>0</v>
      </c>
      <c r="AB89" s="9" t="n">
        <v>0</v>
      </c>
      <c r="AC89" s="9" t="n">
        <v>0</v>
      </c>
      <c r="AD89" s="9" t="n">
        <v>0</v>
      </c>
      <c r="AE89" s="9" t="n">
        <v>0</v>
      </c>
      <c r="AF89" s="9" t="n">
        <v>0</v>
      </c>
      <c r="AG89" s="9" t="n">
        <v>0</v>
      </c>
      <c r="AH89" s="9" t="n">
        <v>0</v>
      </c>
      <c r="AI89" s="9" t="n">
        <v>0</v>
      </c>
      <c r="AJ89" s="9" t="n">
        <v>0</v>
      </c>
      <c r="AK89" s="9" t="n">
        <v>0</v>
      </c>
      <c r="AL89" s="9" t="n">
        <v>0</v>
      </c>
      <c r="AM89" s="9" t="n">
        <v>0</v>
      </c>
      <c r="AN89" s="9" t="n">
        <v>0</v>
      </c>
      <c r="AO89" s="9" t="n">
        <v>0</v>
      </c>
      <c r="AP89" s="9" t="n">
        <v>0</v>
      </c>
      <c r="AQ89" s="9" t="n">
        <v>0</v>
      </c>
      <c r="AR89" s="9" t="n">
        <v>0</v>
      </c>
      <c r="AS89" s="9" t="n">
        <v>0</v>
      </c>
      <c r="AT89" s="9" t="n">
        <v>0</v>
      </c>
      <c r="AU89" s="9" t="n">
        <v>0</v>
      </c>
      <c r="AV89" s="9" t="n">
        <v>0</v>
      </c>
      <c r="AW89" s="9" t="n">
        <v>0</v>
      </c>
      <c r="AX89" s="9" t="n">
        <v>0</v>
      </c>
      <c r="AY89" s="9" t="n">
        <v>0</v>
      </c>
    </row>
    <row r="90">
      <c r="A90" s="9" t="n">
        <v>96</v>
      </c>
      <c r="B90" s="9" t="inlineStr">
        <is>
          <t>ББ176</t>
        </is>
      </c>
      <c r="C90" s="9" t="inlineStr"/>
      <c r="D90" s="9" t="inlineStr">
        <is>
          <t>КОНФЕТЫ ВЕСОВЫЕ</t>
        </is>
      </c>
      <c r="E90" s="9" t="inlineStr">
        <is>
          <t>Федеральный</t>
        </is>
      </c>
      <c r="F90" s="9" t="n">
        <v>42212.462</v>
      </c>
      <c r="G90" s="9" t="n">
        <v>14017</v>
      </c>
      <c r="H90" s="9" t="n">
        <v>42841.78</v>
      </c>
      <c r="I90" s="9" t="n">
        <v>34171.45</v>
      </c>
      <c r="J90" s="9" t="n">
        <v>36588.34</v>
      </c>
      <c r="K90" s="9" t="n">
        <v>2415.4</v>
      </c>
      <c r="L90" s="9" t="n">
        <v>3909</v>
      </c>
      <c r="M90" s="9" t="n">
        <v>185.8687355706596</v>
      </c>
      <c r="N90" s="9" t="n">
        <v>6039.261084357167</v>
      </c>
      <c r="O90" s="9" t="n">
        <v>1757</v>
      </c>
      <c r="P90" s="9" t="n">
        <v>0</v>
      </c>
      <c r="Q90" s="9" t="n">
        <v>164.0607038248309</v>
      </c>
      <c r="R90" s="9" t="n">
        <v>3.244779805971116</v>
      </c>
      <c r="S90" s="9" t="n">
        <v>0.2394721766460347</v>
      </c>
      <c r="T90" s="9" t="n">
        <v>6221</v>
      </c>
      <c r="U90" s="9" t="n">
        <v>470.9808718297614</v>
      </c>
      <c r="V90" s="9" t="n">
        <v>14591.86444436822</v>
      </c>
      <c r="W90" s="9" t="n">
        <v>1770.5</v>
      </c>
      <c r="X90" s="9" t="n">
        <v>0</v>
      </c>
      <c r="Y90" s="9" t="n">
        <v>362.5226361973727</v>
      </c>
      <c r="Z90" s="9" t="n">
        <v>9.890597363068428</v>
      </c>
      <c r="AA90" s="9" t="n">
        <v>0.4789443532920697</v>
      </c>
      <c r="AB90" s="9" t="n">
        <v>6760</v>
      </c>
      <c r="AC90" s="9" t="n">
        <v>423.7299604885205</v>
      </c>
      <c r="AD90" s="9" t="n">
        <v>17620.32614400352</v>
      </c>
      <c r="AE90" s="9" t="n">
        <v>1793.3</v>
      </c>
      <c r="AF90" s="9" t="n">
        <v>0</v>
      </c>
      <c r="AG90" s="9" t="n">
        <v>539.8877819380422</v>
      </c>
      <c r="AH90" s="9" t="n">
        <v>9.998011601072863</v>
      </c>
      <c r="AI90" s="9" t="n">
        <v>0.7663109652673125</v>
      </c>
      <c r="AJ90" s="9" t="n">
        <v>6497</v>
      </c>
      <c r="AK90" s="9" t="n">
        <v>265.5199501239967</v>
      </c>
      <c r="AL90" s="9" t="n">
        <v>17657.62872974241</v>
      </c>
      <c r="AM90" s="9" t="n">
        <v>1767.65</v>
      </c>
      <c r="AN90" s="9" t="n">
        <v>0</v>
      </c>
      <c r="AO90" s="9" t="n">
        <v>486.2012778722774</v>
      </c>
      <c r="AP90" s="9" t="n">
        <v>7.201904735979778</v>
      </c>
      <c r="AQ90" s="9" t="n">
        <v>1.063668364849371</v>
      </c>
      <c r="AR90" s="9" t="n">
        <v>4546</v>
      </c>
      <c r="AS90" s="9" t="n">
        <v>247.673055216223</v>
      </c>
      <c r="AT90" s="9" t="n">
        <v>16121.40680271226</v>
      </c>
      <c r="AU90" s="9" t="n">
        <v>1750.55</v>
      </c>
      <c r="AV90" s="9" t="n">
        <v>0</v>
      </c>
      <c r="AW90" s="9" t="n">
        <v>82.03035191241557</v>
      </c>
      <c r="AX90" s="9" t="n">
        <v>2.319339972211038</v>
      </c>
      <c r="AY90" s="9" t="n">
        <v>0.4789443532920702</v>
      </c>
    </row>
    <row r="91">
      <c r="A91" s="9" t="n">
        <v>97</v>
      </c>
      <c r="B91" s="9" t="inlineStr">
        <is>
          <t>ББ169</t>
        </is>
      </c>
      <c r="C91" s="9" t="inlineStr"/>
      <c r="D91" s="9" t="inlineStr">
        <is>
          <t>КОНФЕТЫ ВЕСОВЫЕ</t>
        </is>
      </c>
      <c r="E91" s="9" t="inlineStr">
        <is>
          <t>Федеральный</t>
        </is>
      </c>
      <c r="F91" s="9" t="n">
        <v>40472.8</v>
      </c>
      <c r="G91" s="9" t="n">
        <v>13096</v>
      </c>
      <c r="H91" s="9" t="n">
        <v>0</v>
      </c>
      <c r="I91" s="9" t="n">
        <v>27862.2</v>
      </c>
      <c r="J91" s="9" t="n">
        <v>19346.59</v>
      </c>
      <c r="K91" s="9" t="n">
        <v>27850</v>
      </c>
      <c r="L91" s="9" t="n">
        <v>10216</v>
      </c>
      <c r="M91" s="9" t="n">
        <v>461.4901527331481</v>
      </c>
      <c r="N91" s="9" t="n">
        <v>8957.576967568692</v>
      </c>
      <c r="O91" s="9" t="n">
        <v>55</v>
      </c>
      <c r="P91" s="9" t="n">
        <v>0</v>
      </c>
      <c r="Q91" s="9" t="n">
        <v>74.07813355254548</v>
      </c>
      <c r="R91" s="9" t="n">
        <v>267.0795302155128</v>
      </c>
      <c r="S91" s="9" t="n">
        <v>0</v>
      </c>
      <c r="T91" s="9" t="n">
        <v>22339</v>
      </c>
      <c r="U91" s="9" t="n">
        <v>892.1142208161875</v>
      </c>
      <c r="V91" s="9" t="n">
        <v>3646.869160017367</v>
      </c>
      <c r="W91" s="9" t="n">
        <v>104.5</v>
      </c>
      <c r="X91" s="9" t="n">
        <v>0</v>
      </c>
      <c r="Y91" s="9" t="n">
        <v>163.6894127232513</v>
      </c>
      <c r="Z91" s="9" t="n">
        <v>686.3358362949971</v>
      </c>
      <c r="AA91" s="9" t="n">
        <v>0</v>
      </c>
      <c r="AB91" s="9" t="n">
        <v>11311</v>
      </c>
      <c r="AC91" s="9" t="n">
        <v>895.7143940756499</v>
      </c>
      <c r="AD91" s="9" t="n">
        <v>3825.446863413893</v>
      </c>
      <c r="AE91" s="9" t="n">
        <v>188.1</v>
      </c>
      <c r="AF91" s="9" t="n">
        <v>0</v>
      </c>
      <c r="AG91" s="9" t="n">
        <v>243.7748850358199</v>
      </c>
      <c r="AH91" s="9" t="n">
        <v>620.6255937219516</v>
      </c>
      <c r="AI91" s="9" t="n">
        <v>0</v>
      </c>
      <c r="AJ91" s="9" t="n">
        <v>6820</v>
      </c>
      <c r="AK91" s="9" t="n">
        <v>1147.077306824212</v>
      </c>
      <c r="AL91" s="9" t="n">
        <v>3840.69565497971</v>
      </c>
      <c r="AM91" s="9" t="n">
        <v>94.05</v>
      </c>
      <c r="AN91" s="9" t="n">
        <v>0</v>
      </c>
      <c r="AO91" s="9" t="n">
        <v>219.533882008067</v>
      </c>
      <c r="AP91" s="9" t="n">
        <v>184.4373623364921</v>
      </c>
      <c r="AQ91" s="9" t="n">
        <v>0</v>
      </c>
      <c r="AR91" s="9" t="n">
        <v>3678</v>
      </c>
      <c r="AS91" s="9" t="n">
        <v>512.5503064153222</v>
      </c>
      <c r="AT91" s="9" t="n">
        <v>2829.200763521337</v>
      </c>
      <c r="AU91" s="9" t="n">
        <v>31.34999999999999</v>
      </c>
      <c r="AV91" s="9" t="n">
        <v>0</v>
      </c>
      <c r="AW91" s="9" t="n">
        <v>37.0390667762728</v>
      </c>
      <c r="AX91" s="9" t="n">
        <v>24.30818879755833</v>
      </c>
      <c r="AY91" s="9" t="n">
        <v>0</v>
      </c>
    </row>
    <row r="92">
      <c r="A92" s="9" t="n">
        <v>98</v>
      </c>
      <c r="B92" s="9" t="inlineStr">
        <is>
          <t>ББ113</t>
        </is>
      </c>
      <c r="C92" s="9" t="inlineStr"/>
      <c r="D92" s="9" t="inlineStr">
        <is>
          <t>КОНФЕТЫ ВЕСОВЫЕ</t>
        </is>
      </c>
      <c r="E92" s="9" t="inlineStr">
        <is>
          <t>Федеральный</t>
        </is>
      </c>
      <c r="F92" s="9" t="n">
        <v>13580</v>
      </c>
      <c r="G92" s="9" t="n">
        <v>0</v>
      </c>
      <c r="H92" s="9" t="n">
        <v>5423.139999999999</v>
      </c>
      <c r="I92" s="9" t="n">
        <v>1260.12</v>
      </c>
      <c r="J92" s="9" t="n">
        <v>2505.96</v>
      </c>
      <c r="K92" s="9" t="n">
        <v>0</v>
      </c>
      <c r="L92" s="9" t="n">
        <v>0</v>
      </c>
      <c r="M92" s="9" t="n">
        <v>0</v>
      </c>
      <c r="N92" s="9" t="n">
        <v>1276.296286746568</v>
      </c>
      <c r="O92" s="9" t="n">
        <v>0</v>
      </c>
      <c r="P92" s="9" t="n">
        <v>0</v>
      </c>
      <c r="Q92" s="9" t="n">
        <v>0</v>
      </c>
      <c r="R92" s="9" t="n">
        <v>957.1917308630242</v>
      </c>
      <c r="S92" s="9" t="n">
        <v>0</v>
      </c>
      <c r="T92" s="9" t="n">
        <v>0</v>
      </c>
      <c r="U92" s="9" t="n">
        <v>0</v>
      </c>
      <c r="V92" s="9" t="n">
        <v>2167.159976893015</v>
      </c>
      <c r="W92" s="9" t="n">
        <v>0</v>
      </c>
      <c r="X92" s="9" t="n">
        <v>0</v>
      </c>
      <c r="Y92" s="9" t="n">
        <v>0</v>
      </c>
      <c r="Z92" s="9" t="n">
        <v>1882.871986762915</v>
      </c>
      <c r="AA92" s="9" t="n">
        <v>0</v>
      </c>
      <c r="AB92" s="9" t="n">
        <v>0</v>
      </c>
      <c r="AC92" s="9" t="n">
        <v>0</v>
      </c>
      <c r="AD92" s="9" t="n">
        <v>2275.906114816708</v>
      </c>
      <c r="AE92" s="9" t="n">
        <v>0</v>
      </c>
      <c r="AF92" s="9" t="n">
        <v>0</v>
      </c>
      <c r="AG92" s="9" t="n">
        <v>0</v>
      </c>
      <c r="AH92" s="9" t="n">
        <v>3017.990168910118</v>
      </c>
      <c r="AI92" s="9" t="n">
        <v>0</v>
      </c>
      <c r="AJ92" s="9" t="n">
        <v>0</v>
      </c>
      <c r="AK92" s="9" t="n">
        <v>0</v>
      </c>
      <c r="AL92" s="9" t="n">
        <v>1461.94379097256</v>
      </c>
      <c r="AM92" s="9" t="n">
        <v>0</v>
      </c>
      <c r="AN92" s="9" t="n">
        <v>0</v>
      </c>
      <c r="AO92" s="9" t="n">
        <v>0</v>
      </c>
      <c r="AP92" s="9" t="n">
        <v>80.4054616673987</v>
      </c>
      <c r="AQ92" s="9" t="n">
        <v>0</v>
      </c>
      <c r="AR92" s="9" t="n">
        <v>0</v>
      </c>
      <c r="AS92" s="9" t="n">
        <v>0</v>
      </c>
      <c r="AT92" s="9" t="n">
        <v>1413.23030230486</v>
      </c>
      <c r="AU92" s="9" t="n">
        <v>0</v>
      </c>
      <c r="AV92" s="9" t="n">
        <v>0</v>
      </c>
      <c r="AW92" s="9" t="n">
        <v>0</v>
      </c>
      <c r="AX92" s="9" t="n">
        <v>24.98081662229947</v>
      </c>
      <c r="AY92" s="9" t="n">
        <v>0</v>
      </c>
    </row>
    <row r="93">
      <c r="A93" s="9" t="n">
        <v>99</v>
      </c>
      <c r="B93" s="9" t="inlineStr">
        <is>
          <t>ББ098</t>
        </is>
      </c>
      <c r="C93" s="9" t="inlineStr"/>
      <c r="D93" s="9" t="inlineStr">
        <is>
          <t>КОНФЕТЫ ВЕСОВЫЕ</t>
        </is>
      </c>
      <c r="E93" s="9" t="inlineStr">
        <is>
          <t>Федеральный</t>
        </is>
      </c>
      <c r="F93" s="9" t="n">
        <v>7404.669</v>
      </c>
      <c r="G93" s="9" t="n">
        <v>1000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0</v>
      </c>
      <c r="O93" s="9" t="n">
        <v>0</v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  <c r="AA93" s="9" t="n">
        <v>0</v>
      </c>
      <c r="AB93" s="9" t="n">
        <v>0</v>
      </c>
      <c r="AC93" s="9" t="n">
        <v>0</v>
      </c>
      <c r="AD93" s="9" t="n">
        <v>0</v>
      </c>
      <c r="AE93" s="9" t="n">
        <v>0</v>
      </c>
      <c r="AF93" s="9" t="n">
        <v>0</v>
      </c>
      <c r="AG93" s="9" t="n">
        <v>0</v>
      </c>
      <c r="AH93" s="9" t="n">
        <v>0</v>
      </c>
      <c r="AI93" s="9" t="n">
        <v>0</v>
      </c>
      <c r="AJ93" s="9" t="n">
        <v>0</v>
      </c>
      <c r="AK93" s="9" t="n">
        <v>0</v>
      </c>
      <c r="AL93" s="9" t="n">
        <v>0</v>
      </c>
      <c r="AM93" s="9" t="n">
        <v>0</v>
      </c>
      <c r="AN93" s="9" t="n">
        <v>0</v>
      </c>
      <c r="AO93" s="9" t="n">
        <v>0</v>
      </c>
      <c r="AP93" s="9" t="n">
        <v>0</v>
      </c>
      <c r="AQ93" s="9" t="n">
        <v>0</v>
      </c>
      <c r="AR93" s="9" t="n">
        <v>0</v>
      </c>
      <c r="AS93" s="9" t="n">
        <v>0</v>
      </c>
      <c r="AT93" s="9" t="n">
        <v>0</v>
      </c>
      <c r="AU93" s="9" t="n">
        <v>0</v>
      </c>
      <c r="AV93" s="9" t="n">
        <v>0</v>
      </c>
      <c r="AW93" s="9" t="n">
        <v>0</v>
      </c>
      <c r="AX93" s="9" t="n">
        <v>0</v>
      </c>
      <c r="AY93" s="9" t="n">
        <v>0</v>
      </c>
    </row>
    <row r="94">
      <c r="A94" s="9" t="n">
        <v>100</v>
      </c>
      <c r="B94" s="9" t="inlineStr">
        <is>
          <t>ББ137</t>
        </is>
      </c>
      <c r="C94" s="9" t="inlineStr"/>
      <c r="D94" s="9" t="inlineStr">
        <is>
          <t>КОНФЕТЫ ВЕСОВЫЕ</t>
        </is>
      </c>
      <c r="E94" s="9" t="inlineStr">
        <is>
          <t>Федеральный</t>
        </is>
      </c>
      <c r="F94" s="9" t="n">
        <v>0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9" t="n">
        <v>0</v>
      </c>
      <c r="AA94" s="9" t="n">
        <v>0</v>
      </c>
      <c r="AB94" s="9" t="n">
        <v>0</v>
      </c>
      <c r="AC94" s="9" t="n">
        <v>0</v>
      </c>
      <c r="AD94" s="9" t="n">
        <v>0</v>
      </c>
      <c r="AE94" s="9" t="n">
        <v>0</v>
      </c>
      <c r="AF94" s="9" t="n">
        <v>0</v>
      </c>
      <c r="AG94" s="9" t="n">
        <v>0</v>
      </c>
      <c r="AH94" s="9" t="n">
        <v>0</v>
      </c>
      <c r="AI94" s="9" t="n">
        <v>0</v>
      </c>
      <c r="AJ94" s="9" t="n">
        <v>0</v>
      </c>
      <c r="AK94" s="9" t="n">
        <v>0</v>
      </c>
      <c r="AL94" s="9" t="n">
        <v>0</v>
      </c>
      <c r="AM94" s="9" t="n">
        <v>0</v>
      </c>
      <c r="AN94" s="9" t="n">
        <v>0</v>
      </c>
      <c r="AO94" s="9" t="n">
        <v>0</v>
      </c>
      <c r="AP94" s="9" t="n">
        <v>0</v>
      </c>
      <c r="AQ94" s="9" t="n">
        <v>0</v>
      </c>
      <c r="AR94" s="9" t="n">
        <v>0</v>
      </c>
      <c r="AS94" s="9" t="n">
        <v>0</v>
      </c>
      <c r="AT94" s="9" t="n">
        <v>0</v>
      </c>
      <c r="AU94" s="9" t="n">
        <v>0</v>
      </c>
      <c r="AV94" s="9" t="n">
        <v>0</v>
      </c>
      <c r="AW94" s="9" t="n">
        <v>0</v>
      </c>
      <c r="AX94" s="9" t="n">
        <v>0</v>
      </c>
      <c r="AY94" s="9" t="n">
        <v>0</v>
      </c>
    </row>
    <row r="95">
      <c r="A95" s="9" t="n">
        <v>101</v>
      </c>
      <c r="B95" s="9" t="inlineStr">
        <is>
          <t>ББ222</t>
        </is>
      </c>
      <c r="C95" s="9" t="inlineStr"/>
      <c r="D95" s="9" t="inlineStr">
        <is>
          <t>КОНФЕТЫ ВЕСОВЫЕ</t>
        </is>
      </c>
      <c r="E95" s="9" t="inlineStr">
        <is>
          <t>Федеральный</t>
        </is>
      </c>
      <c r="F95" s="9" t="n">
        <v>985.8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9" t="n">
        <v>0</v>
      </c>
      <c r="AA95" s="9" t="n">
        <v>0</v>
      </c>
      <c r="AB95" s="9" t="n">
        <v>0</v>
      </c>
      <c r="AC95" s="9" t="n">
        <v>0</v>
      </c>
      <c r="AD95" s="9" t="n">
        <v>0</v>
      </c>
      <c r="AE95" s="9" t="n">
        <v>0</v>
      </c>
      <c r="AF95" s="9" t="n">
        <v>0</v>
      </c>
      <c r="AG95" s="9" t="n">
        <v>0</v>
      </c>
      <c r="AH95" s="9" t="n">
        <v>0</v>
      </c>
      <c r="AI95" s="9" t="n">
        <v>0</v>
      </c>
      <c r="AJ95" s="9" t="n">
        <v>0</v>
      </c>
      <c r="AK95" s="9" t="n">
        <v>0</v>
      </c>
      <c r="AL95" s="9" t="n">
        <v>0</v>
      </c>
      <c r="AM95" s="9" t="n">
        <v>0</v>
      </c>
      <c r="AN95" s="9" t="n">
        <v>0</v>
      </c>
      <c r="AO95" s="9" t="n">
        <v>0</v>
      </c>
      <c r="AP95" s="9" t="n">
        <v>0</v>
      </c>
      <c r="AQ95" s="9" t="n">
        <v>0</v>
      </c>
      <c r="AR95" s="9" t="n">
        <v>0</v>
      </c>
      <c r="AS95" s="9" t="n">
        <v>0</v>
      </c>
      <c r="AT95" s="9" t="n">
        <v>0</v>
      </c>
      <c r="AU95" s="9" t="n">
        <v>0</v>
      </c>
      <c r="AV95" s="9" t="n">
        <v>0</v>
      </c>
      <c r="AW95" s="9" t="n">
        <v>0</v>
      </c>
      <c r="AX95" s="9" t="n">
        <v>0</v>
      </c>
      <c r="AY95" s="9" t="n">
        <v>0</v>
      </c>
    </row>
    <row r="96">
      <c r="A96" s="9" t="n">
        <v>102</v>
      </c>
      <c r="B96" s="9" t="inlineStr">
        <is>
          <t>ББ176</t>
        </is>
      </c>
      <c r="C96" s="9" t="inlineStr"/>
      <c r="D96" s="9" t="inlineStr">
        <is>
          <t>КОНФЕТЫ ВЕСОВЫЕ</t>
        </is>
      </c>
      <c r="E96" s="9" t="inlineStr">
        <is>
          <t>Федеральный</t>
        </is>
      </c>
      <c r="F96" s="9" t="n">
        <v>37318.925</v>
      </c>
      <c r="G96" s="9" t="n">
        <v>18093</v>
      </c>
      <c r="H96" s="9" t="n">
        <v>31836.22</v>
      </c>
      <c r="I96" s="9" t="n">
        <v>12287.11</v>
      </c>
      <c r="J96" s="9" t="n">
        <v>12790.55</v>
      </c>
      <c r="K96" s="9" t="n">
        <v>0</v>
      </c>
      <c r="L96" s="9" t="n">
        <v>2162</v>
      </c>
      <c r="M96" s="9" t="n">
        <v>64.30721077660061</v>
      </c>
      <c r="N96" s="9" t="n">
        <v>2299.806516894818</v>
      </c>
      <c r="O96" s="9" t="n">
        <v>1431</v>
      </c>
      <c r="P96" s="9" t="n">
        <v>0</v>
      </c>
      <c r="Q96" s="9" t="n">
        <v>174.0149540603035</v>
      </c>
      <c r="R96" s="9" t="n">
        <v>0</v>
      </c>
      <c r="S96" s="9" t="n">
        <v>0.260544389524481</v>
      </c>
      <c r="T96" s="9" t="n">
        <v>2150</v>
      </c>
      <c r="U96" s="9" t="n">
        <v>162.9508378776782</v>
      </c>
      <c r="V96" s="9" t="n">
        <v>4970.641438501108</v>
      </c>
      <c r="W96" s="9" t="n">
        <v>1476</v>
      </c>
      <c r="X96" s="9" t="n">
        <v>0</v>
      </c>
      <c r="Y96" s="9" t="n">
        <v>384.5184033286952</v>
      </c>
      <c r="Z96" s="9" t="n">
        <v>0</v>
      </c>
      <c r="AA96" s="9" t="n">
        <v>0.5210887790489624</v>
      </c>
      <c r="AB96" s="9" t="n">
        <v>799</v>
      </c>
      <c r="AC96" s="9" t="n">
        <v>146.6028797034401</v>
      </c>
      <c r="AD96" s="9" t="n">
        <v>6163.696276786087</v>
      </c>
      <c r="AE96" s="9" t="n">
        <v>1552</v>
      </c>
      <c r="AF96" s="9" t="n">
        <v>0</v>
      </c>
      <c r="AG96" s="9" t="n">
        <v>572.6450355350011</v>
      </c>
      <c r="AH96" s="9" t="n">
        <v>0</v>
      </c>
      <c r="AI96" s="9" t="n">
        <v>0.8337420464783407</v>
      </c>
      <c r="AJ96" s="9" t="n">
        <v>517</v>
      </c>
      <c r="AK96" s="9" t="n">
        <v>156.5499834154618</v>
      </c>
      <c r="AL96" s="9" t="n">
        <v>6129.900906436504</v>
      </c>
      <c r="AM96" s="9" t="n">
        <v>1466.5</v>
      </c>
      <c r="AN96" s="9" t="n">
        <v>0</v>
      </c>
      <c r="AO96" s="9" t="n">
        <v>515.7011463472699</v>
      </c>
      <c r="AP96" s="9" t="n">
        <v>0</v>
      </c>
      <c r="AQ96" s="9" t="n">
        <v>1.157265234974726</v>
      </c>
      <c r="AR96" s="9" t="n">
        <v>1528</v>
      </c>
      <c r="AS96" s="9" t="n">
        <v>146.0274931072017</v>
      </c>
      <c r="AT96" s="9" t="n">
        <v>5858.255512050194</v>
      </c>
      <c r="AU96" s="9" t="n">
        <v>1409.5</v>
      </c>
      <c r="AV96" s="9" t="n">
        <v>0</v>
      </c>
      <c r="AW96" s="9" t="n">
        <v>87.00747703015189</v>
      </c>
      <c r="AX96" s="9" t="n">
        <v>0</v>
      </c>
      <c r="AY96" s="9" t="n">
        <v>0.5210887790489629</v>
      </c>
    </row>
    <row r="97">
      <c r="A97" s="9" t="n">
        <v>103</v>
      </c>
      <c r="B97" s="9" t="inlineStr">
        <is>
          <t>ББ122</t>
        </is>
      </c>
      <c r="C97" s="9" t="inlineStr"/>
      <c r="D97" s="9" t="inlineStr">
        <is>
          <t>КОНФЕТЫ ВЕСОВЫЕ</t>
        </is>
      </c>
      <c r="E97" s="9" t="inlineStr">
        <is>
          <t>Федеральный</t>
        </is>
      </c>
      <c r="F97" s="9" t="n">
        <v>7332</v>
      </c>
      <c r="G97" s="9" t="n">
        <v>0</v>
      </c>
      <c r="H97" s="9" t="n">
        <v>0</v>
      </c>
      <c r="I97" s="9" t="n">
        <v>0</v>
      </c>
      <c r="J97" s="9" t="n">
        <v>1703</v>
      </c>
      <c r="K97" s="9" t="n">
        <v>0</v>
      </c>
      <c r="L97" s="9" t="n">
        <v>0</v>
      </c>
      <c r="M97" s="9" t="n">
        <v>0</v>
      </c>
      <c r="N97" s="9" t="n">
        <v>332.5588728319179</v>
      </c>
      <c r="O97" s="9" t="n">
        <v>0</v>
      </c>
      <c r="P97" s="9" t="n">
        <v>0</v>
      </c>
      <c r="Q97" s="9" t="n">
        <v>0</v>
      </c>
      <c r="R97" s="9" t="n">
        <v>59.03352031143124</v>
      </c>
      <c r="S97" s="9" t="n">
        <v>0</v>
      </c>
      <c r="T97" s="9" t="n">
        <v>0</v>
      </c>
      <c r="U97" s="9" t="n">
        <v>0</v>
      </c>
      <c r="V97" s="9" t="n">
        <v>933.0045355549228</v>
      </c>
      <c r="W97" s="9" t="n">
        <v>0</v>
      </c>
      <c r="X97" s="9" t="n">
        <v>0</v>
      </c>
      <c r="Y97" s="9" t="n">
        <v>0</v>
      </c>
      <c r="Z97" s="9" t="n">
        <v>432.231890477286</v>
      </c>
      <c r="AA97" s="9" t="n">
        <v>0</v>
      </c>
      <c r="AB97" s="9" t="n">
        <v>0</v>
      </c>
      <c r="AC97" s="9" t="n">
        <v>0</v>
      </c>
      <c r="AD97" s="9" t="n">
        <v>1219.385945643558</v>
      </c>
      <c r="AE97" s="9" t="n">
        <v>0</v>
      </c>
      <c r="AF97" s="9" t="n">
        <v>0</v>
      </c>
      <c r="AG97" s="9" t="n">
        <v>0</v>
      </c>
      <c r="AH97" s="9" t="n">
        <v>163.3714962327732</v>
      </c>
      <c r="AI97" s="9" t="n">
        <v>0</v>
      </c>
      <c r="AJ97" s="9" t="n">
        <v>0</v>
      </c>
      <c r="AK97" s="9" t="n">
        <v>0</v>
      </c>
      <c r="AL97" s="9" t="n">
        <v>1213.586912512957</v>
      </c>
      <c r="AM97" s="9" t="n">
        <v>0</v>
      </c>
      <c r="AN97" s="9" t="n">
        <v>0</v>
      </c>
      <c r="AO97" s="9" t="n">
        <v>0</v>
      </c>
      <c r="AP97" s="9" t="n">
        <v>92.28413076196519</v>
      </c>
      <c r="AQ97" s="9" t="n">
        <v>0</v>
      </c>
      <c r="AR97" s="9" t="n">
        <v>0</v>
      </c>
      <c r="AS97" s="9" t="n">
        <v>0</v>
      </c>
      <c r="AT97" s="9" t="n">
        <v>1002.040803786581</v>
      </c>
      <c r="AU97" s="9" t="n">
        <v>0</v>
      </c>
      <c r="AV97" s="9" t="n">
        <v>0</v>
      </c>
      <c r="AW97" s="9" t="n">
        <v>0</v>
      </c>
      <c r="AX97" s="9" t="n">
        <v>13.18716835942326</v>
      </c>
      <c r="AY97" s="9" t="n">
        <v>0</v>
      </c>
    </row>
    <row r="98">
      <c r="A98" s="9" t="n">
        <v>104</v>
      </c>
      <c r="B98" s="9" t="inlineStr">
        <is>
          <t>ББ044</t>
        </is>
      </c>
      <c r="C98" s="9" t="inlineStr"/>
      <c r="D98" s="9" t="inlineStr">
        <is>
          <t>КОНФЕТЫ ВЕСОВЫЕ</t>
        </is>
      </c>
      <c r="E98" s="9" t="inlineStr">
        <is>
          <t>Федеральный</t>
        </is>
      </c>
      <c r="F98" s="9" t="n">
        <v>5693.853000000001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0</v>
      </c>
      <c r="AB98" s="9" t="n">
        <v>0</v>
      </c>
      <c r="AC98" s="9" t="n">
        <v>0</v>
      </c>
      <c r="AD98" s="9" t="n">
        <v>0</v>
      </c>
      <c r="AE98" s="9" t="n">
        <v>0</v>
      </c>
      <c r="AF98" s="9" t="n">
        <v>0</v>
      </c>
      <c r="AG98" s="9" t="n">
        <v>0</v>
      </c>
      <c r="AH98" s="9" t="n">
        <v>0</v>
      </c>
      <c r="AI98" s="9" t="n">
        <v>0</v>
      </c>
      <c r="AJ98" s="9" t="n">
        <v>0</v>
      </c>
      <c r="AK98" s="9" t="n">
        <v>0</v>
      </c>
      <c r="AL98" s="9" t="n">
        <v>0</v>
      </c>
      <c r="AM98" s="9" t="n">
        <v>0</v>
      </c>
      <c r="AN98" s="9" t="n">
        <v>0</v>
      </c>
      <c r="AO98" s="9" t="n">
        <v>0</v>
      </c>
      <c r="AP98" s="9" t="n">
        <v>0</v>
      </c>
      <c r="AQ98" s="9" t="n">
        <v>0</v>
      </c>
      <c r="AR98" s="9" t="n">
        <v>0</v>
      </c>
      <c r="AS98" s="9" t="n">
        <v>0</v>
      </c>
      <c r="AT98" s="9" t="n">
        <v>0</v>
      </c>
      <c r="AU98" s="9" t="n">
        <v>0</v>
      </c>
      <c r="AV98" s="9" t="n">
        <v>0</v>
      </c>
      <c r="AW98" s="9" t="n">
        <v>0</v>
      </c>
      <c r="AX98" s="9" t="n">
        <v>0</v>
      </c>
      <c r="AY98" s="9" t="n">
        <v>0</v>
      </c>
    </row>
    <row r="99">
      <c r="A99" s="9" t="n">
        <v>105</v>
      </c>
      <c r="B99" s="9" t="inlineStr">
        <is>
          <t>ББ090</t>
        </is>
      </c>
      <c r="C99" s="9" t="inlineStr"/>
      <c r="D99" s="9" t="inlineStr">
        <is>
          <t>КОНФЕТЫ ВЕСОВЫЕ</t>
        </is>
      </c>
      <c r="E99" s="9" t="inlineStr">
        <is>
          <t>Федеральный</t>
        </is>
      </c>
      <c r="F99" s="9" t="n">
        <v>168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</v>
      </c>
      <c r="M99" s="9" t="n">
        <v>0</v>
      </c>
      <c r="N99" s="9" t="n">
        <v>0</v>
      </c>
      <c r="O99" s="9" t="n">
        <v>0</v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  <c r="AA99" s="9" t="n">
        <v>0</v>
      </c>
      <c r="AB99" s="9" t="n">
        <v>0</v>
      </c>
      <c r="AC99" s="9" t="n">
        <v>0</v>
      </c>
      <c r="AD99" s="9" t="n">
        <v>0</v>
      </c>
      <c r="AE99" s="9" t="n">
        <v>0</v>
      </c>
      <c r="AF99" s="9" t="n">
        <v>0</v>
      </c>
      <c r="AG99" s="9" t="n">
        <v>0</v>
      </c>
      <c r="AH99" s="9" t="n">
        <v>0</v>
      </c>
      <c r="AI99" s="9" t="n">
        <v>0</v>
      </c>
      <c r="AJ99" s="9" t="n">
        <v>0</v>
      </c>
      <c r="AK99" s="9" t="n">
        <v>0</v>
      </c>
      <c r="AL99" s="9" t="n">
        <v>0</v>
      </c>
      <c r="AM99" s="9" t="n">
        <v>0</v>
      </c>
      <c r="AN99" s="9" t="n">
        <v>0</v>
      </c>
      <c r="AO99" s="9" t="n">
        <v>0</v>
      </c>
      <c r="AP99" s="9" t="n">
        <v>0</v>
      </c>
      <c r="AQ99" s="9" t="n">
        <v>0</v>
      </c>
      <c r="AR99" s="9" t="n">
        <v>0</v>
      </c>
      <c r="AS99" s="9" t="n">
        <v>0</v>
      </c>
      <c r="AT99" s="9" t="n">
        <v>0</v>
      </c>
      <c r="AU99" s="9" t="n">
        <v>0</v>
      </c>
      <c r="AV99" s="9" t="n">
        <v>0</v>
      </c>
      <c r="AW99" s="9" t="n">
        <v>0</v>
      </c>
      <c r="AX99" s="9" t="n">
        <v>0</v>
      </c>
      <c r="AY99" s="9" t="n">
        <v>0</v>
      </c>
    </row>
    <row r="100">
      <c r="A100" s="9" t="n">
        <v>106</v>
      </c>
      <c r="B100" s="9" t="inlineStr">
        <is>
          <t>ББ176</t>
        </is>
      </c>
      <c r="C100" s="9" t="inlineStr"/>
      <c r="D100" s="9" t="inlineStr">
        <is>
          <t>КОНФЕТЫ ВЕСОВЫЕ</t>
        </is>
      </c>
      <c r="E100" s="9" t="inlineStr">
        <is>
          <t>Федеральный</t>
        </is>
      </c>
      <c r="F100" s="9" t="n">
        <v>73679.198</v>
      </c>
      <c r="G100" s="9" t="n">
        <v>15164</v>
      </c>
      <c r="H100" s="9" t="n">
        <v>22075</v>
      </c>
      <c r="I100" s="9" t="n">
        <v>36307.56</v>
      </c>
      <c r="J100" s="9" t="n">
        <v>41309.38</v>
      </c>
      <c r="K100" s="9" t="n">
        <v>12689.8</v>
      </c>
      <c r="L100" s="9" t="n">
        <v>1598</v>
      </c>
      <c r="M100" s="9" t="n">
        <v>78.69430135181548</v>
      </c>
      <c r="N100" s="9" t="n">
        <v>7928.215186666328</v>
      </c>
      <c r="O100" s="9" t="n">
        <v>723.4</v>
      </c>
      <c r="P100" s="9" t="n">
        <v>0</v>
      </c>
      <c r="Q100" s="9" t="n">
        <v>153.1084715135204</v>
      </c>
      <c r="R100" s="9" t="n">
        <v>0</v>
      </c>
      <c r="S100" s="9" t="n">
        <v>0.3322673821335263</v>
      </c>
      <c r="T100" s="9" t="n">
        <v>10994</v>
      </c>
      <c r="U100" s="9" t="n">
        <v>150</v>
      </c>
      <c r="V100" s="9" t="n">
        <v>19508.06705107954</v>
      </c>
      <c r="W100" s="9" t="n">
        <v>835.9</v>
      </c>
      <c r="X100" s="9" t="n">
        <v>0</v>
      </c>
      <c r="Y100" s="9" t="n">
        <v>338.3216420703356</v>
      </c>
      <c r="Z100" s="9" t="n">
        <v>0</v>
      </c>
      <c r="AA100" s="9" t="n">
        <v>0.664534764267053</v>
      </c>
      <c r="AB100" s="9" t="n">
        <v>8009</v>
      </c>
      <c r="AC100" s="9" t="n">
        <v>200</v>
      </c>
      <c r="AD100" s="9" t="n">
        <v>22888.70494356871</v>
      </c>
      <c r="AE100" s="9" t="n">
        <v>1025.9</v>
      </c>
      <c r="AF100" s="9" t="n">
        <v>0</v>
      </c>
      <c r="AG100" s="9" t="n">
        <v>503.8463882833075</v>
      </c>
      <c r="AH100" s="9" t="n">
        <v>0</v>
      </c>
      <c r="AI100" s="9" t="n">
        <v>1.063255622827286</v>
      </c>
      <c r="AJ100" s="9" t="n">
        <v>439</v>
      </c>
      <c r="AK100" s="9" t="n">
        <v>172.2657057242896</v>
      </c>
      <c r="AL100" s="9" t="n">
        <v>22913.69427655061</v>
      </c>
      <c r="AM100" s="9" t="n">
        <v>812.15</v>
      </c>
      <c r="AN100" s="9" t="n">
        <v>0</v>
      </c>
      <c r="AO100" s="9" t="n">
        <v>453.7438446102653</v>
      </c>
      <c r="AP100" s="9" t="n">
        <v>0</v>
      </c>
      <c r="AQ100" s="9" t="n">
        <v>1.475838688221158</v>
      </c>
      <c r="AR100" s="9" t="n">
        <v>1270</v>
      </c>
      <c r="AS100" s="9" t="n">
        <v>160.6868848302697</v>
      </c>
      <c r="AT100" s="9" t="n">
        <v>20706.80836936055</v>
      </c>
      <c r="AU100" s="9" t="n">
        <v>669.65</v>
      </c>
      <c r="AV100" s="9" t="n">
        <v>0</v>
      </c>
      <c r="AW100" s="9" t="n">
        <v>76.55423575676033</v>
      </c>
      <c r="AX100" s="9" t="n">
        <v>0</v>
      </c>
      <c r="AY100" s="9" t="n">
        <v>0.6645347642670538</v>
      </c>
    </row>
    <row r="101">
      <c r="A101" s="9" t="n">
        <v>107</v>
      </c>
      <c r="B101" s="9" t="inlineStr">
        <is>
          <t>ББ164</t>
        </is>
      </c>
      <c r="C101" s="9" t="inlineStr"/>
      <c r="D101" s="9" t="inlineStr">
        <is>
          <t>КОНФЕТЫ ВЕСОВЫЕ</t>
        </is>
      </c>
      <c r="E101" s="9" t="inlineStr">
        <is>
          <t>Федеральный</t>
        </is>
      </c>
      <c r="F101" s="9" t="n">
        <v>21284.2</v>
      </c>
      <c r="G101" s="9" t="n">
        <v>0</v>
      </c>
      <c r="H101" s="9" t="n">
        <v>6583</v>
      </c>
      <c r="I101" s="9" t="n">
        <v>6257.66</v>
      </c>
      <c r="J101" s="9" t="n">
        <v>4573.23</v>
      </c>
      <c r="K101" s="9" t="n">
        <v>1478.39</v>
      </c>
      <c r="L101" s="9" t="n">
        <v>665</v>
      </c>
      <c r="M101" s="9" t="n">
        <v>280.6208281601506</v>
      </c>
      <c r="N101" s="9" t="n">
        <v>2505.835858843072</v>
      </c>
      <c r="O101" s="9" t="n">
        <v>20</v>
      </c>
      <c r="P101" s="9" t="n">
        <v>0</v>
      </c>
      <c r="Q101" s="9" t="n">
        <v>14.67016756009787</v>
      </c>
      <c r="R101" s="9" t="n">
        <v>436.7001509227643</v>
      </c>
      <c r="S101" s="9" t="n">
        <v>0</v>
      </c>
      <c r="T101" s="9" t="n">
        <v>1164</v>
      </c>
      <c r="U101" s="9" t="n">
        <v>711.0773196722638</v>
      </c>
      <c r="V101" s="9" t="n">
        <v>3734.449888612976</v>
      </c>
      <c r="W101" s="9" t="n">
        <v>38</v>
      </c>
      <c r="X101" s="9" t="n">
        <v>0</v>
      </c>
      <c r="Y101" s="9" t="n">
        <v>32.41646350013361</v>
      </c>
      <c r="Z101" s="9" t="n">
        <v>1609.832824471683</v>
      </c>
      <c r="AA101" s="9" t="n">
        <v>0</v>
      </c>
      <c r="AB101" s="9" t="n">
        <v>499</v>
      </c>
      <c r="AC101" s="9" t="n">
        <v>639.7388569061029</v>
      </c>
      <c r="AD101" s="9" t="n">
        <v>4297.727178158484</v>
      </c>
      <c r="AE101" s="9" t="n">
        <v>68.40000000000001</v>
      </c>
      <c r="AF101" s="9" t="n">
        <v>0</v>
      </c>
      <c r="AG101" s="9" t="n">
        <v>48.27630285639381</v>
      </c>
      <c r="AH101" s="9" t="n">
        <v>1010.873420675277</v>
      </c>
      <c r="AI101" s="9" t="n">
        <v>0</v>
      </c>
      <c r="AJ101" s="9" t="n">
        <v>1633</v>
      </c>
      <c r="AK101" s="9" t="n">
        <v>429.5501785551877</v>
      </c>
      <c r="AL101" s="9" t="n">
        <v>4044.260548748106</v>
      </c>
      <c r="AM101" s="9" t="n">
        <v>34.2</v>
      </c>
      <c r="AN101" s="9" t="n">
        <v>0</v>
      </c>
      <c r="AO101" s="9" t="n">
        <v>43.4757016642792</v>
      </c>
      <c r="AP101" s="9" t="n">
        <v>545.4353777620197</v>
      </c>
      <c r="AQ101" s="9" t="n">
        <v>0</v>
      </c>
      <c r="AR101" s="9" t="n">
        <v>3091</v>
      </c>
      <c r="AS101" s="9" t="n">
        <v>400.6780094744471</v>
      </c>
      <c r="AT101" s="9" t="n">
        <v>3351.911514098172</v>
      </c>
      <c r="AU101" s="9" t="n">
        <v>11.4</v>
      </c>
      <c r="AV101" s="9" t="n">
        <v>0</v>
      </c>
      <c r="AW101" s="9" t="n">
        <v>7.335083780048949</v>
      </c>
      <c r="AX101" s="9" t="n">
        <v>108.1189308284685</v>
      </c>
      <c r="AY101" s="9" t="n">
        <v>0</v>
      </c>
    </row>
    <row r="102">
      <c r="A102" s="9" t="n">
        <v>108</v>
      </c>
      <c r="B102" s="9" t="inlineStr">
        <is>
          <t>ББ143</t>
        </is>
      </c>
      <c r="C102" s="9" t="inlineStr"/>
      <c r="D102" s="9" t="inlineStr">
        <is>
          <t>КОНФЕТЫ ВЕСОВЫЕ</t>
        </is>
      </c>
      <c r="E102" s="9" t="inlineStr">
        <is>
          <t>Федеральный</t>
        </is>
      </c>
      <c r="F102" s="9" t="n">
        <v>15107</v>
      </c>
      <c r="G102" s="9" t="n">
        <v>0</v>
      </c>
      <c r="H102" s="9" t="n">
        <v>3777</v>
      </c>
      <c r="I102" s="9" t="n">
        <v>4020.72</v>
      </c>
      <c r="J102" s="9" t="n">
        <v>3937.71</v>
      </c>
      <c r="K102" s="9" t="n">
        <v>0</v>
      </c>
      <c r="L102" s="9" t="n">
        <v>0</v>
      </c>
      <c r="M102" s="9" t="n">
        <v>0</v>
      </c>
      <c r="N102" s="9" t="n">
        <v>781.0153854788811</v>
      </c>
      <c r="O102" s="9" t="n">
        <v>0</v>
      </c>
      <c r="P102" s="9" t="n">
        <v>0</v>
      </c>
      <c r="Q102" s="9" t="n">
        <v>142.3143244848953</v>
      </c>
      <c r="R102" s="9" t="n">
        <v>55.20603111647832</v>
      </c>
      <c r="S102" s="9" t="n">
        <v>0</v>
      </c>
      <c r="T102" s="9" t="n">
        <v>0</v>
      </c>
      <c r="U102" s="9" t="n">
        <v>0</v>
      </c>
      <c r="V102" s="9" t="n">
        <v>2162.441733633857</v>
      </c>
      <c r="W102" s="9" t="n">
        <v>0</v>
      </c>
      <c r="X102" s="9" t="n">
        <v>0</v>
      </c>
      <c r="Y102" s="9" t="n">
        <v>314.4699667752125</v>
      </c>
      <c r="Z102" s="9" t="n">
        <v>161.2188010509812</v>
      </c>
      <c r="AA102" s="9" t="n">
        <v>0</v>
      </c>
      <c r="AB102" s="9" t="n">
        <v>0</v>
      </c>
      <c r="AC102" s="9" t="n">
        <v>0</v>
      </c>
      <c r="AD102" s="9" t="n">
        <v>3061.497876620128</v>
      </c>
      <c r="AE102" s="9" t="n">
        <v>0</v>
      </c>
      <c r="AF102" s="9" t="n">
        <v>0</v>
      </c>
      <c r="AG102" s="9" t="n">
        <v>468.3252186105274</v>
      </c>
      <c r="AH102" s="9" t="n">
        <v>162.969675546342</v>
      </c>
      <c r="AI102" s="9" t="n">
        <v>0</v>
      </c>
      <c r="AJ102" s="9" t="n">
        <v>0</v>
      </c>
      <c r="AK102" s="9" t="n">
        <v>0</v>
      </c>
      <c r="AL102" s="9" t="n">
        <v>3027.100921718418</v>
      </c>
      <c r="AM102" s="9" t="n">
        <v>0</v>
      </c>
      <c r="AN102" s="9" t="n">
        <v>0</v>
      </c>
      <c r="AO102" s="9" t="n">
        <v>421.7549041967079</v>
      </c>
      <c r="AP102" s="9" t="n">
        <v>109.4557175241501</v>
      </c>
      <c r="AQ102" s="9" t="n">
        <v>0</v>
      </c>
      <c r="AR102" s="9" t="n">
        <v>0</v>
      </c>
      <c r="AS102" s="9" t="n">
        <v>0</v>
      </c>
      <c r="AT102" s="9" t="n">
        <v>3134.871993842828</v>
      </c>
      <c r="AU102" s="9" t="n">
        <v>0</v>
      </c>
      <c r="AV102" s="9" t="n">
        <v>0</v>
      </c>
      <c r="AW102" s="9" t="n">
        <v>71.15716224244775</v>
      </c>
      <c r="AX102" s="9" t="n">
        <v>28.28914020676449</v>
      </c>
      <c r="AY102" s="9" t="n">
        <v>0</v>
      </c>
    </row>
    <row r="103">
      <c r="A103" s="9" t="n">
        <v>109</v>
      </c>
      <c r="B103" s="9" t="inlineStr">
        <is>
          <t>ББ106</t>
        </is>
      </c>
      <c r="C103" s="9" t="inlineStr"/>
      <c r="D103" s="9" t="inlineStr">
        <is>
          <t>КОНФЕТЫ ВЕСОВЫЕ</t>
        </is>
      </c>
      <c r="E103" s="9" t="inlineStr">
        <is>
          <t>Федеральный</t>
        </is>
      </c>
      <c r="F103" s="9" t="n">
        <v>2272</v>
      </c>
      <c r="G103" s="9" t="n">
        <v>0</v>
      </c>
      <c r="H103" s="9" t="n">
        <v>58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0</v>
      </c>
      <c r="N103" s="9" t="n">
        <v>0</v>
      </c>
      <c r="O103" s="9" t="n">
        <v>0</v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0</v>
      </c>
      <c r="Y103" s="9" t="n">
        <v>0</v>
      </c>
      <c r="Z103" s="9" t="n">
        <v>0</v>
      </c>
      <c r="AA103" s="9" t="n">
        <v>0</v>
      </c>
      <c r="AB103" s="9" t="n">
        <v>0</v>
      </c>
      <c r="AC103" s="9" t="n">
        <v>0</v>
      </c>
      <c r="AD103" s="9" t="n">
        <v>0</v>
      </c>
      <c r="AE103" s="9" t="n">
        <v>0</v>
      </c>
      <c r="AF103" s="9" t="n">
        <v>0</v>
      </c>
      <c r="AG103" s="9" t="n">
        <v>0</v>
      </c>
      <c r="AH103" s="9" t="n">
        <v>0</v>
      </c>
      <c r="AI103" s="9" t="n">
        <v>0</v>
      </c>
      <c r="AJ103" s="9" t="n">
        <v>0</v>
      </c>
      <c r="AK103" s="9" t="n">
        <v>0</v>
      </c>
      <c r="AL103" s="9" t="n">
        <v>0</v>
      </c>
      <c r="AM103" s="9" t="n">
        <v>0</v>
      </c>
      <c r="AN103" s="9" t="n">
        <v>0</v>
      </c>
      <c r="AO103" s="9" t="n">
        <v>0</v>
      </c>
      <c r="AP103" s="9" t="n">
        <v>0</v>
      </c>
      <c r="AQ103" s="9" t="n">
        <v>0</v>
      </c>
      <c r="AR103" s="9" t="n">
        <v>0</v>
      </c>
      <c r="AS103" s="9" t="n">
        <v>0</v>
      </c>
      <c r="AT103" s="9" t="n">
        <v>0</v>
      </c>
      <c r="AU103" s="9" t="n">
        <v>0</v>
      </c>
      <c r="AV103" s="9" t="n">
        <v>0</v>
      </c>
      <c r="AW103" s="9" t="n">
        <v>0</v>
      </c>
      <c r="AX103" s="9" t="n">
        <v>0</v>
      </c>
      <c r="AY103" s="9" t="n">
        <v>0</v>
      </c>
    </row>
    <row r="104">
      <c r="A104" s="9" t="n">
        <v>110</v>
      </c>
      <c r="B104" s="9" t="inlineStr">
        <is>
          <t>РФ176</t>
        </is>
      </c>
      <c r="C104" s="9" t="inlineStr"/>
      <c r="D104" s="9" t="inlineStr">
        <is>
          <t>КОНФЕТЫ ВЕСОВЫЕ</t>
        </is>
      </c>
      <c r="E104" s="9" t="inlineStr">
        <is>
          <t>Федеральный</t>
        </is>
      </c>
      <c r="F104" s="9" t="n">
        <v>601075.13</v>
      </c>
      <c r="G104" s="9" t="n">
        <v>90527</v>
      </c>
      <c r="H104" s="9" t="n">
        <v>299836</v>
      </c>
      <c r="I104" s="9" t="n">
        <v>159650.35</v>
      </c>
      <c r="J104" s="9" t="n">
        <v>139050.77</v>
      </c>
      <c r="K104" s="9" t="n">
        <v>40007</v>
      </c>
      <c r="L104" s="9" t="n">
        <v>129064</v>
      </c>
      <c r="M104" s="9" t="n">
        <v>3565.075434629447</v>
      </c>
      <c r="N104" s="9" t="n">
        <v>11929.07230936951</v>
      </c>
      <c r="O104" s="9" t="n">
        <v>2102</v>
      </c>
      <c r="P104" s="9" t="n">
        <v>0</v>
      </c>
      <c r="Q104" s="9" t="n">
        <v>453.7079279839005</v>
      </c>
      <c r="R104" s="9" t="n">
        <v>10.13993689365974</v>
      </c>
      <c r="S104" s="9" t="n">
        <v>1001.346720185179</v>
      </c>
      <c r="T104" s="9" t="n">
        <v>102285</v>
      </c>
      <c r="U104" s="9" t="n">
        <v>6320.861177845703</v>
      </c>
      <c r="V104" s="9" t="n">
        <v>64660.00669591154</v>
      </c>
      <c r="W104" s="9" t="n">
        <v>2138</v>
      </c>
      <c r="X104" s="9" t="n">
        <v>0</v>
      </c>
      <c r="Y104" s="9" t="n">
        <v>1002.552044955186</v>
      </c>
      <c r="Z104" s="9" t="n">
        <v>30.90811675958884</v>
      </c>
      <c r="AA104" s="9" t="n">
        <v>2.693440370357505</v>
      </c>
      <c r="AB104" s="9" t="n">
        <v>71368</v>
      </c>
      <c r="AC104" s="9" t="n">
        <v>5558.957689237266</v>
      </c>
      <c r="AD104" s="9" t="n">
        <v>45812.70460541132</v>
      </c>
      <c r="AE104" s="9" t="n">
        <v>2198.8</v>
      </c>
      <c r="AF104" s="9" t="n">
        <v>0</v>
      </c>
      <c r="AG104" s="9" t="n">
        <v>1493.053249049022</v>
      </c>
      <c r="AH104" s="9" t="n">
        <v>31.24378625335269</v>
      </c>
      <c r="AI104" s="9" t="n">
        <v>5142.309504592572</v>
      </c>
      <c r="AJ104" s="9" t="n">
        <v>42323</v>
      </c>
      <c r="AK104" s="9" t="n">
        <v>5800.854347998164</v>
      </c>
      <c r="AL104" s="9" t="n">
        <v>43838.89697804691</v>
      </c>
      <c r="AM104" s="9" t="n">
        <v>2130.4</v>
      </c>
      <c r="AN104" s="9" t="n">
        <v>0</v>
      </c>
      <c r="AO104" s="9" t="n">
        <v>1344.583859655297</v>
      </c>
      <c r="AP104" s="9" t="n">
        <v>22.50595229993681</v>
      </c>
      <c r="AQ104" s="9" t="n">
        <v>963.9817540281352</v>
      </c>
      <c r="AR104" s="9" t="n">
        <v>163937</v>
      </c>
      <c r="AS104" s="9" t="n">
        <v>5339.180801366682</v>
      </c>
      <c r="AT104" s="9" t="n">
        <v>36437.03593915608</v>
      </c>
      <c r="AU104" s="9" t="n">
        <v>2084.8</v>
      </c>
      <c r="AV104" s="9" t="n">
        <v>0</v>
      </c>
      <c r="AW104" s="9" t="n">
        <v>226.8539639919506</v>
      </c>
      <c r="AX104" s="9" t="n">
        <v>7.247937413159493</v>
      </c>
      <c r="AY104" s="9" t="n">
        <v>3002.693440370358</v>
      </c>
    </row>
    <row r="105">
      <c r="A105" s="9" t="n">
        <v>111</v>
      </c>
      <c r="B105" s="9" t="inlineStr">
        <is>
          <t>РФ042</t>
        </is>
      </c>
      <c r="C105" s="9" t="inlineStr"/>
      <c r="D105" s="9" t="inlineStr">
        <is>
          <t>КОНФЕТЫ ВЕСОВЫЕ</t>
        </is>
      </c>
      <c r="E105" s="9" t="inlineStr">
        <is>
          <t>Федеральный</t>
        </is>
      </c>
      <c r="F105" s="9" t="n">
        <v>132772.06</v>
      </c>
      <c r="G105" s="9" t="n">
        <v>35314</v>
      </c>
      <c r="H105" s="9" t="n">
        <v>79305.92</v>
      </c>
      <c r="I105" s="9" t="n">
        <v>89982.58</v>
      </c>
      <c r="J105" s="9" t="n">
        <v>108433.6</v>
      </c>
      <c r="K105" s="9" t="n">
        <v>78534.89000000001</v>
      </c>
      <c r="L105" s="9" t="n">
        <v>45648.5</v>
      </c>
      <c r="M105" s="9" t="n">
        <v>1955.606095961539</v>
      </c>
      <c r="N105" s="9" t="n">
        <v>3725.313243331176</v>
      </c>
      <c r="O105" s="9" t="n">
        <v>40</v>
      </c>
      <c r="P105" s="9" t="n">
        <v>0</v>
      </c>
      <c r="Q105" s="9" t="n">
        <v>138.4471586314203</v>
      </c>
      <c r="R105" s="9" t="n">
        <v>2456.255251388263</v>
      </c>
      <c r="S105" s="9" t="n">
        <v>0</v>
      </c>
      <c r="T105" s="9" t="n">
        <v>54981.5</v>
      </c>
      <c r="U105" s="9" t="n">
        <v>28120.90315674293</v>
      </c>
      <c r="V105" s="9" t="n">
        <v>10075.13865047853</v>
      </c>
      <c r="W105" s="9" t="n">
        <v>76</v>
      </c>
      <c r="X105" s="9" t="n">
        <v>0</v>
      </c>
      <c r="Y105" s="9" t="n">
        <v>305.9247446279817</v>
      </c>
      <c r="Z105" s="9" t="n">
        <v>7805.46271901577</v>
      </c>
      <c r="AA105" s="9" t="n">
        <v>0</v>
      </c>
      <c r="AB105" s="9" t="n">
        <v>69111</v>
      </c>
      <c r="AC105" s="9" t="n">
        <v>3614.470760627722</v>
      </c>
      <c r="AD105" s="9" t="n">
        <v>12546.9271726657</v>
      </c>
      <c r="AE105" s="9" t="n">
        <v>136.8</v>
      </c>
      <c r="AF105" s="9" t="n">
        <v>0</v>
      </c>
      <c r="AG105" s="9" t="n">
        <v>455.5992242295187</v>
      </c>
      <c r="AH105" s="9" t="n">
        <v>6028.027106903467</v>
      </c>
      <c r="AI105" s="9" t="n">
        <v>0</v>
      </c>
      <c r="AJ105" s="9" t="n">
        <v>134119.5</v>
      </c>
      <c r="AK105" s="9" t="n">
        <v>2862.040633428539</v>
      </c>
      <c r="AL105" s="9" t="n">
        <v>12522.7342697141</v>
      </c>
      <c r="AM105" s="9" t="n">
        <v>68.40000000000001</v>
      </c>
      <c r="AN105" s="9" t="n">
        <v>0</v>
      </c>
      <c r="AO105" s="9" t="n">
        <v>410.2943841826581</v>
      </c>
      <c r="AP105" s="9" t="n">
        <v>2948.526441275258</v>
      </c>
      <c r="AQ105" s="9" t="n">
        <v>0</v>
      </c>
      <c r="AR105" s="9" t="n">
        <v>65105.5</v>
      </c>
      <c r="AS105" s="9" t="n">
        <v>3258.098032253848</v>
      </c>
      <c r="AT105" s="9" t="n">
        <v>11866.8070825946</v>
      </c>
      <c r="AU105" s="9" t="n">
        <v>22.8</v>
      </c>
      <c r="AV105" s="9" t="n">
        <v>0</v>
      </c>
      <c r="AW105" s="9" t="n">
        <v>69.22357931571025</v>
      </c>
      <c r="AX105" s="9" t="n">
        <v>398.5622278714592</v>
      </c>
      <c r="AY105" s="9" t="n">
        <v>0</v>
      </c>
    </row>
    <row r="106">
      <c r="A106" s="9" t="n">
        <v>112</v>
      </c>
      <c r="B106" s="9" t="inlineStr">
        <is>
          <t>РФ144</t>
        </is>
      </c>
      <c r="C106" s="9" t="inlineStr"/>
      <c r="D106" s="9" t="inlineStr">
        <is>
          <t>КОНФЕТЫ ВЕСОВЫЕ</t>
        </is>
      </c>
      <c r="E106" s="9" t="inlineStr">
        <is>
          <t>Федеральный</t>
        </is>
      </c>
      <c r="F106" s="9" t="n">
        <v>61515</v>
      </c>
      <c r="G106" s="9" t="n">
        <v>0</v>
      </c>
      <c r="H106" s="9" t="n">
        <v>0</v>
      </c>
      <c r="I106" s="9" t="n">
        <v>12804.03</v>
      </c>
      <c r="J106" s="9" t="n">
        <v>19325.47</v>
      </c>
      <c r="K106" s="9" t="n">
        <v>0</v>
      </c>
      <c r="L106" s="9" t="n">
        <v>0</v>
      </c>
      <c r="M106" s="9" t="n">
        <v>0</v>
      </c>
      <c r="N106" s="9" t="n">
        <v>3049.850279693118</v>
      </c>
      <c r="O106" s="9" t="n">
        <v>10</v>
      </c>
      <c r="P106" s="9" t="n">
        <v>0</v>
      </c>
      <c r="Q106" s="9" t="n">
        <v>114.28249442544</v>
      </c>
      <c r="R106" s="9" t="n">
        <v>243.1443729860199</v>
      </c>
      <c r="S106" s="9" t="n">
        <v>0</v>
      </c>
      <c r="T106" s="9" t="n">
        <v>0</v>
      </c>
      <c r="U106" s="9" t="n">
        <v>0</v>
      </c>
      <c r="V106" s="9" t="n">
        <v>9513.952307560985</v>
      </c>
      <c r="W106" s="9" t="n">
        <v>19</v>
      </c>
      <c r="X106" s="9" t="n">
        <v>0</v>
      </c>
      <c r="Y106" s="9" t="n">
        <v>252.5284250551384</v>
      </c>
      <c r="Z106" s="9" t="n">
        <v>705.4391129967155</v>
      </c>
      <c r="AA106" s="9" t="n">
        <v>0</v>
      </c>
      <c r="AB106" s="9" t="n">
        <v>0</v>
      </c>
      <c r="AC106" s="9" t="n">
        <v>0</v>
      </c>
      <c r="AD106" s="9" t="n">
        <v>10253.04036547531</v>
      </c>
      <c r="AE106" s="9" t="n">
        <v>34.2</v>
      </c>
      <c r="AF106" s="9" t="n">
        <v>0</v>
      </c>
      <c r="AG106" s="9" t="n">
        <v>376.0786159711641</v>
      </c>
      <c r="AH106" s="9" t="n">
        <v>673.9882734231436</v>
      </c>
      <c r="AI106" s="9" t="n">
        <v>0</v>
      </c>
      <c r="AJ106" s="9" t="n">
        <v>0</v>
      </c>
      <c r="AK106" s="9" t="n">
        <v>0</v>
      </c>
      <c r="AL106" s="9" t="n">
        <v>10633.78171157308</v>
      </c>
      <c r="AM106" s="9" t="n">
        <v>17.1</v>
      </c>
      <c r="AN106" s="9" t="n">
        <v>0</v>
      </c>
      <c r="AO106" s="9" t="n">
        <v>338.681314493243</v>
      </c>
      <c r="AP106" s="9" t="n">
        <v>423.0600533562941</v>
      </c>
      <c r="AQ106" s="9" t="n">
        <v>0</v>
      </c>
      <c r="AR106" s="9" t="n">
        <v>0</v>
      </c>
      <c r="AS106" s="9" t="n">
        <v>0</v>
      </c>
      <c r="AT106" s="9" t="n">
        <v>8918.27785254815</v>
      </c>
      <c r="AU106" s="9" t="n">
        <v>5.7</v>
      </c>
      <c r="AV106" s="9" t="n">
        <v>0</v>
      </c>
      <c r="AW106" s="9" t="n">
        <v>57.14124721272009</v>
      </c>
      <c r="AX106" s="9" t="n">
        <v>86.66199403208228</v>
      </c>
      <c r="AY106" s="9" t="n">
        <v>0</v>
      </c>
    </row>
    <row r="107">
      <c r="A107" s="9" t="n">
        <v>113</v>
      </c>
      <c r="B107" s="9" t="inlineStr">
        <is>
          <t>РФ026</t>
        </is>
      </c>
      <c r="C107" s="9" t="inlineStr"/>
      <c r="D107" s="9" t="inlineStr">
        <is>
          <t>КОНФЕТЫ ВЕСОВЫЕ</t>
        </is>
      </c>
      <c r="E107" s="9" t="inlineStr">
        <is>
          <t>Федеральный</t>
        </is>
      </c>
      <c r="F107" s="9" t="n">
        <v>14826</v>
      </c>
      <c r="G107" s="9" t="n">
        <v>822</v>
      </c>
      <c r="H107" s="9" t="n">
        <v>12982.2</v>
      </c>
      <c r="I107" s="9" t="n">
        <v>0</v>
      </c>
      <c r="J107" s="9" t="n">
        <v>0</v>
      </c>
      <c r="K107" s="9" t="n">
        <v>0</v>
      </c>
      <c r="L107" s="9" t="n">
        <v>0</v>
      </c>
      <c r="M107" s="9" t="n">
        <v>0</v>
      </c>
      <c r="N107" s="9" t="n">
        <v>0</v>
      </c>
      <c r="O107" s="9" t="n">
        <v>0</v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  <c r="AA107" s="9" t="n">
        <v>0</v>
      </c>
      <c r="AB107" s="9" t="n">
        <v>0</v>
      </c>
      <c r="AC107" s="9" t="n">
        <v>0</v>
      </c>
      <c r="AD107" s="9" t="n">
        <v>0</v>
      </c>
      <c r="AE107" s="9" t="n">
        <v>0</v>
      </c>
      <c r="AF107" s="9" t="n">
        <v>0</v>
      </c>
      <c r="AG107" s="9" t="n">
        <v>0</v>
      </c>
      <c r="AH107" s="9" t="n">
        <v>0</v>
      </c>
      <c r="AI107" s="9" t="n">
        <v>0</v>
      </c>
      <c r="AJ107" s="9" t="n">
        <v>0</v>
      </c>
      <c r="AK107" s="9" t="n">
        <v>0</v>
      </c>
      <c r="AL107" s="9" t="n">
        <v>0</v>
      </c>
      <c r="AM107" s="9" t="n">
        <v>0</v>
      </c>
      <c r="AN107" s="9" t="n">
        <v>0</v>
      </c>
      <c r="AO107" s="9" t="n">
        <v>0</v>
      </c>
      <c r="AP107" s="9" t="n">
        <v>0</v>
      </c>
      <c r="AQ107" s="9" t="n">
        <v>0</v>
      </c>
      <c r="AR107" s="9" t="n">
        <v>0</v>
      </c>
      <c r="AS107" s="9" t="n">
        <v>0</v>
      </c>
      <c r="AT107" s="9" t="n">
        <v>0</v>
      </c>
      <c r="AU107" s="9" t="n">
        <v>0</v>
      </c>
      <c r="AV107" s="9" t="n">
        <v>0</v>
      </c>
      <c r="AW107" s="9" t="n">
        <v>0</v>
      </c>
      <c r="AX107" s="9" t="n">
        <v>0</v>
      </c>
      <c r="AY107" s="9" t="n">
        <v>0</v>
      </c>
    </row>
    <row r="108">
      <c r="A108" s="9" t="n">
        <v>114</v>
      </c>
      <c r="B108" s="9" t="inlineStr">
        <is>
          <t>РФ227</t>
        </is>
      </c>
      <c r="C108" s="9" t="inlineStr"/>
      <c r="D108" s="9" t="inlineStr">
        <is>
          <t>КОНФЕТЫ ВЕСОВЫЕ</t>
        </is>
      </c>
      <c r="E108" s="9" t="inlineStr">
        <is>
          <t>Федеральный</t>
        </is>
      </c>
      <c r="F108" s="9" t="n">
        <v>0</v>
      </c>
      <c r="G108" s="9" t="n">
        <v>0</v>
      </c>
      <c r="H108" s="9" t="n">
        <v>0</v>
      </c>
      <c r="I108" s="9" t="n">
        <v>59.25</v>
      </c>
      <c r="J108" s="9" t="n">
        <v>65.37</v>
      </c>
      <c r="K108" s="9" t="n">
        <v>0</v>
      </c>
      <c r="L108" s="9" t="n">
        <v>0</v>
      </c>
      <c r="M108" s="9" t="n">
        <v>0</v>
      </c>
      <c r="N108" s="9" t="n">
        <v>9.700248367049818</v>
      </c>
      <c r="O108" s="9" t="n">
        <v>0</v>
      </c>
      <c r="P108" s="9" t="n">
        <v>0</v>
      </c>
      <c r="Q108" s="9" t="n">
        <v>0.4267328597570358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26.75131826240372</v>
      </c>
      <c r="W108" s="9" t="n">
        <v>0</v>
      </c>
      <c r="X108" s="9" t="n">
        <v>0</v>
      </c>
      <c r="Y108" s="9" t="n">
        <v>0.9429456150349041</v>
      </c>
      <c r="Z108" s="9" t="n">
        <v>0</v>
      </c>
      <c r="AA108" s="9" t="n">
        <v>0</v>
      </c>
      <c r="AB108" s="9" t="n">
        <v>0</v>
      </c>
      <c r="AC108" s="9" t="n">
        <v>0</v>
      </c>
      <c r="AD108" s="9" t="n">
        <v>36.74800293559527</v>
      </c>
      <c r="AE108" s="9" t="n">
        <v>0</v>
      </c>
      <c r="AF108" s="9" t="n">
        <v>0</v>
      </c>
      <c r="AG108" s="9" t="n">
        <v>1.404284217750833</v>
      </c>
      <c r="AH108" s="9" t="n">
        <v>0</v>
      </c>
      <c r="AI108" s="9" t="n">
        <v>0</v>
      </c>
      <c r="AJ108" s="9" t="n">
        <v>0</v>
      </c>
      <c r="AK108" s="9" t="n">
        <v>0</v>
      </c>
      <c r="AL108" s="9" t="n">
        <v>37.02930239506667</v>
      </c>
      <c r="AM108" s="9" t="n">
        <v>0</v>
      </c>
      <c r="AN108" s="9" t="n">
        <v>0</v>
      </c>
      <c r="AO108" s="9" t="n">
        <v>1.264642031192847</v>
      </c>
      <c r="AP108" s="9" t="n">
        <v>0</v>
      </c>
      <c r="AQ108" s="9" t="n">
        <v>0</v>
      </c>
      <c r="AR108" s="9" t="n">
        <v>0</v>
      </c>
      <c r="AS108" s="9" t="n">
        <v>0</v>
      </c>
      <c r="AT108" s="9" t="n">
        <v>38.98285871539974</v>
      </c>
      <c r="AU108" s="9" t="n">
        <v>0</v>
      </c>
      <c r="AV108" s="9" t="n">
        <v>0</v>
      </c>
      <c r="AW108" s="9" t="n">
        <v>0.2133664298785183</v>
      </c>
      <c r="AX108" s="9" t="n">
        <v>0</v>
      </c>
      <c r="AY108" s="9" t="n">
        <v>0</v>
      </c>
    </row>
    <row r="109">
      <c r="A109" s="9" t="n">
        <v>115</v>
      </c>
      <c r="B109" s="9" t="inlineStr">
        <is>
          <t>РФ142</t>
        </is>
      </c>
      <c r="C109" s="9" t="inlineStr"/>
      <c r="D109" s="9" t="inlineStr">
        <is>
          <t>КОНФЕТЫ ВЕСОВЫЕ</t>
        </is>
      </c>
      <c r="E109" s="9" t="inlineStr">
        <is>
          <t>Федеральный</t>
        </is>
      </c>
      <c r="F109" s="9" t="n">
        <v>2703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0</v>
      </c>
      <c r="L109" s="9" t="n">
        <v>0</v>
      </c>
      <c r="M109" s="9" t="n">
        <v>0</v>
      </c>
      <c r="N109" s="9" t="n">
        <v>0</v>
      </c>
      <c r="O109" s="9" t="n">
        <v>0</v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0</v>
      </c>
      <c r="Y109" s="9" t="n">
        <v>0</v>
      </c>
      <c r="Z109" s="9" t="n">
        <v>0</v>
      </c>
      <c r="AA109" s="9" t="n">
        <v>0</v>
      </c>
      <c r="AB109" s="9" t="n">
        <v>0</v>
      </c>
      <c r="AC109" s="9" t="n">
        <v>0</v>
      </c>
      <c r="AD109" s="9" t="n">
        <v>0</v>
      </c>
      <c r="AE109" s="9" t="n">
        <v>0</v>
      </c>
      <c r="AF109" s="9" t="n">
        <v>0</v>
      </c>
      <c r="AG109" s="9" t="n">
        <v>0</v>
      </c>
      <c r="AH109" s="9" t="n">
        <v>0</v>
      </c>
      <c r="AI109" s="9" t="n">
        <v>0</v>
      </c>
      <c r="AJ109" s="9" t="n">
        <v>0</v>
      </c>
      <c r="AK109" s="9" t="n">
        <v>0</v>
      </c>
      <c r="AL109" s="9" t="n">
        <v>0</v>
      </c>
      <c r="AM109" s="9" t="n">
        <v>0</v>
      </c>
      <c r="AN109" s="9" t="n">
        <v>0</v>
      </c>
      <c r="AO109" s="9" t="n">
        <v>0</v>
      </c>
      <c r="AP109" s="9" t="n">
        <v>0</v>
      </c>
      <c r="AQ109" s="9" t="n">
        <v>0</v>
      </c>
      <c r="AR109" s="9" t="n">
        <v>0</v>
      </c>
      <c r="AS109" s="9" t="n">
        <v>0</v>
      </c>
      <c r="AT109" s="9" t="n">
        <v>0</v>
      </c>
      <c r="AU109" s="9" t="n">
        <v>0</v>
      </c>
      <c r="AV109" s="9" t="n">
        <v>0</v>
      </c>
      <c r="AW109" s="9" t="n">
        <v>0</v>
      </c>
      <c r="AX109" s="9" t="n">
        <v>0</v>
      </c>
      <c r="AY109" s="9" t="n">
        <v>0</v>
      </c>
    </row>
    <row r="110">
      <c r="A110" s="9" t="n">
        <v>116</v>
      </c>
      <c r="B110" s="9" t="inlineStr">
        <is>
          <t>РФ222</t>
        </is>
      </c>
      <c r="C110" s="9" t="inlineStr"/>
      <c r="D110" s="9" t="inlineStr">
        <is>
          <t>КОНФЕТЫ ВЕСОВЫЕ</t>
        </is>
      </c>
      <c r="E110" s="9" t="inlineStr">
        <is>
          <t>Федеральный</t>
        </is>
      </c>
      <c r="F110" s="9" t="n">
        <v>1750.72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0</v>
      </c>
      <c r="AA110" s="9" t="n">
        <v>0</v>
      </c>
      <c r="AB110" s="9" t="n">
        <v>0</v>
      </c>
      <c r="AC110" s="9" t="n">
        <v>0</v>
      </c>
      <c r="AD110" s="9" t="n">
        <v>0</v>
      </c>
      <c r="AE110" s="9" t="n">
        <v>0</v>
      </c>
      <c r="AF110" s="9" t="n">
        <v>0</v>
      </c>
      <c r="AG110" s="9" t="n">
        <v>0</v>
      </c>
      <c r="AH110" s="9" t="n">
        <v>0</v>
      </c>
      <c r="AI110" s="9" t="n">
        <v>0</v>
      </c>
      <c r="AJ110" s="9" t="n">
        <v>0</v>
      </c>
      <c r="AK110" s="9" t="n">
        <v>0</v>
      </c>
      <c r="AL110" s="9" t="n">
        <v>0</v>
      </c>
      <c r="AM110" s="9" t="n">
        <v>0</v>
      </c>
      <c r="AN110" s="9" t="n">
        <v>0</v>
      </c>
      <c r="AO110" s="9" t="n">
        <v>0</v>
      </c>
      <c r="AP110" s="9" t="n">
        <v>0</v>
      </c>
      <c r="AQ110" s="9" t="n">
        <v>0</v>
      </c>
      <c r="AR110" s="9" t="n">
        <v>0</v>
      </c>
      <c r="AS110" s="9" t="n">
        <v>0</v>
      </c>
      <c r="AT110" s="9" t="n">
        <v>0</v>
      </c>
      <c r="AU110" s="9" t="n">
        <v>0</v>
      </c>
      <c r="AV110" s="9" t="n">
        <v>0</v>
      </c>
      <c r="AW110" s="9" t="n">
        <v>0</v>
      </c>
      <c r="AX110" s="9" t="n">
        <v>0</v>
      </c>
      <c r="AY110" s="9" t="n">
        <v>0</v>
      </c>
    </row>
    <row r="111">
      <c r="A111" s="9" t="n">
        <v>117</v>
      </c>
      <c r="B111" s="9" t="inlineStr">
        <is>
          <t>РФ176</t>
        </is>
      </c>
      <c r="C111" s="9" t="inlineStr"/>
      <c r="D111" s="9" t="inlineStr">
        <is>
          <t>КОНФЕТЫ ВЕСОВЫЕ</t>
        </is>
      </c>
      <c r="E111" s="9" t="inlineStr">
        <is>
          <t>Федеральный</t>
        </is>
      </c>
      <c r="F111" s="9" t="n">
        <v>124686</v>
      </c>
      <c r="G111" s="9" t="n">
        <v>21450</v>
      </c>
      <c r="H111" s="9" t="n">
        <v>77132.19500000001</v>
      </c>
      <c r="I111" s="9" t="n">
        <v>67776.41</v>
      </c>
      <c r="J111" s="9" t="n">
        <v>57883.83</v>
      </c>
      <c r="K111" s="9" t="n">
        <v>30324.59</v>
      </c>
      <c r="L111" s="9" t="n">
        <v>42295</v>
      </c>
      <c r="M111" s="9" t="n">
        <v>1714.302715050271</v>
      </c>
      <c r="N111" s="9" t="n">
        <v>11972.34915294702</v>
      </c>
      <c r="O111" s="9" t="n">
        <v>669</v>
      </c>
      <c r="P111" s="9" t="n">
        <v>0</v>
      </c>
      <c r="Q111" s="9" t="n">
        <v>134.438975789365</v>
      </c>
      <c r="R111" s="9" t="n">
        <v>0</v>
      </c>
      <c r="S111" s="9" t="n">
        <v>0.07200891181805814</v>
      </c>
      <c r="T111" s="9" t="n">
        <v>75439</v>
      </c>
      <c r="U111" s="9" t="n">
        <v>4313.267328837819</v>
      </c>
      <c r="V111" s="9" t="n">
        <v>6855.994494745976</v>
      </c>
      <c r="W111" s="9" t="n">
        <v>673.5</v>
      </c>
      <c r="X111" s="9" t="n">
        <v>0</v>
      </c>
      <c r="Y111" s="9" t="n">
        <v>297.0679192189283</v>
      </c>
      <c r="Z111" s="9" t="n">
        <v>0</v>
      </c>
      <c r="AA111" s="9" t="n">
        <v>0.1440178236361164</v>
      </c>
      <c r="AB111" s="9" t="n">
        <v>38020</v>
      </c>
      <c r="AC111" s="9" t="n">
        <v>3882.547513973475</v>
      </c>
      <c r="AD111" s="9" t="n">
        <v>8329.805214235128</v>
      </c>
      <c r="AE111" s="9" t="n">
        <v>681.1</v>
      </c>
      <c r="AF111" s="9" t="n">
        <v>0</v>
      </c>
      <c r="AG111" s="9" t="n">
        <v>442.4091738777304</v>
      </c>
      <c r="AH111" s="9" t="n">
        <v>0</v>
      </c>
      <c r="AI111" s="9" t="n">
        <v>0.2304285178177865</v>
      </c>
      <c r="AJ111" s="9" t="n">
        <v>44585</v>
      </c>
      <c r="AK111" s="9" t="n">
        <v>4140.717375685673</v>
      </c>
      <c r="AL111" s="9" t="n">
        <v>8378.113600636094</v>
      </c>
      <c r="AM111" s="9" t="n">
        <v>672.55</v>
      </c>
      <c r="AN111" s="9" t="n">
        <v>0</v>
      </c>
      <c r="AO111" s="9" t="n">
        <v>398.4159539777399</v>
      </c>
      <c r="AP111" s="9" t="n">
        <v>0</v>
      </c>
      <c r="AQ111" s="9" t="n">
        <v>0.319843426325514</v>
      </c>
      <c r="AR111" s="9" t="n">
        <v>35996</v>
      </c>
      <c r="AS111" s="9" t="n">
        <v>3863.743800200459</v>
      </c>
      <c r="AT111" s="9" t="n">
        <v>6047.377230321998</v>
      </c>
      <c r="AU111" s="9" t="n">
        <v>666.85</v>
      </c>
      <c r="AV111" s="9" t="n">
        <v>0</v>
      </c>
      <c r="AW111" s="9" t="n">
        <v>67.21948789468263</v>
      </c>
      <c r="AX111" s="9" t="n">
        <v>0</v>
      </c>
      <c r="AY111" s="9" t="n">
        <v>0.1440178236361165</v>
      </c>
    </row>
    <row r="112">
      <c r="A112" s="9" t="n">
        <v>118</v>
      </c>
      <c r="B112" s="9" t="inlineStr">
        <is>
          <t>РФ076</t>
        </is>
      </c>
      <c r="C112" s="9" t="inlineStr"/>
      <c r="D112" s="9" t="inlineStr">
        <is>
          <t>КОНФЕТЫ ВЕСОВЫЕ</t>
        </is>
      </c>
      <c r="E112" s="9" t="inlineStr">
        <is>
          <t>Федеральный</t>
        </is>
      </c>
      <c r="F112" s="9" t="n">
        <v>38022.25</v>
      </c>
      <c r="G112" s="9" t="n">
        <v>8910</v>
      </c>
      <c r="H112" s="9" t="n">
        <v>10078.57</v>
      </c>
      <c r="I112" s="9" t="n">
        <v>11485.63</v>
      </c>
      <c r="J112" s="9" t="n">
        <v>6108.66</v>
      </c>
      <c r="K112" s="9" t="n">
        <v>1428.92</v>
      </c>
      <c r="L112" s="9" t="n">
        <v>5431</v>
      </c>
      <c r="M112" s="9" t="n">
        <v>180.5466295383897</v>
      </c>
      <c r="N112" s="9" t="n">
        <v>1045.595013944234</v>
      </c>
      <c r="O112" s="9" t="n">
        <v>15</v>
      </c>
      <c r="P112" s="9" t="n">
        <v>0</v>
      </c>
      <c r="Q112" s="9" t="n">
        <v>31.21029098208669</v>
      </c>
      <c r="R112" s="9" t="n">
        <v>168.2200048334684</v>
      </c>
      <c r="S112" s="9" t="n">
        <v>0</v>
      </c>
      <c r="T112" s="9" t="n">
        <v>8137</v>
      </c>
      <c r="U112" s="9" t="n">
        <v>25422.82284632816</v>
      </c>
      <c r="V112" s="9" t="n">
        <v>2661.136759559969</v>
      </c>
      <c r="W112" s="9" t="n">
        <v>28.5</v>
      </c>
      <c r="X112" s="9" t="n">
        <v>0</v>
      </c>
      <c r="Y112" s="9" t="n">
        <v>68.96494224109685</v>
      </c>
      <c r="Z112" s="9" t="n">
        <v>669.2393373658131</v>
      </c>
      <c r="AA112" s="9" t="n">
        <v>0</v>
      </c>
      <c r="AB112" s="9" t="n">
        <v>2828</v>
      </c>
      <c r="AC112" s="9" t="n">
        <v>403.9207566662619</v>
      </c>
      <c r="AD112" s="9" t="n">
        <v>3220.594244443672</v>
      </c>
      <c r="AE112" s="9" t="n">
        <v>51.3</v>
      </c>
      <c r="AF112" s="9" t="n">
        <v>0</v>
      </c>
      <c r="AG112" s="9" t="n">
        <v>102.7062201924394</v>
      </c>
      <c r="AH112" s="9" t="n">
        <v>457.2600970922777</v>
      </c>
      <c r="AI112" s="9" t="n">
        <v>0</v>
      </c>
      <c r="AJ112" s="9" t="n">
        <v>2371</v>
      </c>
      <c r="AK112" s="9" t="n">
        <v>521.7340302116163</v>
      </c>
      <c r="AL112" s="9" t="n">
        <v>3180.493872273727</v>
      </c>
      <c r="AM112" s="9" t="n">
        <v>25.65</v>
      </c>
      <c r="AN112" s="9" t="n">
        <v>0</v>
      </c>
      <c r="AO112" s="9" t="n">
        <v>92.49310166594253</v>
      </c>
      <c r="AP112" s="9" t="n">
        <v>231.7253076256849</v>
      </c>
      <c r="AQ112" s="9" t="n">
        <v>0</v>
      </c>
      <c r="AR112" s="9" t="n">
        <v>2723</v>
      </c>
      <c r="AS112" s="9" t="n">
        <v>430.2641089095864</v>
      </c>
      <c r="AT112" s="9" t="n">
        <v>2493.935518873451</v>
      </c>
      <c r="AU112" s="9" t="n">
        <v>8.550000000000001</v>
      </c>
      <c r="AV112" s="9" t="n">
        <v>0</v>
      </c>
      <c r="AW112" s="9" t="n">
        <v>15.60514549104338</v>
      </c>
      <c r="AX112" s="9" t="n">
        <v>46.38233233664012</v>
      </c>
      <c r="AY112" s="9" t="n">
        <v>0</v>
      </c>
    </row>
    <row r="113">
      <c r="A113" s="9" t="n">
        <v>119</v>
      </c>
      <c r="B113" s="9" t="inlineStr">
        <is>
          <t>РФ143</t>
        </is>
      </c>
      <c r="C113" s="9" t="inlineStr"/>
      <c r="D113" s="9" t="inlineStr">
        <is>
          <t>КОНФЕТЫ ВЕСОВЫЕ</t>
        </is>
      </c>
      <c r="E113" s="9" t="inlineStr">
        <is>
          <t>Федеральный</t>
        </is>
      </c>
      <c r="F113" s="9" t="n">
        <v>5618</v>
      </c>
      <c r="G113" s="9" t="n">
        <v>0</v>
      </c>
      <c r="H113" s="9" t="n">
        <v>1555.07</v>
      </c>
      <c r="I113" s="9" t="n">
        <v>1472.29</v>
      </c>
      <c r="J113" s="9" t="n">
        <v>2241.92</v>
      </c>
      <c r="K113" s="9" t="n">
        <v>0</v>
      </c>
      <c r="L113" s="9" t="n">
        <v>0</v>
      </c>
      <c r="M113" s="9" t="n">
        <v>0</v>
      </c>
      <c r="N113" s="9" t="n">
        <v>340.4717510163967</v>
      </c>
      <c r="O113" s="9" t="n">
        <v>0</v>
      </c>
      <c r="P113" s="9" t="n">
        <v>0</v>
      </c>
      <c r="Q113" s="9" t="n">
        <v>87.43691372634875</v>
      </c>
      <c r="R113" s="9" t="n">
        <v>100.6681770375465</v>
      </c>
      <c r="S113" s="9" t="n">
        <v>0</v>
      </c>
      <c r="T113" s="9" t="n">
        <v>0</v>
      </c>
      <c r="U113" s="9" t="n">
        <v>0</v>
      </c>
      <c r="V113" s="9" t="n">
        <v>916.381099737955</v>
      </c>
      <c r="W113" s="9" t="n">
        <v>0</v>
      </c>
      <c r="X113" s="9" t="n">
        <v>0</v>
      </c>
      <c r="Y113" s="9" t="n">
        <v>193.2081219088411</v>
      </c>
      <c r="Z113" s="9" t="n">
        <v>272.5215028084978</v>
      </c>
      <c r="AA113" s="9" t="n">
        <v>0</v>
      </c>
      <c r="AB113" s="9" t="n">
        <v>0</v>
      </c>
      <c r="AC113" s="9" t="n">
        <v>0</v>
      </c>
      <c r="AD113" s="9" t="n">
        <v>1045.528989692413</v>
      </c>
      <c r="AE113" s="9" t="n">
        <v>0</v>
      </c>
      <c r="AF113" s="9" t="n">
        <v>0</v>
      </c>
      <c r="AG113" s="9" t="n">
        <v>287.735699717763</v>
      </c>
      <c r="AH113" s="9" t="n">
        <v>275.4811510976197</v>
      </c>
      <c r="AI113" s="9" t="n">
        <v>0</v>
      </c>
      <c r="AJ113" s="9" t="n">
        <v>0</v>
      </c>
      <c r="AK113" s="9" t="n">
        <v>0</v>
      </c>
      <c r="AL113" s="9" t="n">
        <v>680.0657049568698</v>
      </c>
      <c r="AM113" s="9" t="n">
        <v>0</v>
      </c>
      <c r="AN113" s="9" t="n">
        <v>0</v>
      </c>
      <c r="AO113" s="9" t="n">
        <v>259.1232281457797</v>
      </c>
      <c r="AP113" s="9" t="n">
        <v>151.8756068158683</v>
      </c>
      <c r="AQ113" s="9" t="n">
        <v>0</v>
      </c>
      <c r="AR113" s="9" t="n">
        <v>0</v>
      </c>
      <c r="AS113" s="9" t="n">
        <v>0</v>
      </c>
      <c r="AT113" s="9" t="n">
        <v>753.1078059712694</v>
      </c>
      <c r="AU113" s="9" t="n">
        <v>0</v>
      </c>
      <c r="AV113" s="9" t="n">
        <v>0</v>
      </c>
      <c r="AW113" s="9" t="n">
        <v>43.71845686317445</v>
      </c>
      <c r="AX113" s="9" t="n">
        <v>17.61535693885491</v>
      </c>
      <c r="AY113" s="9" t="n">
        <v>0</v>
      </c>
    </row>
    <row r="114">
      <c r="A114" s="9" t="n">
        <v>120</v>
      </c>
      <c r="B114" s="9" t="inlineStr">
        <is>
          <t>РФ076</t>
        </is>
      </c>
      <c r="C114" s="9" t="inlineStr"/>
      <c r="D114" s="9" t="inlineStr">
        <is>
          <t>КОНФЕТЫ ВЕСОВЫЕ</t>
        </is>
      </c>
      <c r="E114" s="9" t="inlineStr">
        <is>
          <t>Федеральный</t>
        </is>
      </c>
      <c r="F114" s="9" t="n">
        <v>2484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9" t="n">
        <v>0</v>
      </c>
      <c r="AB114" s="9" t="n">
        <v>0</v>
      </c>
      <c r="AC114" s="9" t="n">
        <v>0</v>
      </c>
      <c r="AD114" s="9" t="n">
        <v>0</v>
      </c>
      <c r="AE114" s="9" t="n">
        <v>0</v>
      </c>
      <c r="AF114" s="9" t="n">
        <v>0</v>
      </c>
      <c r="AG114" s="9" t="n">
        <v>0</v>
      </c>
      <c r="AH114" s="9" t="n">
        <v>0</v>
      </c>
      <c r="AI114" s="9" t="n">
        <v>0</v>
      </c>
      <c r="AJ114" s="9" t="n">
        <v>0</v>
      </c>
      <c r="AK114" s="9" t="n">
        <v>0</v>
      </c>
      <c r="AL114" s="9" t="n">
        <v>0</v>
      </c>
      <c r="AM114" s="9" t="n">
        <v>0</v>
      </c>
      <c r="AN114" s="9" t="n">
        <v>0</v>
      </c>
      <c r="AO114" s="9" t="n">
        <v>0</v>
      </c>
      <c r="AP114" s="9" t="n">
        <v>0</v>
      </c>
      <c r="AQ114" s="9" t="n">
        <v>0</v>
      </c>
      <c r="AR114" s="9" t="n">
        <v>0</v>
      </c>
      <c r="AS114" s="9" t="n">
        <v>0</v>
      </c>
      <c r="AT114" s="9" t="n">
        <v>0</v>
      </c>
      <c r="AU114" s="9" t="n">
        <v>0</v>
      </c>
      <c r="AV114" s="9" t="n">
        <v>0</v>
      </c>
      <c r="AW114" s="9" t="n">
        <v>0</v>
      </c>
      <c r="AX114" s="9" t="n">
        <v>0</v>
      </c>
      <c r="AY114" s="9" t="n">
        <v>0</v>
      </c>
    </row>
    <row r="115">
      <c r="A115" s="9" t="n">
        <v>121</v>
      </c>
      <c r="B115" s="9" t="inlineStr">
        <is>
          <t>РФ097</t>
        </is>
      </c>
      <c r="C115" s="9" t="inlineStr"/>
      <c r="D115" s="9" t="inlineStr">
        <is>
          <t>КОНФЕТЫ ВЕСОВЫЕ</t>
        </is>
      </c>
      <c r="E115" s="9" t="inlineStr">
        <is>
          <t>Федеральный</t>
        </is>
      </c>
      <c r="F115" s="9" t="n">
        <v>82227.5</v>
      </c>
      <c r="G115" s="9" t="n">
        <v>0</v>
      </c>
      <c r="H115" s="9" t="n">
        <v>42285.62</v>
      </c>
      <c r="I115" s="9" t="n">
        <v>23218.08</v>
      </c>
      <c r="J115" s="9" t="n">
        <v>17318.79</v>
      </c>
      <c r="K115" s="9" t="n">
        <v>3774.46</v>
      </c>
      <c r="L115" s="9" t="n">
        <v>23734</v>
      </c>
      <c r="M115" s="9" t="n">
        <v>1819.752831956317</v>
      </c>
      <c r="N115" s="9" t="n">
        <v>1546.146920575787</v>
      </c>
      <c r="O115" s="9" t="n">
        <v>30.3</v>
      </c>
      <c r="P115" s="9" t="n">
        <v>0</v>
      </c>
      <c r="Q115" s="9" t="n">
        <v>243.8863160870223</v>
      </c>
      <c r="R115" s="9" t="n">
        <v>451.0015672322774</v>
      </c>
      <c r="S115" s="9" t="n">
        <v>0</v>
      </c>
      <c r="T115" s="9" t="n">
        <v>14365</v>
      </c>
      <c r="U115" s="9" t="n">
        <v>4611.150835443445</v>
      </c>
      <c r="V115" s="9" t="n">
        <v>3576.148642522654</v>
      </c>
      <c r="W115" s="9" t="n">
        <v>43.8</v>
      </c>
      <c r="X115" s="9" t="n">
        <v>0</v>
      </c>
      <c r="Y115" s="9" t="n">
        <v>538.9121720136823</v>
      </c>
      <c r="Z115" s="9" t="n">
        <v>1882.758030522002</v>
      </c>
      <c r="AA115" s="9" t="n">
        <v>0</v>
      </c>
      <c r="AB115" s="9" t="n">
        <v>9217</v>
      </c>
      <c r="AC115" s="9" t="n">
        <v>4148.539522885974</v>
      </c>
      <c r="AD115" s="9" t="n">
        <v>4188.148848627127</v>
      </c>
      <c r="AE115" s="9" t="n">
        <v>66.59999999999999</v>
      </c>
      <c r="AF115" s="9" t="n">
        <v>0</v>
      </c>
      <c r="AG115" s="9" t="n">
        <v>802.5763584304096</v>
      </c>
      <c r="AH115" s="9" t="n">
        <v>1266.455212428219</v>
      </c>
      <c r="AI115" s="9" t="n">
        <v>0</v>
      </c>
      <c r="AJ115" s="9" t="n">
        <v>9035</v>
      </c>
      <c r="AK115" s="9" t="n">
        <v>4577.553275895502</v>
      </c>
      <c r="AL115" s="9" t="n">
        <v>4181.356554904934</v>
      </c>
      <c r="AM115" s="9" t="n">
        <v>40.95</v>
      </c>
      <c r="AN115" s="9" t="n">
        <v>0</v>
      </c>
      <c r="AO115" s="9" t="n">
        <v>722.7680716503513</v>
      </c>
      <c r="AP115" s="9" t="n">
        <v>853.5220394167919</v>
      </c>
      <c r="AQ115" s="9" t="n">
        <v>0</v>
      </c>
      <c r="AR115" s="9" t="n">
        <v>18035.6</v>
      </c>
      <c r="AS115" s="9" t="n">
        <v>4152.257345890117</v>
      </c>
      <c r="AT115" s="9" t="n">
        <v>3202.928936113784</v>
      </c>
      <c r="AU115" s="9" t="n">
        <v>23.85</v>
      </c>
      <c r="AV115" s="9" t="n">
        <v>0</v>
      </c>
      <c r="AW115" s="9" t="n">
        <v>121.9431580435114</v>
      </c>
      <c r="AX115" s="9" t="n">
        <v>117.3742333168237</v>
      </c>
      <c r="AY115" s="9" t="n">
        <v>0</v>
      </c>
    </row>
    <row r="116">
      <c r="A116" s="9" t="n">
        <v>122</v>
      </c>
      <c r="B116" s="9" t="inlineStr">
        <is>
          <t>РФ176</t>
        </is>
      </c>
      <c r="C116" s="9" t="inlineStr"/>
      <c r="D116" s="9" t="inlineStr">
        <is>
          <t>КОНФЕТЫ ВЕСОВЫЕ</t>
        </is>
      </c>
      <c r="E116" s="9" t="inlineStr">
        <is>
          <t>Федеральный</t>
        </is>
      </c>
      <c r="F116" s="9" t="n">
        <v>61020.478</v>
      </c>
      <c r="G116" s="9" t="n">
        <v>0</v>
      </c>
      <c r="H116" s="9" t="n">
        <v>6120.33</v>
      </c>
      <c r="I116" s="9" t="n">
        <v>20784.66</v>
      </c>
      <c r="J116" s="9" t="n">
        <v>20326.99</v>
      </c>
      <c r="K116" s="9" t="n">
        <v>5449.6</v>
      </c>
      <c r="L116" s="9" t="n">
        <v>5932</v>
      </c>
      <c r="M116" s="9" t="n">
        <v>111.2259441320586</v>
      </c>
      <c r="N116" s="9" t="n">
        <v>3600.627184487555</v>
      </c>
      <c r="O116" s="9" t="n">
        <v>244.2</v>
      </c>
      <c r="P116" s="9" t="n">
        <v>0</v>
      </c>
      <c r="Q116" s="9" t="n">
        <v>117.6855685988485</v>
      </c>
      <c r="R116" s="9" t="n">
        <v>28.72231013433691</v>
      </c>
      <c r="S116" s="9" t="n">
        <v>1.565569141793112</v>
      </c>
      <c r="T116" s="9" t="n">
        <v>8369</v>
      </c>
      <c r="U116" s="9" t="n">
        <v>171.683576811908</v>
      </c>
      <c r="V116" s="9" t="n">
        <v>9014.2265885665</v>
      </c>
      <c r="W116" s="9" t="n">
        <v>302.7</v>
      </c>
      <c r="X116" s="9" t="n">
        <v>0</v>
      </c>
      <c r="Y116" s="9" t="n">
        <v>260.0481503260751</v>
      </c>
      <c r="Z116" s="9" t="n">
        <v>372.2376987664219</v>
      </c>
      <c r="AA116" s="9" t="n">
        <v>3.131138283586227</v>
      </c>
      <c r="AB116" s="9" t="n">
        <v>7616</v>
      </c>
      <c r="AC116" s="9" t="n">
        <v>154.4595111398338</v>
      </c>
      <c r="AD116" s="9" t="n">
        <v>11622.05418763007</v>
      </c>
      <c r="AE116" s="9" t="n">
        <v>401.5</v>
      </c>
      <c r="AF116" s="9" t="n">
        <v>0</v>
      </c>
      <c r="AG116" s="9" t="n">
        <v>387.2773864531793</v>
      </c>
      <c r="AH116" s="9" t="n">
        <v>88.50091750579314</v>
      </c>
      <c r="AI116" s="9" t="n">
        <v>5.009821253737969</v>
      </c>
      <c r="AJ116" s="9" t="n">
        <v>7478</v>
      </c>
      <c r="AK116" s="9" t="n">
        <v>17.06134487338995</v>
      </c>
      <c r="AL116" s="9" t="n">
        <v>11618.26252676489</v>
      </c>
      <c r="AM116" s="9" t="n">
        <v>290.35</v>
      </c>
      <c r="AN116" s="9" t="n">
        <v>0</v>
      </c>
      <c r="AO116" s="9" t="n">
        <v>348.7664779311128</v>
      </c>
      <c r="AP116" s="9" t="n">
        <v>63.75019377404323</v>
      </c>
      <c r="AQ116" s="9" t="n">
        <v>6.953819823382341</v>
      </c>
      <c r="AR116" s="9" t="n">
        <v>12769</v>
      </c>
      <c r="AS116" s="9" t="n">
        <v>15.91456841158933</v>
      </c>
      <c r="AT116" s="9" t="n">
        <v>10505.12487656966</v>
      </c>
      <c r="AU116" s="9" t="n">
        <v>216.25</v>
      </c>
      <c r="AV116" s="9" t="n">
        <v>0</v>
      </c>
      <c r="AW116" s="9" t="n">
        <v>58.84278429942434</v>
      </c>
      <c r="AX116" s="9" t="n">
        <v>20.5304538280903</v>
      </c>
      <c r="AY116" s="9" t="n">
        <v>3.13113828358623</v>
      </c>
    </row>
    <row r="117">
      <c r="A117" s="9" t="n">
        <v>123</v>
      </c>
      <c r="B117" s="9" t="inlineStr">
        <is>
          <t>РФ096</t>
        </is>
      </c>
      <c r="C117" s="9" t="inlineStr"/>
      <c r="D117" s="9" t="inlineStr">
        <is>
          <t>КОНФЕТЫ ВЕСОВЫЕ</t>
        </is>
      </c>
      <c r="E117" s="9" t="inlineStr">
        <is>
          <t>Федеральный</t>
        </is>
      </c>
      <c r="F117" s="9" t="n">
        <v>2111.608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0</v>
      </c>
      <c r="M117" s="9" t="n">
        <v>0</v>
      </c>
      <c r="N117" s="9" t="n">
        <v>0</v>
      </c>
      <c r="O117" s="9" t="n">
        <v>0</v>
      </c>
      <c r="P117" s="9" t="n">
        <v>0</v>
      </c>
      <c r="Q117" s="9" t="n">
        <v>0</v>
      </c>
      <c r="R117" s="9" t="n">
        <v>0</v>
      </c>
      <c r="S117" s="9" t="n">
        <v>0.05482889637993055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</v>
      </c>
      <c r="AA117" s="9" t="n">
        <v>0.1096577927598612</v>
      </c>
      <c r="AB117" s="9" t="n">
        <v>0</v>
      </c>
      <c r="AC117" s="9" t="n">
        <v>0</v>
      </c>
      <c r="AD117" s="9" t="n">
        <v>0</v>
      </c>
      <c r="AE117" s="9" t="n">
        <v>0</v>
      </c>
      <c r="AF117" s="9" t="n">
        <v>0</v>
      </c>
      <c r="AG117" s="9" t="n">
        <v>0</v>
      </c>
      <c r="AH117" s="9" t="n">
        <v>0</v>
      </c>
      <c r="AI117" s="9" t="n">
        <v>0.1754524684157781</v>
      </c>
      <c r="AJ117" s="9" t="n">
        <v>0</v>
      </c>
      <c r="AK117" s="9" t="n">
        <v>0</v>
      </c>
      <c r="AL117" s="9" t="n">
        <v>0</v>
      </c>
      <c r="AM117" s="9" t="n">
        <v>0</v>
      </c>
      <c r="AN117" s="9" t="n">
        <v>0</v>
      </c>
      <c r="AO117" s="9" t="n">
        <v>0</v>
      </c>
      <c r="AP117" s="9" t="n">
        <v>0</v>
      </c>
      <c r="AQ117" s="9" t="n">
        <v>0.2435346075512528</v>
      </c>
      <c r="AR117" s="9" t="n">
        <v>0</v>
      </c>
      <c r="AS117" s="9" t="n">
        <v>0</v>
      </c>
      <c r="AT117" s="9" t="n">
        <v>0</v>
      </c>
      <c r="AU117" s="9" t="n">
        <v>0</v>
      </c>
      <c r="AV117" s="9" t="n">
        <v>0</v>
      </c>
      <c r="AW117" s="9" t="n">
        <v>0</v>
      </c>
      <c r="AX117" s="9" t="n">
        <v>0</v>
      </c>
      <c r="AY117" s="9" t="n">
        <v>0.1096577927598613</v>
      </c>
    </row>
    <row r="118">
      <c r="A118" s="9" t="n">
        <v>124</v>
      </c>
      <c r="B118" s="9" t="inlineStr">
        <is>
          <t>РФ143</t>
        </is>
      </c>
      <c r="C118" s="9" t="inlineStr"/>
      <c r="D118" s="9" t="inlineStr">
        <is>
          <t>КОНФЕТЫ ВЕСОВЫЕ</t>
        </is>
      </c>
      <c r="E118" s="9" t="inlineStr">
        <is>
          <t>Федеральный</t>
        </is>
      </c>
      <c r="F118" s="9" t="n">
        <v>42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0</v>
      </c>
      <c r="O118" s="9" t="n">
        <v>0</v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9" t="n">
        <v>0</v>
      </c>
      <c r="Y118" s="9" t="n">
        <v>0</v>
      </c>
      <c r="Z118" s="9" t="n">
        <v>0</v>
      </c>
      <c r="AA118" s="9" t="n">
        <v>0</v>
      </c>
      <c r="AB118" s="9" t="n">
        <v>0</v>
      </c>
      <c r="AC118" s="9" t="n">
        <v>0</v>
      </c>
      <c r="AD118" s="9" t="n">
        <v>0</v>
      </c>
      <c r="AE118" s="9" t="n">
        <v>0</v>
      </c>
      <c r="AF118" s="9" t="n">
        <v>0</v>
      </c>
      <c r="AG118" s="9" t="n">
        <v>0</v>
      </c>
      <c r="AH118" s="9" t="n">
        <v>0</v>
      </c>
      <c r="AI118" s="9" t="n">
        <v>0</v>
      </c>
      <c r="AJ118" s="9" t="n">
        <v>0</v>
      </c>
      <c r="AK118" s="9" t="n">
        <v>0</v>
      </c>
      <c r="AL118" s="9" t="n">
        <v>0</v>
      </c>
      <c r="AM118" s="9" t="n">
        <v>0</v>
      </c>
      <c r="AN118" s="9" t="n">
        <v>0</v>
      </c>
      <c r="AO118" s="9" t="n">
        <v>0</v>
      </c>
      <c r="AP118" s="9" t="n">
        <v>0</v>
      </c>
      <c r="AQ118" s="9" t="n">
        <v>0</v>
      </c>
      <c r="AR118" s="9" t="n">
        <v>0</v>
      </c>
      <c r="AS118" s="9" t="n">
        <v>0</v>
      </c>
      <c r="AT118" s="9" t="n">
        <v>0</v>
      </c>
      <c r="AU118" s="9" t="n">
        <v>0</v>
      </c>
      <c r="AV118" s="9" t="n">
        <v>0</v>
      </c>
      <c r="AW118" s="9" t="n">
        <v>0</v>
      </c>
      <c r="AX118" s="9" t="n">
        <v>0</v>
      </c>
      <c r="AY118" s="9" t="n">
        <v>0</v>
      </c>
    </row>
    <row r="119">
      <c r="A119" s="9" t="n">
        <v>125</v>
      </c>
      <c r="B119" s="9" t="inlineStr">
        <is>
          <t>РФ176</t>
        </is>
      </c>
      <c r="C119" s="9" t="inlineStr"/>
      <c r="D119" s="9" t="inlineStr">
        <is>
          <t>КОНФЕТЫ ВЕСОВЫЕ</t>
        </is>
      </c>
      <c r="E119" s="9" t="inlineStr">
        <is>
          <t>Федеральный</t>
        </is>
      </c>
      <c r="F119" s="9" t="n">
        <v>45678.42399999999</v>
      </c>
      <c r="G119" s="9" t="n">
        <v>0</v>
      </c>
      <c r="H119" s="9" t="n">
        <v>9729.34</v>
      </c>
      <c r="I119" s="9" t="n">
        <v>20024.01</v>
      </c>
      <c r="J119" s="9" t="n">
        <v>13103.6</v>
      </c>
      <c r="K119" s="9" t="n">
        <v>0</v>
      </c>
      <c r="L119" s="9" t="n">
        <v>3316</v>
      </c>
      <c r="M119" s="9" t="n">
        <v>36.35923101233102</v>
      </c>
      <c r="N119" s="9" t="n">
        <v>3981.45304256389</v>
      </c>
      <c r="O119" s="9" t="n">
        <v>266.6</v>
      </c>
      <c r="P119" s="9" t="n">
        <v>0</v>
      </c>
      <c r="Q119" s="9" t="n">
        <v>88.00798356756322</v>
      </c>
      <c r="R119" s="9" t="n">
        <v>21.87221943284233</v>
      </c>
      <c r="S119" s="9" t="n">
        <v>0.627047031732559</v>
      </c>
      <c r="T119" s="9" t="n">
        <v>1055</v>
      </c>
      <c r="U119" s="9" t="n">
        <v>92.13223659520368</v>
      </c>
      <c r="V119" s="9" t="n">
        <v>10455.13185778238</v>
      </c>
      <c r="W119" s="9" t="n">
        <v>379.1</v>
      </c>
      <c r="X119" s="9" t="n">
        <v>0</v>
      </c>
      <c r="Y119" s="9" t="n">
        <v>194.4700069273945</v>
      </c>
      <c r="Z119" s="9" t="n">
        <v>66.6699525954983</v>
      </c>
      <c r="AA119" s="9" t="n">
        <v>1.254094063465119</v>
      </c>
      <c r="AB119" s="9" t="n">
        <v>1012</v>
      </c>
      <c r="AC119" s="9" t="n">
        <v>82.88911781180703</v>
      </c>
      <c r="AD119" s="9" t="n">
        <v>15683.55740292365</v>
      </c>
      <c r="AE119" s="9" t="n">
        <v>569.1</v>
      </c>
      <c r="AF119" s="9" t="n">
        <v>0</v>
      </c>
      <c r="AG119" s="9" t="n">
        <v>289.6149652744571</v>
      </c>
      <c r="AH119" s="9" t="n">
        <v>67.39400412575039</v>
      </c>
      <c r="AI119" s="9" t="n">
        <v>2.006550501544193</v>
      </c>
      <c r="AJ119" s="9" t="n">
        <v>1227</v>
      </c>
      <c r="AK119" s="9" t="n">
        <v>88.51320004770785</v>
      </c>
      <c r="AL119" s="9" t="n">
        <v>15685.4524502311</v>
      </c>
      <c r="AM119" s="9" t="n">
        <v>355.35</v>
      </c>
      <c r="AN119" s="9" t="n">
        <v>0</v>
      </c>
      <c r="AO119" s="9" t="n">
        <v>260.815619316119</v>
      </c>
      <c r="AP119" s="9" t="n">
        <v>48.54617266475258</v>
      </c>
      <c r="AQ119" s="9" t="n">
        <v>2.785167363774689</v>
      </c>
      <c r="AR119" s="9" t="n">
        <v>656</v>
      </c>
      <c r="AS119" s="9" t="n">
        <v>82.56379482047548</v>
      </c>
      <c r="AT119" s="9" t="n">
        <v>12320.63993427043</v>
      </c>
      <c r="AU119" s="9" t="n">
        <v>212.85</v>
      </c>
      <c r="AV119" s="9" t="n">
        <v>0</v>
      </c>
      <c r="AW119" s="9" t="n">
        <v>44.00399178378169</v>
      </c>
      <c r="AX119" s="9" t="n">
        <v>15.63406944231144</v>
      </c>
      <c r="AY119" s="9" t="n">
        <v>1.254094063465121</v>
      </c>
    </row>
    <row r="120">
      <c r="A120" s="9" t="n">
        <v>126</v>
      </c>
      <c r="B120" s="9" t="inlineStr">
        <is>
          <t>РФ097</t>
        </is>
      </c>
      <c r="C120" s="9" t="inlineStr"/>
      <c r="D120" s="9" t="inlineStr">
        <is>
          <t>КОНФЕТЫ ВЕСОВЫЕ</t>
        </is>
      </c>
      <c r="E120" s="9" t="inlineStr">
        <is>
          <t>Федеральный</t>
        </is>
      </c>
      <c r="F120" s="9" t="n">
        <v>27854.75</v>
      </c>
      <c r="G120" s="9" t="n">
        <v>0</v>
      </c>
      <c r="H120" s="9" t="n">
        <v>17241.22</v>
      </c>
      <c r="I120" s="9" t="n">
        <v>14118.43</v>
      </c>
      <c r="J120" s="9" t="n">
        <v>9661.719999999999</v>
      </c>
      <c r="K120" s="9" t="n">
        <v>7235.88</v>
      </c>
      <c r="L120" s="9" t="n">
        <v>3860</v>
      </c>
      <c r="M120" s="9" t="n">
        <v>1134.541295951538</v>
      </c>
      <c r="N120" s="9" t="n">
        <v>1632.004647632309</v>
      </c>
      <c r="O120" s="9" t="n">
        <v>14.3</v>
      </c>
      <c r="P120" s="9" t="n">
        <v>0</v>
      </c>
      <c r="Q120" s="9" t="n">
        <v>25.87829370293947</v>
      </c>
      <c r="R120" s="9" t="n">
        <v>216.4583666116439</v>
      </c>
      <c r="S120" s="9" t="n">
        <v>0</v>
      </c>
      <c r="T120" s="9" t="n">
        <v>5135</v>
      </c>
      <c r="U120" s="9" t="n">
        <v>2874.863526959251</v>
      </c>
      <c r="V120" s="9" t="n">
        <v>3732.73721183264</v>
      </c>
      <c r="W120" s="9" t="n">
        <v>18.8</v>
      </c>
      <c r="X120" s="9" t="n">
        <v>0</v>
      </c>
      <c r="Y120" s="9" t="n">
        <v>57.18290263764909</v>
      </c>
      <c r="Z120" s="9" t="n">
        <v>798.2324618344363</v>
      </c>
      <c r="AA120" s="9" t="n">
        <v>0</v>
      </c>
      <c r="AB120" s="9" t="n">
        <v>1089</v>
      </c>
      <c r="AC120" s="9" t="n">
        <v>2586.444336806622</v>
      </c>
      <c r="AD120" s="9" t="n">
        <v>4157.536531199064</v>
      </c>
      <c r="AE120" s="9" t="n">
        <v>26.4</v>
      </c>
      <c r="AF120" s="9" t="n">
        <v>0</v>
      </c>
      <c r="AG120" s="9" t="n">
        <v>85.15978696847822</v>
      </c>
      <c r="AH120" s="9" t="n">
        <v>501.0577830764138</v>
      </c>
      <c r="AI120" s="9" t="n">
        <v>0</v>
      </c>
      <c r="AJ120" s="9" t="n">
        <v>1085</v>
      </c>
      <c r="AK120" s="9" t="n">
        <v>2781.936319744682</v>
      </c>
      <c r="AL120" s="9" t="n">
        <v>4161.002360697848</v>
      </c>
      <c r="AM120" s="9" t="n">
        <v>17.85</v>
      </c>
      <c r="AN120" s="9" t="n">
        <v>0</v>
      </c>
      <c r="AO120" s="9" t="n">
        <v>76.69148781025139</v>
      </c>
      <c r="AP120" s="9" t="n">
        <v>120.3492532066028</v>
      </c>
      <c r="AQ120" s="9" t="n">
        <v>0</v>
      </c>
      <c r="AR120" s="9" t="n">
        <v>5425</v>
      </c>
      <c r="AS120" s="9" t="n">
        <v>2596.293066883919</v>
      </c>
      <c r="AT120" s="9" t="n">
        <v>3098.954484009043</v>
      </c>
      <c r="AU120" s="9" t="n">
        <v>12.15</v>
      </c>
      <c r="AV120" s="9" t="n">
        <v>0</v>
      </c>
      <c r="AW120" s="9" t="n">
        <v>12.93914685146976</v>
      </c>
      <c r="AX120" s="9" t="n">
        <v>27.41728536560699</v>
      </c>
      <c r="AY120" s="9" t="n">
        <v>0</v>
      </c>
    </row>
    <row r="121">
      <c r="A121" s="9" t="n">
        <v>127</v>
      </c>
      <c r="B121" s="9" t="inlineStr">
        <is>
          <t>РФ096</t>
        </is>
      </c>
      <c r="C121" s="9" t="inlineStr"/>
      <c r="D121" s="9" t="inlineStr">
        <is>
          <t>КОНФЕТЫ ВЕСОВЫЕ</t>
        </is>
      </c>
      <c r="E121" s="9" t="inlineStr">
        <is>
          <t>Федеральный</t>
        </is>
      </c>
      <c r="F121" s="9" t="n">
        <v>6110.700000000001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0</v>
      </c>
      <c r="L121" s="9" t="n">
        <v>0</v>
      </c>
      <c r="M121" s="9" t="n">
        <v>0</v>
      </c>
      <c r="N121" s="9" t="n">
        <v>0</v>
      </c>
      <c r="O121" s="9" t="n">
        <v>0</v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0</v>
      </c>
      <c r="AA121" s="9" t="n">
        <v>0</v>
      </c>
      <c r="AB121" s="9" t="n">
        <v>0</v>
      </c>
      <c r="AC121" s="9" t="n">
        <v>0</v>
      </c>
      <c r="AD121" s="9" t="n">
        <v>0</v>
      </c>
      <c r="AE121" s="9" t="n">
        <v>0</v>
      </c>
      <c r="AF121" s="9" t="n">
        <v>0</v>
      </c>
      <c r="AG121" s="9" t="n">
        <v>0</v>
      </c>
      <c r="AH121" s="9" t="n">
        <v>0</v>
      </c>
      <c r="AI121" s="9" t="n">
        <v>0</v>
      </c>
      <c r="AJ121" s="9" t="n">
        <v>0</v>
      </c>
      <c r="AK121" s="9" t="n">
        <v>0</v>
      </c>
      <c r="AL121" s="9" t="n">
        <v>0</v>
      </c>
      <c r="AM121" s="9" t="n">
        <v>0</v>
      </c>
      <c r="AN121" s="9" t="n">
        <v>0</v>
      </c>
      <c r="AO121" s="9" t="n">
        <v>0</v>
      </c>
      <c r="AP121" s="9" t="n">
        <v>0</v>
      </c>
      <c r="AQ121" s="9" t="n">
        <v>0</v>
      </c>
      <c r="AR121" s="9" t="n">
        <v>0</v>
      </c>
      <c r="AS121" s="9" t="n">
        <v>0</v>
      </c>
      <c r="AT121" s="9" t="n">
        <v>0</v>
      </c>
      <c r="AU121" s="9" t="n">
        <v>0</v>
      </c>
      <c r="AV121" s="9" t="n">
        <v>0</v>
      </c>
      <c r="AW121" s="9" t="n">
        <v>0</v>
      </c>
      <c r="AX121" s="9" t="n">
        <v>0</v>
      </c>
      <c r="AY121" s="9" t="n">
        <v>0</v>
      </c>
    </row>
    <row r="122">
      <c r="A122" s="9" t="n">
        <v>128</v>
      </c>
      <c r="B122" s="9" t="inlineStr">
        <is>
          <t>РФ154</t>
        </is>
      </c>
      <c r="C122" s="9" t="inlineStr"/>
      <c r="D122" s="9" t="inlineStr">
        <is>
          <t>КОНФЕТЫ ВЕСОВЫЕ</t>
        </is>
      </c>
      <c r="E122" s="9" t="inlineStr">
        <is>
          <t>Федеральный</t>
        </is>
      </c>
      <c r="F122" s="9" t="n">
        <v>146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0</v>
      </c>
      <c r="Y122" s="9" t="n">
        <v>0</v>
      </c>
      <c r="Z122" s="9" t="n">
        <v>0</v>
      </c>
      <c r="AA122" s="9" t="n">
        <v>0</v>
      </c>
      <c r="AB122" s="9" t="n">
        <v>0</v>
      </c>
      <c r="AC122" s="9" t="n">
        <v>0</v>
      </c>
      <c r="AD122" s="9" t="n">
        <v>0</v>
      </c>
      <c r="AE122" s="9" t="n">
        <v>0</v>
      </c>
      <c r="AF122" s="9" t="n">
        <v>0</v>
      </c>
      <c r="AG122" s="9" t="n">
        <v>0</v>
      </c>
      <c r="AH122" s="9" t="n">
        <v>0</v>
      </c>
      <c r="AI122" s="9" t="n">
        <v>0</v>
      </c>
      <c r="AJ122" s="9" t="n">
        <v>0</v>
      </c>
      <c r="AK122" s="9" t="n">
        <v>0</v>
      </c>
      <c r="AL122" s="9" t="n">
        <v>0</v>
      </c>
      <c r="AM122" s="9" t="n">
        <v>0</v>
      </c>
      <c r="AN122" s="9" t="n">
        <v>0</v>
      </c>
      <c r="AO122" s="9" t="n">
        <v>0</v>
      </c>
      <c r="AP122" s="9" t="n">
        <v>0</v>
      </c>
      <c r="AQ122" s="9" t="n">
        <v>0</v>
      </c>
      <c r="AR122" s="9" t="n">
        <v>0</v>
      </c>
      <c r="AS122" s="9" t="n">
        <v>0</v>
      </c>
      <c r="AT122" s="9" t="n">
        <v>0</v>
      </c>
      <c r="AU122" s="9" t="n">
        <v>0</v>
      </c>
      <c r="AV122" s="9" t="n">
        <v>0</v>
      </c>
      <c r="AW122" s="9" t="n">
        <v>0</v>
      </c>
      <c r="AX122" s="9" t="n">
        <v>0</v>
      </c>
      <c r="AY122" s="9" t="n">
        <v>0</v>
      </c>
    </row>
    <row r="123">
      <c r="A123" s="9" t="n">
        <v>129</v>
      </c>
      <c r="B123" s="9" t="inlineStr">
        <is>
          <t>РФ191</t>
        </is>
      </c>
      <c r="C123" s="9" t="inlineStr"/>
      <c r="D123" s="9" t="inlineStr">
        <is>
          <t>КОНФЕТЫ ВЕСОВЫЕ</t>
        </is>
      </c>
      <c r="E123" s="9" t="inlineStr">
        <is>
          <t>Федеральный</t>
        </is>
      </c>
      <c r="F123" s="9" t="n">
        <v>23923.317</v>
      </c>
      <c r="G123" s="9" t="n">
        <v>4620</v>
      </c>
      <c r="H123" s="9" t="n">
        <v>9926.450000000001</v>
      </c>
      <c r="I123" s="9" t="n">
        <v>14691.68</v>
      </c>
      <c r="J123" s="9" t="n">
        <v>16264.97</v>
      </c>
      <c r="K123" s="9" t="n">
        <v>3236.1</v>
      </c>
      <c r="L123" s="9" t="n">
        <v>1394</v>
      </c>
      <c r="M123" s="9" t="n">
        <v>118.315167415523</v>
      </c>
      <c r="N123" s="9" t="n">
        <v>1264.535800270297</v>
      </c>
      <c r="O123" s="9" t="n">
        <v>1267.8</v>
      </c>
      <c r="P123" s="9" t="n">
        <v>0</v>
      </c>
      <c r="Q123" s="9" t="n">
        <v>88.96426267967037</v>
      </c>
      <c r="R123" s="9" t="n">
        <v>0</v>
      </c>
      <c r="S123" s="9" t="n">
        <v>0.1032464063525737</v>
      </c>
      <c r="T123" s="9" t="n">
        <v>2426</v>
      </c>
      <c r="U123" s="9" t="n">
        <v>269.1250780895796</v>
      </c>
      <c r="V123" s="9" t="n">
        <v>3835.910813729572</v>
      </c>
      <c r="W123" s="9" t="n">
        <v>1362.3</v>
      </c>
      <c r="X123" s="9" t="n">
        <v>0</v>
      </c>
      <c r="Y123" s="9" t="n">
        <v>196.5830834690612</v>
      </c>
      <c r="Z123" s="9" t="n">
        <v>0</v>
      </c>
      <c r="AA123" s="9" t="n">
        <v>0.2064928127051476</v>
      </c>
      <c r="AB123" s="9" t="n">
        <v>713</v>
      </c>
      <c r="AC123" s="9" t="n">
        <v>244.1317340245465</v>
      </c>
      <c r="AD123" s="9" t="n">
        <v>5258.011934697024</v>
      </c>
      <c r="AE123" s="9" t="n">
        <v>1521.9</v>
      </c>
      <c r="AF123" s="9" t="n">
        <v>0</v>
      </c>
      <c r="AG123" s="9" t="n">
        <v>292.7618700280808</v>
      </c>
      <c r="AH123" s="9" t="n">
        <v>0</v>
      </c>
      <c r="AI123" s="9" t="n">
        <v>0.3303885003282365</v>
      </c>
      <c r="AJ123" s="9" t="n">
        <v>435</v>
      </c>
      <c r="AK123" s="9" t="n">
        <v>259.3392224995843</v>
      </c>
      <c r="AL123" s="9" t="n">
        <v>5240.504599606165</v>
      </c>
      <c r="AM123" s="9" t="n">
        <v>1342.35</v>
      </c>
      <c r="AN123" s="9" t="n">
        <v>0</v>
      </c>
      <c r="AO123" s="9" t="n">
        <v>263.6495954936532</v>
      </c>
      <c r="AP123" s="9" t="n">
        <v>0</v>
      </c>
      <c r="AQ123" s="9" t="n">
        <v>0.4585916316447124</v>
      </c>
      <c r="AR123" s="9" t="n">
        <v>913</v>
      </c>
      <c r="AS123" s="9" t="n">
        <v>243.2520623850107</v>
      </c>
      <c r="AT123" s="9" t="n">
        <v>5115.51424351033</v>
      </c>
      <c r="AU123" s="9" t="n">
        <v>1222.65</v>
      </c>
      <c r="AV123" s="9" t="n">
        <v>0</v>
      </c>
      <c r="AW123" s="9" t="n">
        <v>44.48213133983527</v>
      </c>
      <c r="AX123" s="9" t="n">
        <v>0</v>
      </c>
      <c r="AY123" s="9" t="n">
        <v>0.2064928127051478</v>
      </c>
    </row>
    <row r="124">
      <c r="A124" s="9" t="n">
        <v>130</v>
      </c>
      <c r="B124" s="9" t="inlineStr">
        <is>
          <t>РФ191</t>
        </is>
      </c>
      <c r="C124" s="9" t="inlineStr"/>
      <c r="D124" s="9" t="inlineStr">
        <is>
          <t>КОНФЕТЫ ВЕСОВЫЕ</t>
        </is>
      </c>
      <c r="E124" s="9" t="inlineStr">
        <is>
          <t>Федеральный</t>
        </is>
      </c>
      <c r="F124" s="9" t="n">
        <v>14105</v>
      </c>
      <c r="G124" s="9" t="n">
        <v>0</v>
      </c>
      <c r="H124" s="9" t="n">
        <v>7384.565000000001</v>
      </c>
      <c r="I124" s="9" t="n">
        <v>6880.53</v>
      </c>
      <c r="J124" s="9" t="n">
        <v>5770.38</v>
      </c>
      <c r="K124" s="9" t="n">
        <v>3436.84</v>
      </c>
      <c r="L124" s="9" t="n">
        <v>3444</v>
      </c>
      <c r="M124" s="9" t="n">
        <v>238.7375886816795</v>
      </c>
      <c r="N124" s="9" t="n">
        <v>278.0923352449124</v>
      </c>
      <c r="O124" s="9" t="n">
        <v>45</v>
      </c>
      <c r="P124" s="9" t="n">
        <v>0</v>
      </c>
      <c r="Q124" s="9" t="n">
        <v>37.95587438155577</v>
      </c>
      <c r="R124" s="9" t="n">
        <v>150.6259000869726</v>
      </c>
      <c r="S124" s="9" t="n">
        <v>0</v>
      </c>
      <c r="T124" s="9" t="n">
        <v>5403</v>
      </c>
      <c r="U124" s="9" t="n">
        <v>604.9475578053149</v>
      </c>
      <c r="V124" s="9" t="n">
        <v>762.9968161493588</v>
      </c>
      <c r="W124" s="9" t="n">
        <v>85.49999999999999</v>
      </c>
      <c r="X124" s="9" t="n">
        <v>0</v>
      </c>
      <c r="Y124" s="9" t="n">
        <v>83.8705632682733</v>
      </c>
      <c r="Z124" s="9" t="n">
        <v>369.0012214626672</v>
      </c>
      <c r="AA124" s="9" t="n">
        <v>0</v>
      </c>
      <c r="AB124" s="9" t="n">
        <v>3474</v>
      </c>
      <c r="AC124" s="9" t="n">
        <v>544.2565082751948</v>
      </c>
      <c r="AD124" s="9" t="n">
        <v>968.3005982064948</v>
      </c>
      <c r="AE124" s="9" t="n">
        <v>153.9</v>
      </c>
      <c r="AF124" s="9" t="n">
        <v>0</v>
      </c>
      <c r="AG124" s="9" t="n">
        <v>124.9044552024872</v>
      </c>
      <c r="AH124" s="9" t="n">
        <v>379.037755684134</v>
      </c>
      <c r="AI124" s="9" t="n">
        <v>0</v>
      </c>
      <c r="AJ124" s="9" t="n">
        <v>1053</v>
      </c>
      <c r="AK124" s="9" t="n">
        <v>600.3274276199037</v>
      </c>
      <c r="AL124" s="9" t="n">
        <v>949.365056251404</v>
      </c>
      <c r="AM124" s="9" t="n">
        <v>76.94999999999999</v>
      </c>
      <c r="AN124" s="9" t="n">
        <v>0</v>
      </c>
      <c r="AO124" s="9" t="n">
        <v>112.4839415950316</v>
      </c>
      <c r="AP124" s="9" t="n">
        <v>202.6916830244007</v>
      </c>
      <c r="AQ124" s="9" t="n">
        <v>0</v>
      </c>
      <c r="AR124" s="9" t="n">
        <v>1679</v>
      </c>
      <c r="AS124" s="9" t="n">
        <v>559.9764840995275</v>
      </c>
      <c r="AT124" s="9" t="n">
        <v>911.3699733180467</v>
      </c>
      <c r="AU124" s="9" t="n">
        <v>25.65</v>
      </c>
      <c r="AV124" s="9" t="n">
        <v>0</v>
      </c>
      <c r="AW124" s="9" t="n">
        <v>18.97793719077792</v>
      </c>
      <c r="AX124" s="9" t="n">
        <v>25.92490699902172</v>
      </c>
      <c r="AY124" s="9" t="n">
        <v>0</v>
      </c>
    </row>
    <row r="125">
      <c r="A125" s="9" t="n">
        <v>131</v>
      </c>
      <c r="B125" s="9" t="inlineStr">
        <is>
          <t>РФ191</t>
        </is>
      </c>
      <c r="C125" s="9" t="inlineStr"/>
      <c r="D125" s="9" t="inlineStr">
        <is>
          <t>КОНФЕТЫ ВЕСОВЫЕ</t>
        </is>
      </c>
      <c r="E125" s="9" t="inlineStr">
        <is>
          <t>Федеральный</t>
        </is>
      </c>
      <c r="F125" s="9" t="n">
        <v>1340</v>
      </c>
      <c r="G125" s="9" t="n">
        <v>0</v>
      </c>
      <c r="H125" s="9" t="n">
        <v>6178.985</v>
      </c>
      <c r="I125" s="9" t="n">
        <v>937.13</v>
      </c>
      <c r="J125" s="9" t="n">
        <v>915.48</v>
      </c>
      <c r="K125" s="9" t="n">
        <v>0</v>
      </c>
      <c r="L125" s="9" t="n">
        <v>0</v>
      </c>
      <c r="M125" s="9" t="n">
        <v>0</v>
      </c>
      <c r="N125" s="9" t="n">
        <v>166.064170981381</v>
      </c>
      <c r="O125" s="9" t="n">
        <v>0</v>
      </c>
      <c r="P125" s="9" t="n">
        <v>0</v>
      </c>
      <c r="Q125" s="9" t="n">
        <v>0.2899579201596718</v>
      </c>
      <c r="R125" s="9" t="n">
        <v>31.73531422672967</v>
      </c>
      <c r="S125" s="9" t="n">
        <v>0</v>
      </c>
      <c r="T125" s="9" t="n">
        <v>0</v>
      </c>
      <c r="U125" s="9" t="n">
        <v>0</v>
      </c>
      <c r="V125" s="9" t="n">
        <v>477.144290232149</v>
      </c>
      <c r="W125" s="9" t="n">
        <v>0</v>
      </c>
      <c r="X125" s="9" t="n">
        <v>0</v>
      </c>
      <c r="Y125" s="9" t="n">
        <v>0.6407159493526566</v>
      </c>
      <c r="Z125" s="9" t="n">
        <v>82.40321698982095</v>
      </c>
      <c r="AA125" s="9" t="n">
        <v>0</v>
      </c>
      <c r="AB125" s="9" t="n">
        <v>0</v>
      </c>
      <c r="AC125" s="9" t="n">
        <v>0</v>
      </c>
      <c r="AD125" s="9" t="n">
        <v>681.0318396137277</v>
      </c>
      <c r="AE125" s="9" t="n">
        <v>0</v>
      </c>
      <c r="AF125" s="9" t="n">
        <v>0</v>
      </c>
      <c r="AG125" s="9" t="n">
        <v>0.9541878994833363</v>
      </c>
      <c r="AH125" s="9" t="n">
        <v>83.29813551063008</v>
      </c>
      <c r="AI125" s="9" t="n">
        <v>0</v>
      </c>
      <c r="AJ125" s="9" t="n">
        <v>0</v>
      </c>
      <c r="AK125" s="9" t="n">
        <v>0</v>
      </c>
      <c r="AL125" s="9" t="n">
        <v>614.1427893722901</v>
      </c>
      <c r="AM125" s="9" t="n">
        <v>0</v>
      </c>
      <c r="AN125" s="9" t="n">
        <v>0</v>
      </c>
      <c r="AO125" s="9" t="n">
        <v>0.859303343360904</v>
      </c>
      <c r="AP125" s="9" t="n">
        <v>40.00163636323565</v>
      </c>
      <c r="AQ125" s="9" t="n">
        <v>0</v>
      </c>
      <c r="AR125" s="9" t="n">
        <v>0</v>
      </c>
      <c r="AS125" s="9" t="n">
        <v>0</v>
      </c>
      <c r="AT125" s="9" t="n">
        <v>641.9424089174648</v>
      </c>
      <c r="AU125" s="9" t="n">
        <v>0</v>
      </c>
      <c r="AV125" s="9" t="n">
        <v>0</v>
      </c>
      <c r="AW125" s="9" t="n">
        <v>0.1449789600798361</v>
      </c>
      <c r="AX125" s="9" t="n">
        <v>0</v>
      </c>
      <c r="AY125" s="9" t="n">
        <v>0</v>
      </c>
    </row>
    <row r="126">
      <c r="A126" s="9" t="n">
        <v>132</v>
      </c>
      <c r="B126" s="9" t="inlineStr">
        <is>
          <t>РФ190</t>
        </is>
      </c>
      <c r="C126" s="9" t="inlineStr"/>
      <c r="D126" s="9" t="inlineStr">
        <is>
          <t>КОНФЕТЫ ВЕСОВЫЕ</t>
        </is>
      </c>
      <c r="E126" s="9" t="inlineStr">
        <is>
          <t>Федеральный</t>
        </is>
      </c>
      <c r="F126" s="9" t="n">
        <v>4260</v>
      </c>
      <c r="G126" s="9" t="n">
        <v>300</v>
      </c>
      <c r="H126" s="9" t="n">
        <v>1284</v>
      </c>
      <c r="I126" s="9" t="n">
        <v>0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9" t="n">
        <v>0</v>
      </c>
      <c r="Y126" s="9" t="n">
        <v>0</v>
      </c>
      <c r="Z126" s="9" t="n">
        <v>0</v>
      </c>
      <c r="AA126" s="9" t="n">
        <v>0</v>
      </c>
      <c r="AB126" s="9" t="n">
        <v>0</v>
      </c>
      <c r="AC126" s="9" t="n">
        <v>0</v>
      </c>
      <c r="AD126" s="9" t="n">
        <v>0</v>
      </c>
      <c r="AE126" s="9" t="n">
        <v>0</v>
      </c>
      <c r="AF126" s="9" t="n">
        <v>0</v>
      </c>
      <c r="AG126" s="9" t="n">
        <v>0</v>
      </c>
      <c r="AH126" s="9" t="n">
        <v>0</v>
      </c>
      <c r="AI126" s="9" t="n">
        <v>0</v>
      </c>
      <c r="AJ126" s="9" t="n">
        <v>0</v>
      </c>
      <c r="AK126" s="9" t="n">
        <v>0</v>
      </c>
      <c r="AL126" s="9" t="n">
        <v>0</v>
      </c>
      <c r="AM126" s="9" t="n">
        <v>0</v>
      </c>
      <c r="AN126" s="9" t="n">
        <v>0</v>
      </c>
      <c r="AO126" s="9" t="n">
        <v>0</v>
      </c>
      <c r="AP126" s="9" t="n">
        <v>0</v>
      </c>
      <c r="AQ126" s="9" t="n">
        <v>0</v>
      </c>
      <c r="AR126" s="9" t="n">
        <v>0</v>
      </c>
      <c r="AS126" s="9" t="n">
        <v>0</v>
      </c>
      <c r="AT126" s="9" t="n">
        <v>0</v>
      </c>
      <c r="AU126" s="9" t="n">
        <v>0</v>
      </c>
      <c r="AV126" s="9" t="n">
        <v>0</v>
      </c>
      <c r="AW126" s="9" t="n">
        <v>0</v>
      </c>
      <c r="AX126" s="9" t="n">
        <v>0</v>
      </c>
      <c r="AY126" s="9" t="n">
        <v>0</v>
      </c>
    </row>
    <row r="127">
      <c r="A127" s="9" t="n">
        <v>133</v>
      </c>
      <c r="B127" s="9" t="inlineStr">
        <is>
          <t>КО176</t>
        </is>
      </c>
      <c r="C127" s="9" t="inlineStr"/>
      <c r="D127" s="9" t="inlineStr">
        <is>
          <t>КОНФЕТЫ ВЕСОВЫЕ</t>
        </is>
      </c>
      <c r="E127" s="9" t="inlineStr">
        <is>
          <t>Федеральный</t>
        </is>
      </c>
      <c r="F127" s="9" t="n">
        <v>157303.215</v>
      </c>
      <c r="G127" s="9" t="n">
        <v>43052</v>
      </c>
      <c r="H127" s="9" t="n">
        <v>52813.09</v>
      </c>
      <c r="I127" s="9" t="n">
        <v>68656.97</v>
      </c>
      <c r="J127" s="9" t="n">
        <v>69926.44</v>
      </c>
      <c r="K127" s="9" t="n">
        <v>30320.73</v>
      </c>
      <c r="L127" s="9" t="n">
        <v>40708</v>
      </c>
      <c r="M127" s="9" t="n">
        <v>1523.133344592004</v>
      </c>
      <c r="N127" s="9" t="n">
        <v>10320.07426173112</v>
      </c>
      <c r="O127" s="9" t="n">
        <v>1389</v>
      </c>
      <c r="P127" s="9" t="n">
        <v>0</v>
      </c>
      <c r="Q127" s="9" t="n">
        <v>194.3407894638947</v>
      </c>
      <c r="R127" s="9" t="n">
        <v>0</v>
      </c>
      <c r="S127" s="9" t="n">
        <v>0.4833711813514024</v>
      </c>
      <c r="T127" s="9" t="n">
        <v>31339</v>
      </c>
      <c r="U127" s="9" t="n">
        <v>3828.854947760673</v>
      </c>
      <c r="V127" s="9" t="n">
        <v>22186.74555520702</v>
      </c>
      <c r="W127" s="9" t="n">
        <v>1416</v>
      </c>
      <c r="X127" s="9" t="n">
        <v>0</v>
      </c>
      <c r="Y127" s="9" t="n">
        <v>429.4321167386492</v>
      </c>
      <c r="Z127" s="9" t="n">
        <v>0</v>
      </c>
      <c r="AA127" s="9" t="n">
        <v>0.9667423627028057</v>
      </c>
      <c r="AB127" s="9" t="n">
        <v>25630</v>
      </c>
      <c r="AC127" s="9" t="n">
        <v>3446.733553426556</v>
      </c>
      <c r="AD127" s="9" t="n">
        <v>22251.19818784447</v>
      </c>
      <c r="AE127" s="9" t="n">
        <v>1461.6</v>
      </c>
      <c r="AF127" s="9" t="n">
        <v>0</v>
      </c>
      <c r="AG127" s="9" t="n">
        <v>639.5329004304199</v>
      </c>
      <c r="AH127" s="9" t="n">
        <v>0</v>
      </c>
      <c r="AI127" s="9" t="n">
        <v>1.54678778032449</v>
      </c>
      <c r="AJ127" s="9" t="n">
        <v>28024</v>
      </c>
      <c r="AK127" s="9" t="n">
        <v>4333.408195817654</v>
      </c>
      <c r="AL127" s="9" t="n">
        <v>22568.02167351479</v>
      </c>
      <c r="AM127" s="9" t="n">
        <v>1410.3</v>
      </c>
      <c r="AN127" s="9" t="n">
        <v>0</v>
      </c>
      <c r="AO127" s="9" t="n">
        <v>575.9376741485844</v>
      </c>
      <c r="AP127" s="9" t="n">
        <v>0</v>
      </c>
      <c r="AQ127" s="9" t="n">
        <v>2.146999460581672</v>
      </c>
      <c r="AR127" s="9" t="n">
        <v>32773.8</v>
      </c>
      <c r="AS127" s="9" t="n">
        <v>3557.501886568464</v>
      </c>
      <c r="AT127" s="9" t="n">
        <v>19851.31825552316</v>
      </c>
      <c r="AU127" s="9" t="n">
        <v>1376.1</v>
      </c>
      <c r="AV127" s="9" t="n">
        <v>0</v>
      </c>
      <c r="AW127" s="9" t="n">
        <v>97.17039473194754</v>
      </c>
      <c r="AX127" s="9" t="n">
        <v>0</v>
      </c>
      <c r="AY127" s="9" t="n">
        <v>0.9667423627028068</v>
      </c>
    </row>
    <row r="128">
      <c r="A128" s="9" t="n">
        <v>134</v>
      </c>
      <c r="B128" s="9" t="inlineStr">
        <is>
          <t>КО042</t>
        </is>
      </c>
      <c r="C128" s="9" t="inlineStr"/>
      <c r="D128" s="9" t="inlineStr">
        <is>
          <t>КОНФЕТЫ ВЕСОВЫЕ</t>
        </is>
      </c>
      <c r="E128" s="9" t="inlineStr">
        <is>
          <t>Федеральный</t>
        </is>
      </c>
      <c r="F128" s="9" t="n">
        <v>59994</v>
      </c>
      <c r="G128" s="9" t="n">
        <v>0</v>
      </c>
      <c r="H128" s="9" t="n">
        <v>8610</v>
      </c>
      <c r="I128" s="9" t="n">
        <v>8747.59</v>
      </c>
      <c r="J128" s="9" t="n">
        <v>10334.42</v>
      </c>
      <c r="K128" s="9" t="n">
        <v>10109.27</v>
      </c>
      <c r="L128" s="9" t="n">
        <v>3614</v>
      </c>
      <c r="M128" s="9" t="n">
        <v>676.9370748709676</v>
      </c>
      <c r="N128" s="9" t="n">
        <v>9778.634652821527</v>
      </c>
      <c r="O128" s="9" t="n">
        <v>20</v>
      </c>
      <c r="P128" s="9" t="n">
        <v>0</v>
      </c>
      <c r="Q128" s="9" t="n">
        <v>35.5613380798212</v>
      </c>
      <c r="R128" s="9" t="n">
        <v>254.5938777594647</v>
      </c>
      <c r="S128" s="9" t="n">
        <v>0</v>
      </c>
      <c r="T128" s="9" t="n">
        <v>8238</v>
      </c>
      <c r="U128" s="9" t="n">
        <v>1687.962815987358</v>
      </c>
      <c r="V128" s="9" t="n">
        <v>5273.743151879832</v>
      </c>
      <c r="W128" s="9" t="n">
        <v>38</v>
      </c>
      <c r="X128" s="9" t="n">
        <v>0</v>
      </c>
      <c r="Y128" s="9" t="n">
        <v>78.57938998705922</v>
      </c>
      <c r="Z128" s="9" t="n">
        <v>895.7442865851522</v>
      </c>
      <c r="AA128" s="9" t="n">
        <v>0</v>
      </c>
      <c r="AB128" s="9" t="n">
        <v>4593</v>
      </c>
      <c r="AC128" s="9" t="n">
        <v>1650.482381900436</v>
      </c>
      <c r="AD128" s="9" t="n">
        <v>5508.264402943013</v>
      </c>
      <c r="AE128" s="9" t="n">
        <v>68.40000000000001</v>
      </c>
      <c r="AF128" s="9" t="n">
        <v>0</v>
      </c>
      <c r="AG128" s="9" t="n">
        <v>117.0245615864394</v>
      </c>
      <c r="AH128" s="9" t="n">
        <v>589.3338565372081</v>
      </c>
      <c r="AI128" s="9" t="n">
        <v>0</v>
      </c>
      <c r="AJ128" s="9" t="n">
        <v>8944</v>
      </c>
      <c r="AK128" s="9" t="n">
        <v>1775.169014205921</v>
      </c>
      <c r="AL128" s="9" t="n">
        <v>5756.651576198519</v>
      </c>
      <c r="AM128" s="9" t="n">
        <v>34.2</v>
      </c>
      <c r="AN128" s="9" t="n">
        <v>0</v>
      </c>
      <c r="AO128" s="9" t="n">
        <v>105.3876255201112</v>
      </c>
      <c r="AP128" s="9" t="n">
        <v>113.7534726294992</v>
      </c>
      <c r="AQ128" s="9" t="n">
        <v>0</v>
      </c>
      <c r="AR128" s="9" t="n">
        <v>16913</v>
      </c>
      <c r="AS128" s="9" t="n">
        <v>1521.214632333075</v>
      </c>
      <c r="AT128" s="9" t="n">
        <v>5277.463261871948</v>
      </c>
      <c r="AU128" s="9" t="n">
        <v>11.4</v>
      </c>
      <c r="AV128" s="9" t="n">
        <v>0</v>
      </c>
      <c r="AW128" s="9" t="n">
        <v>17.78066903991063</v>
      </c>
      <c r="AX128" s="9" t="n">
        <v>22.4594064566515</v>
      </c>
      <c r="AY128" s="9" t="n">
        <v>0</v>
      </c>
    </row>
    <row r="129">
      <c r="A129" s="9" t="n">
        <v>135</v>
      </c>
      <c r="B129" s="9" t="inlineStr">
        <is>
          <t>КО142</t>
        </is>
      </c>
      <c r="C129" s="9" t="inlineStr"/>
      <c r="D129" s="9" t="inlineStr">
        <is>
          <t>КОНФЕТЫ ВЕСОВЫЕ</t>
        </is>
      </c>
      <c r="E129" s="9" t="inlineStr">
        <is>
          <t>Федеральный</t>
        </is>
      </c>
      <c r="F129" s="9" t="n">
        <v>30299</v>
      </c>
      <c r="G129" s="9" t="n">
        <v>0</v>
      </c>
      <c r="H129" s="9" t="n">
        <v>0</v>
      </c>
      <c r="I129" s="9" t="n">
        <v>2849</v>
      </c>
      <c r="J129" s="9" t="n">
        <v>5292</v>
      </c>
      <c r="K129" s="9" t="n">
        <v>0</v>
      </c>
      <c r="L129" s="9" t="n">
        <v>0</v>
      </c>
      <c r="M129" s="9" t="n">
        <v>0</v>
      </c>
      <c r="N129" s="9" t="n">
        <v>2395.370876818167</v>
      </c>
      <c r="O129" s="9" t="n">
        <v>0</v>
      </c>
      <c r="P129" s="9" t="n">
        <v>0</v>
      </c>
      <c r="Q129" s="9" t="n">
        <v>0</v>
      </c>
      <c r="R129" s="9" t="n">
        <v>49.2305808863095</v>
      </c>
      <c r="S129" s="9" t="n">
        <v>0</v>
      </c>
      <c r="T129" s="9" t="n">
        <v>0</v>
      </c>
      <c r="U129" s="9" t="n">
        <v>0</v>
      </c>
      <c r="V129" s="9" t="n">
        <v>6233.040625125457</v>
      </c>
      <c r="W129" s="9" t="n">
        <v>0</v>
      </c>
      <c r="X129" s="9" t="n">
        <v>0</v>
      </c>
      <c r="Y129" s="9" t="n">
        <v>0</v>
      </c>
      <c r="Z129" s="9" t="n">
        <v>137.9205177286376</v>
      </c>
      <c r="AA129" s="9" t="n">
        <v>0</v>
      </c>
      <c r="AB129" s="9" t="n">
        <v>0</v>
      </c>
      <c r="AC129" s="9" t="n">
        <v>0</v>
      </c>
      <c r="AD129" s="9" t="n">
        <v>7800.408258854085</v>
      </c>
      <c r="AE129" s="9" t="n">
        <v>0</v>
      </c>
      <c r="AF129" s="9" t="n">
        <v>0</v>
      </c>
      <c r="AG129" s="9" t="n">
        <v>0</v>
      </c>
      <c r="AH129" s="9" t="n">
        <v>139.4183673299484</v>
      </c>
      <c r="AI129" s="9" t="n">
        <v>0</v>
      </c>
      <c r="AJ129" s="9" t="n">
        <v>0</v>
      </c>
      <c r="AK129" s="9" t="n">
        <v>0</v>
      </c>
      <c r="AL129" s="9" t="n">
        <v>7873.743047252712</v>
      </c>
      <c r="AM129" s="9" t="n">
        <v>0</v>
      </c>
      <c r="AN129" s="9" t="n">
        <v>0</v>
      </c>
      <c r="AO129" s="9" t="n">
        <v>0</v>
      </c>
      <c r="AP129" s="9" t="n">
        <v>84.1572421843628</v>
      </c>
      <c r="AQ129" s="9" t="n">
        <v>0</v>
      </c>
      <c r="AR129" s="9" t="n">
        <v>0</v>
      </c>
      <c r="AS129" s="9" t="n">
        <v>0</v>
      </c>
      <c r="AT129" s="9" t="n">
        <v>6681.654140600431</v>
      </c>
      <c r="AU129" s="9" t="n">
        <v>0</v>
      </c>
      <c r="AV129" s="9" t="n">
        <v>0</v>
      </c>
      <c r="AW129" s="9" t="n">
        <v>0</v>
      </c>
      <c r="AX129" s="9" t="n">
        <v>15.97034603066743</v>
      </c>
      <c r="AY129" s="9" t="n">
        <v>0</v>
      </c>
    </row>
    <row r="130">
      <c r="A130" s="9" t="n">
        <v>136</v>
      </c>
      <c r="B130" s="9" t="inlineStr">
        <is>
          <t>СР029</t>
        </is>
      </c>
      <c r="C130" s="9" t="inlineStr"/>
      <c r="D130" s="9" t="inlineStr">
        <is>
          <t>КОНФЕТЫ ВЕСОВЫЕ</t>
        </is>
      </c>
      <c r="E130" s="9" t="inlineStr">
        <is>
          <t>Локальный</t>
        </is>
      </c>
      <c r="F130" s="9" t="n">
        <v>0</v>
      </c>
      <c r="G130" s="9" t="n">
        <v>0</v>
      </c>
      <c r="H130" s="9" t="n">
        <v>1883.15</v>
      </c>
      <c r="I130" s="9" t="n">
        <v>892.5</v>
      </c>
      <c r="J130" s="9" t="n">
        <v>787.76</v>
      </c>
      <c r="K130" s="9" t="n">
        <v>0</v>
      </c>
      <c r="L130" s="9" t="n">
        <v>0</v>
      </c>
      <c r="M130" s="9" t="n">
        <v>0</v>
      </c>
      <c r="N130" s="9" t="n">
        <v>195.5829824369052</v>
      </c>
      <c r="O130" s="9" t="n">
        <v>0</v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539.4379859522477</v>
      </c>
      <c r="W130" s="9" t="n">
        <v>0</v>
      </c>
      <c r="X130" s="9" t="n">
        <v>0</v>
      </c>
      <c r="Y130" s="9" t="n">
        <v>0</v>
      </c>
      <c r="Z130" s="9" t="n">
        <v>0</v>
      </c>
      <c r="AA130" s="9" t="n">
        <v>0</v>
      </c>
      <c r="AB130" s="9" t="n">
        <v>0</v>
      </c>
      <c r="AC130" s="9" t="n">
        <v>0</v>
      </c>
      <c r="AD130" s="9" t="n">
        <v>739.8668813592679</v>
      </c>
      <c r="AE130" s="9" t="n">
        <v>0</v>
      </c>
      <c r="AF130" s="9" t="n">
        <v>0</v>
      </c>
      <c r="AG130" s="9" t="n">
        <v>0</v>
      </c>
      <c r="AH130" s="9" t="n">
        <v>0</v>
      </c>
      <c r="AI130" s="9" t="n">
        <v>0</v>
      </c>
      <c r="AJ130" s="9" t="n">
        <v>0</v>
      </c>
      <c r="AK130" s="9" t="n">
        <v>0</v>
      </c>
      <c r="AL130" s="9" t="n">
        <v>745.5304314077405</v>
      </c>
      <c r="AM130" s="9" t="n">
        <v>0</v>
      </c>
      <c r="AN130" s="9" t="n">
        <v>0</v>
      </c>
      <c r="AO130" s="9" t="n">
        <v>0</v>
      </c>
      <c r="AP130" s="9" t="n">
        <v>0</v>
      </c>
      <c r="AQ130" s="9" t="n">
        <v>0</v>
      </c>
      <c r="AR130" s="9" t="n">
        <v>0</v>
      </c>
      <c r="AS130" s="9" t="n">
        <v>0</v>
      </c>
      <c r="AT130" s="9" t="n">
        <v>784.8624088438388</v>
      </c>
      <c r="AU130" s="9" t="n">
        <v>0</v>
      </c>
      <c r="AV130" s="9" t="n">
        <v>0</v>
      </c>
      <c r="AW130" s="9" t="n">
        <v>0</v>
      </c>
      <c r="AX130" s="9" t="n">
        <v>0</v>
      </c>
      <c r="AY130" s="9" t="n">
        <v>0</v>
      </c>
    </row>
    <row r="131">
      <c r="A131" s="9" t="n">
        <v>137</v>
      </c>
      <c r="B131" s="9" t="inlineStr">
        <is>
          <t>ЮК034</t>
        </is>
      </c>
      <c r="C131" s="9" t="inlineStr"/>
      <c r="D131" s="9" t="inlineStr">
        <is>
          <t>КОНФЕТЫ ВЕСОВЫЕ</t>
        </is>
      </c>
      <c r="E131" s="9" t="inlineStr">
        <is>
          <t>Локальный</t>
        </is>
      </c>
      <c r="F131" s="9" t="n">
        <v>1842.3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0</v>
      </c>
      <c r="L131" s="9" t="n">
        <v>0</v>
      </c>
      <c r="M131" s="9" t="n">
        <v>0</v>
      </c>
      <c r="N131" s="9" t="n">
        <v>0</v>
      </c>
      <c r="O131" s="9" t="n">
        <v>0</v>
      </c>
      <c r="P131" s="9" t="n">
        <v>0</v>
      </c>
      <c r="Q131" s="9" t="n">
        <v>0</v>
      </c>
      <c r="R131" s="9" t="n">
        <v>0</v>
      </c>
      <c r="S131" s="9" t="n">
        <v>257.9262588803567</v>
      </c>
      <c r="T131" s="9" t="n">
        <v>0</v>
      </c>
      <c r="U131" s="9" t="n">
        <v>0</v>
      </c>
      <c r="V131" s="9" t="n">
        <v>0</v>
      </c>
      <c r="W131" s="9" t="n">
        <v>0</v>
      </c>
      <c r="X131" s="9" t="n">
        <v>0</v>
      </c>
      <c r="Y131" s="9" t="n">
        <v>0</v>
      </c>
      <c r="Z131" s="9" t="n">
        <v>0</v>
      </c>
      <c r="AA131" s="9" t="n">
        <v>558.7072865645802</v>
      </c>
      <c r="AB131" s="9" t="n">
        <v>0</v>
      </c>
      <c r="AC131" s="9" t="n">
        <v>0</v>
      </c>
      <c r="AD131" s="9" t="n">
        <v>0</v>
      </c>
      <c r="AE131" s="9" t="n">
        <v>0</v>
      </c>
      <c r="AF131" s="9" t="n">
        <v>0</v>
      </c>
      <c r="AG131" s="9" t="n">
        <v>0</v>
      </c>
      <c r="AH131" s="9" t="n">
        <v>0</v>
      </c>
      <c r="AI131" s="9" t="n">
        <v>618.9818048243158</v>
      </c>
      <c r="AJ131" s="9" t="n">
        <v>0</v>
      </c>
      <c r="AK131" s="9" t="n">
        <v>0</v>
      </c>
      <c r="AL131" s="9" t="n">
        <v>0</v>
      </c>
      <c r="AM131" s="9" t="n">
        <v>0</v>
      </c>
      <c r="AN131" s="9" t="n">
        <v>0</v>
      </c>
      <c r="AO131" s="9" t="n">
        <v>0</v>
      </c>
      <c r="AP131" s="9" t="n">
        <v>0</v>
      </c>
      <c r="AQ131" s="9" t="n">
        <v>1013.697913551725</v>
      </c>
      <c r="AR131" s="9" t="n">
        <v>0</v>
      </c>
      <c r="AS131" s="9" t="n">
        <v>0</v>
      </c>
      <c r="AT131" s="9" t="n">
        <v>0</v>
      </c>
      <c r="AU131" s="9" t="n">
        <v>0</v>
      </c>
      <c r="AV131" s="9" t="n">
        <v>0</v>
      </c>
      <c r="AW131" s="9" t="n">
        <v>0</v>
      </c>
      <c r="AX131" s="9" t="n">
        <v>0</v>
      </c>
      <c r="AY131" s="9" t="n">
        <v>128.9631294401784</v>
      </c>
    </row>
    <row r="132">
      <c r="A132" s="9" t="n">
        <v>138</v>
      </c>
      <c r="B132" s="9" t="inlineStr">
        <is>
          <t>СР124</t>
        </is>
      </c>
      <c r="C132" s="9" t="inlineStr"/>
      <c r="D132" s="9" t="inlineStr">
        <is>
          <t>КОНФЕТЫ ВЕСОВЫЕ</t>
        </is>
      </c>
      <c r="E132" s="9" t="inlineStr">
        <is>
          <t>Локальный</t>
        </is>
      </c>
      <c r="F132" s="9" t="n">
        <v>24</v>
      </c>
      <c r="G132" s="9" t="n">
        <v>0</v>
      </c>
      <c r="H132" s="9" t="n">
        <v>886.1400000000001</v>
      </c>
      <c r="I132" s="9" t="n">
        <v>729.35</v>
      </c>
      <c r="J132" s="9" t="n">
        <v>22.74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25.6</v>
      </c>
      <c r="P132" s="9" t="n">
        <v>0</v>
      </c>
      <c r="Q132" s="9" t="n">
        <v>0</v>
      </c>
      <c r="R132" s="9" t="n">
        <v>0</v>
      </c>
      <c r="S132" s="9" t="n">
        <v>118.001729410705</v>
      </c>
      <c r="T132" s="9" t="n">
        <v>0</v>
      </c>
      <c r="U132" s="9" t="n">
        <v>0</v>
      </c>
      <c r="V132" s="9" t="n">
        <v>0</v>
      </c>
      <c r="W132" s="9" t="n">
        <v>25.6</v>
      </c>
      <c r="X132" s="9" t="n">
        <v>0</v>
      </c>
      <c r="Y132" s="9" t="n">
        <v>0</v>
      </c>
      <c r="Z132" s="9" t="n">
        <v>0</v>
      </c>
      <c r="AA132" s="9" t="n">
        <v>255.6095929711631</v>
      </c>
      <c r="AB132" s="9" t="n">
        <v>0</v>
      </c>
      <c r="AC132" s="9" t="n">
        <v>0</v>
      </c>
      <c r="AD132" s="9" t="n">
        <v>0</v>
      </c>
      <c r="AE132" s="9" t="n">
        <v>25.6</v>
      </c>
      <c r="AF132" s="9" t="n">
        <v>0</v>
      </c>
      <c r="AG132" s="9" t="n">
        <v>0</v>
      </c>
      <c r="AH132" s="9" t="n">
        <v>0</v>
      </c>
      <c r="AI132" s="9" t="n">
        <v>283.1852939677223</v>
      </c>
      <c r="AJ132" s="9" t="n">
        <v>0</v>
      </c>
      <c r="AK132" s="9" t="n">
        <v>0</v>
      </c>
      <c r="AL132" s="9" t="n">
        <v>0</v>
      </c>
      <c r="AM132" s="9" t="n">
        <v>25.6</v>
      </c>
      <c r="AN132" s="9" t="n">
        <v>0</v>
      </c>
      <c r="AO132" s="9" t="n">
        <v>0</v>
      </c>
      <c r="AP132" s="9" t="n">
        <v>0</v>
      </c>
      <c r="AQ132" s="9" t="n">
        <v>508.2025189450572</v>
      </c>
      <c r="AR132" s="9" t="n">
        <v>0</v>
      </c>
      <c r="AS132" s="9" t="n">
        <v>0</v>
      </c>
      <c r="AT132" s="9" t="n">
        <v>0</v>
      </c>
      <c r="AU132" s="9" t="n">
        <v>25.6</v>
      </c>
      <c r="AV132" s="9" t="n">
        <v>0</v>
      </c>
      <c r="AW132" s="9" t="n">
        <v>0</v>
      </c>
      <c r="AX132" s="9" t="n">
        <v>0</v>
      </c>
      <c r="AY132" s="9" t="n">
        <v>59.0008647053525</v>
      </c>
    </row>
    <row r="133">
      <c r="A133" s="9" t="n">
        <v>139</v>
      </c>
      <c r="B133" s="9" t="inlineStr">
        <is>
          <t>СР045</t>
        </is>
      </c>
      <c r="C133" s="9" t="inlineStr"/>
      <c r="D133" s="9" t="inlineStr">
        <is>
          <t>КОНФЕТЫ ВЕСОВЫЕ</t>
        </is>
      </c>
      <c r="E133" s="9" t="inlineStr">
        <is>
          <t>Локальный</t>
        </is>
      </c>
      <c r="F133" s="9" t="n">
        <v>639.6</v>
      </c>
      <c r="G133" s="9" t="n">
        <v>0</v>
      </c>
      <c r="H133" s="9" t="n">
        <v>552.355</v>
      </c>
      <c r="I133" s="9" t="n">
        <v>567.15</v>
      </c>
      <c r="J133" s="9" t="n">
        <v>0</v>
      </c>
      <c r="K133" s="9" t="n">
        <v>0</v>
      </c>
      <c r="L133" s="9" t="n">
        <v>0</v>
      </c>
      <c r="M133" s="9" t="n">
        <v>0</v>
      </c>
      <c r="N133" s="9" t="n">
        <v>0</v>
      </c>
      <c r="O133" s="9" t="n">
        <v>0</v>
      </c>
      <c r="P133" s="9" t="n">
        <v>0</v>
      </c>
      <c r="Q133" s="9" t="n">
        <v>0</v>
      </c>
      <c r="R133" s="9" t="n">
        <v>0</v>
      </c>
      <c r="S133" s="9" t="n">
        <v>94.70515217988547</v>
      </c>
      <c r="T133" s="9" t="n">
        <v>0</v>
      </c>
      <c r="U133" s="9" t="n">
        <v>0</v>
      </c>
      <c r="V133" s="9" t="n">
        <v>0</v>
      </c>
      <c r="W133" s="9" t="n">
        <v>0</v>
      </c>
      <c r="X133" s="9" t="n">
        <v>0</v>
      </c>
      <c r="Y133" s="9" t="n">
        <v>0</v>
      </c>
      <c r="Z133" s="9" t="n">
        <v>0</v>
      </c>
      <c r="AA133" s="9" t="n">
        <v>205.1456832189147</v>
      </c>
      <c r="AB133" s="9" t="n">
        <v>0</v>
      </c>
      <c r="AC133" s="9" t="n">
        <v>0</v>
      </c>
      <c r="AD133" s="9" t="n">
        <v>0</v>
      </c>
      <c r="AE133" s="9" t="n">
        <v>0</v>
      </c>
      <c r="AF133" s="9" t="n">
        <v>0</v>
      </c>
      <c r="AG133" s="9" t="n">
        <v>0</v>
      </c>
      <c r="AH133" s="9" t="n">
        <v>0</v>
      </c>
      <c r="AI133" s="9" t="n">
        <v>227.2772313952692</v>
      </c>
      <c r="AJ133" s="9" t="n">
        <v>0</v>
      </c>
      <c r="AK133" s="9" t="n">
        <v>0</v>
      </c>
      <c r="AL133" s="9" t="n">
        <v>0</v>
      </c>
      <c r="AM133" s="9" t="n">
        <v>0</v>
      </c>
      <c r="AN133" s="9" t="n">
        <v>0</v>
      </c>
      <c r="AO133" s="9" t="n">
        <v>0</v>
      </c>
      <c r="AP133" s="9" t="n">
        <v>0</v>
      </c>
      <c r="AQ133" s="9" t="n">
        <v>407.8702671159879</v>
      </c>
      <c r="AR133" s="9" t="n">
        <v>0</v>
      </c>
      <c r="AS133" s="9" t="n">
        <v>0</v>
      </c>
      <c r="AT133" s="9" t="n">
        <v>0</v>
      </c>
      <c r="AU133" s="9" t="n">
        <v>0</v>
      </c>
      <c r="AV133" s="9" t="n">
        <v>0</v>
      </c>
      <c r="AW133" s="9" t="n">
        <v>0</v>
      </c>
      <c r="AX133" s="9" t="n">
        <v>0</v>
      </c>
      <c r="AY133" s="9" t="n">
        <v>47.35257608994274</v>
      </c>
    </row>
    <row r="134">
      <c r="A134" s="9" t="n">
        <v>140</v>
      </c>
      <c r="B134" s="9" t="inlineStr">
        <is>
          <t>НС083</t>
        </is>
      </c>
      <c r="C134" s="9" t="inlineStr"/>
      <c r="D134" s="9" t="inlineStr">
        <is>
          <t>КОНФЕТЫ ВЕСОВЫЕ</t>
        </is>
      </c>
      <c r="E134" s="9" t="inlineStr">
        <is>
          <t>Локальный</t>
        </is>
      </c>
      <c r="F134" s="9" t="n">
        <v>1335</v>
      </c>
      <c r="G134" s="9" t="n">
        <v>0</v>
      </c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18.4</v>
      </c>
      <c r="P134" s="9" t="n">
        <v>0</v>
      </c>
      <c r="Q134" s="9" t="n">
        <v>0</v>
      </c>
      <c r="R134" s="9" t="n">
        <v>0</v>
      </c>
      <c r="S134" s="9" t="n">
        <v>109.0418590606166</v>
      </c>
      <c r="T134" s="9" t="n">
        <v>0</v>
      </c>
      <c r="U134" s="9" t="n">
        <v>0</v>
      </c>
      <c r="V134" s="9" t="n">
        <v>0</v>
      </c>
      <c r="W134" s="9" t="n">
        <v>18.4</v>
      </c>
      <c r="X134" s="9" t="n">
        <v>0</v>
      </c>
      <c r="Y134" s="9" t="n">
        <v>0</v>
      </c>
      <c r="Z134" s="9" t="n">
        <v>0</v>
      </c>
      <c r="AA134" s="9" t="n">
        <v>236.2011586651763</v>
      </c>
      <c r="AB134" s="9" t="n">
        <v>0</v>
      </c>
      <c r="AC134" s="9" t="n">
        <v>0</v>
      </c>
      <c r="AD134" s="9" t="n">
        <v>0</v>
      </c>
      <c r="AE134" s="9" t="n">
        <v>18.4</v>
      </c>
      <c r="AF134" s="9" t="n">
        <v>0</v>
      </c>
      <c r="AG134" s="9" t="n">
        <v>0</v>
      </c>
      <c r="AH134" s="9" t="n">
        <v>0</v>
      </c>
      <c r="AI134" s="9" t="n">
        <v>261.6830369103585</v>
      </c>
      <c r="AJ134" s="9" t="n">
        <v>0</v>
      </c>
      <c r="AK134" s="9" t="n">
        <v>0</v>
      </c>
      <c r="AL134" s="9" t="n">
        <v>0</v>
      </c>
      <c r="AM134" s="9" t="n">
        <v>18.4</v>
      </c>
      <c r="AN134" s="9" t="n">
        <v>0</v>
      </c>
      <c r="AO134" s="9" t="n">
        <v>0</v>
      </c>
      <c r="AP134" s="9" t="n">
        <v>0</v>
      </c>
      <c r="AQ134" s="9" t="n">
        <v>469.6147058335404</v>
      </c>
      <c r="AR134" s="9" t="n">
        <v>0</v>
      </c>
      <c r="AS134" s="9" t="n">
        <v>0</v>
      </c>
      <c r="AT134" s="9" t="n">
        <v>0</v>
      </c>
      <c r="AU134" s="9" t="n">
        <v>18.4</v>
      </c>
      <c r="AV134" s="9" t="n">
        <v>0</v>
      </c>
      <c r="AW134" s="9" t="n">
        <v>0</v>
      </c>
      <c r="AX134" s="9" t="n">
        <v>0</v>
      </c>
      <c r="AY134" s="9" t="n">
        <v>54.52092953030829</v>
      </c>
    </row>
    <row r="135">
      <c r="A135" s="9" t="n">
        <v>141</v>
      </c>
      <c r="B135" s="9" t="inlineStr">
        <is>
          <t>ЮК034</t>
        </is>
      </c>
      <c r="C135" s="9" t="inlineStr"/>
      <c r="D135" s="9" t="inlineStr">
        <is>
          <t>КОНФЕТЫ ВЕСОВЫЕ</t>
        </is>
      </c>
      <c r="E135" s="9" t="inlineStr">
        <is>
          <t>Локальный</t>
        </is>
      </c>
      <c r="F135" s="9" t="n">
        <v>52.5</v>
      </c>
      <c r="G135" s="9" t="n">
        <v>0</v>
      </c>
      <c r="H135" s="9" t="n">
        <v>0</v>
      </c>
      <c r="I135" s="9" t="n">
        <v>700</v>
      </c>
      <c r="J135" s="9" t="n">
        <v>700</v>
      </c>
      <c r="K135" s="9" t="n">
        <v>0</v>
      </c>
      <c r="L135" s="9" t="n">
        <v>0</v>
      </c>
      <c r="M135" s="9" t="n">
        <v>0</v>
      </c>
      <c r="N135" s="9" t="n">
        <v>0</v>
      </c>
      <c r="O135" s="9" t="n">
        <v>0</v>
      </c>
      <c r="P135" s="9" t="n">
        <v>0</v>
      </c>
      <c r="Q135" s="9" t="n">
        <v>0</v>
      </c>
      <c r="R135" s="9" t="n">
        <v>0</v>
      </c>
      <c r="S135" s="9" t="n">
        <v>108.7796134794229</v>
      </c>
      <c r="T135" s="9" t="n">
        <v>0</v>
      </c>
      <c r="U135" s="9" t="n">
        <v>0</v>
      </c>
      <c r="V135" s="9" t="n">
        <v>0</v>
      </c>
      <c r="W135" s="9" t="n">
        <v>0</v>
      </c>
      <c r="X135" s="9" t="n">
        <v>0</v>
      </c>
      <c r="Y135" s="9" t="n">
        <v>0</v>
      </c>
      <c r="Z135" s="9" t="n">
        <v>0</v>
      </c>
      <c r="AA135" s="9" t="n">
        <v>235.6330950732089</v>
      </c>
      <c r="AB135" s="9" t="n">
        <v>0</v>
      </c>
      <c r="AC135" s="9" t="n">
        <v>0</v>
      </c>
      <c r="AD135" s="9" t="n">
        <v>0</v>
      </c>
      <c r="AE135" s="9" t="n">
        <v>0</v>
      </c>
      <c r="AF135" s="9" t="n">
        <v>0</v>
      </c>
      <c r="AG135" s="9" t="n">
        <v>0</v>
      </c>
      <c r="AH135" s="9" t="n">
        <v>0</v>
      </c>
      <c r="AI135" s="9" t="n">
        <v>261.053689422208</v>
      </c>
      <c r="AJ135" s="9" t="n">
        <v>0</v>
      </c>
      <c r="AK135" s="9" t="n">
        <v>0</v>
      </c>
      <c r="AL135" s="9" t="n">
        <v>0</v>
      </c>
      <c r="AM135" s="9" t="n">
        <v>0</v>
      </c>
      <c r="AN135" s="9" t="n">
        <v>0</v>
      </c>
      <c r="AO135" s="9" t="n">
        <v>0</v>
      </c>
      <c r="AP135" s="9" t="n">
        <v>0</v>
      </c>
      <c r="AQ135" s="9" t="n">
        <v>427.5240051157585</v>
      </c>
      <c r="AR135" s="9" t="n">
        <v>0</v>
      </c>
      <c r="AS135" s="9" t="n">
        <v>0</v>
      </c>
      <c r="AT135" s="9" t="n">
        <v>0</v>
      </c>
      <c r="AU135" s="9" t="n">
        <v>0</v>
      </c>
      <c r="AV135" s="9" t="n">
        <v>0</v>
      </c>
      <c r="AW135" s="9" t="n">
        <v>0</v>
      </c>
      <c r="AX135" s="9" t="n">
        <v>0</v>
      </c>
      <c r="AY135" s="9" t="n">
        <v>54.38980673971145</v>
      </c>
    </row>
    <row r="136">
      <c r="A136" s="9" t="n">
        <v>142</v>
      </c>
      <c r="B136" s="9" t="inlineStr">
        <is>
          <t>ЮК034</t>
        </is>
      </c>
      <c r="C136" s="9" t="inlineStr"/>
      <c r="D136" s="9" t="inlineStr">
        <is>
          <t>КОНФЕТЫ ВЕСОВЫЕ</t>
        </is>
      </c>
      <c r="E136" s="9" t="inlineStr">
        <is>
          <t>Локальный</t>
        </is>
      </c>
      <c r="F136" s="9" t="n">
        <v>260.5</v>
      </c>
      <c r="G136" s="9" t="n">
        <v>0</v>
      </c>
      <c r="H136" s="9" t="n">
        <v>0</v>
      </c>
      <c r="I136" s="9" t="n">
        <v>1000</v>
      </c>
      <c r="J136" s="9" t="n">
        <v>0</v>
      </c>
      <c r="K136" s="9" t="n">
        <v>0</v>
      </c>
      <c r="L136" s="9" t="n">
        <v>0</v>
      </c>
      <c r="M136" s="9" t="n">
        <v>0</v>
      </c>
      <c r="N136" s="9" t="n">
        <v>0</v>
      </c>
      <c r="O136" s="9" t="n">
        <v>0</v>
      </c>
      <c r="P136" s="9" t="n">
        <v>0</v>
      </c>
      <c r="Q136" s="9" t="n">
        <v>0</v>
      </c>
      <c r="R136" s="9" t="n">
        <v>0</v>
      </c>
      <c r="S136" s="9" t="n">
        <v>273.7534348700168</v>
      </c>
      <c r="T136" s="9" t="n">
        <v>0</v>
      </c>
      <c r="U136" s="9" t="n">
        <v>0</v>
      </c>
      <c r="V136" s="9" t="n">
        <v>0</v>
      </c>
      <c r="W136" s="9" t="n">
        <v>0</v>
      </c>
      <c r="X136" s="9" t="n">
        <v>0</v>
      </c>
      <c r="Y136" s="9" t="n">
        <v>0</v>
      </c>
      <c r="Z136" s="9" t="n">
        <v>0</v>
      </c>
      <c r="AA136" s="9" t="n">
        <v>592.9913435254688</v>
      </c>
      <c r="AB136" s="9" t="n">
        <v>0</v>
      </c>
      <c r="AC136" s="9" t="n">
        <v>0</v>
      </c>
      <c r="AD136" s="9" t="n">
        <v>0</v>
      </c>
      <c r="AE136" s="9" t="n">
        <v>0</v>
      </c>
      <c r="AF136" s="9" t="n">
        <v>0</v>
      </c>
      <c r="AG136" s="9" t="n">
        <v>0</v>
      </c>
      <c r="AH136" s="9" t="n">
        <v>0</v>
      </c>
      <c r="AI136" s="9" t="n">
        <v>656.9644980246086</v>
      </c>
      <c r="AJ136" s="9" t="n">
        <v>0</v>
      </c>
      <c r="AK136" s="9" t="n">
        <v>0</v>
      </c>
      <c r="AL136" s="9" t="n">
        <v>0</v>
      </c>
      <c r="AM136" s="9" t="n">
        <v>0</v>
      </c>
      <c r="AN136" s="9" t="n">
        <v>0</v>
      </c>
      <c r="AO136" s="9" t="n">
        <v>0</v>
      </c>
      <c r="AP136" s="9" t="n">
        <v>0</v>
      </c>
      <c r="AQ136" s="9" t="n">
        <v>1075.901643206008</v>
      </c>
      <c r="AR136" s="9" t="n">
        <v>0</v>
      </c>
      <c r="AS136" s="9" t="n">
        <v>0</v>
      </c>
      <c r="AT136" s="9" t="n">
        <v>0</v>
      </c>
      <c r="AU136" s="9" t="n">
        <v>0</v>
      </c>
      <c r="AV136" s="9" t="n">
        <v>0</v>
      </c>
      <c r="AW136" s="9" t="n">
        <v>0</v>
      </c>
      <c r="AX136" s="9" t="n">
        <v>0</v>
      </c>
      <c r="AY136" s="9" t="n">
        <v>136.8767174350084</v>
      </c>
    </row>
    <row r="137">
      <c r="A137" s="9" t="n">
        <v>143</v>
      </c>
      <c r="B137" s="9" t="inlineStr">
        <is>
          <t>ОК148</t>
        </is>
      </c>
      <c r="C137" s="9" t="inlineStr"/>
      <c r="D137" s="9" t="inlineStr">
        <is>
          <t>КОНФЕТЫ ВЕСОВЫЕ</t>
        </is>
      </c>
      <c r="E137" s="9" t="inlineStr">
        <is>
          <t>Локальный</t>
        </is>
      </c>
      <c r="F137" s="9" t="n">
        <v>826</v>
      </c>
      <c r="G137" s="9" t="n">
        <v>0</v>
      </c>
      <c r="H137" s="9" t="n">
        <v>210.365</v>
      </c>
      <c r="I137" s="9" t="n">
        <v>210.42</v>
      </c>
      <c r="J137" s="9" t="n">
        <v>57.52</v>
      </c>
      <c r="K137" s="9" t="n">
        <v>0</v>
      </c>
      <c r="L137" s="9" t="n">
        <v>0</v>
      </c>
      <c r="M137" s="9" t="n">
        <v>0</v>
      </c>
      <c r="N137" s="9" t="n">
        <v>0</v>
      </c>
      <c r="O137" s="9" t="n">
        <v>37.2</v>
      </c>
      <c r="P137" s="9" t="n">
        <v>0</v>
      </c>
      <c r="Q137" s="9" t="n">
        <v>0</v>
      </c>
      <c r="R137" s="9" t="n">
        <v>0</v>
      </c>
      <c r="S137" s="9" t="n">
        <v>38.94828323686669</v>
      </c>
      <c r="T137" s="9" t="n">
        <v>0</v>
      </c>
      <c r="U137" s="9" t="n">
        <v>0</v>
      </c>
      <c r="V137" s="9" t="n">
        <v>0</v>
      </c>
      <c r="W137" s="9" t="n">
        <v>37.2</v>
      </c>
      <c r="X137" s="9" t="n">
        <v>0</v>
      </c>
      <c r="Y137" s="9" t="n">
        <v>0</v>
      </c>
      <c r="Z137" s="9" t="n">
        <v>0</v>
      </c>
      <c r="AA137" s="9" t="n">
        <v>84.36787218982833</v>
      </c>
      <c r="AB137" s="9" t="n">
        <v>0</v>
      </c>
      <c r="AC137" s="9" t="n">
        <v>0</v>
      </c>
      <c r="AD137" s="9" t="n">
        <v>0</v>
      </c>
      <c r="AE137" s="9" t="n">
        <v>37.2</v>
      </c>
      <c r="AF137" s="9" t="n">
        <v>0</v>
      </c>
      <c r="AG137" s="9" t="n">
        <v>0</v>
      </c>
      <c r="AH137" s="9" t="n">
        <v>0</v>
      </c>
      <c r="AI137" s="9" t="n">
        <v>93.46965585209134</v>
      </c>
      <c r="AJ137" s="9" t="n">
        <v>0</v>
      </c>
      <c r="AK137" s="9" t="n">
        <v>0</v>
      </c>
      <c r="AL137" s="9" t="n">
        <v>0</v>
      </c>
      <c r="AM137" s="9" t="n">
        <v>37.2</v>
      </c>
      <c r="AN137" s="9" t="n">
        <v>0</v>
      </c>
      <c r="AO137" s="9" t="n">
        <v>0</v>
      </c>
      <c r="AP137" s="9" t="n">
        <v>0</v>
      </c>
      <c r="AQ137" s="9" t="n">
        <v>167.7400471027803</v>
      </c>
      <c r="AR137" s="9" t="n">
        <v>0</v>
      </c>
      <c r="AS137" s="9" t="n">
        <v>0</v>
      </c>
      <c r="AT137" s="9" t="n">
        <v>0</v>
      </c>
      <c r="AU137" s="9" t="n">
        <v>37.2</v>
      </c>
      <c r="AV137" s="9" t="n">
        <v>0</v>
      </c>
      <c r="AW137" s="9" t="n">
        <v>0</v>
      </c>
      <c r="AX137" s="9" t="n">
        <v>0</v>
      </c>
      <c r="AY137" s="9" t="n">
        <v>19.47414161843334</v>
      </c>
    </row>
    <row r="138">
      <c r="A138" s="9" t="n">
        <v>144</v>
      </c>
      <c r="B138" s="9" t="inlineStr">
        <is>
          <t>НС020</t>
        </is>
      </c>
      <c r="C138" s="9" t="inlineStr"/>
      <c r="D138" s="9" t="inlineStr">
        <is>
          <t>КОНФЕТЫ ВЕСОВЫЕ</t>
        </is>
      </c>
      <c r="E138" s="9" t="inlineStr">
        <is>
          <t>Локальный</t>
        </is>
      </c>
      <c r="F138" s="9" t="n">
        <v>530</v>
      </c>
      <c r="G138" s="9" t="n">
        <v>0</v>
      </c>
      <c r="H138" s="9" t="n">
        <v>0</v>
      </c>
      <c r="I138" s="9" t="n">
        <v>100</v>
      </c>
      <c r="J138" s="9" t="n">
        <v>0</v>
      </c>
      <c r="K138" s="9" t="n">
        <v>0</v>
      </c>
      <c r="L138" s="9" t="n">
        <v>0</v>
      </c>
      <c r="M138" s="9" t="n">
        <v>0</v>
      </c>
      <c r="N138" s="9" t="n">
        <v>6.253241191451494</v>
      </c>
      <c r="O138" s="9" t="n">
        <v>0</v>
      </c>
      <c r="P138" s="9" t="n">
        <v>0</v>
      </c>
      <c r="Q138" s="9" t="n">
        <v>0</v>
      </c>
      <c r="R138" s="9" t="n">
        <v>0</v>
      </c>
      <c r="S138" s="9" t="n">
        <v>87.13341406942166</v>
      </c>
      <c r="T138" s="9" t="n">
        <v>0</v>
      </c>
      <c r="U138" s="9" t="n">
        <v>0</v>
      </c>
      <c r="V138" s="9" t="n">
        <v>17.24708250155879</v>
      </c>
      <c r="W138" s="9" t="n">
        <v>0</v>
      </c>
      <c r="X138" s="9" t="n">
        <v>0</v>
      </c>
      <c r="Y138" s="9" t="n">
        <v>0</v>
      </c>
      <c r="Z138" s="9" t="n">
        <v>0</v>
      </c>
      <c r="AA138" s="9" t="n">
        <v>188.7441532907922</v>
      </c>
      <c r="AB138" s="9" t="n">
        <v>0</v>
      </c>
      <c r="AC138" s="9" t="n">
        <v>0</v>
      </c>
      <c r="AD138" s="9" t="n">
        <v>23.65525876055732</v>
      </c>
      <c r="AE138" s="9" t="n">
        <v>0</v>
      </c>
      <c r="AF138" s="9" t="n">
        <v>0</v>
      </c>
      <c r="AG138" s="9" t="n">
        <v>0</v>
      </c>
      <c r="AH138" s="9" t="n">
        <v>0</v>
      </c>
      <c r="AI138" s="9" t="n">
        <v>209.1062698901594</v>
      </c>
      <c r="AJ138" s="9" t="n">
        <v>0</v>
      </c>
      <c r="AK138" s="9" t="n">
        <v>0</v>
      </c>
      <c r="AL138" s="9" t="n">
        <v>23.83633558028718</v>
      </c>
      <c r="AM138" s="9" t="n">
        <v>0</v>
      </c>
      <c r="AN138" s="9" t="n">
        <v>0</v>
      </c>
      <c r="AO138" s="9" t="n">
        <v>0</v>
      </c>
      <c r="AP138" s="9" t="n">
        <v>0</v>
      </c>
      <c r="AQ138" s="9" t="n">
        <v>375.260775714916</v>
      </c>
      <c r="AR138" s="9" t="n">
        <v>0</v>
      </c>
      <c r="AS138" s="9" t="n">
        <v>0</v>
      </c>
      <c r="AT138" s="9" t="n">
        <v>25.09387004663062</v>
      </c>
      <c r="AU138" s="9" t="n">
        <v>0</v>
      </c>
      <c r="AV138" s="9" t="n">
        <v>0</v>
      </c>
      <c r="AW138" s="9" t="n">
        <v>0</v>
      </c>
      <c r="AX138" s="9" t="n">
        <v>0</v>
      </c>
      <c r="AY138" s="9" t="n">
        <v>43.56670703471082</v>
      </c>
    </row>
    <row r="139">
      <c r="A139" s="9" t="n">
        <v>145</v>
      </c>
      <c r="B139" s="9" t="inlineStr">
        <is>
          <t>ОК153</t>
        </is>
      </c>
      <c r="C139" s="9" t="inlineStr"/>
      <c r="D139" s="9" t="inlineStr">
        <is>
          <t>КОНФЕТЫ ВЕСОВЫЕ</t>
        </is>
      </c>
      <c r="E139" s="9" t="inlineStr">
        <is>
          <t>Локальный</t>
        </is>
      </c>
      <c r="F139" s="9" t="n">
        <v>60</v>
      </c>
      <c r="G139" s="9" t="n">
        <v>0</v>
      </c>
      <c r="H139" s="9" t="n">
        <v>269.305</v>
      </c>
      <c r="I139" s="9" t="n">
        <v>276.23</v>
      </c>
      <c r="J139" s="9" t="n">
        <v>58.2</v>
      </c>
      <c r="K139" s="9" t="n">
        <v>0</v>
      </c>
      <c r="L139" s="9" t="n">
        <v>0</v>
      </c>
      <c r="M139" s="9" t="n">
        <v>0</v>
      </c>
      <c r="N139" s="9" t="n">
        <v>0</v>
      </c>
      <c r="O139" s="9" t="n">
        <v>0</v>
      </c>
      <c r="P139" s="9" t="n">
        <v>0</v>
      </c>
      <c r="Q139" s="9" t="n">
        <v>0</v>
      </c>
      <c r="R139" s="9" t="n">
        <v>0</v>
      </c>
      <c r="S139" s="9" t="n">
        <v>55.50373980837017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0</v>
      </c>
      <c r="Y139" s="9" t="n">
        <v>0</v>
      </c>
      <c r="Z139" s="9" t="n">
        <v>0</v>
      </c>
      <c r="AA139" s="9" t="n">
        <v>120.2294950391446</v>
      </c>
      <c r="AB139" s="9" t="n">
        <v>0</v>
      </c>
      <c r="AC139" s="9" t="n">
        <v>0</v>
      </c>
      <c r="AD139" s="9" t="n">
        <v>0</v>
      </c>
      <c r="AE139" s="9" t="n">
        <v>0</v>
      </c>
      <c r="AF139" s="9" t="n">
        <v>0</v>
      </c>
      <c r="AG139" s="9" t="n">
        <v>0</v>
      </c>
      <c r="AH139" s="9" t="n">
        <v>0</v>
      </c>
      <c r="AI139" s="9" t="n">
        <v>133.2001060699316</v>
      </c>
      <c r="AJ139" s="9" t="n">
        <v>0</v>
      </c>
      <c r="AK139" s="9" t="n">
        <v>0</v>
      </c>
      <c r="AL139" s="9" t="n">
        <v>0</v>
      </c>
      <c r="AM139" s="9" t="n">
        <v>0</v>
      </c>
      <c r="AN139" s="9" t="n">
        <v>0</v>
      </c>
      <c r="AO139" s="9" t="n">
        <v>0</v>
      </c>
      <c r="AP139" s="9" t="n">
        <v>0</v>
      </c>
      <c r="AQ139" s="9" t="n">
        <v>239.0400591783686</v>
      </c>
      <c r="AR139" s="9" t="n">
        <v>0</v>
      </c>
      <c r="AS139" s="9" t="n">
        <v>0</v>
      </c>
      <c r="AT139" s="9" t="n">
        <v>0</v>
      </c>
      <c r="AU139" s="9" t="n">
        <v>0</v>
      </c>
      <c r="AV139" s="9" t="n">
        <v>0</v>
      </c>
      <c r="AW139" s="9" t="n">
        <v>0</v>
      </c>
      <c r="AX139" s="9" t="n">
        <v>0</v>
      </c>
      <c r="AY139" s="9" t="n">
        <v>27.75186990418508</v>
      </c>
    </row>
    <row r="140">
      <c r="A140" s="9" t="n">
        <v>146</v>
      </c>
      <c r="B140" s="9" t="inlineStr">
        <is>
          <t>КО014</t>
        </is>
      </c>
      <c r="C140" s="9" t="inlineStr"/>
      <c r="D140" s="9" t="inlineStr">
        <is>
          <t>КОНФЕТЫ ВЕСОВЫЕ</t>
        </is>
      </c>
      <c r="E140" s="9" t="inlineStr">
        <is>
          <t>Федеральный</t>
        </is>
      </c>
      <c r="F140" s="9" t="n">
        <v>7848</v>
      </c>
      <c r="G140" s="9" t="n">
        <v>420</v>
      </c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</v>
      </c>
      <c r="X140" s="9" t="n">
        <v>0</v>
      </c>
      <c r="Y140" s="9" t="n">
        <v>0</v>
      </c>
      <c r="Z140" s="9" t="n">
        <v>0</v>
      </c>
      <c r="AA140" s="9" t="n">
        <v>0</v>
      </c>
      <c r="AB140" s="9" t="n">
        <v>0</v>
      </c>
      <c r="AC140" s="9" t="n">
        <v>0</v>
      </c>
      <c r="AD140" s="9" t="n">
        <v>0</v>
      </c>
      <c r="AE140" s="9" t="n">
        <v>0</v>
      </c>
      <c r="AF140" s="9" t="n">
        <v>0</v>
      </c>
      <c r="AG140" s="9" t="n">
        <v>0</v>
      </c>
      <c r="AH140" s="9" t="n">
        <v>0</v>
      </c>
      <c r="AI140" s="9" t="n">
        <v>0</v>
      </c>
      <c r="AJ140" s="9" t="n">
        <v>0</v>
      </c>
      <c r="AK140" s="9" t="n">
        <v>0</v>
      </c>
      <c r="AL140" s="9" t="n">
        <v>0</v>
      </c>
      <c r="AM140" s="9" t="n">
        <v>0</v>
      </c>
      <c r="AN140" s="9" t="n">
        <v>0</v>
      </c>
      <c r="AO140" s="9" t="n">
        <v>0</v>
      </c>
      <c r="AP140" s="9" t="n">
        <v>0</v>
      </c>
      <c r="AQ140" s="9" t="n">
        <v>0</v>
      </c>
      <c r="AR140" s="9" t="n">
        <v>0</v>
      </c>
      <c r="AS140" s="9" t="n">
        <v>0</v>
      </c>
      <c r="AT140" s="9" t="n">
        <v>0</v>
      </c>
      <c r="AU140" s="9" t="n">
        <v>0</v>
      </c>
      <c r="AV140" s="9" t="n">
        <v>0</v>
      </c>
      <c r="AW140" s="9" t="n">
        <v>0</v>
      </c>
      <c r="AX140" s="9" t="n">
        <v>0</v>
      </c>
      <c r="AY140" s="9" t="n">
        <v>0</v>
      </c>
    </row>
    <row r="141">
      <c r="A141" s="9" t="n">
        <v>147</v>
      </c>
      <c r="B141" s="9" t="inlineStr">
        <is>
          <t>ЮК133</t>
        </is>
      </c>
      <c r="C141" s="9" t="inlineStr"/>
      <c r="D141" s="9" t="inlineStr">
        <is>
          <t>КОНФЕТЫ ВЕСОВЫЕ</t>
        </is>
      </c>
      <c r="E141" s="9" t="inlineStr">
        <is>
          <t>Локальный</t>
        </is>
      </c>
      <c r="F141" s="9" t="n">
        <v>312</v>
      </c>
      <c r="G141" s="9" t="n">
        <v>0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0</v>
      </c>
      <c r="N141" s="9" t="n">
        <v>0</v>
      </c>
      <c r="O141" s="9" t="n">
        <v>0</v>
      </c>
      <c r="P141" s="9" t="n">
        <v>0</v>
      </c>
      <c r="Q141" s="9" t="n">
        <v>0</v>
      </c>
      <c r="R141" s="9" t="n">
        <v>0</v>
      </c>
      <c r="S141" s="9" t="n">
        <v>180.4401171459621</v>
      </c>
      <c r="T141" s="9" t="n">
        <v>0</v>
      </c>
      <c r="U141" s="9" t="n">
        <v>0</v>
      </c>
      <c r="V141" s="9" t="n">
        <v>0</v>
      </c>
      <c r="W141" s="9" t="n">
        <v>0</v>
      </c>
      <c r="X141" s="9" t="n">
        <v>0</v>
      </c>
      <c r="Y141" s="9" t="n">
        <v>0</v>
      </c>
      <c r="Z141" s="9" t="n">
        <v>0</v>
      </c>
      <c r="AA141" s="9" t="n">
        <v>390.8605842446593</v>
      </c>
      <c r="AB141" s="9" t="n">
        <v>0</v>
      </c>
      <c r="AC141" s="9" t="n">
        <v>0</v>
      </c>
      <c r="AD141" s="9" t="n">
        <v>0</v>
      </c>
      <c r="AE141" s="9" t="n">
        <v>0</v>
      </c>
      <c r="AF141" s="9" t="n">
        <v>0</v>
      </c>
      <c r="AG141" s="9" t="n">
        <v>0</v>
      </c>
      <c r="AH141" s="9" t="n">
        <v>0</v>
      </c>
      <c r="AI141" s="9" t="n">
        <v>433.0274469088758</v>
      </c>
      <c r="AJ141" s="9" t="n">
        <v>0</v>
      </c>
      <c r="AK141" s="9" t="n">
        <v>0</v>
      </c>
      <c r="AL141" s="9" t="n">
        <v>0</v>
      </c>
      <c r="AM141" s="9" t="n">
        <v>0</v>
      </c>
      <c r="AN141" s="9" t="n">
        <v>0</v>
      </c>
      <c r="AO141" s="9" t="n">
        <v>0</v>
      </c>
      <c r="AP141" s="9" t="n">
        <v>0</v>
      </c>
      <c r="AQ141" s="9" t="n">
        <v>709.1630416612109</v>
      </c>
      <c r="AR141" s="9" t="n">
        <v>0</v>
      </c>
      <c r="AS141" s="9" t="n">
        <v>0</v>
      </c>
      <c r="AT141" s="9" t="n">
        <v>0</v>
      </c>
      <c r="AU141" s="9" t="n">
        <v>0</v>
      </c>
      <c r="AV141" s="9" t="n">
        <v>0</v>
      </c>
      <c r="AW141" s="9" t="n">
        <v>0</v>
      </c>
      <c r="AX141" s="9" t="n">
        <v>0</v>
      </c>
      <c r="AY141" s="9" t="n">
        <v>90.22005857298106</v>
      </c>
    </row>
    <row r="142">
      <c r="A142" s="9" t="n">
        <v>148</v>
      </c>
      <c r="B142" s="9" t="inlineStr">
        <is>
          <t>ОК153</t>
        </is>
      </c>
      <c r="C142" s="9" t="inlineStr"/>
      <c r="D142" s="9" t="inlineStr">
        <is>
          <t>КОНФЕТЫ ВЕСОВЫЕ</t>
        </is>
      </c>
      <c r="E142" s="9" t="inlineStr">
        <is>
          <t>Локальный</t>
        </is>
      </c>
      <c r="F142" s="9" t="n">
        <v>60</v>
      </c>
      <c r="G142" s="9" t="n">
        <v>0</v>
      </c>
      <c r="H142" s="9" t="n">
        <v>96.255</v>
      </c>
      <c r="I142" s="9" t="n">
        <v>108</v>
      </c>
      <c r="J142" s="9" t="n">
        <v>22.07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21.69717947662743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0</v>
      </c>
      <c r="Y142" s="9" t="n">
        <v>0</v>
      </c>
      <c r="Z142" s="9" t="n">
        <v>0</v>
      </c>
      <c r="AA142" s="9" t="n">
        <v>46.99937231716437</v>
      </c>
      <c r="AB142" s="9" t="n">
        <v>0</v>
      </c>
      <c r="AC142" s="9" t="n">
        <v>0</v>
      </c>
      <c r="AD142" s="9" t="n">
        <v>0</v>
      </c>
      <c r="AE142" s="9" t="n">
        <v>0</v>
      </c>
      <c r="AF142" s="9" t="n">
        <v>0</v>
      </c>
      <c r="AG142" s="9" t="n">
        <v>0</v>
      </c>
      <c r="AH142" s="9" t="n">
        <v>0</v>
      </c>
      <c r="AI142" s="9" t="n">
        <v>52.06976354536175</v>
      </c>
      <c r="AJ142" s="9" t="n">
        <v>0</v>
      </c>
      <c r="AK142" s="9" t="n">
        <v>0</v>
      </c>
      <c r="AL142" s="9" t="n">
        <v>0</v>
      </c>
      <c r="AM142" s="9" t="n">
        <v>0</v>
      </c>
      <c r="AN142" s="9" t="n">
        <v>0</v>
      </c>
      <c r="AO142" s="9" t="n">
        <v>0</v>
      </c>
      <c r="AP142" s="9" t="n">
        <v>0</v>
      </c>
      <c r="AQ142" s="9" t="n">
        <v>93.44406492253273</v>
      </c>
      <c r="AR142" s="9" t="n">
        <v>0</v>
      </c>
      <c r="AS142" s="9" t="n">
        <v>0</v>
      </c>
      <c r="AT142" s="9" t="n">
        <v>0</v>
      </c>
      <c r="AU142" s="9" t="n">
        <v>0</v>
      </c>
      <c r="AV142" s="9" t="n">
        <v>0</v>
      </c>
      <c r="AW142" s="9" t="n">
        <v>0</v>
      </c>
      <c r="AX142" s="9" t="n">
        <v>0</v>
      </c>
      <c r="AY142" s="9" t="n">
        <v>10.84858973831371</v>
      </c>
    </row>
    <row r="143">
      <c r="A143" s="9" t="n">
        <v>149</v>
      </c>
      <c r="B143" s="9" t="inlineStr">
        <is>
          <t>КО222</t>
        </is>
      </c>
      <c r="C143" s="9" t="inlineStr"/>
      <c r="D143" s="9" t="inlineStr">
        <is>
          <t>КОНФЕТЫ ВЕСОВЫЕ</t>
        </is>
      </c>
      <c r="E143" s="9" t="inlineStr">
        <is>
          <t>Федеральный</t>
        </is>
      </c>
      <c r="F143" s="9" t="n">
        <v>305.52</v>
      </c>
      <c r="G143" s="9" t="n">
        <v>0</v>
      </c>
      <c r="H143" s="9" t="n">
        <v>0</v>
      </c>
      <c r="I143" s="9" t="n">
        <v>0</v>
      </c>
      <c r="J143" s="9" t="n">
        <v>0</v>
      </c>
      <c r="K143" s="9" t="n">
        <v>0</v>
      </c>
      <c r="L143" s="9" t="n">
        <v>0</v>
      </c>
      <c r="M143" s="9" t="n">
        <v>0</v>
      </c>
      <c r="N143" s="9" t="n">
        <v>3.872880968424488</v>
      </c>
      <c r="O143" s="9" t="n">
        <v>0</v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10.68180412942452</v>
      </c>
      <c r="W143" s="9" t="n">
        <v>0</v>
      </c>
      <c r="X143" s="9" t="n">
        <v>0</v>
      </c>
      <c r="Y143" s="9" t="n">
        <v>0</v>
      </c>
      <c r="Z143" s="9" t="n">
        <v>0</v>
      </c>
      <c r="AA143" s="9" t="n">
        <v>0</v>
      </c>
      <c r="AB143" s="9" t="n">
        <v>0</v>
      </c>
      <c r="AC143" s="9" t="n">
        <v>0</v>
      </c>
      <c r="AD143" s="9" t="n">
        <v>14.65064254712584</v>
      </c>
      <c r="AE143" s="9" t="n">
        <v>0</v>
      </c>
      <c r="AF143" s="9" t="n">
        <v>0</v>
      </c>
      <c r="AG143" s="9" t="n">
        <v>0</v>
      </c>
      <c r="AH143" s="9" t="n">
        <v>0</v>
      </c>
      <c r="AI143" s="9" t="n">
        <v>0</v>
      </c>
      <c r="AJ143" s="9" t="n">
        <v>0</v>
      </c>
      <c r="AK143" s="9" t="n">
        <v>0</v>
      </c>
      <c r="AL143" s="9" t="n">
        <v>14.76279062321689</v>
      </c>
      <c r="AM143" s="9" t="n">
        <v>0</v>
      </c>
      <c r="AN143" s="9" t="n">
        <v>0</v>
      </c>
      <c r="AO143" s="9" t="n">
        <v>0</v>
      </c>
      <c r="AP143" s="9" t="n">
        <v>0</v>
      </c>
      <c r="AQ143" s="9" t="n">
        <v>0</v>
      </c>
      <c r="AR143" s="9" t="n">
        <v>0</v>
      </c>
      <c r="AS143" s="9" t="n">
        <v>0</v>
      </c>
      <c r="AT143" s="9" t="n">
        <v>15.54163173180826</v>
      </c>
      <c r="AU143" s="9" t="n">
        <v>0</v>
      </c>
      <c r="AV143" s="9" t="n">
        <v>0</v>
      </c>
      <c r="AW143" s="9" t="n">
        <v>0</v>
      </c>
      <c r="AX143" s="9" t="n">
        <v>0</v>
      </c>
      <c r="AY143" s="9" t="n">
        <v>0</v>
      </c>
    </row>
    <row r="144">
      <c r="A144" s="9" t="n">
        <v>150</v>
      </c>
      <c r="B144" s="9" t="inlineStr">
        <is>
          <t>РФ176</t>
        </is>
      </c>
      <c r="C144" s="9" t="inlineStr"/>
      <c r="D144" s="9" t="inlineStr">
        <is>
          <t>КОНФЕТЫ ВЕСОВЫЕ</t>
        </is>
      </c>
      <c r="E144" s="9" t="inlineStr">
        <is>
          <t>Федеральный</t>
        </is>
      </c>
      <c r="F144" s="9" t="n">
        <v>71473.30200000001</v>
      </c>
      <c r="G144" s="9" t="n">
        <v>0</v>
      </c>
      <c r="H144" s="9" t="n">
        <v>32428.98</v>
      </c>
      <c r="I144" s="9" t="n">
        <v>26408.18</v>
      </c>
      <c r="J144" s="9" t="n">
        <v>30429.55</v>
      </c>
      <c r="K144" s="9" t="n">
        <v>25080.36</v>
      </c>
      <c r="L144" s="9" t="n">
        <v>9820</v>
      </c>
      <c r="M144" s="9" t="n">
        <v>526.6932533046083</v>
      </c>
      <c r="N144" s="9" t="n">
        <v>3117.619584880668</v>
      </c>
      <c r="O144" s="9" t="n">
        <v>1371</v>
      </c>
      <c r="P144" s="9" t="n">
        <v>0</v>
      </c>
      <c r="Q144" s="9" t="n">
        <v>336.265342533659</v>
      </c>
      <c r="R144" s="9" t="n">
        <v>22.4184786594368</v>
      </c>
      <c r="S144" s="9" t="n">
        <v>0.2817487344192819</v>
      </c>
      <c r="T144" s="9" t="n">
        <v>10416</v>
      </c>
      <c r="U144" s="9" t="n">
        <v>1336.96032561422</v>
      </c>
      <c r="V144" s="9" t="n">
        <v>7678.108082890369</v>
      </c>
      <c r="W144" s="9" t="n">
        <v>1389</v>
      </c>
      <c r="X144" s="9" t="n">
        <v>0</v>
      </c>
      <c r="Y144" s="9" t="n">
        <v>743.0408110846118</v>
      </c>
      <c r="Z144" s="9" t="n">
        <v>68.33503632665462</v>
      </c>
      <c r="AA144" s="9" t="n">
        <v>0.5634974688385643</v>
      </c>
      <c r="AB144" s="9" t="n">
        <v>14331</v>
      </c>
      <c r="AC144" s="9" t="n">
        <v>1235.258789756081</v>
      </c>
      <c r="AD144" s="9" t="n">
        <v>9511.625127319658</v>
      </c>
      <c r="AE144" s="9" t="n">
        <v>1419.4</v>
      </c>
      <c r="AF144" s="9" t="n">
        <v>0</v>
      </c>
      <c r="AG144" s="9" t="n">
        <v>1106.575466828248</v>
      </c>
      <c r="AH144" s="9" t="n">
        <v>69.07717106195797</v>
      </c>
      <c r="AI144" s="9" t="n">
        <v>0.9015959501417038</v>
      </c>
      <c r="AJ144" s="9" t="n">
        <v>16772</v>
      </c>
      <c r="AK144" s="9" t="n">
        <v>36.29410887485083</v>
      </c>
      <c r="AL144" s="9" t="n">
        <v>9344.064239815527</v>
      </c>
      <c r="AM144" s="9" t="n">
        <v>1385.2</v>
      </c>
      <c r="AN144" s="9" t="n">
        <v>0</v>
      </c>
      <c r="AO144" s="9" t="n">
        <v>996.5374732183687</v>
      </c>
      <c r="AP144" s="9" t="n">
        <v>49.75861453949665</v>
      </c>
      <c r="AQ144" s="9" t="n">
        <v>1.251448998524396</v>
      </c>
      <c r="AR144" s="9" t="n">
        <v>13570.25</v>
      </c>
      <c r="AS144" s="9" t="n">
        <v>35.19890209822451</v>
      </c>
      <c r="AT144" s="9" t="n">
        <v>8544.961218883736</v>
      </c>
      <c r="AU144" s="9" t="n">
        <v>1362.4</v>
      </c>
      <c r="AV144" s="9" t="n">
        <v>0</v>
      </c>
      <c r="AW144" s="9" t="n">
        <v>168.1326712668298</v>
      </c>
      <c r="AX144" s="9" t="n">
        <v>16.02453071709444</v>
      </c>
      <c r="AY144" s="9" t="n">
        <v>0.5634974688385649</v>
      </c>
    </row>
    <row r="145">
      <c r="A145" s="9" t="n">
        <v>151</v>
      </c>
      <c r="B145" s="9" t="inlineStr">
        <is>
          <t>РФ229</t>
        </is>
      </c>
      <c r="C145" s="9" t="inlineStr"/>
      <c r="D145" s="9" t="inlineStr">
        <is>
          <t>КОНФЕТЫ ВЕСОВЫЕ</t>
        </is>
      </c>
      <c r="E145" s="9" t="inlineStr">
        <is>
          <t>Федеральный</t>
        </is>
      </c>
      <c r="F145" s="9" t="n">
        <v>6751.44</v>
      </c>
      <c r="G145" s="9" t="n">
        <v>0</v>
      </c>
      <c r="H145" s="9" t="n">
        <v>652.8</v>
      </c>
      <c r="I145" s="9" t="n">
        <v>2460.06</v>
      </c>
      <c r="J145" s="9" t="n">
        <v>2077.1</v>
      </c>
      <c r="K145" s="9" t="n">
        <v>1281.27</v>
      </c>
      <c r="L145" s="9" t="n">
        <v>246</v>
      </c>
      <c r="M145" s="9" t="n">
        <v>8.39021685654305</v>
      </c>
      <c r="N145" s="9" t="n">
        <v>485.4855972402626</v>
      </c>
      <c r="O145" s="9" t="n">
        <v>16.57078153275877</v>
      </c>
      <c r="P145" s="9" t="n">
        <v>0</v>
      </c>
      <c r="Q145" s="9" t="n">
        <v>0</v>
      </c>
      <c r="R145" s="9" t="n">
        <v>315.5292600578593</v>
      </c>
      <c r="S145" s="9" t="n">
        <v>0</v>
      </c>
      <c r="T145" s="9" t="n">
        <v>431</v>
      </c>
      <c r="U145" s="9" t="n">
        <v>21.26033535335026</v>
      </c>
      <c r="V145" s="9" t="n">
        <v>1286.974806419409</v>
      </c>
      <c r="W145" s="9" t="n">
        <v>44.81250986093476</v>
      </c>
      <c r="X145" s="9" t="n">
        <v>0</v>
      </c>
      <c r="Y145" s="9" t="n">
        <v>0</v>
      </c>
      <c r="Z145" s="9" t="n">
        <v>880.3718602301706</v>
      </c>
      <c r="AA145" s="9" t="n">
        <v>0</v>
      </c>
      <c r="AB145" s="9" t="n">
        <v>431</v>
      </c>
      <c r="AC145" s="9" t="n">
        <v>19.12740325153592</v>
      </c>
      <c r="AD145" s="9" t="n">
        <v>1049.275387118067</v>
      </c>
      <c r="AE145" s="9" t="n">
        <v>60.46483216723772</v>
      </c>
      <c r="AF145" s="9" t="n">
        <v>0</v>
      </c>
      <c r="AG145" s="9" t="n">
        <v>0</v>
      </c>
      <c r="AH145" s="9" t="n">
        <v>893.0074927891368</v>
      </c>
      <c r="AI145" s="9" t="n">
        <v>0</v>
      </c>
      <c r="AJ145" s="9" t="n">
        <v>859</v>
      </c>
      <c r="AK145" s="9" t="n">
        <v>0</v>
      </c>
      <c r="AL145" s="9" t="n">
        <v>837.8656838575897</v>
      </c>
      <c r="AM145" s="9" t="n">
        <v>55.17295779559184</v>
      </c>
      <c r="AN145" s="9" t="n">
        <v>0</v>
      </c>
      <c r="AO145" s="9" t="n">
        <v>0</v>
      </c>
      <c r="AP145" s="9" t="n">
        <v>512.372280573765</v>
      </c>
      <c r="AQ145" s="9" t="n">
        <v>0</v>
      </c>
      <c r="AR145" s="9" t="n">
        <v>1550.5</v>
      </c>
      <c r="AS145" s="9" t="n">
        <v>0</v>
      </c>
      <c r="AT145" s="9" t="n">
        <v>474.4507066530279</v>
      </c>
      <c r="AU145" s="9" t="n">
        <v>41.96788387781248</v>
      </c>
      <c r="AV145" s="9" t="n">
        <v>0</v>
      </c>
      <c r="AW145" s="9" t="n">
        <v>0</v>
      </c>
      <c r="AX145" s="9" t="n">
        <v>34.33782828858441</v>
      </c>
      <c r="AY145" s="9" t="n">
        <v>0</v>
      </c>
    </row>
    <row r="146">
      <c r="A146" s="9" t="n">
        <v>152</v>
      </c>
      <c r="B146" s="9" t="inlineStr">
        <is>
          <t>РФ174</t>
        </is>
      </c>
      <c r="C146" s="9" t="inlineStr"/>
      <c r="D146" s="9" t="inlineStr">
        <is>
          <t>КОНФЕТЫ ВЕСОВЫЕ</t>
        </is>
      </c>
      <c r="E146" s="9" t="inlineStr">
        <is>
          <t>Федеральный</t>
        </is>
      </c>
      <c r="F146" s="9" t="n">
        <v>3998.5</v>
      </c>
      <c r="G146" s="9" t="n">
        <v>0</v>
      </c>
      <c r="H146" s="9" t="n">
        <v>1129.75</v>
      </c>
      <c r="I146" s="9" t="n">
        <v>3045.43</v>
      </c>
      <c r="J146" s="9" t="n">
        <v>2463.36</v>
      </c>
      <c r="K146" s="9" t="n">
        <v>447.34</v>
      </c>
      <c r="L146" s="9" t="n">
        <v>0</v>
      </c>
      <c r="M146" s="9" t="n">
        <v>346.6747987471727</v>
      </c>
      <c r="N146" s="9" t="n">
        <v>171.7366343345952</v>
      </c>
      <c r="O146" s="9" t="n">
        <v>20</v>
      </c>
      <c r="P146" s="9" t="n">
        <v>0</v>
      </c>
      <c r="Q146" s="9" t="n">
        <v>4.995837850239258</v>
      </c>
      <c r="R146" s="9" t="n">
        <v>371.4110844273728</v>
      </c>
      <c r="S146" s="9" t="n">
        <v>0</v>
      </c>
      <c r="T146" s="9" t="n">
        <v>0</v>
      </c>
      <c r="U146" s="9" t="n">
        <v>878.4543481939127</v>
      </c>
      <c r="V146" s="9" t="n">
        <v>504.3990796051543</v>
      </c>
      <c r="W146" s="9" t="n">
        <v>38</v>
      </c>
      <c r="X146" s="9" t="n">
        <v>0</v>
      </c>
      <c r="Y146" s="9" t="n">
        <v>11.03923282821634</v>
      </c>
      <c r="Z146" s="9" t="n">
        <v>1081.971248523648</v>
      </c>
      <c r="AA146" s="9" t="n">
        <v>0</v>
      </c>
      <c r="AB146" s="9" t="n">
        <v>0</v>
      </c>
      <c r="AC146" s="9" t="n">
        <v>790.3238719760986</v>
      </c>
      <c r="AD146" s="9" t="n">
        <v>1184.20212880483</v>
      </c>
      <c r="AE146" s="9" t="n">
        <v>68.40000000000001</v>
      </c>
      <c r="AF146" s="9" t="n">
        <v>0</v>
      </c>
      <c r="AG146" s="9" t="n">
        <v>16.44020629563802</v>
      </c>
      <c r="AH146" s="9" t="n">
        <v>859.7423028100012</v>
      </c>
      <c r="AI146" s="9" t="n">
        <v>0</v>
      </c>
      <c r="AJ146" s="9" t="n">
        <v>0</v>
      </c>
      <c r="AK146" s="9" t="n">
        <v>843.9478767469153</v>
      </c>
      <c r="AL146" s="9" t="n">
        <v>590.2372543072157</v>
      </c>
      <c r="AM146" s="9" t="n">
        <v>34.2</v>
      </c>
      <c r="AN146" s="9" t="n">
        <v>0</v>
      </c>
      <c r="AO146" s="9" t="n">
        <v>14.8053902622682</v>
      </c>
      <c r="AP146" s="9" t="n">
        <v>205.0842930800883</v>
      </c>
      <c r="AQ146" s="9" t="n">
        <v>0</v>
      </c>
      <c r="AR146" s="9" t="n">
        <v>0</v>
      </c>
      <c r="AS146" s="9" t="n">
        <v>787.2220109243773</v>
      </c>
      <c r="AT146" s="9" t="n">
        <v>580.5211047133394</v>
      </c>
      <c r="AU146" s="9" t="n">
        <v>11.4</v>
      </c>
      <c r="AV146" s="9" t="n">
        <v>0</v>
      </c>
      <c r="AW146" s="9" t="n">
        <v>2.497918925119633</v>
      </c>
      <c r="AX146" s="9" t="n">
        <v>53.26261881325922</v>
      </c>
      <c r="AY146" s="9" t="n">
        <v>0</v>
      </c>
    </row>
    <row r="147">
      <c r="A147" s="9" t="n">
        <v>153</v>
      </c>
      <c r="B147" s="9" t="inlineStr">
        <is>
          <t>РФ143</t>
        </is>
      </c>
      <c r="C147" s="9" t="inlineStr"/>
      <c r="D147" s="9" t="inlineStr">
        <is>
          <t>КОНФЕТЫ ВЕСОВЫЕ</t>
        </is>
      </c>
      <c r="E147" s="9" t="inlineStr">
        <is>
          <t>Федеральный</t>
        </is>
      </c>
      <c r="F147" s="9" t="n">
        <v>645</v>
      </c>
      <c r="G147" s="9" t="n">
        <v>0</v>
      </c>
      <c r="H147" s="9" t="n">
        <v>4089.705</v>
      </c>
      <c r="I147" s="9" t="n">
        <v>146.33</v>
      </c>
      <c r="J147" s="9" t="n">
        <v>215.96</v>
      </c>
      <c r="K147" s="9" t="n">
        <v>106.3</v>
      </c>
      <c r="L147" s="9" t="n">
        <v>0</v>
      </c>
      <c r="M147" s="9" t="n">
        <v>0</v>
      </c>
      <c r="N147" s="9" t="n">
        <v>49.33930105772053</v>
      </c>
      <c r="O147" s="9" t="n">
        <v>0</v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129.7229739653751</v>
      </c>
      <c r="W147" s="9" t="n">
        <v>0</v>
      </c>
      <c r="X147" s="9" t="n">
        <v>0</v>
      </c>
      <c r="Y147" s="9" t="n">
        <v>0</v>
      </c>
      <c r="Z147" s="9" t="n">
        <v>0</v>
      </c>
      <c r="AA147" s="9" t="n">
        <v>0</v>
      </c>
      <c r="AB147" s="9" t="n">
        <v>0</v>
      </c>
      <c r="AC147" s="9" t="n">
        <v>0</v>
      </c>
      <c r="AD147" s="9" t="n">
        <v>179.855135968787</v>
      </c>
      <c r="AE147" s="9" t="n">
        <v>0</v>
      </c>
      <c r="AF147" s="9" t="n">
        <v>0</v>
      </c>
      <c r="AG147" s="9" t="n">
        <v>0</v>
      </c>
      <c r="AH147" s="9" t="n">
        <v>0</v>
      </c>
      <c r="AI147" s="9" t="n">
        <v>0</v>
      </c>
      <c r="AJ147" s="9" t="n">
        <v>0</v>
      </c>
      <c r="AK147" s="9" t="n">
        <v>0</v>
      </c>
      <c r="AL147" s="9" t="n">
        <v>181.2318952071012</v>
      </c>
      <c r="AM147" s="9" t="n">
        <v>0</v>
      </c>
      <c r="AN147" s="9" t="n">
        <v>0</v>
      </c>
      <c r="AO147" s="9" t="n">
        <v>0</v>
      </c>
      <c r="AP147" s="9" t="n">
        <v>0</v>
      </c>
      <c r="AQ147" s="9" t="n">
        <v>0</v>
      </c>
      <c r="AR147" s="9" t="n">
        <v>0</v>
      </c>
      <c r="AS147" s="9" t="n">
        <v>0</v>
      </c>
      <c r="AT147" s="9" t="n">
        <v>180.5631133661884</v>
      </c>
      <c r="AU147" s="9" t="n">
        <v>0</v>
      </c>
      <c r="AV147" s="9" t="n">
        <v>0</v>
      </c>
      <c r="AW147" s="9" t="n">
        <v>0</v>
      </c>
      <c r="AX147" s="9" t="n">
        <v>0</v>
      </c>
      <c r="AY147" s="9" t="n">
        <v>0</v>
      </c>
    </row>
    <row r="148">
      <c r="A148" s="9" t="n">
        <v>154</v>
      </c>
      <c r="B148" s="9" t="inlineStr">
        <is>
          <t>РФ024</t>
        </is>
      </c>
      <c r="C148" s="9" t="inlineStr"/>
      <c r="D148" s="9" t="inlineStr">
        <is>
          <t>КОНФЕТЫ ВЕСОВЫЕ</t>
        </is>
      </c>
      <c r="E148" s="9" t="inlineStr">
        <is>
          <t>Федеральный</t>
        </is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0</v>
      </c>
      <c r="O148" s="9" t="n">
        <v>0</v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 t="n">
        <v>0</v>
      </c>
      <c r="X148" s="9" t="n">
        <v>0</v>
      </c>
      <c r="Y148" s="9" t="n">
        <v>0</v>
      </c>
      <c r="Z148" s="9" t="n">
        <v>0</v>
      </c>
      <c r="AA148" s="9" t="n">
        <v>0</v>
      </c>
      <c r="AB148" s="9" t="n">
        <v>0</v>
      </c>
      <c r="AC148" s="9" t="n">
        <v>0</v>
      </c>
      <c r="AD148" s="9" t="n">
        <v>0</v>
      </c>
      <c r="AE148" s="9" t="n">
        <v>0</v>
      </c>
      <c r="AF148" s="9" t="n">
        <v>0</v>
      </c>
      <c r="AG148" s="9" t="n">
        <v>0</v>
      </c>
      <c r="AH148" s="9" t="n">
        <v>0</v>
      </c>
      <c r="AI148" s="9" t="n">
        <v>0</v>
      </c>
      <c r="AJ148" s="9" t="n">
        <v>0</v>
      </c>
      <c r="AK148" s="9" t="n">
        <v>0</v>
      </c>
      <c r="AL148" s="9" t="n">
        <v>0</v>
      </c>
      <c r="AM148" s="9" t="n">
        <v>0</v>
      </c>
      <c r="AN148" s="9" t="n">
        <v>0</v>
      </c>
      <c r="AO148" s="9" t="n">
        <v>0</v>
      </c>
      <c r="AP148" s="9" t="n">
        <v>0</v>
      </c>
      <c r="AQ148" s="9" t="n">
        <v>0</v>
      </c>
      <c r="AR148" s="9" t="n">
        <v>0</v>
      </c>
      <c r="AS148" s="9" t="n">
        <v>0</v>
      </c>
      <c r="AT148" s="9" t="n">
        <v>0</v>
      </c>
      <c r="AU148" s="9" t="n">
        <v>0</v>
      </c>
      <c r="AV148" s="9" t="n">
        <v>0</v>
      </c>
      <c r="AW148" s="9" t="n">
        <v>0</v>
      </c>
      <c r="AX148" s="9" t="n">
        <v>0</v>
      </c>
      <c r="AY148" s="9" t="n">
        <v>0</v>
      </c>
    </row>
    <row r="149">
      <c r="A149" s="9" t="n">
        <v>155</v>
      </c>
      <c r="B149" s="9" t="inlineStr">
        <is>
          <t>РФ222</t>
        </is>
      </c>
      <c r="C149" s="9" t="inlineStr"/>
      <c r="D149" s="9" t="inlineStr">
        <is>
          <t>КОНФЕТЫ ВЕСОВЫЕ</t>
        </is>
      </c>
      <c r="E149" s="9" t="inlineStr">
        <is>
          <t>Федеральный</t>
        </is>
      </c>
      <c r="F149" s="9" t="n">
        <v>1.34</v>
      </c>
      <c r="G149" s="9" t="n">
        <v>0</v>
      </c>
      <c r="H149" s="9" t="n">
        <v>0</v>
      </c>
      <c r="I149" s="9" t="n">
        <v>0</v>
      </c>
      <c r="J149" s="9" t="n">
        <v>0</v>
      </c>
      <c r="K149" s="9" t="n">
        <v>0</v>
      </c>
      <c r="L149" s="9" t="n">
        <v>0</v>
      </c>
      <c r="M149" s="9" t="n">
        <v>0</v>
      </c>
      <c r="N149" s="9" t="n">
        <v>0</v>
      </c>
      <c r="O149" s="9" t="n">
        <v>0</v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0</v>
      </c>
      <c r="W149" s="9" t="n">
        <v>0</v>
      </c>
      <c r="X149" s="9" t="n">
        <v>0</v>
      </c>
      <c r="Y149" s="9" t="n">
        <v>0</v>
      </c>
      <c r="Z149" s="9" t="n">
        <v>0</v>
      </c>
      <c r="AA149" s="9" t="n">
        <v>0</v>
      </c>
      <c r="AB149" s="9" t="n">
        <v>0</v>
      </c>
      <c r="AC149" s="9" t="n">
        <v>0</v>
      </c>
      <c r="AD149" s="9" t="n">
        <v>0</v>
      </c>
      <c r="AE149" s="9" t="n">
        <v>0</v>
      </c>
      <c r="AF149" s="9" t="n">
        <v>0</v>
      </c>
      <c r="AG149" s="9" t="n">
        <v>0</v>
      </c>
      <c r="AH149" s="9" t="n">
        <v>0</v>
      </c>
      <c r="AI149" s="9" t="n">
        <v>0</v>
      </c>
      <c r="AJ149" s="9" t="n">
        <v>0</v>
      </c>
      <c r="AK149" s="9" t="n">
        <v>0</v>
      </c>
      <c r="AL149" s="9" t="n">
        <v>0</v>
      </c>
      <c r="AM149" s="9" t="n">
        <v>0</v>
      </c>
      <c r="AN149" s="9" t="n">
        <v>0</v>
      </c>
      <c r="AO149" s="9" t="n">
        <v>0</v>
      </c>
      <c r="AP149" s="9" t="n">
        <v>0</v>
      </c>
      <c r="AQ149" s="9" t="n">
        <v>0</v>
      </c>
      <c r="AR149" s="9" t="n">
        <v>0</v>
      </c>
      <c r="AS149" s="9" t="n">
        <v>0</v>
      </c>
      <c r="AT149" s="9" t="n">
        <v>0</v>
      </c>
      <c r="AU149" s="9" t="n">
        <v>0</v>
      </c>
      <c r="AV149" s="9" t="n">
        <v>0</v>
      </c>
      <c r="AW149" s="9" t="n">
        <v>0</v>
      </c>
      <c r="AX149" s="9" t="n">
        <v>0</v>
      </c>
      <c r="AY149" s="9" t="n">
        <v>0</v>
      </c>
    </row>
    <row r="150">
      <c r="A150" s="9" t="n">
        <v>156</v>
      </c>
      <c r="B150" s="9" t="inlineStr">
        <is>
          <t>КО176</t>
        </is>
      </c>
      <c r="C150" s="9" t="inlineStr"/>
      <c r="D150" s="9" t="inlineStr">
        <is>
          <t>КОНФЕТЫ ВЕСОВЫЕ</t>
        </is>
      </c>
      <c r="E150" s="9" t="inlineStr">
        <is>
          <t>Федеральный</t>
        </is>
      </c>
      <c r="F150" s="9" t="n">
        <v>140706.582</v>
      </c>
      <c r="G150" s="9" t="n">
        <v>40240</v>
      </c>
      <c r="H150" s="9" t="n">
        <v>85409.38499999999</v>
      </c>
      <c r="I150" s="9" t="n">
        <v>95723.98</v>
      </c>
      <c r="J150" s="9" t="n">
        <v>96618.48</v>
      </c>
      <c r="K150" s="9" t="n">
        <v>73351.04000000001</v>
      </c>
      <c r="L150" s="9" t="n">
        <v>13382</v>
      </c>
      <c r="M150" s="9" t="n">
        <v>1037.560929602667</v>
      </c>
      <c r="N150" s="9" t="n">
        <v>4544.796653940344</v>
      </c>
      <c r="O150" s="9" t="n">
        <v>1249.2</v>
      </c>
      <c r="P150" s="9" t="n">
        <v>0</v>
      </c>
      <c r="Q150" s="9" t="n">
        <v>90.30365794887862</v>
      </c>
      <c r="R150" s="9" t="n">
        <v>3.89373576716534</v>
      </c>
      <c r="S150" s="9" t="n">
        <v>0.2167976681945647</v>
      </c>
      <c r="T150" s="9" t="n">
        <v>14368</v>
      </c>
      <c r="U150" s="9" t="n">
        <v>2629.120759338191</v>
      </c>
      <c r="V150" s="9" t="n">
        <v>11456.87898797734</v>
      </c>
      <c r="W150" s="9" t="n">
        <v>1312.2</v>
      </c>
      <c r="X150" s="9" t="n">
        <v>0</v>
      </c>
      <c r="Y150" s="9" t="n">
        <v>199.5427264096529</v>
      </c>
      <c r="Z150" s="9" t="n">
        <v>11.86871683568211</v>
      </c>
      <c r="AA150" s="9" t="n">
        <v>0.4335953363891297</v>
      </c>
      <c r="AB150" s="9" t="n">
        <v>6274</v>
      </c>
      <c r="AC150" s="9" t="n">
        <v>2365.355584709596</v>
      </c>
      <c r="AD150" s="9" t="n">
        <v>17669.26836092119</v>
      </c>
      <c r="AE150" s="9" t="n">
        <v>1418.6</v>
      </c>
      <c r="AF150" s="9" t="n">
        <v>0</v>
      </c>
      <c r="AG150" s="9" t="n">
        <v>297.1695260003679</v>
      </c>
      <c r="AH150" s="9" t="n">
        <v>11.99761392128744</v>
      </c>
      <c r="AI150" s="9" t="n">
        <v>0.6937525382226082</v>
      </c>
      <c r="AJ150" s="9" t="n">
        <v>5913</v>
      </c>
      <c r="AK150" s="9" t="n">
        <v>2745.852168426026</v>
      </c>
      <c r="AL150" s="9" t="n">
        <v>15661.9510059825</v>
      </c>
      <c r="AM150" s="9" t="n">
        <v>1298.9</v>
      </c>
      <c r="AN150" s="9" t="n">
        <v>0</v>
      </c>
      <c r="AO150" s="9" t="n">
        <v>267.618953641479</v>
      </c>
      <c r="AP150" s="9" t="n">
        <v>8.642285683175734</v>
      </c>
      <c r="AQ150" s="9" t="n">
        <v>0.9629545463752212</v>
      </c>
      <c r="AR150" s="9" t="n">
        <v>25492.5</v>
      </c>
      <c r="AS150" s="9" t="n">
        <v>2360.775802432781</v>
      </c>
      <c r="AT150" s="9" t="n">
        <v>14497.91675497995</v>
      </c>
      <c r="AU150" s="9" t="n">
        <v>1219.1</v>
      </c>
      <c r="AV150" s="9" t="n">
        <v>0</v>
      </c>
      <c r="AW150" s="9" t="n">
        <v>45.15182897443939</v>
      </c>
      <c r="AX150" s="9" t="n">
        <v>2.783207966653245</v>
      </c>
      <c r="AY150" s="9" t="n">
        <v>0.4335953363891301</v>
      </c>
    </row>
    <row r="151">
      <c r="A151" s="9" t="n">
        <v>157</v>
      </c>
      <c r="B151" s="9" t="inlineStr">
        <is>
          <t>КО039</t>
        </is>
      </c>
      <c r="C151" s="9" t="inlineStr"/>
      <c r="D151" s="9" t="inlineStr">
        <is>
          <t>КОНФЕТЫ ВЕСОВЫЕ</t>
        </is>
      </c>
      <c r="E151" s="9" t="inlineStr">
        <is>
          <t>Федеральный</t>
        </is>
      </c>
      <c r="F151" s="9" t="n">
        <v>24847.25</v>
      </c>
      <c r="G151" s="9" t="n">
        <v>0</v>
      </c>
      <c r="H151" s="9" t="n">
        <v>19590.615</v>
      </c>
      <c r="I151" s="9" t="n">
        <v>9276.02</v>
      </c>
      <c r="J151" s="9" t="n">
        <v>8381.52</v>
      </c>
      <c r="K151" s="9" t="n">
        <v>11031.17</v>
      </c>
      <c r="L151" s="9" t="n">
        <v>1574</v>
      </c>
      <c r="M151" s="9" t="n">
        <v>207.5775723546966</v>
      </c>
      <c r="N151" s="9" t="n">
        <v>956.6417457264348</v>
      </c>
      <c r="O151" s="9" t="n">
        <v>80</v>
      </c>
      <c r="P151" s="9" t="n">
        <v>0</v>
      </c>
      <c r="Q151" s="9" t="n">
        <v>52.35943885003923</v>
      </c>
      <c r="R151" s="9" t="n">
        <v>144.4365823637316</v>
      </c>
      <c r="S151" s="9" t="n">
        <v>0</v>
      </c>
      <c r="T151" s="9" t="n">
        <v>6536</v>
      </c>
      <c r="U151" s="9" t="n">
        <v>519.2926630752186</v>
      </c>
      <c r="V151" s="9" t="n">
        <v>2532.068040162795</v>
      </c>
      <c r="W151" s="9" t="n">
        <v>152</v>
      </c>
      <c r="X151" s="9" t="n">
        <v>0</v>
      </c>
      <c r="Y151" s="9" t="n">
        <v>115.697917656126</v>
      </c>
      <c r="Z151" s="9" t="n">
        <v>476.5682242152953</v>
      </c>
      <c r="AA151" s="9" t="n">
        <v>0</v>
      </c>
      <c r="AB151" s="9" t="n">
        <v>5771</v>
      </c>
      <c r="AC151" s="9" t="n">
        <v>479.2338340427846</v>
      </c>
      <c r="AD151" s="9" t="n">
        <v>3310.261303571517</v>
      </c>
      <c r="AE151" s="9" t="n">
        <v>273.6</v>
      </c>
      <c r="AF151" s="9" t="n">
        <v>0</v>
      </c>
      <c r="AG151" s="9" t="n">
        <v>172.3034257761717</v>
      </c>
      <c r="AH151" s="9" t="n">
        <v>330.9285331604545</v>
      </c>
      <c r="AI151" s="9" t="n">
        <v>0</v>
      </c>
      <c r="AJ151" s="9" t="n">
        <v>3782</v>
      </c>
      <c r="AK151" s="9" t="n">
        <v>483.608090614819</v>
      </c>
      <c r="AL151" s="9" t="n">
        <v>3155.790580498759</v>
      </c>
      <c r="AM151" s="9" t="n">
        <v>136.8</v>
      </c>
      <c r="AN151" s="9" t="n">
        <v>0</v>
      </c>
      <c r="AO151" s="9" t="n">
        <v>155.1695530012194</v>
      </c>
      <c r="AP151" s="9" t="n">
        <v>106.7132589532419</v>
      </c>
      <c r="AQ151" s="9" t="n">
        <v>0</v>
      </c>
      <c r="AR151" s="9" t="n">
        <v>2249.5</v>
      </c>
      <c r="AS151" s="9" t="n">
        <v>457.823914036836</v>
      </c>
      <c r="AT151" s="9" t="n">
        <v>2867.12869868465</v>
      </c>
      <c r="AU151" s="9" t="n">
        <v>45.6</v>
      </c>
      <c r="AV151" s="9" t="n">
        <v>0</v>
      </c>
      <c r="AW151" s="9" t="n">
        <v>26.17971942501966</v>
      </c>
      <c r="AX151" s="9" t="n">
        <v>22.99157024781356</v>
      </c>
      <c r="AY151" s="9" t="n">
        <v>0</v>
      </c>
    </row>
    <row r="152">
      <c r="A152" s="9" t="n">
        <v>158</v>
      </c>
      <c r="B152" s="9" t="inlineStr">
        <is>
          <t>ЮК034</t>
        </is>
      </c>
      <c r="C152" s="9" t="inlineStr"/>
      <c r="D152" s="9" t="inlineStr">
        <is>
          <t>КОНФЕТЫ ВЕСОВЫЕ</t>
        </is>
      </c>
      <c r="E152" s="9" t="inlineStr">
        <is>
          <t>Локальный</t>
        </is>
      </c>
      <c r="F152" s="9" t="n">
        <v>1250.5</v>
      </c>
      <c r="G152" s="9" t="n">
        <v>0</v>
      </c>
      <c r="H152" s="9" t="n">
        <v>2000</v>
      </c>
      <c r="I152" s="9" t="n">
        <v>2000</v>
      </c>
      <c r="J152" s="9" t="n">
        <v>1500</v>
      </c>
      <c r="K152" s="9" t="n">
        <v>0</v>
      </c>
      <c r="L152" s="9" t="n">
        <v>0</v>
      </c>
      <c r="M152" s="9" t="n">
        <v>0</v>
      </c>
      <c r="N152" s="9" t="n">
        <v>0</v>
      </c>
      <c r="O152" s="9" t="n">
        <v>12</v>
      </c>
      <c r="P152" s="9" t="n">
        <v>0</v>
      </c>
      <c r="Q152" s="9" t="n">
        <v>0</v>
      </c>
      <c r="R152" s="9" t="n">
        <v>0</v>
      </c>
      <c r="S152" s="9" t="n">
        <v>751.8338214415089</v>
      </c>
      <c r="T152" s="9" t="n">
        <v>0</v>
      </c>
      <c r="U152" s="9" t="n">
        <v>0</v>
      </c>
      <c r="V152" s="9" t="n">
        <v>0</v>
      </c>
      <c r="W152" s="9" t="n">
        <v>12</v>
      </c>
      <c r="X152" s="9" t="n">
        <v>0</v>
      </c>
      <c r="Y152" s="9" t="n">
        <v>0</v>
      </c>
      <c r="Z152" s="9" t="n">
        <v>0</v>
      </c>
      <c r="AA152" s="9" t="n">
        <v>1628.585767686081</v>
      </c>
      <c r="AB152" s="9" t="n">
        <v>0</v>
      </c>
      <c r="AC152" s="9" t="n">
        <v>0</v>
      </c>
      <c r="AD152" s="9" t="n">
        <v>0</v>
      </c>
      <c r="AE152" s="9" t="n">
        <v>12</v>
      </c>
      <c r="AF152" s="9" t="n">
        <v>0</v>
      </c>
      <c r="AG152" s="9" t="n">
        <v>0</v>
      </c>
      <c r="AH152" s="9" t="n">
        <v>0</v>
      </c>
      <c r="AI152" s="9" t="n">
        <v>1804.281028786982</v>
      </c>
      <c r="AJ152" s="9" t="n">
        <v>0</v>
      </c>
      <c r="AK152" s="9" t="n">
        <v>0</v>
      </c>
      <c r="AL152" s="9" t="n">
        <v>0</v>
      </c>
      <c r="AM152" s="9" t="n">
        <v>12</v>
      </c>
      <c r="AN152" s="9" t="n">
        <v>0</v>
      </c>
      <c r="AO152" s="9" t="n">
        <v>0</v>
      </c>
      <c r="AP152" s="9" t="n">
        <v>0</v>
      </c>
      <c r="AQ152" s="9" t="n">
        <v>2954.846006921711</v>
      </c>
      <c r="AR152" s="9" t="n">
        <v>0</v>
      </c>
      <c r="AS152" s="9" t="n">
        <v>0</v>
      </c>
      <c r="AT152" s="9" t="n">
        <v>0</v>
      </c>
      <c r="AU152" s="9" t="n">
        <v>12</v>
      </c>
      <c r="AV152" s="9" t="n">
        <v>0</v>
      </c>
      <c r="AW152" s="9" t="n">
        <v>0</v>
      </c>
      <c r="AX152" s="9" t="n">
        <v>0</v>
      </c>
      <c r="AY152" s="9" t="n">
        <v>375.9169107207545</v>
      </c>
    </row>
    <row r="153">
      <c r="A153" s="9" t="n">
        <v>159</v>
      </c>
      <c r="B153" s="9" t="inlineStr">
        <is>
          <t>ЮК034</t>
        </is>
      </c>
      <c r="C153" s="9" t="inlineStr"/>
      <c r="D153" s="9" t="inlineStr">
        <is>
          <t>КОНФЕТЫ ВЕСОВЫЕ</t>
        </is>
      </c>
      <c r="E153" s="9" t="inlineStr">
        <is>
          <t>Локальный</t>
        </is>
      </c>
      <c r="F153" s="9" t="n">
        <v>566.7</v>
      </c>
      <c r="G153" s="9" t="n">
        <v>0</v>
      </c>
      <c r="H153" s="9" t="n">
        <v>1500</v>
      </c>
      <c r="I153" s="9" t="n">
        <v>2000</v>
      </c>
      <c r="J153" s="9" t="n">
        <v>1000</v>
      </c>
      <c r="K153" s="9" t="n">
        <v>0</v>
      </c>
      <c r="L153" s="9" t="n">
        <v>0</v>
      </c>
      <c r="M153" s="9" t="n">
        <v>0</v>
      </c>
      <c r="N153" s="9" t="n">
        <v>0</v>
      </c>
      <c r="O153" s="9" t="n">
        <v>0</v>
      </c>
      <c r="P153" s="9" t="n">
        <v>0</v>
      </c>
      <c r="Q153" s="9" t="n">
        <v>0</v>
      </c>
      <c r="R153" s="9" t="n">
        <v>0</v>
      </c>
      <c r="S153" s="9" t="n">
        <v>355.1061505432534</v>
      </c>
      <c r="T153" s="9" t="n">
        <v>0</v>
      </c>
      <c r="U153" s="9" t="n">
        <v>0</v>
      </c>
      <c r="V153" s="9" t="n">
        <v>0</v>
      </c>
      <c r="W153" s="9" t="n">
        <v>0</v>
      </c>
      <c r="X153" s="9" t="n">
        <v>0</v>
      </c>
      <c r="Y153" s="9" t="n">
        <v>0</v>
      </c>
      <c r="Z153" s="9" t="n">
        <v>0</v>
      </c>
      <c r="AA153" s="9" t="n">
        <v>769.2136297934895</v>
      </c>
      <c r="AB153" s="9" t="n">
        <v>0</v>
      </c>
      <c r="AC153" s="9" t="n">
        <v>0</v>
      </c>
      <c r="AD153" s="9" t="n">
        <v>0</v>
      </c>
      <c r="AE153" s="9" t="n">
        <v>0</v>
      </c>
      <c r="AF153" s="9" t="n">
        <v>0</v>
      </c>
      <c r="AG153" s="9" t="n">
        <v>0</v>
      </c>
      <c r="AH153" s="9" t="n">
        <v>0</v>
      </c>
      <c r="AI153" s="9" t="n">
        <v>852.1980155166674</v>
      </c>
      <c r="AJ153" s="9" t="n">
        <v>0</v>
      </c>
      <c r="AK153" s="9" t="n">
        <v>0</v>
      </c>
      <c r="AL153" s="9" t="n">
        <v>0</v>
      </c>
      <c r="AM153" s="9" t="n">
        <v>0</v>
      </c>
      <c r="AN153" s="9" t="n">
        <v>0</v>
      </c>
      <c r="AO153" s="9" t="n">
        <v>0</v>
      </c>
      <c r="AP153" s="9" t="n">
        <v>0</v>
      </c>
      <c r="AQ153" s="9" t="n">
        <v>1395.632865989263</v>
      </c>
      <c r="AR153" s="9" t="n">
        <v>0</v>
      </c>
      <c r="AS153" s="9" t="n">
        <v>0</v>
      </c>
      <c r="AT153" s="9" t="n">
        <v>0</v>
      </c>
      <c r="AU153" s="9" t="n">
        <v>0</v>
      </c>
      <c r="AV153" s="9" t="n">
        <v>0</v>
      </c>
      <c r="AW153" s="9" t="n">
        <v>0</v>
      </c>
      <c r="AX153" s="9" t="n">
        <v>0</v>
      </c>
      <c r="AY153" s="9" t="n">
        <v>177.5530752716267</v>
      </c>
    </row>
    <row r="154">
      <c r="A154" s="9" t="n">
        <v>160</v>
      </c>
      <c r="B154" s="9" t="inlineStr">
        <is>
          <t>КО122</t>
        </is>
      </c>
      <c r="C154" s="9" t="inlineStr"/>
      <c r="D154" s="9" t="inlineStr">
        <is>
          <t>КОНФЕТЫ ВЕСОВЫЕ</t>
        </is>
      </c>
      <c r="E154" s="9" t="inlineStr">
        <is>
          <t>Федеральный</t>
        </is>
      </c>
      <c r="F154" s="9" t="n">
        <v>6246.555</v>
      </c>
      <c r="G154" s="9" t="n">
        <v>0</v>
      </c>
      <c r="H154" s="9" t="n">
        <v>0</v>
      </c>
      <c r="I154" s="9" t="n">
        <v>0</v>
      </c>
      <c r="J154" s="9" t="n">
        <v>0</v>
      </c>
      <c r="K154" s="9" t="n">
        <v>0</v>
      </c>
      <c r="L154" s="9" t="n">
        <v>0</v>
      </c>
      <c r="M154" s="9" t="n">
        <v>0</v>
      </c>
      <c r="N154" s="9" t="n">
        <v>775.9595691781611</v>
      </c>
      <c r="O154" s="9" t="n">
        <v>0</v>
      </c>
      <c r="P154" s="9" t="n">
        <v>0</v>
      </c>
      <c r="Q154" s="9" t="n">
        <v>5.739526329277186</v>
      </c>
      <c r="R154" s="9" t="n">
        <v>953.5031872426526</v>
      </c>
      <c r="S154" s="9" t="n">
        <v>0</v>
      </c>
      <c r="T154" s="9" t="n">
        <v>0</v>
      </c>
      <c r="U154" s="9" t="n">
        <v>0</v>
      </c>
      <c r="V154" s="9" t="n">
        <v>3655.59626913202</v>
      </c>
      <c r="W154" s="9" t="n">
        <v>0</v>
      </c>
      <c r="X154" s="9" t="n">
        <v>0</v>
      </c>
      <c r="Y154" s="9" t="n">
        <v>12.68255082969403</v>
      </c>
      <c r="Z154" s="9" t="n">
        <v>1890.371765487163</v>
      </c>
      <c r="AA154" s="9" t="n">
        <v>0</v>
      </c>
      <c r="AB154" s="9" t="n">
        <v>0</v>
      </c>
      <c r="AC154" s="9" t="n">
        <v>0</v>
      </c>
      <c r="AD154" s="9" t="n">
        <v>5052.414829379151</v>
      </c>
      <c r="AE154" s="9" t="n">
        <v>0</v>
      </c>
      <c r="AF154" s="9" t="n">
        <v>0</v>
      </c>
      <c r="AG154" s="9" t="n">
        <v>18.88752191747857</v>
      </c>
      <c r="AH154" s="9" t="n">
        <v>287.5568028306928</v>
      </c>
      <c r="AI154" s="9" t="n">
        <v>0</v>
      </c>
      <c r="AJ154" s="9" t="n">
        <v>0</v>
      </c>
      <c r="AK154" s="9" t="n">
        <v>0</v>
      </c>
      <c r="AL154" s="9" t="n">
        <v>3495.972463517467</v>
      </c>
      <c r="AM154" s="9" t="n">
        <v>0</v>
      </c>
      <c r="AN154" s="9" t="n">
        <v>0</v>
      </c>
      <c r="AO154" s="9" t="n">
        <v>17.00934453295813</v>
      </c>
      <c r="AP154" s="9" t="n">
        <v>58.04235279496385</v>
      </c>
      <c r="AQ154" s="9" t="n">
        <v>0</v>
      </c>
      <c r="AR154" s="9" t="n">
        <v>0</v>
      </c>
      <c r="AS154" s="9" t="n">
        <v>0</v>
      </c>
      <c r="AT154" s="9" t="n">
        <v>2838.274313902716</v>
      </c>
      <c r="AU154" s="9" t="n">
        <v>0</v>
      </c>
      <c r="AV154" s="9" t="n">
        <v>0</v>
      </c>
      <c r="AW154" s="9" t="n">
        <v>2.869763164638598</v>
      </c>
      <c r="AX154" s="9" t="n">
        <v>12.23161164092598</v>
      </c>
      <c r="AY154" s="9" t="n">
        <v>0</v>
      </c>
    </row>
    <row r="155">
      <c r="A155" s="9" t="n">
        <v>161</v>
      </c>
      <c r="B155" s="9" t="inlineStr">
        <is>
          <t>КО024</t>
        </is>
      </c>
      <c r="C155" s="9" t="inlineStr"/>
      <c r="D155" s="9" t="inlineStr">
        <is>
          <t>КОНФЕТЫ ВЕСОВЫЕ</t>
        </is>
      </c>
      <c r="E155" s="9" t="inlineStr">
        <is>
          <t>Федеральный</t>
        </is>
      </c>
      <c r="F155" s="9" t="n">
        <v>9580</v>
      </c>
      <c r="G155" s="9" t="n">
        <v>1840</v>
      </c>
      <c r="H155" s="9" t="n">
        <v>0</v>
      </c>
      <c r="I155" s="9" t="n">
        <v>0</v>
      </c>
      <c r="J155" s="9" t="n">
        <v>0</v>
      </c>
      <c r="K155" s="9" t="n">
        <v>0</v>
      </c>
      <c r="L155" s="9" t="n">
        <v>0</v>
      </c>
      <c r="M155" s="9" t="n">
        <v>0</v>
      </c>
      <c r="N155" s="9" t="n">
        <v>0</v>
      </c>
      <c r="O155" s="9" t="n">
        <v>0</v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0</v>
      </c>
      <c r="W155" s="9" t="n">
        <v>0</v>
      </c>
      <c r="X155" s="9" t="n">
        <v>0</v>
      </c>
      <c r="Y155" s="9" t="n">
        <v>0</v>
      </c>
      <c r="Z155" s="9" t="n">
        <v>0</v>
      </c>
      <c r="AA155" s="9" t="n">
        <v>0</v>
      </c>
      <c r="AB155" s="9" t="n">
        <v>0</v>
      </c>
      <c r="AC155" s="9" t="n">
        <v>0</v>
      </c>
      <c r="AD155" s="9" t="n">
        <v>0</v>
      </c>
      <c r="AE155" s="9" t="n">
        <v>0</v>
      </c>
      <c r="AF155" s="9" t="n">
        <v>0</v>
      </c>
      <c r="AG155" s="9" t="n">
        <v>0</v>
      </c>
      <c r="AH155" s="9" t="n">
        <v>0</v>
      </c>
      <c r="AI155" s="9" t="n">
        <v>0</v>
      </c>
      <c r="AJ155" s="9" t="n">
        <v>0</v>
      </c>
      <c r="AK155" s="9" t="n">
        <v>0</v>
      </c>
      <c r="AL155" s="9" t="n">
        <v>0</v>
      </c>
      <c r="AM155" s="9" t="n">
        <v>0</v>
      </c>
      <c r="AN155" s="9" t="n">
        <v>0</v>
      </c>
      <c r="AO155" s="9" t="n">
        <v>0</v>
      </c>
      <c r="AP155" s="9" t="n">
        <v>0</v>
      </c>
      <c r="AQ155" s="9" t="n">
        <v>0</v>
      </c>
      <c r="AR155" s="9" t="n">
        <v>0</v>
      </c>
      <c r="AS155" s="9" t="n">
        <v>0</v>
      </c>
      <c r="AT155" s="9" t="n">
        <v>0</v>
      </c>
      <c r="AU155" s="9" t="n">
        <v>0</v>
      </c>
      <c r="AV155" s="9" t="n">
        <v>0</v>
      </c>
      <c r="AW155" s="9" t="n">
        <v>0</v>
      </c>
      <c r="AX155" s="9" t="n">
        <v>0</v>
      </c>
      <c r="AY155" s="9" t="n">
        <v>0</v>
      </c>
    </row>
    <row r="156">
      <c r="A156" s="9" t="n">
        <v>162</v>
      </c>
      <c r="B156" s="9" t="inlineStr">
        <is>
          <t>КО143</t>
        </is>
      </c>
      <c r="C156" s="9" t="inlineStr"/>
      <c r="D156" s="9" t="inlineStr">
        <is>
          <t>КОНФЕТЫ ВЕСОВЫЕ</t>
        </is>
      </c>
      <c r="E156" s="9" t="inlineStr">
        <is>
          <t>Федеральный</t>
        </is>
      </c>
      <c r="F156" s="9" t="n">
        <v>76</v>
      </c>
      <c r="G156" s="9" t="n">
        <v>0</v>
      </c>
      <c r="H156" s="9" t="n">
        <v>0</v>
      </c>
      <c r="I156" s="9" t="n">
        <v>0</v>
      </c>
      <c r="J156" s="9" t="n">
        <v>0</v>
      </c>
      <c r="K156" s="9" t="n">
        <v>0</v>
      </c>
      <c r="L156" s="9" t="n">
        <v>0</v>
      </c>
      <c r="M156" s="9" t="n">
        <v>0</v>
      </c>
      <c r="N156" s="9" t="n">
        <v>0</v>
      </c>
      <c r="O156" s="9" t="n">
        <v>0</v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0</v>
      </c>
      <c r="Y156" s="9" t="n">
        <v>0</v>
      </c>
      <c r="Z156" s="9" t="n">
        <v>0</v>
      </c>
      <c r="AA156" s="9" t="n">
        <v>0</v>
      </c>
      <c r="AB156" s="9" t="n">
        <v>0</v>
      </c>
      <c r="AC156" s="9" t="n">
        <v>0</v>
      </c>
      <c r="AD156" s="9" t="n">
        <v>0</v>
      </c>
      <c r="AE156" s="9" t="n">
        <v>0</v>
      </c>
      <c r="AF156" s="9" t="n">
        <v>0</v>
      </c>
      <c r="AG156" s="9" t="n">
        <v>0</v>
      </c>
      <c r="AH156" s="9" t="n">
        <v>0</v>
      </c>
      <c r="AI156" s="9" t="n">
        <v>0</v>
      </c>
      <c r="AJ156" s="9" t="n">
        <v>0</v>
      </c>
      <c r="AK156" s="9" t="n">
        <v>0</v>
      </c>
      <c r="AL156" s="9" t="n">
        <v>0</v>
      </c>
      <c r="AM156" s="9" t="n">
        <v>0</v>
      </c>
      <c r="AN156" s="9" t="n">
        <v>0</v>
      </c>
      <c r="AO156" s="9" t="n">
        <v>0</v>
      </c>
      <c r="AP156" s="9" t="n">
        <v>0</v>
      </c>
      <c r="AQ156" s="9" t="n">
        <v>0</v>
      </c>
      <c r="AR156" s="9" t="n">
        <v>0</v>
      </c>
      <c r="AS156" s="9" t="n">
        <v>0</v>
      </c>
      <c r="AT156" s="9" t="n">
        <v>0</v>
      </c>
      <c r="AU156" s="9" t="n">
        <v>0</v>
      </c>
      <c r="AV156" s="9" t="n">
        <v>0</v>
      </c>
      <c r="AW156" s="9" t="n">
        <v>0</v>
      </c>
      <c r="AX156" s="9" t="n">
        <v>0</v>
      </c>
      <c r="AY156" s="9" t="n">
        <v>0</v>
      </c>
    </row>
    <row r="157">
      <c r="A157" s="9" t="n">
        <v>163</v>
      </c>
      <c r="B157" s="9" t="inlineStr">
        <is>
          <t>КО222</t>
        </is>
      </c>
      <c r="C157" s="9" t="inlineStr"/>
      <c r="D157" s="9" t="inlineStr">
        <is>
          <t>КОНФЕТЫ ВЕСОВЫЕ</t>
        </is>
      </c>
      <c r="E157" s="9" t="inlineStr">
        <is>
          <t>Федеральный</t>
        </is>
      </c>
      <c r="F157" s="9" t="n">
        <v>1002.06</v>
      </c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0</v>
      </c>
      <c r="N157" s="9" t="n">
        <v>0</v>
      </c>
      <c r="O157" s="9" t="n">
        <v>0</v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</v>
      </c>
      <c r="U157" s="9" t="n">
        <v>0</v>
      </c>
      <c r="V157" s="9" t="n">
        <v>0</v>
      </c>
      <c r="W157" s="9" t="n">
        <v>0</v>
      </c>
      <c r="X157" s="9" t="n">
        <v>0</v>
      </c>
      <c r="Y157" s="9" t="n">
        <v>0</v>
      </c>
      <c r="Z157" s="9" t="n">
        <v>0</v>
      </c>
      <c r="AA157" s="9" t="n">
        <v>0</v>
      </c>
      <c r="AB157" s="9" t="n">
        <v>0</v>
      </c>
      <c r="AC157" s="9" t="n">
        <v>0</v>
      </c>
      <c r="AD157" s="9" t="n">
        <v>0</v>
      </c>
      <c r="AE157" s="9" t="n">
        <v>0</v>
      </c>
      <c r="AF157" s="9" t="n">
        <v>0</v>
      </c>
      <c r="AG157" s="9" t="n">
        <v>0</v>
      </c>
      <c r="AH157" s="9" t="n">
        <v>0</v>
      </c>
      <c r="AI157" s="9" t="n">
        <v>0</v>
      </c>
      <c r="AJ157" s="9" t="n">
        <v>0</v>
      </c>
      <c r="AK157" s="9" t="n">
        <v>0</v>
      </c>
      <c r="AL157" s="9" t="n">
        <v>0</v>
      </c>
      <c r="AM157" s="9" t="n">
        <v>0</v>
      </c>
      <c r="AN157" s="9" t="n">
        <v>0</v>
      </c>
      <c r="AO157" s="9" t="n">
        <v>0</v>
      </c>
      <c r="AP157" s="9" t="n">
        <v>0</v>
      </c>
      <c r="AQ157" s="9" t="n">
        <v>0</v>
      </c>
      <c r="AR157" s="9" t="n">
        <v>0</v>
      </c>
      <c r="AS157" s="9" t="n">
        <v>0</v>
      </c>
      <c r="AT157" s="9" t="n">
        <v>0</v>
      </c>
      <c r="AU157" s="9" t="n">
        <v>0</v>
      </c>
      <c r="AV157" s="9" t="n">
        <v>0</v>
      </c>
      <c r="AW157" s="9" t="n">
        <v>0</v>
      </c>
      <c r="AX157" s="9" t="n">
        <v>0</v>
      </c>
      <c r="AY157" s="9" t="n">
        <v>0</v>
      </c>
    </row>
    <row r="158">
      <c r="A158" s="9" t="n">
        <v>164</v>
      </c>
      <c r="B158" s="9" t="inlineStr">
        <is>
          <t>КО176</t>
        </is>
      </c>
      <c r="C158" s="9" t="inlineStr"/>
      <c r="D158" s="9" t="inlineStr">
        <is>
          <t>КОНФЕТЫ ВЕСОВЫЕ</t>
        </is>
      </c>
      <c r="E158" s="9" t="inlineStr">
        <is>
          <t>Федеральный</t>
        </is>
      </c>
      <c r="F158" s="9" t="n">
        <v>179516.755</v>
      </c>
      <c r="G158" s="9" t="n">
        <v>80845</v>
      </c>
      <c r="H158" s="9" t="n">
        <v>116500</v>
      </c>
      <c r="I158" s="9" t="n">
        <v>82218.95</v>
      </c>
      <c r="J158" s="9" t="n">
        <v>76464.5799999999</v>
      </c>
      <c r="K158" s="9" t="n">
        <v>34028</v>
      </c>
      <c r="L158" s="9" t="n">
        <v>48670</v>
      </c>
      <c r="M158" s="9" t="n">
        <v>974.4109187502212</v>
      </c>
      <c r="N158" s="9" t="n">
        <v>9093.833344969891</v>
      </c>
      <c r="O158" s="9" t="n">
        <v>1561</v>
      </c>
      <c r="P158" s="9" t="n">
        <v>0</v>
      </c>
      <c r="Q158" s="9" t="n">
        <v>150.4573066018891</v>
      </c>
      <c r="R158" s="9" t="n">
        <v>0</v>
      </c>
      <c r="S158" s="9" t="n">
        <v>0.4886741339940114</v>
      </c>
      <c r="T158" s="9" t="n">
        <v>43455</v>
      </c>
      <c r="U158" s="9" t="n">
        <v>2469.102200670818</v>
      </c>
      <c r="V158" s="9" t="n">
        <v>35473.54814114465</v>
      </c>
      <c r="W158" s="9" t="n">
        <v>1574.5</v>
      </c>
      <c r="X158" s="9" t="n">
        <v>0</v>
      </c>
      <c r="Y158" s="9" t="n">
        <v>332.4634001491944</v>
      </c>
      <c r="Z158" s="9" t="n">
        <v>0</v>
      </c>
      <c r="AA158" s="9" t="n">
        <v>0.9773482679880237</v>
      </c>
      <c r="AB158" s="9" t="n">
        <v>44258</v>
      </c>
      <c r="AC158" s="9" t="n">
        <v>2221.390804827698</v>
      </c>
      <c r="AD158" s="9" t="n">
        <v>28763.00922494509</v>
      </c>
      <c r="AE158" s="9" t="n">
        <v>1597.3</v>
      </c>
      <c r="AF158" s="9" t="n">
        <v>0</v>
      </c>
      <c r="AG158" s="9" t="n">
        <v>495.1219862155166</v>
      </c>
      <c r="AH158" s="9" t="n">
        <v>0</v>
      </c>
      <c r="AI158" s="9" t="n">
        <v>1.563757228780839</v>
      </c>
      <c r="AJ158" s="9" t="n">
        <v>38748</v>
      </c>
      <c r="AK158" s="9" t="n">
        <v>2372.11366078558</v>
      </c>
      <c r="AL158" s="9" t="n">
        <v>28863.80203226631</v>
      </c>
      <c r="AM158" s="9" t="n">
        <v>1571.65</v>
      </c>
      <c r="AN158" s="9" t="n">
        <v>0</v>
      </c>
      <c r="AO158" s="9" t="n">
        <v>445.8869981026362</v>
      </c>
      <c r="AP158" s="9" t="n">
        <v>0</v>
      </c>
      <c r="AQ158" s="9" t="n">
        <v>2.17055369157935</v>
      </c>
      <c r="AR158" s="9" t="n">
        <v>21373</v>
      </c>
      <c r="AS158" s="9" t="n">
        <v>2212.672296046079</v>
      </c>
      <c r="AT158" s="9" t="n">
        <v>24032.60197374141</v>
      </c>
      <c r="AU158" s="9" t="n">
        <v>1554.55</v>
      </c>
      <c r="AV158" s="9" t="n">
        <v>0</v>
      </c>
      <c r="AW158" s="9" t="n">
        <v>75.22865330094467</v>
      </c>
      <c r="AX158" s="9" t="n">
        <v>0</v>
      </c>
      <c r="AY158" s="9" t="n">
        <v>0.9773482679880247</v>
      </c>
    </row>
    <row r="159">
      <c r="A159" s="9" t="n">
        <v>165</v>
      </c>
      <c r="B159" s="9" t="inlineStr">
        <is>
          <t>КО046</t>
        </is>
      </c>
      <c r="C159" s="9" t="inlineStr"/>
      <c r="D159" s="9" t="inlineStr">
        <is>
          <t>КОНФЕТЫ ВЕСОВЫЕ</t>
        </is>
      </c>
      <c r="E159" s="9" t="inlineStr">
        <is>
          <t>Федеральный</t>
        </is>
      </c>
      <c r="F159" s="9" t="n">
        <v>20461.75</v>
      </c>
      <c r="G159" s="9" t="n">
        <v>0</v>
      </c>
      <c r="H159" s="9" t="n">
        <v>0</v>
      </c>
      <c r="I159" s="9" t="n">
        <v>20133.27</v>
      </c>
      <c r="J159" s="9" t="n">
        <v>8655</v>
      </c>
      <c r="K159" s="9" t="n">
        <v>11024.59</v>
      </c>
      <c r="L159" s="9" t="n">
        <v>505</v>
      </c>
      <c r="M159" s="9" t="n">
        <v>201.3638209030137</v>
      </c>
      <c r="N159" s="9" t="n">
        <v>1460.568804316528</v>
      </c>
      <c r="O159" s="9" t="n">
        <v>20</v>
      </c>
      <c r="P159" s="9" t="n">
        <v>0</v>
      </c>
      <c r="Q159" s="9" t="n">
        <v>61.2777569862578</v>
      </c>
      <c r="R159" s="9" t="n">
        <v>62.74446698069924</v>
      </c>
      <c r="S159" s="9" t="n">
        <v>0</v>
      </c>
      <c r="T159" s="9" t="n">
        <v>1485</v>
      </c>
      <c r="U159" s="9" t="n">
        <v>510.244542379316</v>
      </c>
      <c r="V159" s="9" t="n">
        <v>4169.208886969534</v>
      </c>
      <c r="W159" s="9" t="n">
        <v>38</v>
      </c>
      <c r="X159" s="9" t="n">
        <v>0</v>
      </c>
      <c r="Y159" s="9" t="n">
        <v>135.4046001572617</v>
      </c>
      <c r="Z159" s="9" t="n">
        <v>273.9783410100067</v>
      </c>
      <c r="AA159" s="9" t="n">
        <v>0</v>
      </c>
      <c r="AB159" s="9" t="n">
        <v>1785</v>
      </c>
      <c r="AC159" s="9" t="n">
        <v>459.0545236835426</v>
      </c>
      <c r="AD159" s="9" t="n">
        <v>4742.526240956145</v>
      </c>
      <c r="AE159" s="9" t="n">
        <v>68.40000000000001</v>
      </c>
      <c r="AF159" s="9" t="n">
        <v>0</v>
      </c>
      <c r="AG159" s="9" t="n">
        <v>201.6516541143956</v>
      </c>
      <c r="AH159" s="9" t="n">
        <v>160.7637801469061</v>
      </c>
      <c r="AI159" s="9" t="n">
        <v>0</v>
      </c>
      <c r="AJ159" s="9" t="n">
        <v>1951</v>
      </c>
      <c r="AK159" s="9" t="n">
        <v>490.2016809957994</v>
      </c>
      <c r="AL159" s="9" t="n">
        <v>4341.868334507508</v>
      </c>
      <c r="AM159" s="9" t="n">
        <v>34.2</v>
      </c>
      <c r="AN159" s="9" t="n">
        <v>0</v>
      </c>
      <c r="AO159" s="9" t="n">
        <v>181.5993900871962</v>
      </c>
      <c r="AP159" s="9" t="n">
        <v>63.94502568635809</v>
      </c>
      <c r="AQ159" s="9" t="n">
        <v>0</v>
      </c>
      <c r="AR159" s="9" t="n">
        <v>7127.099999999999</v>
      </c>
      <c r="AS159" s="9" t="n">
        <v>457.2528276977309</v>
      </c>
      <c r="AT159" s="9" t="n">
        <v>3359.619142737174</v>
      </c>
      <c r="AU159" s="9" t="n">
        <v>11.4</v>
      </c>
      <c r="AV159" s="9" t="n">
        <v>0</v>
      </c>
      <c r="AW159" s="9" t="n">
        <v>30.63887849312895</v>
      </c>
      <c r="AX159" s="9" t="n">
        <v>12.04831485171971</v>
      </c>
      <c r="AY159" s="9" t="n">
        <v>0</v>
      </c>
    </row>
    <row r="160">
      <c r="A160" s="9" t="n">
        <v>166</v>
      </c>
      <c r="B160" s="9" t="inlineStr">
        <is>
          <t>КО142</t>
        </is>
      </c>
      <c r="C160" s="9" t="inlineStr"/>
      <c r="D160" s="9" t="inlineStr">
        <is>
          <t>КОНФЕТЫ ВЕСОВЫЕ</t>
        </is>
      </c>
      <c r="E160" s="9" t="inlineStr">
        <is>
          <t>Федеральный</t>
        </is>
      </c>
      <c r="F160" s="9" t="n">
        <v>6439</v>
      </c>
      <c r="G160" s="9" t="n">
        <v>0</v>
      </c>
      <c r="H160" s="9" t="n">
        <v>0</v>
      </c>
      <c r="I160" s="9" t="n">
        <v>14147.45</v>
      </c>
      <c r="J160" s="9" t="n">
        <v>0</v>
      </c>
      <c r="K160" s="9" t="n">
        <v>9908</v>
      </c>
      <c r="L160" s="9" t="n">
        <v>0</v>
      </c>
      <c r="M160" s="9" t="n">
        <v>0</v>
      </c>
      <c r="N160" s="9" t="n">
        <v>1943.982655470268</v>
      </c>
      <c r="O160" s="9" t="n">
        <v>0</v>
      </c>
      <c r="P160" s="9" t="n">
        <v>0</v>
      </c>
      <c r="Q160" s="9" t="n">
        <v>0</v>
      </c>
      <c r="R160" s="9" t="n">
        <v>39.15311619536024</v>
      </c>
      <c r="S160" s="9" t="n">
        <v>0</v>
      </c>
      <c r="T160" s="9" t="n">
        <v>0</v>
      </c>
      <c r="U160" s="9" t="n">
        <v>0</v>
      </c>
      <c r="V160" s="9" t="n">
        <v>5925.912460281586</v>
      </c>
      <c r="W160" s="9" t="n">
        <v>0</v>
      </c>
      <c r="X160" s="9" t="n">
        <v>0</v>
      </c>
      <c r="Y160" s="9" t="n">
        <v>0</v>
      </c>
      <c r="Z160" s="9" t="n">
        <v>105.3736961724659</v>
      </c>
      <c r="AA160" s="9" t="n">
        <v>0</v>
      </c>
      <c r="AB160" s="9" t="n">
        <v>0</v>
      </c>
      <c r="AC160" s="9" t="n">
        <v>0</v>
      </c>
      <c r="AD160" s="9" t="n">
        <v>6771.538933719223</v>
      </c>
      <c r="AE160" s="9" t="n">
        <v>0</v>
      </c>
      <c r="AF160" s="9" t="n">
        <v>0</v>
      </c>
      <c r="AG160" s="9" t="n">
        <v>0</v>
      </c>
      <c r="AH160" s="9" t="n">
        <v>106.5180795564605</v>
      </c>
      <c r="AI160" s="9" t="n">
        <v>0</v>
      </c>
      <c r="AJ160" s="9" t="n">
        <v>0</v>
      </c>
      <c r="AK160" s="9" t="n">
        <v>0</v>
      </c>
      <c r="AL160" s="9" t="n">
        <v>6669.027037559425</v>
      </c>
      <c r="AM160" s="9" t="n">
        <v>0</v>
      </c>
      <c r="AN160" s="9" t="n">
        <v>0</v>
      </c>
      <c r="AO160" s="9" t="n">
        <v>0</v>
      </c>
      <c r="AP160" s="9" t="n">
        <v>57.68016459351443</v>
      </c>
      <c r="AQ160" s="9" t="n">
        <v>0</v>
      </c>
      <c r="AR160" s="9" t="n">
        <v>0</v>
      </c>
      <c r="AS160" s="9" t="n">
        <v>0</v>
      </c>
      <c r="AT160" s="9" t="n">
        <v>4535.479466502291</v>
      </c>
      <c r="AU160" s="9" t="n">
        <v>0</v>
      </c>
      <c r="AV160" s="9" t="n">
        <v>0</v>
      </c>
      <c r="AW160" s="9" t="n">
        <v>0</v>
      </c>
      <c r="AX160" s="9" t="n">
        <v>5.87178564628497</v>
      </c>
      <c r="AY160" s="9" t="n">
        <v>0</v>
      </c>
    </row>
    <row r="161">
      <c r="A161" s="9" t="n">
        <v>167</v>
      </c>
      <c r="B161" s="9" t="inlineStr">
        <is>
          <t>ЮК034</t>
        </is>
      </c>
      <c r="C161" s="9" t="inlineStr"/>
      <c r="D161" s="9" t="inlineStr">
        <is>
          <t>КОНФЕТЫ ВЕСОВЫЕ</t>
        </is>
      </c>
      <c r="E161" s="9" t="inlineStr">
        <is>
          <t>Локальный</t>
        </is>
      </c>
      <c r="F161" s="9" t="n">
        <v>131.4</v>
      </c>
      <c r="G161" s="9" t="n">
        <v>0</v>
      </c>
      <c r="H161" s="9" t="n">
        <v>0</v>
      </c>
      <c r="I161" s="9" t="n">
        <v>1000</v>
      </c>
      <c r="J161" s="9" t="n">
        <v>1000</v>
      </c>
      <c r="K161" s="9" t="n">
        <v>0</v>
      </c>
      <c r="L161" s="9" t="n">
        <v>0</v>
      </c>
      <c r="M161" s="9" t="n">
        <v>0</v>
      </c>
      <c r="N161" s="9" t="n">
        <v>0</v>
      </c>
      <c r="O161" s="9" t="n">
        <v>0</v>
      </c>
      <c r="P161" s="9" t="n">
        <v>0</v>
      </c>
      <c r="Q161" s="9" t="n">
        <v>0</v>
      </c>
      <c r="R161" s="9" t="n">
        <v>0</v>
      </c>
      <c r="S161" s="9" t="n">
        <v>742.8977394495183</v>
      </c>
      <c r="T161" s="9" t="n">
        <v>0</v>
      </c>
      <c r="U161" s="9" t="n">
        <v>0</v>
      </c>
      <c r="V161" s="9" t="n">
        <v>0</v>
      </c>
      <c r="W161" s="9" t="n">
        <v>0</v>
      </c>
      <c r="X161" s="9" t="n">
        <v>0</v>
      </c>
      <c r="Y161" s="9" t="n">
        <v>0</v>
      </c>
      <c r="Z161" s="9" t="n">
        <v>0</v>
      </c>
      <c r="AA161" s="9" t="n">
        <v>1609.228862561583</v>
      </c>
      <c r="AB161" s="9" t="n">
        <v>0</v>
      </c>
      <c r="AC161" s="9" t="n">
        <v>0</v>
      </c>
      <c r="AD161" s="9" t="n">
        <v>0</v>
      </c>
      <c r="AE161" s="9" t="n">
        <v>0</v>
      </c>
      <c r="AF161" s="9" t="n">
        <v>0</v>
      </c>
      <c r="AG161" s="9" t="n">
        <v>0</v>
      </c>
      <c r="AH161" s="9" t="n">
        <v>0</v>
      </c>
      <c r="AI161" s="9" t="n">
        <v>1782.835859987686</v>
      </c>
      <c r="AJ161" s="9" t="n">
        <v>0</v>
      </c>
      <c r="AK161" s="9" t="n">
        <v>0</v>
      </c>
      <c r="AL161" s="9" t="n">
        <v>0</v>
      </c>
      <c r="AM161" s="9" t="n">
        <v>0</v>
      </c>
      <c r="AN161" s="9" t="n">
        <v>0</v>
      </c>
      <c r="AO161" s="9" t="n">
        <v>0</v>
      </c>
      <c r="AP161" s="9" t="n">
        <v>0</v>
      </c>
      <c r="AQ161" s="9" t="n">
        <v>2919.725551525156</v>
      </c>
      <c r="AR161" s="9" t="n">
        <v>0</v>
      </c>
      <c r="AS161" s="9" t="n">
        <v>0</v>
      </c>
      <c r="AT161" s="9" t="n">
        <v>0</v>
      </c>
      <c r="AU161" s="9" t="n">
        <v>0</v>
      </c>
      <c r="AV161" s="9" t="n">
        <v>0</v>
      </c>
      <c r="AW161" s="9" t="n">
        <v>0</v>
      </c>
      <c r="AX161" s="9" t="n">
        <v>0</v>
      </c>
      <c r="AY161" s="9" t="n">
        <v>371.4488697247592</v>
      </c>
    </row>
    <row r="162">
      <c r="A162" s="9" t="n">
        <v>168</v>
      </c>
      <c r="B162" s="9" t="inlineStr">
        <is>
          <t>ЮК034</t>
        </is>
      </c>
      <c r="C162" s="9" t="inlineStr"/>
      <c r="D162" s="9" t="inlineStr">
        <is>
          <t>КОНФЕТЫ ВЕСОВЫЕ</t>
        </is>
      </c>
      <c r="E162" s="9" t="inlineStr">
        <is>
          <t>Локальный</t>
        </is>
      </c>
      <c r="F162" s="9" t="n">
        <v>6</v>
      </c>
      <c r="G162" s="9" t="n">
        <v>0</v>
      </c>
      <c r="H162" s="9" t="n">
        <v>0</v>
      </c>
      <c r="I162" s="9" t="n">
        <v>700</v>
      </c>
      <c r="J162" s="9" t="n">
        <v>700</v>
      </c>
      <c r="K162" s="9" t="n">
        <v>0</v>
      </c>
      <c r="L162" s="9" t="n">
        <v>0</v>
      </c>
      <c r="M162" s="9" t="n">
        <v>0</v>
      </c>
      <c r="N162" s="9" t="n">
        <v>0</v>
      </c>
      <c r="O162" s="9" t="n">
        <v>0</v>
      </c>
      <c r="P162" s="9" t="n">
        <v>0</v>
      </c>
      <c r="Q162" s="9" t="n">
        <v>0</v>
      </c>
      <c r="R162" s="9" t="n">
        <v>0</v>
      </c>
      <c r="S162" s="9" t="n">
        <v>449.5536632893686</v>
      </c>
      <c r="T162" s="9" t="n">
        <v>0</v>
      </c>
      <c r="U162" s="9" t="n">
        <v>0</v>
      </c>
      <c r="V162" s="9" t="n">
        <v>0</v>
      </c>
      <c r="W162" s="9" t="n">
        <v>0</v>
      </c>
      <c r="X162" s="9" t="n">
        <v>0</v>
      </c>
      <c r="Y162" s="9" t="n">
        <v>0</v>
      </c>
      <c r="Z162" s="9" t="n">
        <v>0</v>
      </c>
      <c r="AA162" s="9" t="n">
        <v>973.8012270324082</v>
      </c>
      <c r="AB162" s="9" t="n">
        <v>0</v>
      </c>
      <c r="AC162" s="9" t="n">
        <v>0</v>
      </c>
      <c r="AD162" s="9" t="n">
        <v>0</v>
      </c>
      <c r="AE162" s="9" t="n">
        <v>0</v>
      </c>
      <c r="AF162" s="9" t="n">
        <v>0</v>
      </c>
      <c r="AG162" s="9" t="n">
        <v>0</v>
      </c>
      <c r="AH162" s="9" t="n">
        <v>0</v>
      </c>
      <c r="AI162" s="9" t="n">
        <v>1078.856953441542</v>
      </c>
      <c r="AJ162" s="9" t="n">
        <v>0</v>
      </c>
      <c r="AK162" s="9" t="n">
        <v>0</v>
      </c>
      <c r="AL162" s="9" t="n">
        <v>0</v>
      </c>
      <c r="AM162" s="9" t="n">
        <v>0</v>
      </c>
      <c r="AN162" s="9" t="n">
        <v>0</v>
      </c>
      <c r="AO162" s="9" t="n">
        <v>0</v>
      </c>
      <c r="AP162" s="9" t="n">
        <v>0</v>
      </c>
      <c r="AQ162" s="9" t="n">
        <v>1766.829063795931</v>
      </c>
      <c r="AR162" s="9" t="n">
        <v>0</v>
      </c>
      <c r="AS162" s="9" t="n">
        <v>0</v>
      </c>
      <c r="AT162" s="9" t="n">
        <v>0</v>
      </c>
      <c r="AU162" s="9" t="n">
        <v>0</v>
      </c>
      <c r="AV162" s="9" t="n">
        <v>0</v>
      </c>
      <c r="AW162" s="9" t="n">
        <v>0</v>
      </c>
      <c r="AX162" s="9" t="n">
        <v>0</v>
      </c>
      <c r="AY162" s="9" t="n">
        <v>224.7768316446843</v>
      </c>
    </row>
    <row r="163">
      <c r="A163" s="9" t="n">
        <v>169</v>
      </c>
      <c r="B163" s="9" t="inlineStr">
        <is>
          <t>ЮК034</t>
        </is>
      </c>
      <c r="C163" s="9" t="inlineStr"/>
      <c r="D163" s="9" t="inlineStr">
        <is>
          <t>КОНФЕТЫ ВЕСОВЫЕ</t>
        </is>
      </c>
      <c r="E163" s="9" t="inlineStr">
        <is>
          <t>Локальный</t>
        </is>
      </c>
      <c r="F163" s="9" t="n">
        <v>1237</v>
      </c>
      <c r="G163" s="9" t="n">
        <v>0</v>
      </c>
      <c r="H163" s="9" t="n">
        <v>0</v>
      </c>
      <c r="I163" s="9" t="n">
        <v>0</v>
      </c>
      <c r="J163" s="9" t="n">
        <v>0</v>
      </c>
      <c r="K163" s="9" t="n">
        <v>0</v>
      </c>
      <c r="L163" s="9" t="n">
        <v>0</v>
      </c>
      <c r="M163" s="9" t="n">
        <v>0</v>
      </c>
      <c r="N163" s="9" t="n">
        <v>0</v>
      </c>
      <c r="O163" s="9" t="n">
        <v>21.6</v>
      </c>
      <c r="P163" s="9" t="n">
        <v>0</v>
      </c>
      <c r="Q163" s="9" t="n">
        <v>0</v>
      </c>
      <c r="R163" s="9" t="n">
        <v>0</v>
      </c>
      <c r="S163" s="9" t="n">
        <v>23.19944363305227</v>
      </c>
      <c r="T163" s="9" t="n">
        <v>0</v>
      </c>
      <c r="U163" s="9" t="n">
        <v>0</v>
      </c>
      <c r="V163" s="9" t="n">
        <v>0</v>
      </c>
      <c r="W163" s="9" t="n">
        <v>21.6</v>
      </c>
      <c r="X163" s="9" t="n">
        <v>0</v>
      </c>
      <c r="Y163" s="9" t="n">
        <v>0</v>
      </c>
      <c r="Z163" s="9" t="n">
        <v>0</v>
      </c>
      <c r="AA163" s="9" t="n">
        <v>50.25350368859905</v>
      </c>
      <c r="AB163" s="9" t="n">
        <v>0</v>
      </c>
      <c r="AC163" s="9" t="n">
        <v>0</v>
      </c>
      <c r="AD163" s="9" t="n">
        <v>0</v>
      </c>
      <c r="AE163" s="9" t="n">
        <v>21.6</v>
      </c>
      <c r="AF163" s="9" t="n">
        <v>0</v>
      </c>
      <c r="AG163" s="9" t="n">
        <v>0</v>
      </c>
      <c r="AH163" s="9" t="n">
        <v>0</v>
      </c>
      <c r="AI163" s="9" t="n">
        <v>55.67495745971259</v>
      </c>
      <c r="AJ163" s="9" t="n">
        <v>0</v>
      </c>
      <c r="AK163" s="9" t="n">
        <v>0</v>
      </c>
      <c r="AL163" s="9" t="n">
        <v>0</v>
      </c>
      <c r="AM163" s="9" t="n">
        <v>21.6</v>
      </c>
      <c r="AN163" s="9" t="n">
        <v>0</v>
      </c>
      <c r="AO163" s="9" t="n">
        <v>0</v>
      </c>
      <c r="AP163" s="9" t="n">
        <v>0</v>
      </c>
      <c r="AQ163" s="9" t="n">
        <v>91.17810535644138</v>
      </c>
      <c r="AR163" s="9" t="n">
        <v>0</v>
      </c>
      <c r="AS163" s="9" t="n">
        <v>0</v>
      </c>
      <c r="AT163" s="9" t="n">
        <v>0</v>
      </c>
      <c r="AU163" s="9" t="n">
        <v>21.6</v>
      </c>
      <c r="AV163" s="9" t="n">
        <v>0</v>
      </c>
      <c r="AW163" s="9" t="n">
        <v>0</v>
      </c>
      <c r="AX163" s="9" t="n">
        <v>0</v>
      </c>
      <c r="AY163" s="9" t="n">
        <v>11.59972181652614</v>
      </c>
    </row>
    <row r="164">
      <c r="A164" s="9" t="n">
        <v>170</v>
      </c>
      <c r="B164" s="9" t="inlineStr">
        <is>
          <t>КО014</t>
        </is>
      </c>
      <c r="C164" s="9" t="inlineStr"/>
      <c r="D164" s="9" t="inlineStr">
        <is>
          <t>КОНФЕТЫ ВЕСОВЫЕ</t>
        </is>
      </c>
      <c r="E164" s="9" t="inlineStr">
        <is>
          <t>Федеральный</t>
        </is>
      </c>
      <c r="F164" s="9" t="n">
        <v>5785</v>
      </c>
      <c r="G164" s="9" t="n">
        <v>0</v>
      </c>
      <c r="H164" s="9" t="n">
        <v>0</v>
      </c>
      <c r="I164" s="9" t="n">
        <v>0</v>
      </c>
      <c r="J164" s="9" t="n">
        <v>0</v>
      </c>
      <c r="K164" s="9" t="n">
        <v>0</v>
      </c>
      <c r="L164" s="9" t="n">
        <v>0</v>
      </c>
      <c r="M164" s="9" t="n">
        <v>0</v>
      </c>
      <c r="N164" s="9" t="n">
        <v>0</v>
      </c>
      <c r="O164" s="9" t="n">
        <v>0</v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0</v>
      </c>
      <c r="W164" s="9" t="n">
        <v>0</v>
      </c>
      <c r="X164" s="9" t="n">
        <v>0</v>
      </c>
      <c r="Y164" s="9" t="n">
        <v>0</v>
      </c>
      <c r="Z164" s="9" t="n">
        <v>0</v>
      </c>
      <c r="AA164" s="9" t="n">
        <v>0</v>
      </c>
      <c r="AB164" s="9" t="n">
        <v>0</v>
      </c>
      <c r="AC164" s="9" t="n">
        <v>0</v>
      </c>
      <c r="AD164" s="9" t="n">
        <v>0</v>
      </c>
      <c r="AE164" s="9" t="n">
        <v>0</v>
      </c>
      <c r="AF164" s="9" t="n">
        <v>0</v>
      </c>
      <c r="AG164" s="9" t="n">
        <v>0</v>
      </c>
      <c r="AH164" s="9" t="n">
        <v>0</v>
      </c>
      <c r="AI164" s="9" t="n">
        <v>0</v>
      </c>
      <c r="AJ164" s="9" t="n">
        <v>0</v>
      </c>
      <c r="AK164" s="9" t="n">
        <v>0</v>
      </c>
      <c r="AL164" s="9" t="n">
        <v>0</v>
      </c>
      <c r="AM164" s="9" t="n">
        <v>0</v>
      </c>
      <c r="AN164" s="9" t="n">
        <v>0</v>
      </c>
      <c r="AO164" s="9" t="n">
        <v>0</v>
      </c>
      <c r="AP164" s="9" t="n">
        <v>0</v>
      </c>
      <c r="AQ164" s="9" t="n">
        <v>0</v>
      </c>
      <c r="AR164" s="9" t="n">
        <v>0</v>
      </c>
      <c r="AS164" s="9" t="n">
        <v>0</v>
      </c>
      <c r="AT164" s="9" t="n">
        <v>0</v>
      </c>
      <c r="AU164" s="9" t="n">
        <v>0</v>
      </c>
      <c r="AV164" s="9" t="n">
        <v>0</v>
      </c>
      <c r="AW164" s="9" t="n">
        <v>0</v>
      </c>
      <c r="AX164" s="9" t="n">
        <v>0</v>
      </c>
      <c r="AY164" s="9" t="n">
        <v>0</v>
      </c>
    </row>
    <row r="165">
      <c r="A165" s="9" t="n">
        <v>171</v>
      </c>
      <c r="B165" s="9" t="inlineStr">
        <is>
          <t>ЮК134</t>
        </is>
      </c>
      <c r="C165" s="9" t="inlineStr"/>
      <c r="D165" s="9" t="inlineStr">
        <is>
          <t>КОНФЕТЫ ВЕСОВЫЕ</t>
        </is>
      </c>
      <c r="E165" s="9" t="inlineStr">
        <is>
          <t>Локальный</t>
        </is>
      </c>
      <c r="F165" s="9" t="n">
        <v>1596</v>
      </c>
      <c r="G165" s="9" t="n">
        <v>0</v>
      </c>
      <c r="H165" s="9" t="n">
        <v>0</v>
      </c>
      <c r="I165" s="9" t="n">
        <v>0</v>
      </c>
      <c r="J165" s="9" t="n">
        <v>0</v>
      </c>
      <c r="K165" s="9" t="n">
        <v>0</v>
      </c>
      <c r="L165" s="9" t="n">
        <v>0</v>
      </c>
      <c r="M165" s="9" t="n">
        <v>0</v>
      </c>
      <c r="N165" s="9" t="n">
        <v>0</v>
      </c>
      <c r="O165" s="9" t="n">
        <v>0</v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0</v>
      </c>
      <c r="W165" s="9" t="n">
        <v>0</v>
      </c>
      <c r="X165" s="9" t="n">
        <v>0</v>
      </c>
      <c r="Y165" s="9" t="n">
        <v>0</v>
      </c>
      <c r="Z165" s="9" t="n">
        <v>0</v>
      </c>
      <c r="AA165" s="9" t="n">
        <v>0</v>
      </c>
      <c r="AB165" s="9" t="n">
        <v>0</v>
      </c>
      <c r="AC165" s="9" t="n">
        <v>0</v>
      </c>
      <c r="AD165" s="9" t="n">
        <v>0</v>
      </c>
      <c r="AE165" s="9" t="n">
        <v>0</v>
      </c>
      <c r="AF165" s="9" t="n">
        <v>0</v>
      </c>
      <c r="AG165" s="9" t="n">
        <v>0</v>
      </c>
      <c r="AH165" s="9" t="n">
        <v>0</v>
      </c>
      <c r="AI165" s="9" t="n">
        <v>0</v>
      </c>
      <c r="AJ165" s="9" t="n">
        <v>0</v>
      </c>
      <c r="AK165" s="9" t="n">
        <v>0</v>
      </c>
      <c r="AL165" s="9" t="n">
        <v>0</v>
      </c>
      <c r="AM165" s="9" t="n">
        <v>0</v>
      </c>
      <c r="AN165" s="9" t="n">
        <v>0</v>
      </c>
      <c r="AO165" s="9" t="n">
        <v>0</v>
      </c>
      <c r="AP165" s="9" t="n">
        <v>0</v>
      </c>
      <c r="AQ165" s="9" t="n">
        <v>0</v>
      </c>
      <c r="AR165" s="9" t="n">
        <v>0</v>
      </c>
      <c r="AS165" s="9" t="n">
        <v>0</v>
      </c>
      <c r="AT165" s="9" t="n">
        <v>0</v>
      </c>
      <c r="AU165" s="9" t="n">
        <v>0</v>
      </c>
      <c r="AV165" s="9" t="n">
        <v>0</v>
      </c>
      <c r="AW165" s="9" t="n">
        <v>0</v>
      </c>
      <c r="AX165" s="9" t="n">
        <v>0</v>
      </c>
      <c r="AY165" s="9" t="n">
        <v>0</v>
      </c>
    </row>
    <row r="166">
      <c r="A166" s="9" t="n">
        <v>172</v>
      </c>
      <c r="B166" s="9" t="inlineStr">
        <is>
          <t>КО176</t>
        </is>
      </c>
      <c r="C166" s="9" t="inlineStr"/>
      <c r="D166" s="9" t="inlineStr">
        <is>
          <t>КОНФЕТЫ ВЕСОВЫЕ</t>
        </is>
      </c>
      <c r="E166" s="9" t="inlineStr">
        <is>
          <t>Федеральный</t>
        </is>
      </c>
      <c r="F166" s="9" t="n">
        <v>414193.08</v>
      </c>
      <c r="G166" s="9" t="n">
        <v>126333</v>
      </c>
      <c r="H166" s="9" t="n">
        <v>317968</v>
      </c>
      <c r="I166" s="9" t="n">
        <v>248837.62</v>
      </c>
      <c r="J166" s="9" t="n">
        <v>268263.69</v>
      </c>
      <c r="K166" s="9" t="n">
        <v>61819.79</v>
      </c>
      <c r="L166" s="9" t="n">
        <v>57937</v>
      </c>
      <c r="M166" s="9" t="n">
        <v>2982.393613501169</v>
      </c>
      <c r="N166" s="9" t="n">
        <v>20197.25073385019</v>
      </c>
      <c r="O166" s="9" t="n">
        <v>842</v>
      </c>
      <c r="P166" s="9" t="n">
        <v>0</v>
      </c>
      <c r="Q166" s="9" t="n">
        <v>751.0580026869156</v>
      </c>
      <c r="R166" s="9" t="n">
        <v>0</v>
      </c>
      <c r="S166" s="9" t="n">
        <v>1.601668009997535</v>
      </c>
      <c r="T166" s="9" t="n">
        <v>52701</v>
      </c>
      <c r="U166" s="9" t="n">
        <v>4336.516293808812</v>
      </c>
      <c r="V166" s="9" t="n">
        <v>58244.37902446249</v>
      </c>
      <c r="W166" s="9" t="n">
        <v>900.5</v>
      </c>
      <c r="X166" s="9" t="n">
        <v>0</v>
      </c>
      <c r="Y166" s="9" t="n">
        <v>1659.602334523112</v>
      </c>
      <c r="Z166" s="9" t="n">
        <v>0</v>
      </c>
      <c r="AA166" s="9" t="n">
        <v>3.203336019995073</v>
      </c>
      <c r="AB166" s="9" t="n">
        <v>35495</v>
      </c>
      <c r="AC166" s="9" t="n">
        <v>3948.411881665917</v>
      </c>
      <c r="AD166" s="9" t="n">
        <v>91800.33297142538</v>
      </c>
      <c r="AE166" s="9" t="n">
        <v>999.3</v>
      </c>
      <c r="AF166" s="9" t="n">
        <v>0</v>
      </c>
      <c r="AG166" s="9" t="n">
        <v>2471.56710732143</v>
      </c>
      <c r="AH166" s="9" t="n">
        <v>0</v>
      </c>
      <c r="AI166" s="9" t="n">
        <v>5.125337631992123</v>
      </c>
      <c r="AJ166" s="9" t="n">
        <v>34323</v>
      </c>
      <c r="AK166" s="9" t="n">
        <v>3207.645576101488</v>
      </c>
      <c r="AL166" s="9" t="n">
        <v>92966.56564709227</v>
      </c>
      <c r="AM166" s="9" t="n">
        <v>888.15</v>
      </c>
      <c r="AN166" s="9" t="n">
        <v>0</v>
      </c>
      <c r="AO166" s="9" t="n">
        <v>2225.794185623324</v>
      </c>
      <c r="AP166" s="9" t="n">
        <v>0</v>
      </c>
      <c r="AQ166" s="9" t="n">
        <v>7.114160889529106</v>
      </c>
      <c r="AR166" s="9" t="n">
        <v>55672.25</v>
      </c>
      <c r="AS166" s="9" t="n">
        <v>2992.044023482431</v>
      </c>
      <c r="AT166" s="9" t="n">
        <v>67895.88910170057</v>
      </c>
      <c r="AU166" s="9" t="n">
        <v>814.05</v>
      </c>
      <c r="AV166" s="9" t="n">
        <v>0</v>
      </c>
      <c r="AW166" s="9" t="n">
        <v>375.5290013434585</v>
      </c>
      <c r="AX166" s="9" t="n">
        <v>0</v>
      </c>
      <c r="AY166" s="9" t="n">
        <v>3.203336019995077</v>
      </c>
    </row>
    <row r="167">
      <c r="A167" s="9" t="n">
        <v>173</v>
      </c>
      <c r="B167" s="9" t="inlineStr">
        <is>
          <t>КО041</t>
        </is>
      </c>
      <c r="C167" s="9" t="inlineStr"/>
      <c r="D167" s="9" t="inlineStr">
        <is>
          <t>КОНФЕТЫ ВЕСОВЫЕ</t>
        </is>
      </c>
      <c r="E167" s="9" t="inlineStr">
        <is>
          <t>Федеральный</t>
        </is>
      </c>
      <c r="F167" s="9" t="n">
        <v>98966</v>
      </c>
      <c r="G167" s="9" t="n">
        <v>0</v>
      </c>
      <c r="H167" s="9" t="n">
        <v>0</v>
      </c>
      <c r="I167" s="9" t="n">
        <v>57295.26</v>
      </c>
      <c r="J167" s="9" t="n">
        <v>52572.18</v>
      </c>
      <c r="K167" s="9" t="n">
        <v>36937.22</v>
      </c>
      <c r="L167" s="9" t="n">
        <v>26389</v>
      </c>
      <c r="M167" s="9" t="n">
        <v>1137.533657143732</v>
      </c>
      <c r="N167" s="9" t="n">
        <v>2915.268503157771</v>
      </c>
      <c r="O167" s="9" t="n">
        <v>21.5</v>
      </c>
      <c r="P167" s="9" t="n">
        <v>0</v>
      </c>
      <c r="Q167" s="9" t="n">
        <v>125.3915372610917</v>
      </c>
      <c r="R167" s="9" t="n">
        <v>172.6309881283272</v>
      </c>
      <c r="S167" s="9" t="n">
        <v>0</v>
      </c>
      <c r="T167" s="9" t="n">
        <v>36322</v>
      </c>
      <c r="U167" s="9" t="n">
        <v>2882.446001111247</v>
      </c>
      <c r="V167" s="9" t="n">
        <v>8065.754205813752</v>
      </c>
      <c r="W167" s="9" t="n">
        <v>39.5</v>
      </c>
      <c r="X167" s="9" t="n">
        <v>0</v>
      </c>
      <c r="Y167" s="9" t="n">
        <v>277.0759211984559</v>
      </c>
      <c r="Z167" s="9" t="n">
        <v>618.8707564940515</v>
      </c>
      <c r="AA167" s="9" t="n">
        <v>0</v>
      </c>
      <c r="AB167" s="9" t="n">
        <v>12578</v>
      </c>
      <c r="AC167" s="9" t="n">
        <v>2593.266103177618</v>
      </c>
      <c r="AD167" s="9" t="n">
        <v>10387.04072279979</v>
      </c>
      <c r="AE167" s="9" t="n">
        <v>69.90000000000001</v>
      </c>
      <c r="AF167" s="9" t="n">
        <v>0</v>
      </c>
      <c r="AG167" s="9" t="n">
        <v>412.6360386578205</v>
      </c>
      <c r="AH167" s="9" t="n">
        <v>399.6061762632621</v>
      </c>
      <c r="AI167" s="9" t="n">
        <v>0</v>
      </c>
      <c r="AJ167" s="9" t="n">
        <v>14741</v>
      </c>
      <c r="AK167" s="9" t="n">
        <v>3013.20657468798</v>
      </c>
      <c r="AL167" s="9" t="n">
        <v>10241.37713478207</v>
      </c>
      <c r="AM167" s="9" t="n">
        <v>35.7</v>
      </c>
      <c r="AN167" s="9" t="n">
        <v>0</v>
      </c>
      <c r="AO167" s="9" t="n">
        <v>371.6034627999982</v>
      </c>
      <c r="AP167" s="9" t="n">
        <v>144.1008786187599</v>
      </c>
      <c r="AQ167" s="9" t="n">
        <v>0</v>
      </c>
      <c r="AR167" s="9" t="n">
        <v>48497.99999999999</v>
      </c>
      <c r="AS167" s="9" t="n">
        <v>2603.088059204224</v>
      </c>
      <c r="AT167" s="9" t="n">
        <v>8788.762466148924</v>
      </c>
      <c r="AU167" s="9" t="n">
        <v>12.9</v>
      </c>
      <c r="AV167" s="9" t="n">
        <v>0</v>
      </c>
      <c r="AW167" s="9" t="n">
        <v>62.69576863054594</v>
      </c>
      <c r="AX167" s="9" t="n">
        <v>31.12022893223711</v>
      </c>
      <c r="AY167" s="9" t="n">
        <v>0</v>
      </c>
    </row>
    <row r="168">
      <c r="A168" s="9" t="n">
        <v>174</v>
      </c>
      <c r="B168" s="9" t="inlineStr">
        <is>
          <t>ЮК035</t>
        </is>
      </c>
      <c r="C168" s="9" t="inlineStr"/>
      <c r="D168" s="9" t="inlineStr">
        <is>
          <t>КОНФЕТЫ ВЕСОВЫЕ</t>
        </is>
      </c>
      <c r="E168" s="9" t="inlineStr">
        <is>
          <t>Локальный</t>
        </is>
      </c>
      <c r="F168" s="9" t="n">
        <v>28592.5</v>
      </c>
      <c r="G168" s="9" t="n">
        <v>12000</v>
      </c>
      <c r="H168" s="9" t="n">
        <v>20000</v>
      </c>
      <c r="I168" s="9" t="n">
        <v>20000</v>
      </c>
      <c r="J168" s="9" t="n">
        <v>14500</v>
      </c>
      <c r="K168" s="9" t="n">
        <v>0</v>
      </c>
      <c r="L168" s="9" t="n">
        <v>0</v>
      </c>
      <c r="M168" s="9" t="n">
        <v>0</v>
      </c>
      <c r="N168" s="9" t="n">
        <v>0</v>
      </c>
      <c r="O168" s="9" t="n">
        <v>8.4</v>
      </c>
      <c r="P168" s="9" t="n">
        <v>0</v>
      </c>
      <c r="Q168" s="9" t="n">
        <v>0</v>
      </c>
      <c r="R168" s="9" t="n">
        <v>0</v>
      </c>
      <c r="S168" s="9" t="n">
        <v>4949.661136668979</v>
      </c>
      <c r="T168" s="9" t="n">
        <v>0</v>
      </c>
      <c r="U168" s="9" t="n">
        <v>0</v>
      </c>
      <c r="V168" s="9" t="n">
        <v>0</v>
      </c>
      <c r="W168" s="9" t="n">
        <v>8.4</v>
      </c>
      <c r="X168" s="9" t="n">
        <v>0</v>
      </c>
      <c r="Y168" s="9" t="n">
        <v>0</v>
      </c>
      <c r="Z168" s="9" t="n">
        <v>0</v>
      </c>
      <c r="AA168" s="9" t="n">
        <v>10721.71462916175</v>
      </c>
      <c r="AB168" s="9" t="n">
        <v>0</v>
      </c>
      <c r="AC168" s="9" t="n">
        <v>0</v>
      </c>
      <c r="AD168" s="9" t="n">
        <v>0</v>
      </c>
      <c r="AE168" s="9" t="n">
        <v>8.4</v>
      </c>
      <c r="AF168" s="9" t="n">
        <v>0</v>
      </c>
      <c r="AG168" s="9" t="n">
        <v>0</v>
      </c>
      <c r="AH168" s="9" t="n">
        <v>0</v>
      </c>
      <c r="AI168" s="9" t="n">
        <v>11878.39577460513</v>
      </c>
      <c r="AJ168" s="9" t="n">
        <v>0</v>
      </c>
      <c r="AK168" s="9" t="n">
        <v>0</v>
      </c>
      <c r="AL168" s="9" t="n">
        <v>0</v>
      </c>
      <c r="AM168" s="9" t="n">
        <v>8.4</v>
      </c>
      <c r="AN168" s="9" t="n">
        <v>0</v>
      </c>
      <c r="AO168" s="9" t="n">
        <v>0</v>
      </c>
      <c r="AP168" s="9" t="n">
        <v>0</v>
      </c>
      <c r="AQ168" s="9" t="n">
        <v>19453.08395046676</v>
      </c>
      <c r="AR168" s="9" t="n">
        <v>0</v>
      </c>
      <c r="AS168" s="9" t="n">
        <v>0</v>
      </c>
      <c r="AT168" s="9" t="n">
        <v>0</v>
      </c>
      <c r="AU168" s="9" t="n">
        <v>8.4</v>
      </c>
      <c r="AV168" s="9" t="n">
        <v>0</v>
      </c>
      <c r="AW168" s="9" t="n">
        <v>0</v>
      </c>
      <c r="AX168" s="9" t="n">
        <v>0</v>
      </c>
      <c r="AY168" s="9" t="n">
        <v>2474.83056833449</v>
      </c>
    </row>
    <row r="169">
      <c r="A169" s="9" t="n">
        <v>175</v>
      </c>
      <c r="B169" s="9" t="inlineStr">
        <is>
          <t>ЮК133</t>
        </is>
      </c>
      <c r="C169" s="9" t="inlineStr"/>
      <c r="D169" s="9" t="inlineStr">
        <is>
          <t>КОНФЕТЫ ВЕСОВЫЕ</t>
        </is>
      </c>
      <c r="E169" s="9" t="inlineStr">
        <is>
          <t>Локальный</t>
        </is>
      </c>
      <c r="F169" s="9" t="n">
        <v>2922</v>
      </c>
      <c r="G169" s="9" t="n">
        <v>0</v>
      </c>
      <c r="H169" s="9" t="n">
        <v>5000</v>
      </c>
      <c r="I169" s="9" t="n">
        <v>0</v>
      </c>
      <c r="J169" s="9" t="n">
        <v>5000</v>
      </c>
      <c r="K169" s="9" t="n">
        <v>0</v>
      </c>
      <c r="L169" s="9" t="n">
        <v>0</v>
      </c>
      <c r="M169" s="9" t="n">
        <v>0</v>
      </c>
      <c r="N169" s="9" t="n">
        <v>0</v>
      </c>
      <c r="O169" s="9" t="n">
        <v>0</v>
      </c>
      <c r="P169" s="9" t="n">
        <v>0</v>
      </c>
      <c r="Q169" s="9" t="n">
        <v>0</v>
      </c>
      <c r="R169" s="9" t="n">
        <v>0</v>
      </c>
      <c r="S169" s="9" t="n">
        <v>1910.848838898757</v>
      </c>
      <c r="T169" s="9" t="n">
        <v>0</v>
      </c>
      <c r="U169" s="9" t="n">
        <v>0</v>
      </c>
      <c r="V169" s="9" t="n">
        <v>0</v>
      </c>
      <c r="W169" s="9" t="n">
        <v>0</v>
      </c>
      <c r="X169" s="9" t="n">
        <v>0</v>
      </c>
      <c r="Y169" s="9" t="n">
        <v>0</v>
      </c>
      <c r="Z169" s="9" t="n">
        <v>0</v>
      </c>
      <c r="AA169" s="9" t="n">
        <v>4139.187589703415</v>
      </c>
      <c r="AB169" s="9" t="n">
        <v>0</v>
      </c>
      <c r="AC169" s="9" t="n">
        <v>0</v>
      </c>
      <c r="AD169" s="9" t="n">
        <v>0</v>
      </c>
      <c r="AE169" s="9" t="n">
        <v>0</v>
      </c>
      <c r="AF169" s="9" t="n">
        <v>0</v>
      </c>
      <c r="AG169" s="9" t="n">
        <v>0</v>
      </c>
      <c r="AH169" s="9" t="n">
        <v>0</v>
      </c>
      <c r="AI169" s="9" t="n">
        <v>4585.731860658098</v>
      </c>
      <c r="AJ169" s="9" t="n">
        <v>0</v>
      </c>
      <c r="AK169" s="9" t="n">
        <v>0</v>
      </c>
      <c r="AL169" s="9" t="n">
        <v>0</v>
      </c>
      <c r="AM169" s="9" t="n">
        <v>0</v>
      </c>
      <c r="AN169" s="9" t="n">
        <v>0</v>
      </c>
      <c r="AO169" s="9" t="n">
        <v>0</v>
      </c>
      <c r="AP169" s="9" t="n">
        <v>0</v>
      </c>
      <c r="AQ169" s="9" t="n">
        <v>7509.989442381381</v>
      </c>
      <c r="AR169" s="9" t="n">
        <v>0</v>
      </c>
      <c r="AS169" s="9" t="n">
        <v>0</v>
      </c>
      <c r="AT169" s="9" t="n">
        <v>0</v>
      </c>
      <c r="AU169" s="9" t="n">
        <v>0</v>
      </c>
      <c r="AV169" s="9" t="n">
        <v>0</v>
      </c>
      <c r="AW169" s="9" t="n">
        <v>0</v>
      </c>
      <c r="AX169" s="9" t="n">
        <v>0</v>
      </c>
      <c r="AY169" s="9" t="n">
        <v>955.4244194493784</v>
      </c>
    </row>
    <row r="170">
      <c r="A170" s="9" t="n">
        <v>176</v>
      </c>
      <c r="B170" s="9" t="inlineStr">
        <is>
          <t>КО142</t>
        </is>
      </c>
      <c r="C170" s="9" t="inlineStr"/>
      <c r="D170" s="9" t="inlineStr">
        <is>
          <t>КОНФЕТЫ ВЕСОВЫЕ</t>
        </is>
      </c>
      <c r="E170" s="9" t="inlineStr">
        <is>
          <t>Федеральный</t>
        </is>
      </c>
      <c r="F170" s="9" t="n">
        <v>49683.00000000001</v>
      </c>
      <c r="G170" s="9" t="n">
        <v>0</v>
      </c>
      <c r="H170" s="9" t="n">
        <v>0</v>
      </c>
      <c r="I170" s="9" t="n">
        <v>0</v>
      </c>
      <c r="J170" s="9" t="n">
        <v>0</v>
      </c>
      <c r="K170" s="9" t="n">
        <v>0</v>
      </c>
      <c r="L170" s="9" t="n">
        <v>0</v>
      </c>
      <c r="M170" s="9" t="n">
        <v>0</v>
      </c>
      <c r="N170" s="9" t="n">
        <v>3010.847832221061</v>
      </c>
      <c r="O170" s="9" t="n">
        <v>10</v>
      </c>
      <c r="P170" s="9" t="n">
        <v>0</v>
      </c>
      <c r="Q170" s="9" t="n">
        <v>178.9642884454685</v>
      </c>
      <c r="R170" s="9" t="n">
        <v>47.92449762410854</v>
      </c>
      <c r="S170" s="9" t="n">
        <v>0</v>
      </c>
      <c r="T170" s="9" t="n">
        <v>0</v>
      </c>
      <c r="U170" s="9" t="n">
        <v>0</v>
      </c>
      <c r="V170" s="9" t="n">
        <v>24361.09685426249</v>
      </c>
      <c r="W170" s="9" t="n">
        <v>19</v>
      </c>
      <c r="X170" s="9" t="n">
        <v>0</v>
      </c>
      <c r="Y170" s="9" t="n">
        <v>395.4548781023744</v>
      </c>
      <c r="Z170" s="9" t="n">
        <v>131.704512845747</v>
      </c>
      <c r="AA170" s="9" t="n">
        <v>0</v>
      </c>
      <c r="AB170" s="9" t="n">
        <v>0</v>
      </c>
      <c r="AC170" s="9" t="n">
        <v>0</v>
      </c>
      <c r="AD170" s="9" t="n">
        <v>31761.08702900993</v>
      </c>
      <c r="AE170" s="9" t="n">
        <v>34.2</v>
      </c>
      <c r="AF170" s="9" t="n">
        <v>0</v>
      </c>
      <c r="AG170" s="9" t="n">
        <v>588.9322091297787</v>
      </c>
      <c r="AH170" s="9" t="n">
        <v>133.1348551567075</v>
      </c>
      <c r="AI170" s="9" t="n">
        <v>0</v>
      </c>
      <c r="AJ170" s="9" t="n">
        <v>0</v>
      </c>
      <c r="AK170" s="9" t="n">
        <v>0</v>
      </c>
      <c r="AL170" s="9" t="n">
        <v>13124.51034168467</v>
      </c>
      <c r="AM170" s="9" t="n">
        <v>17.1</v>
      </c>
      <c r="AN170" s="9" t="n">
        <v>0</v>
      </c>
      <c r="AO170" s="9" t="n">
        <v>530.3687214983172</v>
      </c>
      <c r="AP170" s="9" t="n">
        <v>76.37691521142588</v>
      </c>
      <c r="AQ170" s="9" t="n">
        <v>0</v>
      </c>
      <c r="AR170" s="9" t="n">
        <v>0</v>
      </c>
      <c r="AS170" s="9" t="n">
        <v>0</v>
      </c>
      <c r="AT170" s="9" t="n">
        <v>10494.20688230523</v>
      </c>
      <c r="AU170" s="9" t="n">
        <v>5.7</v>
      </c>
      <c r="AV170" s="9" t="n">
        <v>0</v>
      </c>
      <c r="AW170" s="9" t="n">
        <v>89.48214422273439</v>
      </c>
      <c r="AX170" s="9" t="n">
        <v>11.49927552218715</v>
      </c>
      <c r="AY170" s="9" t="n">
        <v>0</v>
      </c>
    </row>
    <row r="171">
      <c r="A171" s="9" t="n">
        <v>177</v>
      </c>
      <c r="B171" s="9" t="inlineStr">
        <is>
          <t>ЮК035</t>
        </is>
      </c>
      <c r="C171" s="9" t="inlineStr"/>
      <c r="D171" s="9" t="inlineStr">
        <is>
          <t>КОНФЕТЫ ВЕСОВЫЕ</t>
        </is>
      </c>
      <c r="E171" s="9" t="inlineStr">
        <is>
          <t>Локальный</t>
        </is>
      </c>
      <c r="F171" s="9" t="n">
        <v>138.9</v>
      </c>
      <c r="G171" s="9" t="n">
        <v>0</v>
      </c>
      <c r="H171" s="9" t="n">
        <v>4000</v>
      </c>
      <c r="I171" s="9" t="n">
        <v>3000</v>
      </c>
      <c r="J171" s="9" t="n">
        <v>0</v>
      </c>
      <c r="K171" s="9" t="n">
        <v>0</v>
      </c>
      <c r="L171" s="9" t="n">
        <v>0</v>
      </c>
      <c r="M171" s="9" t="n">
        <v>0</v>
      </c>
      <c r="N171" s="9" t="n">
        <v>0</v>
      </c>
      <c r="O171" s="9" t="n">
        <v>0</v>
      </c>
      <c r="P171" s="9" t="n">
        <v>0</v>
      </c>
      <c r="Q171" s="9" t="n">
        <v>0</v>
      </c>
      <c r="R171" s="9" t="n">
        <v>0</v>
      </c>
      <c r="S171" s="9" t="n">
        <v>1037.756960635727</v>
      </c>
      <c r="T171" s="9" t="n">
        <v>0</v>
      </c>
      <c r="U171" s="9" t="n">
        <v>0</v>
      </c>
      <c r="V171" s="9" t="n">
        <v>0</v>
      </c>
      <c r="W171" s="9" t="n">
        <v>0</v>
      </c>
      <c r="X171" s="9" t="n">
        <v>0</v>
      </c>
      <c r="Y171" s="9" t="n">
        <v>0</v>
      </c>
      <c r="Z171" s="9" t="n">
        <v>0</v>
      </c>
      <c r="AA171" s="9" t="n">
        <v>2247.938531373974</v>
      </c>
      <c r="AB171" s="9" t="n">
        <v>0</v>
      </c>
      <c r="AC171" s="9" t="n">
        <v>0</v>
      </c>
      <c r="AD171" s="9" t="n">
        <v>0</v>
      </c>
      <c r="AE171" s="9" t="n">
        <v>0</v>
      </c>
      <c r="AF171" s="9" t="n">
        <v>0</v>
      </c>
      <c r="AG171" s="9" t="n">
        <v>0</v>
      </c>
      <c r="AH171" s="9" t="n">
        <v>0</v>
      </c>
      <c r="AI171" s="9" t="n">
        <v>2490.450872476943</v>
      </c>
      <c r="AJ171" s="9" t="n">
        <v>0</v>
      </c>
      <c r="AK171" s="9" t="n">
        <v>0</v>
      </c>
      <c r="AL171" s="9" t="n">
        <v>0</v>
      </c>
      <c r="AM171" s="9" t="n">
        <v>0</v>
      </c>
      <c r="AN171" s="9" t="n">
        <v>0</v>
      </c>
      <c r="AO171" s="9" t="n">
        <v>0</v>
      </c>
      <c r="AP171" s="9" t="n">
        <v>0</v>
      </c>
      <c r="AQ171" s="9" t="n">
        <v>4078.576839507411</v>
      </c>
      <c r="AR171" s="9" t="n">
        <v>0</v>
      </c>
      <c r="AS171" s="9" t="n">
        <v>0</v>
      </c>
      <c r="AT171" s="9" t="n">
        <v>0</v>
      </c>
      <c r="AU171" s="9" t="n">
        <v>0</v>
      </c>
      <c r="AV171" s="9" t="n">
        <v>0</v>
      </c>
      <c r="AW171" s="9" t="n">
        <v>0</v>
      </c>
      <c r="AX171" s="9" t="n">
        <v>0</v>
      </c>
      <c r="AY171" s="9" t="n">
        <v>518.8784803178633</v>
      </c>
    </row>
    <row r="172">
      <c r="A172" s="9" t="n">
        <v>178</v>
      </c>
      <c r="B172" s="9" t="inlineStr">
        <is>
          <t>ЮК179</t>
        </is>
      </c>
      <c r="C172" s="9" t="inlineStr"/>
      <c r="D172" s="9" t="inlineStr">
        <is>
          <t>КОНФЕТЫ ВЕСОВЫЕ</t>
        </is>
      </c>
      <c r="E172" s="9" t="inlineStr">
        <is>
          <t>Локальный</t>
        </is>
      </c>
      <c r="F172" s="9" t="n">
        <v>0</v>
      </c>
      <c r="G172" s="9" t="n">
        <v>0</v>
      </c>
      <c r="H172" s="9" t="n">
        <v>2500</v>
      </c>
      <c r="I172" s="9" t="n">
        <v>2500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9" t="n">
        <v>0</v>
      </c>
      <c r="Q172" s="9" t="n">
        <v>0</v>
      </c>
      <c r="R172" s="9" t="n">
        <v>0</v>
      </c>
      <c r="S172" s="9" t="n">
        <v>976.2177817545656</v>
      </c>
      <c r="T172" s="9" t="n">
        <v>0</v>
      </c>
      <c r="U172" s="9" t="n">
        <v>0</v>
      </c>
      <c r="V172" s="9" t="n">
        <v>0</v>
      </c>
      <c r="W172" s="9" t="n">
        <v>0</v>
      </c>
      <c r="X172" s="9" t="n">
        <v>0</v>
      </c>
      <c r="Y172" s="9" t="n">
        <v>0</v>
      </c>
      <c r="Z172" s="9" t="n">
        <v>0</v>
      </c>
      <c r="AA172" s="9" t="n">
        <v>2114.635362478501</v>
      </c>
      <c r="AB172" s="9" t="n">
        <v>0</v>
      </c>
      <c r="AC172" s="9" t="n">
        <v>0</v>
      </c>
      <c r="AD172" s="9" t="n">
        <v>0</v>
      </c>
      <c r="AE172" s="9" t="n">
        <v>0</v>
      </c>
      <c r="AF172" s="9" t="n">
        <v>0</v>
      </c>
      <c r="AG172" s="9" t="n">
        <v>0</v>
      </c>
      <c r="AH172" s="9" t="n">
        <v>0</v>
      </c>
      <c r="AI172" s="9" t="n">
        <v>2342.766677092492</v>
      </c>
      <c r="AJ172" s="9" t="n">
        <v>0</v>
      </c>
      <c r="AK172" s="9" t="n">
        <v>0</v>
      </c>
      <c r="AL172" s="9" t="n">
        <v>0</v>
      </c>
      <c r="AM172" s="9" t="n">
        <v>0</v>
      </c>
      <c r="AN172" s="9" t="n">
        <v>0</v>
      </c>
      <c r="AO172" s="9" t="n">
        <v>0</v>
      </c>
      <c r="AP172" s="9" t="n">
        <v>0</v>
      </c>
      <c r="AQ172" s="9" t="n">
        <v>3836.716481805498</v>
      </c>
      <c r="AR172" s="9" t="n">
        <v>0</v>
      </c>
      <c r="AS172" s="9" t="n">
        <v>0</v>
      </c>
      <c r="AT172" s="9" t="n">
        <v>0</v>
      </c>
      <c r="AU172" s="9" t="n">
        <v>0</v>
      </c>
      <c r="AV172" s="9" t="n">
        <v>0</v>
      </c>
      <c r="AW172" s="9" t="n">
        <v>0</v>
      </c>
      <c r="AX172" s="9" t="n">
        <v>0</v>
      </c>
      <c r="AY172" s="9" t="n">
        <v>488.1088908772828</v>
      </c>
    </row>
    <row r="173">
      <c r="A173" s="9" t="n">
        <v>179</v>
      </c>
      <c r="B173" s="9" t="inlineStr">
        <is>
          <t>КО226</t>
        </is>
      </c>
      <c r="C173" s="9" t="inlineStr"/>
      <c r="D173" s="9" t="inlineStr">
        <is>
          <t>КОНФЕТЫ ВЕСОВЫЕ</t>
        </is>
      </c>
      <c r="E173" s="9" t="inlineStr">
        <is>
          <t>Федеральный</t>
        </is>
      </c>
      <c r="F173" s="9" t="n">
        <v>14.7</v>
      </c>
      <c r="G173" s="9" t="n">
        <v>0</v>
      </c>
      <c r="H173" s="9" t="n">
        <v>0</v>
      </c>
      <c r="I173" s="9" t="n">
        <v>0</v>
      </c>
      <c r="J173" s="9" t="n">
        <v>0</v>
      </c>
      <c r="K173" s="9" t="n">
        <v>0</v>
      </c>
      <c r="L173" s="9" t="n">
        <v>0</v>
      </c>
      <c r="M173" s="9" t="n">
        <v>0</v>
      </c>
      <c r="N173" s="9" t="n">
        <v>706.4416983698972</v>
      </c>
      <c r="O173" s="9" t="n">
        <v>0</v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1948.252972213319</v>
      </c>
      <c r="W173" s="9" t="n">
        <v>0</v>
      </c>
      <c r="X173" s="9" t="n">
        <v>0</v>
      </c>
      <c r="Y173" s="9" t="n">
        <v>0</v>
      </c>
      <c r="Z173" s="9" t="n">
        <v>0</v>
      </c>
      <c r="AA173" s="9" t="n">
        <v>0</v>
      </c>
      <c r="AB173" s="9" t="n">
        <v>0</v>
      </c>
      <c r="AC173" s="9" t="n">
        <v>0</v>
      </c>
      <c r="AD173" s="9" t="n">
        <v>2672.923928820986</v>
      </c>
      <c r="AE173" s="9" t="n">
        <v>0</v>
      </c>
      <c r="AF173" s="9" t="n">
        <v>0</v>
      </c>
      <c r="AG173" s="9" t="n">
        <v>0</v>
      </c>
      <c r="AH173" s="9" t="n">
        <v>0</v>
      </c>
      <c r="AI173" s="9" t="n">
        <v>0</v>
      </c>
      <c r="AJ173" s="9" t="n">
        <v>0</v>
      </c>
      <c r="AK173" s="9" t="n">
        <v>0</v>
      </c>
      <c r="AL173" s="9" t="n">
        <v>2693.378796417703</v>
      </c>
      <c r="AM173" s="9" t="n">
        <v>0</v>
      </c>
      <c r="AN173" s="9" t="n">
        <v>0</v>
      </c>
      <c r="AO173" s="9" t="n">
        <v>0</v>
      </c>
      <c r="AP173" s="9" t="n">
        <v>0</v>
      </c>
      <c r="AQ173" s="9" t="n">
        <v>0</v>
      </c>
      <c r="AR173" s="9" t="n">
        <v>0</v>
      </c>
      <c r="AS173" s="9" t="n">
        <v>0</v>
      </c>
      <c r="AT173" s="9" t="n">
        <v>2835.449124631791</v>
      </c>
      <c r="AU173" s="9" t="n">
        <v>0</v>
      </c>
      <c r="AV173" s="9" t="n">
        <v>0</v>
      </c>
      <c r="AW173" s="9" t="n">
        <v>0</v>
      </c>
      <c r="AX173" s="9" t="n">
        <v>0</v>
      </c>
      <c r="AY173" s="9" t="n">
        <v>0</v>
      </c>
    </row>
    <row r="174">
      <c r="A174" s="9" t="n">
        <v>180</v>
      </c>
      <c r="B174" s="9" t="inlineStr">
        <is>
          <t>КО015</t>
        </is>
      </c>
      <c r="C174" s="9" t="inlineStr"/>
      <c r="D174" s="9" t="inlineStr">
        <is>
          <t>КОНФЕТЫ ВЕСОВЫЕ</t>
        </is>
      </c>
      <c r="E174" s="9" t="inlineStr">
        <is>
          <t>Федеральный</t>
        </is>
      </c>
      <c r="F174" s="9" t="n">
        <v>32674.965</v>
      </c>
      <c r="G174" s="9" t="n">
        <v>0</v>
      </c>
      <c r="H174" s="9" t="n">
        <v>0</v>
      </c>
      <c r="I174" s="9" t="n">
        <v>0</v>
      </c>
      <c r="J174" s="9" t="n">
        <v>0</v>
      </c>
      <c r="K174" s="9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9" t="n">
        <v>0</v>
      </c>
      <c r="Q174" s="9" t="n">
        <v>0</v>
      </c>
      <c r="R174" s="9" t="n">
        <v>0</v>
      </c>
      <c r="S174" s="9" t="n">
        <v>0.4565586851483371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0</v>
      </c>
      <c r="Y174" s="9" t="n">
        <v>0</v>
      </c>
      <c r="Z174" s="9" t="n">
        <v>0</v>
      </c>
      <c r="AA174" s="9" t="n">
        <v>0.9131173702966751</v>
      </c>
      <c r="AB174" s="9" t="n">
        <v>0</v>
      </c>
      <c r="AC174" s="9" t="n">
        <v>0</v>
      </c>
      <c r="AD174" s="9" t="n">
        <v>0</v>
      </c>
      <c r="AE174" s="9" t="n">
        <v>0</v>
      </c>
      <c r="AF174" s="9" t="n">
        <v>0</v>
      </c>
      <c r="AG174" s="9" t="n">
        <v>0</v>
      </c>
      <c r="AH174" s="9" t="n">
        <v>0</v>
      </c>
      <c r="AI174" s="9" t="n">
        <v>1.460987792474681</v>
      </c>
      <c r="AJ174" s="9" t="n">
        <v>0</v>
      </c>
      <c r="AK174" s="9" t="n">
        <v>0</v>
      </c>
      <c r="AL174" s="9" t="n">
        <v>0</v>
      </c>
      <c r="AM174" s="9" t="n">
        <v>0</v>
      </c>
      <c r="AN174" s="9" t="n">
        <v>0</v>
      </c>
      <c r="AO174" s="9" t="n">
        <v>0</v>
      </c>
      <c r="AP174" s="9" t="n">
        <v>0</v>
      </c>
      <c r="AQ174" s="9" t="n">
        <v>2.027905859006406</v>
      </c>
      <c r="AR174" s="9" t="n">
        <v>0</v>
      </c>
      <c r="AS174" s="9" t="n">
        <v>0</v>
      </c>
      <c r="AT174" s="9" t="n">
        <v>0</v>
      </c>
      <c r="AU174" s="9" t="n">
        <v>0</v>
      </c>
      <c r="AV174" s="9" t="n">
        <v>0</v>
      </c>
      <c r="AW174" s="9" t="n">
        <v>0</v>
      </c>
      <c r="AX174" s="9" t="n">
        <v>0</v>
      </c>
      <c r="AY174" s="9" t="n">
        <v>0.9131173702966758</v>
      </c>
    </row>
    <row r="175">
      <c r="A175" s="9" t="n">
        <v>181</v>
      </c>
      <c r="B175" s="9" t="inlineStr">
        <is>
          <t>РФ176</t>
        </is>
      </c>
      <c r="C175" s="9" t="inlineStr"/>
      <c r="D175" s="9" t="inlineStr">
        <is>
          <t>КОНФЕТЫ ВЕСОВЫЕ</t>
        </is>
      </c>
      <c r="E175" s="9" t="inlineStr">
        <is>
          <t>Федеральный</t>
        </is>
      </c>
      <c r="F175" s="9" t="n">
        <v>317939.666</v>
      </c>
      <c r="G175" s="9" t="n">
        <v>58944</v>
      </c>
      <c r="H175" s="9" t="n">
        <v>146302.33</v>
      </c>
      <c r="I175" s="9" t="n">
        <v>114103.15</v>
      </c>
      <c r="J175" s="9" t="n">
        <v>106115.94</v>
      </c>
      <c r="K175" s="9" t="n">
        <v>85000</v>
      </c>
      <c r="L175" s="9" t="n">
        <v>50995</v>
      </c>
      <c r="M175" s="9" t="n">
        <v>684.5881198037318</v>
      </c>
      <c r="N175" s="9" t="n">
        <v>9476.626290632861</v>
      </c>
      <c r="O175" s="9" t="n">
        <v>940</v>
      </c>
      <c r="P175" s="9" t="n">
        <v>0</v>
      </c>
      <c r="Q175" s="9" t="n">
        <v>386.7661797942616</v>
      </c>
      <c r="R175" s="9" t="n">
        <v>0</v>
      </c>
      <c r="S175" s="9" t="n">
        <v>0.949233325031885</v>
      </c>
      <c r="T175" s="9" t="n">
        <v>35251</v>
      </c>
      <c r="U175" s="9" t="n">
        <v>1618.980009220595</v>
      </c>
      <c r="V175" s="9" t="n">
        <v>40720.84666496677</v>
      </c>
      <c r="W175" s="9" t="n">
        <v>1030</v>
      </c>
      <c r="X175" s="9" t="n">
        <v>0</v>
      </c>
      <c r="Y175" s="9" t="n">
        <v>854.6318028765003</v>
      </c>
      <c r="Z175" s="9" t="n">
        <v>0</v>
      </c>
      <c r="AA175" s="9" t="n">
        <v>1.898466650063771</v>
      </c>
      <c r="AB175" s="9" t="n">
        <v>56816</v>
      </c>
      <c r="AC175" s="9" t="n">
        <v>1456.556680685557</v>
      </c>
      <c r="AD175" s="9" t="n">
        <v>36089.2309447373</v>
      </c>
      <c r="AE175" s="9" t="n">
        <v>1182</v>
      </c>
      <c r="AF175" s="9" t="n">
        <v>0</v>
      </c>
      <c r="AG175" s="9" t="n">
        <v>1272.762642544327</v>
      </c>
      <c r="AH175" s="9" t="n">
        <v>0</v>
      </c>
      <c r="AI175" s="9" t="n">
        <v>3.037546640102037</v>
      </c>
      <c r="AJ175" s="9" t="n">
        <v>64392</v>
      </c>
      <c r="AK175" s="9" t="n">
        <v>2493.472210409713</v>
      </c>
      <c r="AL175" s="9" t="n">
        <v>36269.56035951016</v>
      </c>
      <c r="AM175" s="9" t="n">
        <v>1011</v>
      </c>
      <c r="AN175" s="9" t="n">
        <v>0</v>
      </c>
      <c r="AO175" s="9" t="n">
        <v>1146.19897677952</v>
      </c>
      <c r="AP175" s="9" t="n">
        <v>0</v>
      </c>
      <c r="AQ175" s="9" t="n">
        <v>4.216228677745706</v>
      </c>
      <c r="AR175" s="9" t="n">
        <v>119328.3</v>
      </c>
      <c r="AS175" s="9" t="n">
        <v>2325.873743801631</v>
      </c>
      <c r="AT175" s="9" t="n">
        <v>32422.50392333742</v>
      </c>
      <c r="AU175" s="9" t="n">
        <v>897</v>
      </c>
      <c r="AV175" s="9" t="n">
        <v>0</v>
      </c>
      <c r="AW175" s="9" t="n">
        <v>193.3830898971311</v>
      </c>
      <c r="AX175" s="9" t="n">
        <v>0</v>
      </c>
      <c r="AY175" s="9" t="n">
        <v>1.898466650063773</v>
      </c>
    </row>
    <row r="176">
      <c r="A176" s="9" t="n">
        <v>182</v>
      </c>
      <c r="B176" s="9" t="inlineStr">
        <is>
          <t>РФ048</t>
        </is>
      </c>
      <c r="C176" s="9" t="inlineStr"/>
      <c r="D176" s="9" t="inlineStr">
        <is>
          <t>КОНФЕТЫ ВЕСОВЫЕ</t>
        </is>
      </c>
      <c r="E176" s="9" t="inlineStr">
        <is>
          <t>Федеральный</t>
        </is>
      </c>
      <c r="F176" s="9" t="n">
        <v>74866.5</v>
      </c>
      <c r="G176" s="9" t="n">
        <v>0</v>
      </c>
      <c r="H176" s="9" t="n">
        <v>28000</v>
      </c>
      <c r="I176" s="9" t="n">
        <v>28000</v>
      </c>
      <c r="J176" s="9" t="n">
        <v>24672</v>
      </c>
      <c r="K176" s="9" t="n">
        <v>0</v>
      </c>
      <c r="L176" s="9" t="n">
        <v>9810</v>
      </c>
      <c r="M176" s="9" t="n">
        <v>420.2509892846507</v>
      </c>
      <c r="N176" s="9" t="n">
        <v>2224.537130147354</v>
      </c>
      <c r="O176" s="9" t="n">
        <v>20</v>
      </c>
      <c r="P176" s="9" t="n">
        <v>0</v>
      </c>
      <c r="Q176" s="9" t="n">
        <v>320.5172062869161</v>
      </c>
      <c r="R176" s="9" t="n">
        <v>529.4977302085164</v>
      </c>
      <c r="S176" s="9" t="n">
        <v>0</v>
      </c>
      <c r="T176" s="9" t="n">
        <v>6291</v>
      </c>
      <c r="U176" s="9" t="n">
        <v>1035.974379863193</v>
      </c>
      <c r="V176" s="9" t="n">
        <v>5599.97840801469</v>
      </c>
      <c r="W176" s="9" t="n">
        <v>38</v>
      </c>
      <c r="X176" s="9" t="n">
        <v>0</v>
      </c>
      <c r="Y176" s="9" t="n">
        <v>708.2423752967204</v>
      </c>
      <c r="Z176" s="9" t="n">
        <v>1654.806778772522</v>
      </c>
      <c r="AA176" s="9" t="n">
        <v>0</v>
      </c>
      <c r="AB176" s="9" t="n">
        <v>4485</v>
      </c>
      <c r="AC176" s="9" t="n">
        <v>897.4383817824967</v>
      </c>
      <c r="AD176" s="9" t="n">
        <v>7531.364333219882</v>
      </c>
      <c r="AE176" s="9" t="n">
        <v>68.40000000000001</v>
      </c>
      <c r="AF176" s="9" t="n">
        <v>0</v>
      </c>
      <c r="AG176" s="9" t="n">
        <v>1054.751805526697</v>
      </c>
      <c r="AH176" s="9" t="n">
        <v>1333.98380156083</v>
      </c>
      <c r="AI176" s="9" t="n">
        <v>0</v>
      </c>
      <c r="AJ176" s="9" t="n">
        <v>5106</v>
      </c>
      <c r="AK176" s="9" t="n">
        <v>967.4687720210401</v>
      </c>
      <c r="AL176" s="9" t="n">
        <v>7433.900369622327</v>
      </c>
      <c r="AM176" s="9" t="n">
        <v>34.2</v>
      </c>
      <c r="AN176" s="9" t="n">
        <v>0</v>
      </c>
      <c r="AO176" s="9" t="n">
        <v>949.8671628468593</v>
      </c>
      <c r="AP176" s="9" t="n">
        <v>703.656254460783</v>
      </c>
      <c r="AQ176" s="9" t="n">
        <v>0</v>
      </c>
      <c r="AR176" s="9" t="n">
        <v>7783</v>
      </c>
      <c r="AS176" s="9" t="n">
        <v>532.2616636854237</v>
      </c>
      <c r="AT176" s="9" t="n">
        <v>6968.983299138753</v>
      </c>
      <c r="AU176" s="9" t="n">
        <v>11.4</v>
      </c>
      <c r="AV176" s="9" t="n">
        <v>0</v>
      </c>
      <c r="AW176" s="9" t="n">
        <v>160.2586031434583</v>
      </c>
      <c r="AX176" s="9" t="n">
        <v>99.69127755585184</v>
      </c>
      <c r="AY176" s="9" t="n">
        <v>0</v>
      </c>
    </row>
    <row r="177">
      <c r="A177" s="9" t="n">
        <v>183</v>
      </c>
      <c r="B177" s="9" t="inlineStr">
        <is>
          <t>РФ143</t>
        </is>
      </c>
      <c r="C177" s="9" t="inlineStr"/>
      <c r="D177" s="9" t="inlineStr">
        <is>
          <t>КОНФЕТЫ ВЕСОВЫЕ</t>
        </is>
      </c>
      <c r="E177" s="9" t="inlineStr">
        <is>
          <t>Федеральный</t>
        </is>
      </c>
      <c r="F177" s="9" t="n">
        <v>26177</v>
      </c>
      <c r="G177" s="9" t="n">
        <v>0</v>
      </c>
      <c r="H177" s="9" t="n">
        <v>22638.19</v>
      </c>
      <c r="I177" s="9" t="n">
        <v>8814.209999999999</v>
      </c>
      <c r="J177" s="9" t="n">
        <v>16708.7</v>
      </c>
      <c r="K177" s="9" t="n">
        <v>0</v>
      </c>
      <c r="L177" s="9" t="n">
        <v>0</v>
      </c>
      <c r="M177" s="9" t="n">
        <v>0</v>
      </c>
      <c r="N177" s="9" t="n">
        <v>1855.12462126567</v>
      </c>
      <c r="O177" s="9" t="n">
        <v>0</v>
      </c>
      <c r="P177" s="9" t="n">
        <v>0</v>
      </c>
      <c r="Q177" s="9" t="n">
        <v>137.1507742423891</v>
      </c>
      <c r="R177" s="9" t="n">
        <v>43.68539710082361</v>
      </c>
      <c r="S177" s="9" t="n">
        <v>0</v>
      </c>
      <c r="T177" s="9" t="n">
        <v>0</v>
      </c>
      <c r="U177" s="9" t="n">
        <v>0</v>
      </c>
      <c r="V177" s="9" t="n">
        <v>5835.689460450571</v>
      </c>
      <c r="W177" s="9" t="n">
        <v>0</v>
      </c>
      <c r="X177" s="9" t="n">
        <v>0</v>
      </c>
      <c r="Y177" s="9" t="n">
        <v>303.0601422260655</v>
      </c>
      <c r="Z177" s="9" t="n">
        <v>118.9120989153374</v>
      </c>
      <c r="AA177" s="9" t="n">
        <v>0</v>
      </c>
      <c r="AB177" s="9" t="n">
        <v>0</v>
      </c>
      <c r="AC177" s="9" t="n">
        <v>0</v>
      </c>
      <c r="AD177" s="9" t="n">
        <v>9281.928971091778</v>
      </c>
      <c r="AE177" s="9" t="n">
        <v>0</v>
      </c>
      <c r="AF177" s="9" t="n">
        <v>0</v>
      </c>
      <c r="AG177" s="9" t="n">
        <v>451.3331076274565</v>
      </c>
      <c r="AH177" s="9" t="n">
        <v>120.2035125707141</v>
      </c>
      <c r="AI177" s="9" t="n">
        <v>0</v>
      </c>
      <c r="AJ177" s="9" t="n">
        <v>0</v>
      </c>
      <c r="AK177" s="9" t="n">
        <v>0</v>
      </c>
      <c r="AL177" s="9" t="n">
        <v>6737.407752061701</v>
      </c>
      <c r="AM177" s="9" t="n">
        <v>0</v>
      </c>
      <c r="AN177" s="9" t="n">
        <v>0</v>
      </c>
      <c r="AO177" s="9" t="n">
        <v>406.4524907135579</v>
      </c>
      <c r="AP177" s="9" t="n">
        <v>67.06203330004166</v>
      </c>
      <c r="AQ177" s="9" t="n">
        <v>0</v>
      </c>
      <c r="AR177" s="9" t="n">
        <v>0</v>
      </c>
      <c r="AS177" s="9" t="n">
        <v>0</v>
      </c>
      <c r="AT177" s="9" t="n">
        <v>6619.455530084552</v>
      </c>
      <c r="AU177" s="9" t="n">
        <v>0</v>
      </c>
      <c r="AV177" s="9" t="n">
        <v>0</v>
      </c>
      <c r="AW177" s="9" t="n">
        <v>68.57538712119469</v>
      </c>
      <c r="AX177" s="9" t="n">
        <v>8.673439897961181</v>
      </c>
      <c r="AY177" s="9" t="n">
        <v>0</v>
      </c>
    </row>
    <row r="178">
      <c r="A178" s="9" t="n">
        <v>184</v>
      </c>
      <c r="B178" s="9" t="inlineStr">
        <is>
          <t>ЮК035</t>
        </is>
      </c>
      <c r="C178" s="9" t="inlineStr"/>
      <c r="D178" s="9" t="inlineStr">
        <is>
          <t>КОНФЕТЫ ВЕСОВЫЕ</t>
        </is>
      </c>
      <c r="E178" s="9" t="inlineStr">
        <is>
          <t>Локальный</t>
        </is>
      </c>
      <c r="F178" s="9" t="n">
        <v>14564</v>
      </c>
      <c r="G178" s="9" t="n">
        <v>10800</v>
      </c>
      <c r="H178" s="9" t="n">
        <v>10500</v>
      </c>
      <c r="I178" s="9" t="n">
        <v>10000</v>
      </c>
      <c r="J178" s="9" t="n">
        <v>10000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9</v>
      </c>
      <c r="P178" s="9" t="n">
        <v>0</v>
      </c>
      <c r="Q178" s="9" t="n">
        <v>0</v>
      </c>
      <c r="R178" s="9" t="n">
        <v>0</v>
      </c>
      <c r="S178" s="9" t="n">
        <v>2464.5580156982</v>
      </c>
      <c r="T178" s="9" t="n">
        <v>0</v>
      </c>
      <c r="U178" s="9" t="n">
        <v>0</v>
      </c>
      <c r="V178" s="9" t="n">
        <v>0</v>
      </c>
      <c r="W178" s="9" t="n">
        <v>9</v>
      </c>
      <c r="X178" s="9" t="n">
        <v>0</v>
      </c>
      <c r="Y178" s="9" t="n">
        <v>0</v>
      </c>
      <c r="Z178" s="9" t="n">
        <v>0</v>
      </c>
      <c r="AA178" s="9" t="n">
        <v>5338.6054119075</v>
      </c>
      <c r="AB178" s="9" t="n">
        <v>0</v>
      </c>
      <c r="AC178" s="9" t="n">
        <v>0</v>
      </c>
      <c r="AD178" s="9" t="n">
        <v>0</v>
      </c>
      <c r="AE178" s="9" t="n">
        <v>9</v>
      </c>
      <c r="AF178" s="9" t="n">
        <v>0</v>
      </c>
      <c r="AG178" s="9" t="n">
        <v>0</v>
      </c>
      <c r="AH178" s="9" t="n">
        <v>0</v>
      </c>
      <c r="AI178" s="9" t="n">
        <v>5914.545402524301</v>
      </c>
      <c r="AJ178" s="9" t="n">
        <v>0</v>
      </c>
      <c r="AK178" s="9" t="n">
        <v>0</v>
      </c>
      <c r="AL178" s="9" t="n">
        <v>0</v>
      </c>
      <c r="AM178" s="9" t="n">
        <v>9</v>
      </c>
      <c r="AN178" s="9" t="n">
        <v>0</v>
      </c>
      <c r="AO178" s="9" t="n">
        <v>0</v>
      </c>
      <c r="AP178" s="9" t="n">
        <v>0</v>
      </c>
      <c r="AQ178" s="9" t="n">
        <v>9686.168942958731</v>
      </c>
      <c r="AR178" s="9" t="n">
        <v>0</v>
      </c>
      <c r="AS178" s="9" t="n">
        <v>0</v>
      </c>
      <c r="AT178" s="9" t="n">
        <v>0</v>
      </c>
      <c r="AU178" s="9" t="n">
        <v>9</v>
      </c>
      <c r="AV178" s="9" t="n">
        <v>0</v>
      </c>
      <c r="AW178" s="9" t="n">
        <v>0</v>
      </c>
      <c r="AX178" s="9" t="n">
        <v>0</v>
      </c>
      <c r="AY178" s="9" t="n">
        <v>1232.2790078491</v>
      </c>
    </row>
    <row r="179">
      <c r="A179" s="9" t="n">
        <v>185</v>
      </c>
      <c r="B179" s="9" t="inlineStr">
        <is>
          <t>ЮК133</t>
        </is>
      </c>
      <c r="C179" s="9" t="inlineStr"/>
      <c r="D179" s="9" t="inlineStr">
        <is>
          <t>КОНФЕТЫ ВЕСОВЫЕ</t>
        </is>
      </c>
      <c r="E179" s="9" t="inlineStr">
        <is>
          <t>Локальный</t>
        </is>
      </c>
      <c r="F179" s="9" t="n">
        <v>30</v>
      </c>
      <c r="G179" s="9" t="n">
        <v>0</v>
      </c>
      <c r="H179" s="9" t="n">
        <v>3000</v>
      </c>
      <c r="I179" s="9" t="n">
        <v>3500</v>
      </c>
      <c r="J179" s="9" t="n">
        <v>4000</v>
      </c>
      <c r="K179" s="9" t="n">
        <v>0</v>
      </c>
      <c r="L179" s="9" t="n">
        <v>0</v>
      </c>
      <c r="M179" s="9" t="n">
        <v>0</v>
      </c>
      <c r="N179" s="9" t="n">
        <v>0</v>
      </c>
      <c r="O179" s="9" t="n">
        <v>0</v>
      </c>
      <c r="P179" s="9" t="n">
        <v>0</v>
      </c>
      <c r="Q179" s="9" t="n">
        <v>0</v>
      </c>
      <c r="R179" s="9" t="n">
        <v>0</v>
      </c>
      <c r="S179" s="9" t="n">
        <v>883.4121132306782</v>
      </c>
      <c r="T179" s="9" t="n">
        <v>0</v>
      </c>
      <c r="U179" s="9" t="n">
        <v>0</v>
      </c>
      <c r="V179" s="9" t="n">
        <v>0</v>
      </c>
      <c r="W179" s="9" t="n">
        <v>0</v>
      </c>
      <c r="X179" s="9" t="n">
        <v>0</v>
      </c>
      <c r="Y179" s="9" t="n">
        <v>0</v>
      </c>
      <c r="Z179" s="9" t="n">
        <v>0</v>
      </c>
      <c r="AA179" s="9" t="n">
        <v>1913.60424814421</v>
      </c>
      <c r="AB179" s="9" t="n">
        <v>0</v>
      </c>
      <c r="AC179" s="9" t="n">
        <v>0</v>
      </c>
      <c r="AD179" s="9" t="n">
        <v>0</v>
      </c>
      <c r="AE179" s="9" t="n">
        <v>0</v>
      </c>
      <c r="AF179" s="9" t="n">
        <v>0</v>
      </c>
      <c r="AG179" s="9" t="n">
        <v>0</v>
      </c>
      <c r="AH179" s="9" t="n">
        <v>0</v>
      </c>
      <c r="AI179" s="9" t="n">
        <v>2120.047902935069</v>
      </c>
      <c r="AJ179" s="9" t="n">
        <v>0</v>
      </c>
      <c r="AK179" s="9" t="n">
        <v>0</v>
      </c>
      <c r="AL179" s="9" t="n">
        <v>0</v>
      </c>
      <c r="AM179" s="9" t="n">
        <v>0</v>
      </c>
      <c r="AN179" s="9" t="n">
        <v>0</v>
      </c>
      <c r="AO179" s="9" t="n">
        <v>0</v>
      </c>
      <c r="AP179" s="9" t="n">
        <v>0</v>
      </c>
      <c r="AQ179" s="9" t="n">
        <v>3471.973035532054</v>
      </c>
      <c r="AR179" s="9" t="n">
        <v>0</v>
      </c>
      <c r="AS179" s="9" t="n">
        <v>0</v>
      </c>
      <c r="AT179" s="9" t="n">
        <v>0</v>
      </c>
      <c r="AU179" s="9" t="n">
        <v>0</v>
      </c>
      <c r="AV179" s="9" t="n">
        <v>0</v>
      </c>
      <c r="AW179" s="9" t="n">
        <v>0</v>
      </c>
      <c r="AX179" s="9" t="n">
        <v>0</v>
      </c>
      <c r="AY179" s="9" t="n">
        <v>441.7060566153391</v>
      </c>
    </row>
    <row r="180">
      <c r="A180" s="9" t="n">
        <v>186</v>
      </c>
      <c r="B180" s="9" t="inlineStr">
        <is>
          <t>ЮК035</t>
        </is>
      </c>
      <c r="C180" s="9" t="inlineStr"/>
      <c r="D180" s="9" t="inlineStr">
        <is>
          <t>КОНФЕТЫ ВЕСОВЫЕ</t>
        </is>
      </c>
      <c r="E180" s="9" t="inlineStr">
        <is>
          <t>Локальный</t>
        </is>
      </c>
      <c r="F180" s="9" t="n">
        <v>691.2</v>
      </c>
      <c r="G180" s="9" t="n">
        <v>0</v>
      </c>
      <c r="H180" s="9" t="n">
        <v>4093.725</v>
      </c>
      <c r="I180" s="9" t="n">
        <v>3616.95</v>
      </c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5</v>
      </c>
      <c r="P180" s="9" t="n">
        <v>0</v>
      </c>
      <c r="Q180" s="9" t="n">
        <v>0</v>
      </c>
      <c r="R180" s="9" t="n">
        <v>0</v>
      </c>
      <c r="S180" s="9" t="n">
        <v>613.8017081647424</v>
      </c>
      <c r="T180" s="9" t="n">
        <v>0</v>
      </c>
      <c r="U180" s="9" t="n">
        <v>0</v>
      </c>
      <c r="V180" s="9" t="n">
        <v>0</v>
      </c>
      <c r="W180" s="9" t="n">
        <v>9.5</v>
      </c>
      <c r="X180" s="9" t="n">
        <v>0</v>
      </c>
      <c r="Y180" s="9" t="n">
        <v>0</v>
      </c>
      <c r="Z180" s="9" t="n">
        <v>0</v>
      </c>
      <c r="AA180" s="9" t="n">
        <v>1329.587333783272</v>
      </c>
      <c r="AB180" s="9" t="n">
        <v>0</v>
      </c>
      <c r="AC180" s="9" t="n">
        <v>0</v>
      </c>
      <c r="AD180" s="9" t="n">
        <v>0</v>
      </c>
      <c r="AE180" s="9" t="n">
        <v>17.1</v>
      </c>
      <c r="AF180" s="9" t="n">
        <v>0</v>
      </c>
      <c r="AG180" s="9" t="n">
        <v>0</v>
      </c>
      <c r="AH180" s="9" t="n">
        <v>0</v>
      </c>
      <c r="AI180" s="9" t="n">
        <v>1473.026014386142</v>
      </c>
      <c r="AJ180" s="9" t="n">
        <v>0</v>
      </c>
      <c r="AK180" s="9" t="n">
        <v>0</v>
      </c>
      <c r="AL180" s="9" t="n">
        <v>0</v>
      </c>
      <c r="AM180" s="9" t="n">
        <v>8.550000000000001</v>
      </c>
      <c r="AN180" s="9" t="n">
        <v>0</v>
      </c>
      <c r="AO180" s="9" t="n">
        <v>0</v>
      </c>
      <c r="AP180" s="9" t="n">
        <v>0</v>
      </c>
      <c r="AQ180" s="9" t="n">
        <v>2412.35426591329</v>
      </c>
      <c r="AR180" s="9" t="n">
        <v>0</v>
      </c>
      <c r="AS180" s="9" t="n">
        <v>0</v>
      </c>
      <c r="AT180" s="9" t="n">
        <v>0</v>
      </c>
      <c r="AU180" s="9" t="n">
        <v>2.85</v>
      </c>
      <c r="AV180" s="9" t="n">
        <v>0</v>
      </c>
      <c r="AW180" s="9" t="n">
        <v>0</v>
      </c>
      <c r="AX180" s="9" t="n">
        <v>0</v>
      </c>
      <c r="AY180" s="9" t="n">
        <v>306.9008540823712</v>
      </c>
    </row>
    <row r="181">
      <c r="A181" s="9" t="n">
        <v>187</v>
      </c>
      <c r="B181" s="9" t="inlineStr">
        <is>
          <t>РФ048</t>
        </is>
      </c>
      <c r="C181" s="9" t="inlineStr"/>
      <c r="D181" s="9" t="inlineStr">
        <is>
          <t>КОНФЕТЫ ВЕСОВЫЕ</t>
        </is>
      </c>
      <c r="E181" s="9" t="inlineStr">
        <is>
          <t>Федеральный</t>
        </is>
      </c>
      <c r="F181" s="9" t="n">
        <v>14505</v>
      </c>
      <c r="G181" s="9" t="n">
        <v>3900</v>
      </c>
      <c r="H181" s="9" t="n">
        <v>0</v>
      </c>
      <c r="I181" s="9" t="n">
        <v>0</v>
      </c>
      <c r="J181" s="9" t="n">
        <v>0</v>
      </c>
      <c r="K181" s="9" t="n">
        <v>0</v>
      </c>
      <c r="L181" s="9" t="n">
        <v>0</v>
      </c>
      <c r="M181" s="9" t="n">
        <v>0</v>
      </c>
      <c r="N181" s="9" t="n">
        <v>0</v>
      </c>
      <c r="O181" s="9" t="n">
        <v>0</v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0</v>
      </c>
      <c r="W181" s="9" t="n">
        <v>0</v>
      </c>
      <c r="X181" s="9" t="n">
        <v>0</v>
      </c>
      <c r="Y181" s="9" t="n">
        <v>0</v>
      </c>
      <c r="Z181" s="9" t="n">
        <v>0</v>
      </c>
      <c r="AA181" s="9" t="n">
        <v>0</v>
      </c>
      <c r="AB181" s="9" t="n">
        <v>0</v>
      </c>
      <c r="AC181" s="9" t="n">
        <v>0</v>
      </c>
      <c r="AD181" s="9" t="n">
        <v>0</v>
      </c>
      <c r="AE181" s="9" t="n">
        <v>0</v>
      </c>
      <c r="AF181" s="9" t="n">
        <v>0</v>
      </c>
      <c r="AG181" s="9" t="n">
        <v>0</v>
      </c>
      <c r="AH181" s="9" t="n">
        <v>0</v>
      </c>
      <c r="AI181" s="9" t="n">
        <v>0</v>
      </c>
      <c r="AJ181" s="9" t="n">
        <v>0</v>
      </c>
      <c r="AK181" s="9" t="n">
        <v>0</v>
      </c>
      <c r="AL181" s="9" t="n">
        <v>0</v>
      </c>
      <c r="AM181" s="9" t="n">
        <v>0</v>
      </c>
      <c r="AN181" s="9" t="n">
        <v>0</v>
      </c>
      <c r="AO181" s="9" t="n">
        <v>0</v>
      </c>
      <c r="AP181" s="9" t="n">
        <v>0</v>
      </c>
      <c r="AQ181" s="9" t="n">
        <v>0</v>
      </c>
      <c r="AR181" s="9" t="n">
        <v>0</v>
      </c>
      <c r="AS181" s="9" t="n">
        <v>0</v>
      </c>
      <c r="AT181" s="9" t="n">
        <v>0</v>
      </c>
      <c r="AU181" s="9" t="n">
        <v>0</v>
      </c>
      <c r="AV181" s="9" t="n">
        <v>0</v>
      </c>
      <c r="AW181" s="9" t="n">
        <v>0</v>
      </c>
      <c r="AX181" s="9" t="n">
        <v>0</v>
      </c>
      <c r="AY181" s="9" t="n">
        <v>0</v>
      </c>
    </row>
    <row r="182">
      <c r="A182" s="9" t="n">
        <v>188</v>
      </c>
      <c r="B182" s="9" t="inlineStr">
        <is>
          <t>ЮК035</t>
        </is>
      </c>
      <c r="C182" s="9" t="inlineStr"/>
      <c r="D182" s="9" t="inlineStr">
        <is>
          <t>КОНФЕТЫ ВЕСОВЫЕ</t>
        </is>
      </c>
      <c r="E182" s="9" t="inlineStr">
        <is>
          <t>Локальный</t>
        </is>
      </c>
      <c r="F182" s="9" t="n">
        <v>2079</v>
      </c>
      <c r="G182" s="9" t="n">
        <v>0</v>
      </c>
      <c r="H182" s="9" t="n">
        <v>0</v>
      </c>
      <c r="I182" s="9" t="n">
        <v>1200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232.5492946043374</v>
      </c>
      <c r="T182" s="9" t="n">
        <v>0</v>
      </c>
      <c r="U182" s="9" t="n">
        <v>0</v>
      </c>
      <c r="V182" s="9" t="n">
        <v>0</v>
      </c>
      <c r="W182" s="9" t="n">
        <v>0</v>
      </c>
      <c r="X182" s="9" t="n">
        <v>0</v>
      </c>
      <c r="Y182" s="9" t="n">
        <v>0</v>
      </c>
      <c r="Z182" s="9" t="n">
        <v>0</v>
      </c>
      <c r="AA182" s="9" t="n">
        <v>503.7369438261238</v>
      </c>
      <c r="AB182" s="9" t="n">
        <v>0</v>
      </c>
      <c r="AC182" s="9" t="n">
        <v>0</v>
      </c>
      <c r="AD182" s="9" t="n">
        <v>0</v>
      </c>
      <c r="AE182" s="9" t="n">
        <v>0</v>
      </c>
      <c r="AF182" s="9" t="n">
        <v>0</v>
      </c>
      <c r="AG182" s="9" t="n">
        <v>0</v>
      </c>
      <c r="AH182" s="9" t="n">
        <v>0</v>
      </c>
      <c r="AI182" s="9" t="n">
        <v>558.0811457882036</v>
      </c>
      <c r="AJ182" s="9" t="n">
        <v>0</v>
      </c>
      <c r="AK182" s="9" t="n">
        <v>0</v>
      </c>
      <c r="AL182" s="9" t="n">
        <v>0</v>
      </c>
      <c r="AM182" s="9" t="n">
        <v>0</v>
      </c>
      <c r="AN182" s="9" t="n">
        <v>0</v>
      </c>
      <c r="AO182" s="9" t="n">
        <v>0</v>
      </c>
      <c r="AP182" s="9" t="n">
        <v>0</v>
      </c>
      <c r="AQ182" s="9" t="n">
        <v>913.9617492288431</v>
      </c>
      <c r="AR182" s="9" t="n">
        <v>0</v>
      </c>
      <c r="AS182" s="9" t="n">
        <v>0</v>
      </c>
      <c r="AT182" s="9" t="n">
        <v>0</v>
      </c>
      <c r="AU182" s="9" t="n">
        <v>0</v>
      </c>
      <c r="AV182" s="9" t="n">
        <v>0</v>
      </c>
      <c r="AW182" s="9" t="n">
        <v>0</v>
      </c>
      <c r="AX182" s="9" t="n">
        <v>0</v>
      </c>
      <c r="AY182" s="9" t="n">
        <v>116.2746473021687</v>
      </c>
    </row>
    <row r="183">
      <c r="A183" s="9" t="n">
        <v>189</v>
      </c>
      <c r="B183" s="9" t="inlineStr">
        <is>
          <t>СМ171</t>
        </is>
      </c>
      <c r="C183" s="9" t="inlineStr"/>
      <c r="D183" s="9" t="inlineStr">
        <is>
          <t>КОНФЕТЫ ВЕСОВЫЕ</t>
        </is>
      </c>
      <c r="E183" s="9" t="inlineStr">
        <is>
          <t>Локальный</t>
        </is>
      </c>
      <c r="F183" s="9" t="n">
        <v>1100</v>
      </c>
      <c r="G183" s="9" t="n">
        <v>0</v>
      </c>
      <c r="H183" s="9" t="n">
        <v>1019.72</v>
      </c>
      <c r="I183" s="9" t="n">
        <v>1035.06</v>
      </c>
      <c r="J183" s="9" t="n">
        <v>0</v>
      </c>
      <c r="K183" s="9" t="n">
        <v>0</v>
      </c>
      <c r="L183" s="9" t="n">
        <v>0</v>
      </c>
      <c r="M183" s="9" t="n">
        <v>0</v>
      </c>
      <c r="N183" s="9" t="n">
        <v>0</v>
      </c>
      <c r="O183" s="9" t="n">
        <v>0</v>
      </c>
      <c r="P183" s="9" t="n">
        <v>0</v>
      </c>
      <c r="Q183" s="9" t="n">
        <v>0</v>
      </c>
      <c r="R183" s="9" t="n">
        <v>0</v>
      </c>
      <c r="S183" s="9" t="n">
        <v>198.0730745059426</v>
      </c>
      <c r="T183" s="9" t="n">
        <v>0</v>
      </c>
      <c r="U183" s="9" t="n">
        <v>0</v>
      </c>
      <c r="V183" s="9" t="n">
        <v>0</v>
      </c>
      <c r="W183" s="9" t="n">
        <v>0</v>
      </c>
      <c r="X183" s="9" t="n">
        <v>0</v>
      </c>
      <c r="Y183" s="9" t="n">
        <v>0</v>
      </c>
      <c r="Z183" s="9" t="n">
        <v>0</v>
      </c>
      <c r="AA183" s="9" t="n">
        <v>429.056236767474</v>
      </c>
      <c r="AB183" s="9" t="n">
        <v>0</v>
      </c>
      <c r="AC183" s="9" t="n">
        <v>0</v>
      </c>
      <c r="AD183" s="9" t="n">
        <v>0</v>
      </c>
      <c r="AE183" s="9" t="n">
        <v>0</v>
      </c>
      <c r="AF183" s="9" t="n">
        <v>0</v>
      </c>
      <c r="AG183" s="9" t="n">
        <v>0</v>
      </c>
      <c r="AH183" s="9" t="n">
        <v>0</v>
      </c>
      <c r="AI183" s="9" t="n">
        <v>475.3437268349675</v>
      </c>
      <c r="AJ183" s="9" t="n">
        <v>0</v>
      </c>
      <c r="AK183" s="9" t="n">
        <v>0</v>
      </c>
      <c r="AL183" s="9" t="n">
        <v>0</v>
      </c>
      <c r="AM183" s="9" t="n">
        <v>0</v>
      </c>
      <c r="AN183" s="9" t="n">
        <v>0</v>
      </c>
      <c r="AO183" s="9" t="n">
        <v>0</v>
      </c>
      <c r="AP183" s="9" t="n">
        <v>0</v>
      </c>
      <c r="AQ183" s="9" t="n">
        <v>853.0488146386449</v>
      </c>
      <c r="AR183" s="9" t="n">
        <v>0</v>
      </c>
      <c r="AS183" s="9" t="n">
        <v>0</v>
      </c>
      <c r="AT183" s="9" t="n">
        <v>0</v>
      </c>
      <c r="AU183" s="9" t="n">
        <v>0</v>
      </c>
      <c r="AV183" s="9" t="n">
        <v>0</v>
      </c>
      <c r="AW183" s="9" t="n">
        <v>0</v>
      </c>
      <c r="AX183" s="9" t="n">
        <v>0</v>
      </c>
      <c r="AY183" s="9" t="n">
        <v>99.03653725297129</v>
      </c>
    </row>
    <row r="184">
      <c r="A184" s="9" t="n">
        <v>190</v>
      </c>
      <c r="B184" s="9" t="inlineStr">
        <is>
          <t>РФ226</t>
        </is>
      </c>
      <c r="C184" s="9" t="inlineStr"/>
      <c r="D184" s="9" t="inlineStr">
        <is>
          <t>КОНФЕТЫ ВЕСОВЫЕ</t>
        </is>
      </c>
      <c r="E184" s="9" t="inlineStr">
        <is>
          <t>Федеральный</t>
        </is>
      </c>
      <c r="F184" s="9" t="n">
        <v>57.40000000000001</v>
      </c>
      <c r="G184" s="9" t="n">
        <v>0</v>
      </c>
      <c r="H184" s="9" t="n">
        <v>59.48</v>
      </c>
      <c r="I184" s="9" t="n">
        <v>1082.64</v>
      </c>
      <c r="J184" s="9" t="n">
        <v>1175.36</v>
      </c>
      <c r="K184" s="9" t="n">
        <v>0</v>
      </c>
      <c r="L184" s="9" t="n">
        <v>0</v>
      </c>
      <c r="M184" s="9" t="n">
        <v>0</v>
      </c>
      <c r="N184" s="9" t="n">
        <v>178.165878593989</v>
      </c>
      <c r="O184" s="9" t="n">
        <v>0</v>
      </c>
      <c r="P184" s="9" t="n">
        <v>0</v>
      </c>
      <c r="Q184" s="9" t="n">
        <v>4.694061457327394</v>
      </c>
      <c r="R184" s="9" t="n">
        <v>0</v>
      </c>
      <c r="S184" s="9" t="n">
        <v>0</v>
      </c>
      <c r="T184" s="9" t="n">
        <v>0</v>
      </c>
      <c r="U184" s="9" t="n">
        <v>0</v>
      </c>
      <c r="V184" s="9" t="n">
        <v>487.0285261403428</v>
      </c>
      <c r="W184" s="9" t="n">
        <v>0</v>
      </c>
      <c r="X184" s="9" t="n">
        <v>0</v>
      </c>
      <c r="Y184" s="9" t="n">
        <v>10.37240176538395</v>
      </c>
      <c r="Z184" s="9" t="n">
        <v>0</v>
      </c>
      <c r="AA184" s="9" t="n">
        <v>0</v>
      </c>
      <c r="AB184" s="9" t="n">
        <v>0</v>
      </c>
      <c r="AC184" s="9" t="n">
        <v>0</v>
      </c>
      <c r="AD184" s="9" t="n">
        <v>664.6495834233779</v>
      </c>
      <c r="AE184" s="9" t="n">
        <v>0</v>
      </c>
      <c r="AF184" s="9" t="n">
        <v>0</v>
      </c>
      <c r="AG184" s="9" t="n">
        <v>15.44712639525916</v>
      </c>
      <c r="AH184" s="9" t="n">
        <v>0</v>
      </c>
      <c r="AI184" s="9" t="n">
        <v>0</v>
      </c>
      <c r="AJ184" s="9" t="n">
        <v>0</v>
      </c>
      <c r="AK184" s="9" t="n">
        <v>0</v>
      </c>
      <c r="AL184" s="9" t="n">
        <v>669.7349632237227</v>
      </c>
      <c r="AM184" s="9" t="n">
        <v>0</v>
      </c>
      <c r="AN184" s="9" t="n">
        <v>0</v>
      </c>
      <c r="AO184" s="9" t="n">
        <v>13.91106234312132</v>
      </c>
      <c r="AP184" s="9" t="n">
        <v>0</v>
      </c>
      <c r="AQ184" s="9" t="n">
        <v>0</v>
      </c>
      <c r="AR184" s="9" t="n">
        <v>0</v>
      </c>
      <c r="AS184" s="9" t="n">
        <v>0</v>
      </c>
      <c r="AT184" s="9" t="n">
        <v>704.2450245511727</v>
      </c>
      <c r="AU184" s="9" t="n">
        <v>0</v>
      </c>
      <c r="AV184" s="9" t="n">
        <v>0</v>
      </c>
      <c r="AW184" s="9" t="n">
        <v>2.347030728663702</v>
      </c>
      <c r="AX184" s="9" t="n">
        <v>0</v>
      </c>
      <c r="AY184" s="9" t="n">
        <v>0</v>
      </c>
    </row>
    <row r="185">
      <c r="A185" s="9" t="n">
        <v>191</v>
      </c>
      <c r="B185" s="9" t="inlineStr">
        <is>
          <t>СМ028</t>
        </is>
      </c>
      <c r="C185" s="9" t="inlineStr"/>
      <c r="D185" s="9" t="inlineStr">
        <is>
          <t>КОНФЕТЫ ВЕСОВЫЕ</t>
        </is>
      </c>
      <c r="E185" s="9" t="inlineStr">
        <is>
          <t>Локальный</t>
        </is>
      </c>
      <c r="F185" s="9" t="n">
        <v>205</v>
      </c>
      <c r="G185" s="9" t="n">
        <v>0</v>
      </c>
      <c r="H185" s="9" t="n">
        <v>0</v>
      </c>
      <c r="I185" s="9" t="n">
        <v>25.41</v>
      </c>
      <c r="J185" s="9" t="n">
        <v>0</v>
      </c>
      <c r="K185" s="9" t="n">
        <v>0</v>
      </c>
      <c r="L185" s="9" t="n">
        <v>0</v>
      </c>
      <c r="M185" s="9" t="n">
        <v>0</v>
      </c>
      <c r="N185" s="9" t="n">
        <v>0</v>
      </c>
      <c r="O185" s="9" t="n">
        <v>0</v>
      </c>
      <c r="P185" s="9" t="n">
        <v>0</v>
      </c>
      <c r="Q185" s="9" t="n">
        <v>0</v>
      </c>
      <c r="R185" s="9" t="n">
        <v>0</v>
      </c>
      <c r="S185" s="9" t="n">
        <v>5.302365292147693</v>
      </c>
      <c r="T185" s="9" t="n">
        <v>0</v>
      </c>
      <c r="U185" s="9" t="n">
        <v>0</v>
      </c>
      <c r="V185" s="9" t="n">
        <v>0</v>
      </c>
      <c r="W185" s="9" t="n">
        <v>0</v>
      </c>
      <c r="X185" s="9" t="n">
        <v>0</v>
      </c>
      <c r="Y185" s="9" t="n">
        <v>0</v>
      </c>
      <c r="Z185" s="9" t="n">
        <v>0</v>
      </c>
      <c r="AA185" s="9" t="n">
        <v>11.48572517435782</v>
      </c>
      <c r="AB185" s="9" t="n">
        <v>0</v>
      </c>
      <c r="AC185" s="9" t="n">
        <v>0</v>
      </c>
      <c r="AD185" s="9" t="n">
        <v>0</v>
      </c>
      <c r="AE185" s="9" t="n">
        <v>0</v>
      </c>
      <c r="AF185" s="9" t="n">
        <v>0</v>
      </c>
      <c r="AG185" s="9" t="n">
        <v>0</v>
      </c>
      <c r="AH185" s="9" t="n">
        <v>0</v>
      </c>
      <c r="AI185" s="9" t="n">
        <v>12.72482938580451</v>
      </c>
      <c r="AJ185" s="9" t="n">
        <v>0</v>
      </c>
      <c r="AK185" s="9" t="n">
        <v>0</v>
      </c>
      <c r="AL185" s="9" t="n">
        <v>0</v>
      </c>
      <c r="AM185" s="9" t="n">
        <v>0</v>
      </c>
      <c r="AN185" s="9" t="n">
        <v>0</v>
      </c>
      <c r="AO185" s="9" t="n">
        <v>0</v>
      </c>
      <c r="AP185" s="9" t="n">
        <v>0</v>
      </c>
      <c r="AQ185" s="9" t="n">
        <v>22.83589750161613</v>
      </c>
      <c r="AR185" s="9" t="n">
        <v>0</v>
      </c>
      <c r="AS185" s="9" t="n">
        <v>0</v>
      </c>
      <c r="AT185" s="9" t="n">
        <v>0</v>
      </c>
      <c r="AU185" s="9" t="n">
        <v>0</v>
      </c>
      <c r="AV185" s="9" t="n">
        <v>0</v>
      </c>
      <c r="AW185" s="9" t="n">
        <v>0</v>
      </c>
      <c r="AX185" s="9" t="n">
        <v>0</v>
      </c>
      <c r="AY185" s="9" t="n">
        <v>2.651182646073846</v>
      </c>
    </row>
    <row r="186">
      <c r="A186" s="9" t="n">
        <v>192</v>
      </c>
      <c r="B186" s="9" t="inlineStr">
        <is>
          <t>НС229</t>
        </is>
      </c>
      <c r="C186" s="9" t="inlineStr"/>
      <c r="D186" s="9" t="inlineStr">
        <is>
          <t>КОНФЕТЫ ВЕСОВЫЕ</t>
        </is>
      </c>
      <c r="E186" s="9" t="inlineStr">
        <is>
          <t>Локальный</t>
        </is>
      </c>
      <c r="F186" s="9" t="n">
        <v>11227</v>
      </c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0</v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0</v>
      </c>
      <c r="W186" s="9" t="n">
        <v>0</v>
      </c>
      <c r="X186" s="9" t="n">
        <v>0</v>
      </c>
      <c r="Y186" s="9" t="n">
        <v>0</v>
      </c>
      <c r="Z186" s="9" t="n">
        <v>0</v>
      </c>
      <c r="AA186" s="9" t="n">
        <v>0</v>
      </c>
      <c r="AB186" s="9" t="n">
        <v>0</v>
      </c>
      <c r="AC186" s="9" t="n">
        <v>0</v>
      </c>
      <c r="AD186" s="9" t="n">
        <v>0</v>
      </c>
      <c r="AE186" s="9" t="n">
        <v>0</v>
      </c>
      <c r="AF186" s="9" t="n">
        <v>0</v>
      </c>
      <c r="AG186" s="9" t="n">
        <v>0</v>
      </c>
      <c r="AH186" s="9" t="n">
        <v>0</v>
      </c>
      <c r="AI186" s="9" t="n">
        <v>0</v>
      </c>
      <c r="AJ186" s="9" t="n">
        <v>0</v>
      </c>
      <c r="AK186" s="9" t="n">
        <v>0</v>
      </c>
      <c r="AL186" s="9" t="n">
        <v>0</v>
      </c>
      <c r="AM186" s="9" t="n">
        <v>0</v>
      </c>
      <c r="AN186" s="9" t="n">
        <v>0</v>
      </c>
      <c r="AO186" s="9" t="n">
        <v>0</v>
      </c>
      <c r="AP186" s="9" t="n">
        <v>0</v>
      </c>
      <c r="AQ186" s="9" t="n">
        <v>0</v>
      </c>
      <c r="AR186" s="9" t="n">
        <v>0</v>
      </c>
      <c r="AS186" s="9" t="n">
        <v>0</v>
      </c>
      <c r="AT186" s="9" t="n">
        <v>0</v>
      </c>
      <c r="AU186" s="9" t="n">
        <v>0</v>
      </c>
      <c r="AV186" s="9" t="n">
        <v>0</v>
      </c>
      <c r="AW186" s="9" t="n">
        <v>0</v>
      </c>
      <c r="AX186" s="9" t="n">
        <v>0</v>
      </c>
      <c r="AY186" s="9" t="n">
        <v>0</v>
      </c>
    </row>
    <row r="187">
      <c r="A187" s="9" t="n">
        <v>193</v>
      </c>
      <c r="B187" s="9" t="inlineStr">
        <is>
          <t>НС236</t>
        </is>
      </c>
      <c r="C187" s="9" t="inlineStr"/>
      <c r="D187" s="9" t="inlineStr">
        <is>
          <t>КОНФЕТЫ ВЕСОВЫЕ</t>
        </is>
      </c>
      <c r="E187" s="9" t="inlineStr">
        <is>
          <t>Локальный</t>
        </is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9" t="n">
        <v>0</v>
      </c>
      <c r="Y187" s="9" t="n">
        <v>0</v>
      </c>
      <c r="Z187" s="9" t="n">
        <v>0</v>
      </c>
      <c r="AA187" s="9" t="n">
        <v>0</v>
      </c>
      <c r="AB187" s="9" t="n">
        <v>0</v>
      </c>
      <c r="AC187" s="9" t="n">
        <v>0</v>
      </c>
      <c r="AD187" s="9" t="n">
        <v>0</v>
      </c>
      <c r="AE187" s="9" t="n">
        <v>0</v>
      </c>
      <c r="AF187" s="9" t="n">
        <v>0</v>
      </c>
      <c r="AG187" s="9" t="n">
        <v>0</v>
      </c>
      <c r="AH187" s="9" t="n">
        <v>0</v>
      </c>
      <c r="AI187" s="9" t="n">
        <v>0</v>
      </c>
      <c r="AJ187" s="9" t="n">
        <v>0</v>
      </c>
      <c r="AK187" s="9" t="n">
        <v>0</v>
      </c>
      <c r="AL187" s="9" t="n">
        <v>0</v>
      </c>
      <c r="AM187" s="9" t="n">
        <v>0</v>
      </c>
      <c r="AN187" s="9" t="n">
        <v>0</v>
      </c>
      <c r="AO187" s="9" t="n">
        <v>0</v>
      </c>
      <c r="AP187" s="9" t="n">
        <v>0</v>
      </c>
      <c r="AQ187" s="9" t="n">
        <v>0</v>
      </c>
      <c r="AR187" s="9" t="n">
        <v>0</v>
      </c>
      <c r="AS187" s="9" t="n">
        <v>0</v>
      </c>
      <c r="AT187" s="9" t="n">
        <v>0</v>
      </c>
      <c r="AU187" s="9" t="n">
        <v>0</v>
      </c>
      <c r="AV187" s="9" t="n">
        <v>0</v>
      </c>
      <c r="AW187" s="9" t="n">
        <v>0</v>
      </c>
      <c r="AX187" s="9" t="n">
        <v>0</v>
      </c>
      <c r="AY187" s="9" t="n">
        <v>0</v>
      </c>
    </row>
    <row r="188">
      <c r="A188" s="9" t="n">
        <v>194</v>
      </c>
      <c r="B188" s="9" t="inlineStr">
        <is>
          <t>НС236</t>
        </is>
      </c>
      <c r="C188" s="9" t="inlineStr"/>
      <c r="D188" s="9" t="inlineStr">
        <is>
          <t>КОНФЕТЫ ВЕСОВЫЕ</t>
        </is>
      </c>
      <c r="E188" s="9" t="inlineStr">
        <is>
          <t>Локальный</t>
        </is>
      </c>
      <c r="F188" s="9" t="n">
        <v>0</v>
      </c>
      <c r="G188" s="9" t="n">
        <v>0</v>
      </c>
      <c r="H188" s="9" t="n">
        <v>0</v>
      </c>
      <c r="I188" s="9" t="n">
        <v>0</v>
      </c>
      <c r="J188" s="9" t="n">
        <v>0</v>
      </c>
      <c r="K188" s="9" t="n">
        <v>0</v>
      </c>
      <c r="L188" s="9" t="n">
        <v>0</v>
      </c>
      <c r="M188" s="9" t="n">
        <v>0</v>
      </c>
      <c r="N188" s="9" t="n">
        <v>0</v>
      </c>
      <c r="O188" s="9" t="n">
        <v>0</v>
      </c>
      <c r="P188" s="9" t="n">
        <v>0</v>
      </c>
      <c r="Q188" s="9" t="n">
        <v>0</v>
      </c>
      <c r="R188" s="9" t="n">
        <v>0</v>
      </c>
      <c r="S188" s="9" t="n">
        <v>0</v>
      </c>
      <c r="T188" s="9" t="n">
        <v>0</v>
      </c>
      <c r="U188" s="9" t="n">
        <v>0</v>
      </c>
      <c r="V188" s="9" t="n">
        <v>0</v>
      </c>
      <c r="W188" s="9" t="n">
        <v>0</v>
      </c>
      <c r="X188" s="9" t="n">
        <v>0</v>
      </c>
      <c r="Y188" s="9" t="n">
        <v>0</v>
      </c>
      <c r="Z188" s="9" t="n">
        <v>0</v>
      </c>
      <c r="AA188" s="9" t="n">
        <v>0</v>
      </c>
      <c r="AB188" s="9" t="n">
        <v>0</v>
      </c>
      <c r="AC188" s="9" t="n">
        <v>0</v>
      </c>
      <c r="AD188" s="9" t="n">
        <v>0</v>
      </c>
      <c r="AE188" s="9" t="n">
        <v>0</v>
      </c>
      <c r="AF188" s="9" t="n">
        <v>0</v>
      </c>
      <c r="AG188" s="9" t="n">
        <v>0</v>
      </c>
      <c r="AH188" s="9" t="n">
        <v>0</v>
      </c>
      <c r="AI188" s="9" t="n">
        <v>0</v>
      </c>
      <c r="AJ188" s="9" t="n">
        <v>0</v>
      </c>
      <c r="AK188" s="9" t="n">
        <v>0</v>
      </c>
      <c r="AL188" s="9" t="n">
        <v>0</v>
      </c>
      <c r="AM188" s="9" t="n">
        <v>0</v>
      </c>
      <c r="AN188" s="9" t="n">
        <v>0</v>
      </c>
      <c r="AO188" s="9" t="n">
        <v>0</v>
      </c>
      <c r="AP188" s="9" t="n">
        <v>0</v>
      </c>
      <c r="AQ188" s="9" t="n">
        <v>0</v>
      </c>
      <c r="AR188" s="9" t="n">
        <v>0</v>
      </c>
      <c r="AS188" s="9" t="n">
        <v>0</v>
      </c>
      <c r="AT188" s="9" t="n">
        <v>0</v>
      </c>
      <c r="AU188" s="9" t="n">
        <v>0</v>
      </c>
      <c r="AV188" s="9" t="n">
        <v>0</v>
      </c>
      <c r="AW188" s="9" t="n">
        <v>0</v>
      </c>
      <c r="AX188" s="9" t="n">
        <v>0</v>
      </c>
      <c r="AY188" s="9" t="n">
        <v>0</v>
      </c>
    </row>
    <row r="189">
      <c r="A189" s="9" t="n">
        <v>195</v>
      </c>
      <c r="B189" s="9" t="inlineStr">
        <is>
          <t>КО175</t>
        </is>
      </c>
      <c r="C189" s="9" t="inlineStr"/>
      <c r="D189" s="9" t="inlineStr">
        <is>
          <t>КОНФЕТЫ ВЕСОВЫЕ</t>
        </is>
      </c>
      <c r="E189" s="9" t="inlineStr">
        <is>
          <t>Федеральный</t>
        </is>
      </c>
      <c r="F189" s="9" t="n">
        <v>113043.673</v>
      </c>
      <c r="G189" s="9" t="n">
        <v>42128</v>
      </c>
      <c r="H189" s="9" t="n">
        <v>119393.0649999999</v>
      </c>
      <c r="I189" s="9" t="n">
        <v>111688</v>
      </c>
      <c r="J189" s="9" t="n">
        <v>82270</v>
      </c>
      <c r="K189" s="9" t="n">
        <v>84112</v>
      </c>
      <c r="L189" s="9" t="n">
        <v>39242</v>
      </c>
      <c r="M189" s="9" t="n">
        <v>1195.451984005234</v>
      </c>
      <c r="N189" s="9" t="n">
        <v>5806.32049097757</v>
      </c>
      <c r="O189" s="9" t="n">
        <v>3506.8</v>
      </c>
      <c r="P189" s="9" t="n">
        <v>0</v>
      </c>
      <c r="Q189" s="9" t="n">
        <v>183.1221036231193</v>
      </c>
      <c r="R189" s="9" t="n">
        <v>0</v>
      </c>
      <c r="S189" s="9" t="n">
        <v>0.4291686228148087</v>
      </c>
      <c r="T189" s="9" t="n">
        <v>46475</v>
      </c>
      <c r="U189" s="9" t="n">
        <v>2669.792947328528</v>
      </c>
      <c r="V189" s="9" t="n">
        <v>15478.72943309131</v>
      </c>
      <c r="W189" s="9" t="n">
        <v>3587.8</v>
      </c>
      <c r="X189" s="9" t="n">
        <v>0</v>
      </c>
      <c r="Y189" s="9" t="n">
        <v>404.6423439847151</v>
      </c>
      <c r="Z189" s="9" t="n">
        <v>0</v>
      </c>
      <c r="AA189" s="9" t="n">
        <v>0.8583372456296182</v>
      </c>
      <c r="AB189" s="9" t="n">
        <v>16872</v>
      </c>
      <c r="AC189" s="9" t="n">
        <v>2403.953846176832</v>
      </c>
      <c r="AD189" s="9" t="n">
        <v>17761.99172378027</v>
      </c>
      <c r="AE189" s="9" t="n">
        <v>3724.6</v>
      </c>
      <c r="AF189" s="9" t="n">
        <v>0</v>
      </c>
      <c r="AG189" s="9" t="n">
        <v>602.6146666691964</v>
      </c>
      <c r="AH189" s="9" t="n">
        <v>0</v>
      </c>
      <c r="AI189" s="9" t="n">
        <v>1.37333959300739</v>
      </c>
      <c r="AJ189" s="9" t="n">
        <v>18222</v>
      </c>
      <c r="AK189" s="9" t="n">
        <v>4206.341200278172</v>
      </c>
      <c r="AL189" s="9" t="n">
        <v>17548.41377763435</v>
      </c>
      <c r="AM189" s="9" t="n">
        <v>3570.7</v>
      </c>
      <c r="AN189" s="9" t="n">
        <v>0</v>
      </c>
      <c r="AO189" s="9" t="n">
        <v>542.6905938626403</v>
      </c>
      <c r="AP189" s="9" t="n">
        <v>0</v>
      </c>
      <c r="AQ189" s="9" t="n">
        <v>1.906246870377888</v>
      </c>
      <c r="AR189" s="9" t="n">
        <v>18240</v>
      </c>
      <c r="AS189" s="9" t="n">
        <v>2394.597310398573</v>
      </c>
      <c r="AT189" s="9" t="n">
        <v>14645.59475576457</v>
      </c>
      <c r="AU189" s="9" t="n">
        <v>3468.1</v>
      </c>
      <c r="AV189" s="9" t="n">
        <v>0</v>
      </c>
      <c r="AW189" s="9" t="n">
        <v>91.56105181155981</v>
      </c>
      <c r="AX189" s="9" t="n">
        <v>0</v>
      </c>
      <c r="AY189" s="9" t="n">
        <v>0.858337245629619</v>
      </c>
    </row>
    <row r="190">
      <c r="A190" s="9" t="n">
        <v>196</v>
      </c>
      <c r="B190" s="9" t="inlineStr">
        <is>
          <t>КО171</t>
        </is>
      </c>
      <c r="C190" s="9" t="inlineStr"/>
      <c r="D190" s="9" t="inlineStr">
        <is>
          <t>КОНФЕТЫ ВЕСОВЫЕ</t>
        </is>
      </c>
      <c r="E190" s="9" t="inlineStr">
        <is>
          <t>Федеральный</t>
        </is>
      </c>
      <c r="F190" s="9" t="n">
        <v>40048.20000000001</v>
      </c>
      <c r="G190" s="9" t="n">
        <v>0</v>
      </c>
      <c r="H190" s="9" t="n">
        <v>0</v>
      </c>
      <c r="I190" s="9" t="n">
        <v>6003</v>
      </c>
      <c r="J190" s="9" t="n">
        <v>24713</v>
      </c>
      <c r="K190" s="9" t="n">
        <v>19339</v>
      </c>
      <c r="L190" s="9" t="n">
        <v>6422</v>
      </c>
      <c r="M190" s="9" t="n">
        <v>1278.349524510014</v>
      </c>
      <c r="N190" s="9" t="n">
        <v>6764.205944721807</v>
      </c>
      <c r="O190" s="9" t="n">
        <v>105</v>
      </c>
      <c r="P190" s="9" t="n">
        <v>0</v>
      </c>
      <c r="Q190" s="9" t="n">
        <v>77.00584399940955</v>
      </c>
      <c r="R190" s="9" t="n">
        <v>596.6719696239031</v>
      </c>
      <c r="S190" s="9" t="n">
        <v>0</v>
      </c>
      <c r="T190" s="9" t="n">
        <v>9598</v>
      </c>
      <c r="U190" s="9" t="n">
        <v>3212.568276688288</v>
      </c>
      <c r="V190" s="9" t="n">
        <v>4177.086241942217</v>
      </c>
      <c r="W190" s="9" t="n">
        <v>199.5</v>
      </c>
      <c r="X190" s="9" t="n">
        <v>0</v>
      </c>
      <c r="Y190" s="9" t="n">
        <v>170.1587334348885</v>
      </c>
      <c r="Z190" s="9" t="n">
        <v>1722.907878747972</v>
      </c>
      <c r="AA190" s="9" t="n">
        <v>0</v>
      </c>
      <c r="AB190" s="9" t="n">
        <v>17624</v>
      </c>
      <c r="AC190" s="9" t="n">
        <v>2900.301480981737</v>
      </c>
      <c r="AD190" s="9" t="n">
        <v>4555.209212291294</v>
      </c>
      <c r="AE190" s="9" t="n">
        <v>359.1</v>
      </c>
      <c r="AF190" s="9" t="n">
        <v>0</v>
      </c>
      <c r="AG190" s="9" t="n">
        <v>253.4093377869305</v>
      </c>
      <c r="AH190" s="9" t="n">
        <v>1494.591129850451</v>
      </c>
      <c r="AI190" s="9" t="n">
        <v>0</v>
      </c>
      <c r="AJ190" s="9" t="n">
        <v>21048</v>
      </c>
      <c r="AK190" s="9" t="n">
        <v>3066.546819887719</v>
      </c>
      <c r="AL190" s="9" t="n">
        <v>4530.777745032036</v>
      </c>
      <c r="AM190" s="9" t="n">
        <v>179.55</v>
      </c>
      <c r="AN190" s="9" t="n">
        <v>0</v>
      </c>
      <c r="AO190" s="9" t="n">
        <v>228.2102836528214</v>
      </c>
      <c r="AP190" s="9" t="n">
        <v>750.404055859036</v>
      </c>
      <c r="AQ190" s="9" t="n">
        <v>0</v>
      </c>
      <c r="AR190" s="9" t="n">
        <v>12754</v>
      </c>
      <c r="AS190" s="9" t="n">
        <v>2837.150694252709</v>
      </c>
      <c r="AT190" s="9" t="n">
        <v>3691.62099634242</v>
      </c>
      <c r="AU190" s="9" t="n">
        <v>59.84999999999999</v>
      </c>
      <c r="AV190" s="9" t="n">
        <v>0</v>
      </c>
      <c r="AW190" s="9" t="n">
        <v>38.50292199970485</v>
      </c>
      <c r="AX190" s="9" t="n">
        <v>107.9515702739975</v>
      </c>
      <c r="AY190" s="9" t="n">
        <v>0</v>
      </c>
    </row>
    <row r="191">
      <c r="A191" s="9" t="n">
        <v>197</v>
      </c>
      <c r="B191" s="9" t="inlineStr">
        <is>
          <t>КО113</t>
        </is>
      </c>
      <c r="C191" s="9" t="inlineStr"/>
      <c r="D191" s="9" t="inlineStr">
        <is>
          <t>КОНФЕТЫ ВЕСОВЫЕ</t>
        </is>
      </c>
      <c r="E191" s="9" t="inlineStr">
        <is>
          <t>Федеральный</t>
        </is>
      </c>
      <c r="F191" s="9" t="n">
        <v>10355</v>
      </c>
      <c r="G191" s="9" t="n">
        <v>0</v>
      </c>
      <c r="H191" s="9" t="n">
        <v>0</v>
      </c>
      <c r="I191" s="9" t="n">
        <v>0</v>
      </c>
      <c r="J191" s="9" t="n">
        <v>20260</v>
      </c>
      <c r="K191" s="9" t="n">
        <v>18459.92</v>
      </c>
      <c r="L191" s="9" t="n">
        <v>0</v>
      </c>
      <c r="M191" s="9" t="n">
        <v>0</v>
      </c>
      <c r="N191" s="9" t="n">
        <v>1131.41659627829</v>
      </c>
      <c r="O191" s="9" t="n">
        <v>0</v>
      </c>
      <c r="P191" s="9" t="n">
        <v>0</v>
      </c>
      <c r="Q191" s="9" t="n">
        <v>1.449789600798359</v>
      </c>
      <c r="R191" s="9" t="n">
        <v>1003.363996243274</v>
      </c>
      <c r="S191" s="9" t="n">
        <v>0</v>
      </c>
      <c r="T191" s="9" t="n">
        <v>0</v>
      </c>
      <c r="U191" s="9" t="n">
        <v>0</v>
      </c>
      <c r="V191" s="9" t="n">
        <v>5541.410357666994</v>
      </c>
      <c r="W191" s="9" t="n">
        <v>0</v>
      </c>
      <c r="X191" s="9" t="n">
        <v>0</v>
      </c>
      <c r="Y191" s="9" t="n">
        <v>3.203579746763284</v>
      </c>
      <c r="Z191" s="9" t="n">
        <v>2167.133631992317</v>
      </c>
      <c r="AA191" s="9" t="n">
        <v>0</v>
      </c>
      <c r="AB191" s="9" t="n">
        <v>0</v>
      </c>
      <c r="AC191" s="9" t="n">
        <v>0</v>
      </c>
      <c r="AD191" s="9" t="n">
        <v>8846.070588404638</v>
      </c>
      <c r="AE191" s="9" t="n">
        <v>0</v>
      </c>
      <c r="AF191" s="9" t="n">
        <v>0</v>
      </c>
      <c r="AG191" s="9" t="n">
        <v>4.770939497416681</v>
      </c>
      <c r="AH191" s="9" t="n">
        <v>2186.242035311208</v>
      </c>
      <c r="AI191" s="9" t="n">
        <v>0</v>
      </c>
      <c r="AJ191" s="9" t="n">
        <v>0</v>
      </c>
      <c r="AK191" s="9" t="n">
        <v>0</v>
      </c>
      <c r="AL191" s="9" t="n">
        <v>5211.058510168884</v>
      </c>
      <c r="AM191" s="9" t="n">
        <v>0</v>
      </c>
      <c r="AN191" s="9" t="n">
        <v>0</v>
      </c>
      <c r="AO191" s="9" t="n">
        <v>4.29651671680452</v>
      </c>
      <c r="AP191" s="9" t="n">
        <v>179.1207730276138</v>
      </c>
      <c r="AQ191" s="9" t="n">
        <v>0</v>
      </c>
      <c r="AR191" s="9" t="n">
        <v>0</v>
      </c>
      <c r="AS191" s="9" t="n">
        <v>0</v>
      </c>
      <c r="AT191" s="9" t="n">
        <v>3614.011307986376</v>
      </c>
      <c r="AU191" s="9" t="n">
        <v>0</v>
      </c>
      <c r="AV191" s="9" t="n">
        <v>0</v>
      </c>
      <c r="AW191" s="9" t="n">
        <v>0.7248948003991807</v>
      </c>
      <c r="AX191" s="9" t="n">
        <v>55.60867346801069</v>
      </c>
      <c r="AY191" s="9" t="n">
        <v>0</v>
      </c>
    </row>
    <row r="192">
      <c r="A192" s="9" t="n">
        <v>198</v>
      </c>
      <c r="B192" s="9" t="inlineStr">
        <is>
          <t>КО015</t>
        </is>
      </c>
      <c r="C192" s="9" t="inlineStr"/>
      <c r="D192" s="9" t="inlineStr">
        <is>
          <t>КОНФЕТЫ ВЕСОВЫЕ</t>
        </is>
      </c>
      <c r="E192" s="9" t="inlineStr">
        <is>
          <t>Федеральный</t>
        </is>
      </c>
      <c r="F192" s="9" t="n">
        <v>34808.8</v>
      </c>
      <c r="G192" s="9" t="n">
        <v>22264</v>
      </c>
      <c r="H192" s="9" t="n">
        <v>0</v>
      </c>
      <c r="I192" s="9" t="n">
        <v>0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0</v>
      </c>
      <c r="O192" s="9" t="n">
        <v>0</v>
      </c>
      <c r="P192" s="9" t="n">
        <v>0</v>
      </c>
      <c r="Q192" s="9" t="n">
        <v>0</v>
      </c>
      <c r="R192" s="9" t="n">
        <v>0</v>
      </c>
      <c r="S192" s="9" t="n">
        <v>0</v>
      </c>
      <c r="T192" s="9" t="n">
        <v>0</v>
      </c>
      <c r="U192" s="9" t="n">
        <v>0</v>
      </c>
      <c r="V192" s="9" t="n">
        <v>0</v>
      </c>
      <c r="W192" s="9" t="n">
        <v>0</v>
      </c>
      <c r="X192" s="9" t="n">
        <v>0</v>
      </c>
      <c r="Y192" s="9" t="n">
        <v>0</v>
      </c>
      <c r="Z192" s="9" t="n">
        <v>0</v>
      </c>
      <c r="AA192" s="9" t="n">
        <v>0</v>
      </c>
      <c r="AB192" s="9" t="n">
        <v>0</v>
      </c>
      <c r="AC192" s="9" t="n">
        <v>0</v>
      </c>
      <c r="AD192" s="9" t="n">
        <v>0</v>
      </c>
      <c r="AE192" s="9" t="n">
        <v>0</v>
      </c>
      <c r="AF192" s="9" t="n">
        <v>0</v>
      </c>
      <c r="AG192" s="9" t="n">
        <v>0</v>
      </c>
      <c r="AH192" s="9" t="n">
        <v>0</v>
      </c>
      <c r="AI192" s="9" t="n">
        <v>0</v>
      </c>
      <c r="AJ192" s="9" t="n">
        <v>0</v>
      </c>
      <c r="AK192" s="9" t="n">
        <v>0</v>
      </c>
      <c r="AL192" s="9" t="n">
        <v>0</v>
      </c>
      <c r="AM192" s="9" t="n">
        <v>0</v>
      </c>
      <c r="AN192" s="9" t="n">
        <v>0</v>
      </c>
      <c r="AO192" s="9" t="n">
        <v>0</v>
      </c>
      <c r="AP192" s="9" t="n">
        <v>0</v>
      </c>
      <c r="AQ192" s="9" t="n">
        <v>0</v>
      </c>
      <c r="AR192" s="9" t="n">
        <v>0</v>
      </c>
      <c r="AS192" s="9" t="n">
        <v>0</v>
      </c>
      <c r="AT192" s="9" t="n">
        <v>0</v>
      </c>
      <c r="AU192" s="9" t="n">
        <v>0</v>
      </c>
      <c r="AV192" s="9" t="n">
        <v>0</v>
      </c>
      <c r="AW192" s="9" t="n">
        <v>0</v>
      </c>
      <c r="AX192" s="9" t="n">
        <v>0</v>
      </c>
      <c r="AY192" s="9" t="n">
        <v>0</v>
      </c>
    </row>
    <row r="193">
      <c r="A193" s="9" t="n">
        <v>199</v>
      </c>
      <c r="B193" s="9" t="inlineStr">
        <is>
          <t>ЮК052</t>
        </is>
      </c>
      <c r="C193" s="9" t="inlineStr"/>
      <c r="D193" s="9" t="inlineStr">
        <is>
          <t>КОНФЕТЫ ВЕСОВЫЕ</t>
        </is>
      </c>
      <c r="E193" s="9" t="inlineStr">
        <is>
          <t>Локальный</t>
        </is>
      </c>
      <c r="F193" s="9" t="n">
        <v>1507</v>
      </c>
      <c r="G193" s="9" t="n">
        <v>0</v>
      </c>
      <c r="H193" s="9" t="n">
        <v>6000</v>
      </c>
      <c r="I193" s="9" t="n">
        <v>6000</v>
      </c>
      <c r="J193" s="9" t="n">
        <v>6000</v>
      </c>
      <c r="K193" s="9" t="n">
        <v>0</v>
      </c>
      <c r="L193" s="9" t="n">
        <v>0</v>
      </c>
      <c r="M193" s="9" t="n">
        <v>0</v>
      </c>
      <c r="N193" s="9" t="n">
        <v>0</v>
      </c>
      <c r="O193" s="9" t="n">
        <v>24</v>
      </c>
      <c r="P193" s="9" t="n">
        <v>0</v>
      </c>
      <c r="Q193" s="9" t="n">
        <v>0</v>
      </c>
      <c r="R193" s="9" t="n">
        <v>0</v>
      </c>
      <c r="S193" s="9" t="n">
        <v>2315.554942000454</v>
      </c>
      <c r="T193" s="9" t="n">
        <v>0</v>
      </c>
      <c r="U193" s="9" t="n">
        <v>0</v>
      </c>
      <c r="V193" s="9" t="n">
        <v>0</v>
      </c>
      <c r="W193" s="9" t="n">
        <v>24</v>
      </c>
      <c r="X193" s="9" t="n">
        <v>0</v>
      </c>
      <c r="Y193" s="9" t="n">
        <v>0</v>
      </c>
      <c r="Z193" s="9" t="n">
        <v>0</v>
      </c>
      <c r="AA193" s="9" t="n">
        <v>5015.842218439609</v>
      </c>
      <c r="AB193" s="9" t="n">
        <v>0</v>
      </c>
      <c r="AC193" s="9" t="n">
        <v>0</v>
      </c>
      <c r="AD193" s="9" t="n">
        <v>0</v>
      </c>
      <c r="AE193" s="9" t="n">
        <v>24</v>
      </c>
      <c r="AF193" s="9" t="n">
        <v>0</v>
      </c>
      <c r="AG193" s="9" t="n">
        <v>0</v>
      </c>
      <c r="AH193" s="9" t="n">
        <v>0</v>
      </c>
      <c r="AI193" s="9" t="n">
        <v>5556.961836267155</v>
      </c>
      <c r="AJ193" s="9" t="n">
        <v>0</v>
      </c>
      <c r="AK193" s="9" t="n">
        <v>0</v>
      </c>
      <c r="AL193" s="9" t="n">
        <v>0</v>
      </c>
      <c r="AM193" s="9" t="n">
        <v>24</v>
      </c>
      <c r="AN193" s="9" t="n">
        <v>0</v>
      </c>
      <c r="AO193" s="9" t="n">
        <v>0</v>
      </c>
      <c r="AP193" s="9" t="n">
        <v>0</v>
      </c>
      <c r="AQ193" s="9" t="n">
        <v>9100.55929787694</v>
      </c>
      <c r="AR193" s="9" t="n">
        <v>0</v>
      </c>
      <c r="AS193" s="9" t="n">
        <v>0</v>
      </c>
      <c r="AT193" s="9" t="n">
        <v>0</v>
      </c>
      <c r="AU193" s="9" t="n">
        <v>24</v>
      </c>
      <c r="AV193" s="9" t="n">
        <v>0</v>
      </c>
      <c r="AW193" s="9" t="n">
        <v>0</v>
      </c>
      <c r="AX193" s="9" t="n">
        <v>0</v>
      </c>
      <c r="AY193" s="9" t="n">
        <v>1157.777471000227</v>
      </c>
    </row>
    <row r="194">
      <c r="A194" s="9" t="n">
        <v>200</v>
      </c>
      <c r="B194" s="9" t="inlineStr">
        <is>
          <t>ОК153</t>
        </is>
      </c>
      <c r="C194" s="9" t="inlineStr"/>
      <c r="D194" s="9" t="inlineStr">
        <is>
          <t>КОНФЕТЫ ВЕСОВЫЕ</t>
        </is>
      </c>
      <c r="E194" s="9" t="inlineStr">
        <is>
          <t>Локальный</t>
        </is>
      </c>
      <c r="F194" s="9" t="n">
        <v>5230</v>
      </c>
      <c r="G194" s="9" t="n">
        <v>0</v>
      </c>
      <c r="H194" s="9" t="n">
        <v>2700</v>
      </c>
      <c r="I194" s="9" t="n">
        <v>2000</v>
      </c>
      <c r="J194" s="9" t="n">
        <v>1469</v>
      </c>
      <c r="K194" s="9" t="n">
        <v>0</v>
      </c>
      <c r="L194" s="9" t="n">
        <v>0</v>
      </c>
      <c r="M194" s="9" t="n">
        <v>0</v>
      </c>
      <c r="N194" s="9" t="n">
        <v>350.200039324821</v>
      </c>
      <c r="O194" s="9" t="n">
        <v>50</v>
      </c>
      <c r="P194" s="9" t="n">
        <v>0</v>
      </c>
      <c r="Q194" s="9" t="n">
        <v>0</v>
      </c>
      <c r="R194" s="9" t="n">
        <v>0</v>
      </c>
      <c r="S194" s="9" t="n">
        <v>18.70288848503004</v>
      </c>
      <c r="T194" s="9" t="n">
        <v>0</v>
      </c>
      <c r="U194" s="9" t="n">
        <v>0</v>
      </c>
      <c r="V194" s="9" t="n">
        <v>965.8877349143703</v>
      </c>
      <c r="W194" s="9" t="n">
        <v>50</v>
      </c>
      <c r="X194" s="9" t="n">
        <v>0</v>
      </c>
      <c r="Y194" s="9" t="n">
        <v>0</v>
      </c>
      <c r="Z194" s="9" t="n">
        <v>0</v>
      </c>
      <c r="AA194" s="9" t="n">
        <v>40.51328516046212</v>
      </c>
      <c r="AB194" s="9" t="n">
        <v>0</v>
      </c>
      <c r="AC194" s="9" t="n">
        <v>0</v>
      </c>
      <c r="AD194" s="9" t="n">
        <v>1324.764597199729</v>
      </c>
      <c r="AE194" s="9" t="n">
        <v>50</v>
      </c>
      <c r="AF194" s="9" t="n">
        <v>0</v>
      </c>
      <c r="AG194" s="9" t="n">
        <v>0</v>
      </c>
      <c r="AH194" s="9" t="n">
        <v>0</v>
      </c>
      <c r="AI194" s="9" t="n">
        <v>44.88394365174683</v>
      </c>
      <c r="AJ194" s="9" t="n">
        <v>0</v>
      </c>
      <c r="AK194" s="9" t="n">
        <v>0</v>
      </c>
      <c r="AL194" s="9" t="n">
        <v>1334.905435758283</v>
      </c>
      <c r="AM194" s="9" t="n">
        <v>50</v>
      </c>
      <c r="AN194" s="9" t="n">
        <v>0</v>
      </c>
      <c r="AO194" s="9" t="n">
        <v>0</v>
      </c>
      <c r="AP194" s="9" t="n">
        <v>0</v>
      </c>
      <c r="AQ194" s="9" t="n">
        <v>80.548438460246</v>
      </c>
      <c r="AR194" s="9" t="n">
        <v>0</v>
      </c>
      <c r="AS194" s="9" t="n">
        <v>0</v>
      </c>
      <c r="AT194" s="9" t="n">
        <v>1405.331092802797</v>
      </c>
      <c r="AU194" s="9" t="n">
        <v>50</v>
      </c>
      <c r="AV194" s="9" t="n">
        <v>0</v>
      </c>
      <c r="AW194" s="9" t="n">
        <v>0</v>
      </c>
      <c r="AX194" s="9" t="n">
        <v>0</v>
      </c>
      <c r="AY194" s="9" t="n">
        <v>9.35144424251502</v>
      </c>
    </row>
    <row r="195">
      <c r="A195" s="9" t="n">
        <v>201</v>
      </c>
      <c r="B195" s="9" t="inlineStr">
        <is>
          <t>НС020</t>
        </is>
      </c>
      <c r="C195" s="9" t="inlineStr"/>
      <c r="D195" s="9" t="inlineStr">
        <is>
          <t>КОНФЕТЫ ВЕСОВЫЕ</t>
        </is>
      </c>
      <c r="E195" s="9" t="inlineStr">
        <is>
          <t>Локальный</t>
        </is>
      </c>
      <c r="F195" s="9" t="n">
        <v>5574.5</v>
      </c>
      <c r="G195" s="9" t="n">
        <v>2400</v>
      </c>
      <c r="H195" s="9" t="n">
        <v>500</v>
      </c>
      <c r="I195" s="9" t="n">
        <v>300</v>
      </c>
      <c r="J195" s="9" t="n">
        <v>500</v>
      </c>
      <c r="K195" s="9" t="n">
        <v>700</v>
      </c>
      <c r="L195" s="9" t="n">
        <v>0</v>
      </c>
      <c r="M195" s="9" t="n">
        <v>0</v>
      </c>
      <c r="N195" s="9" t="n">
        <v>0</v>
      </c>
      <c r="O195" s="9" t="n">
        <v>0</v>
      </c>
      <c r="P195" s="9" t="n">
        <v>0</v>
      </c>
      <c r="Q195" s="9" t="n">
        <v>0</v>
      </c>
      <c r="R195" s="9" t="n">
        <v>0</v>
      </c>
      <c r="S195" s="9" t="n">
        <v>447.8293938735661</v>
      </c>
      <c r="T195" s="9" t="n">
        <v>0</v>
      </c>
      <c r="U195" s="9" t="n">
        <v>0</v>
      </c>
      <c r="V195" s="9" t="n">
        <v>0</v>
      </c>
      <c r="W195" s="9" t="n">
        <v>0</v>
      </c>
      <c r="X195" s="9" t="n">
        <v>0</v>
      </c>
      <c r="Y195" s="9" t="n">
        <v>0</v>
      </c>
      <c r="Z195" s="9" t="n">
        <v>0</v>
      </c>
      <c r="AA195" s="9" t="n">
        <v>970.0661986921722</v>
      </c>
      <c r="AB195" s="9" t="n">
        <v>0</v>
      </c>
      <c r="AC195" s="9" t="n">
        <v>0</v>
      </c>
      <c r="AD195" s="9" t="n">
        <v>0</v>
      </c>
      <c r="AE195" s="9" t="n">
        <v>0</v>
      </c>
      <c r="AF195" s="9" t="n">
        <v>0</v>
      </c>
      <c r="AG195" s="9" t="n">
        <v>0</v>
      </c>
      <c r="AH195" s="9" t="n">
        <v>0</v>
      </c>
      <c r="AI195" s="9" t="n">
        <v>1074.718982381014</v>
      </c>
      <c r="AJ195" s="9" t="n">
        <v>0</v>
      </c>
      <c r="AK195" s="9" t="n">
        <v>0</v>
      </c>
      <c r="AL195" s="9" t="n">
        <v>0</v>
      </c>
      <c r="AM195" s="9" t="n">
        <v>0</v>
      </c>
      <c r="AN195" s="9" t="n">
        <v>0</v>
      </c>
      <c r="AO195" s="9" t="n">
        <v>0</v>
      </c>
      <c r="AP195" s="9" t="n">
        <v>0</v>
      </c>
      <c r="AQ195" s="9" t="n">
        <v>1928.683818116465</v>
      </c>
      <c r="AR195" s="9" t="n">
        <v>0</v>
      </c>
      <c r="AS195" s="9" t="n">
        <v>0</v>
      </c>
      <c r="AT195" s="9" t="n">
        <v>0</v>
      </c>
      <c r="AU195" s="9" t="n">
        <v>0</v>
      </c>
      <c r="AV195" s="9" t="n">
        <v>0</v>
      </c>
      <c r="AW195" s="9" t="n">
        <v>0</v>
      </c>
      <c r="AX195" s="9" t="n">
        <v>0</v>
      </c>
      <c r="AY195" s="9" t="n">
        <v>223.914696936783</v>
      </c>
    </row>
    <row r="196">
      <c r="A196" s="9" t="n">
        <v>202</v>
      </c>
      <c r="B196" s="9" t="inlineStr">
        <is>
          <t>НС020</t>
        </is>
      </c>
      <c r="C196" s="9" t="inlineStr"/>
      <c r="D196" s="9" t="inlineStr">
        <is>
          <t>КОНФЕТЫ ВЕСОВЫЕ</t>
        </is>
      </c>
      <c r="E196" s="9" t="inlineStr">
        <is>
          <t>Локальный</t>
        </is>
      </c>
      <c r="F196" s="9" t="n">
        <v>3263</v>
      </c>
      <c r="G196" s="9" t="n">
        <v>2900</v>
      </c>
      <c r="H196" s="9" t="n">
        <v>1000</v>
      </c>
      <c r="I196" s="9" t="n">
        <v>500</v>
      </c>
      <c r="J196" s="9" t="n">
        <v>400</v>
      </c>
      <c r="K196" s="9" t="n">
        <v>0</v>
      </c>
      <c r="L196" s="9" t="n">
        <v>0</v>
      </c>
      <c r="M196" s="9" t="n">
        <v>0</v>
      </c>
      <c r="N196" s="9" t="n">
        <v>0</v>
      </c>
      <c r="O196" s="9" t="n">
        <v>112</v>
      </c>
      <c r="P196" s="9" t="n">
        <v>0</v>
      </c>
      <c r="Q196" s="9" t="n">
        <v>0</v>
      </c>
      <c r="R196" s="9" t="n">
        <v>0</v>
      </c>
      <c r="S196" s="9" t="n">
        <v>226.7500485646819</v>
      </c>
      <c r="T196" s="9" t="n">
        <v>0</v>
      </c>
      <c r="U196" s="9" t="n">
        <v>0</v>
      </c>
      <c r="V196" s="9" t="n">
        <v>0</v>
      </c>
      <c r="W196" s="9" t="n">
        <v>112</v>
      </c>
      <c r="X196" s="9" t="n">
        <v>0</v>
      </c>
      <c r="Y196" s="9" t="n">
        <v>0</v>
      </c>
      <c r="Z196" s="9" t="n">
        <v>0</v>
      </c>
      <c r="AA196" s="9" t="n">
        <v>491.1748998023733</v>
      </c>
      <c r="AB196" s="9" t="n">
        <v>0</v>
      </c>
      <c r="AC196" s="9" t="n">
        <v>0</v>
      </c>
      <c r="AD196" s="9" t="n">
        <v>0</v>
      </c>
      <c r="AE196" s="9" t="n">
        <v>112</v>
      </c>
      <c r="AF196" s="9" t="n">
        <v>0</v>
      </c>
      <c r="AG196" s="9" t="n">
        <v>0</v>
      </c>
      <c r="AH196" s="9" t="n">
        <v>0</v>
      </c>
      <c r="AI196" s="9" t="n">
        <v>544.1638820096773</v>
      </c>
      <c r="AJ196" s="9" t="n">
        <v>0</v>
      </c>
      <c r="AK196" s="9" t="n">
        <v>0</v>
      </c>
      <c r="AL196" s="9" t="n">
        <v>0</v>
      </c>
      <c r="AM196" s="9" t="n">
        <v>112</v>
      </c>
      <c r="AN196" s="9" t="n">
        <v>0</v>
      </c>
      <c r="AO196" s="9" t="n">
        <v>0</v>
      </c>
      <c r="AP196" s="9" t="n">
        <v>0</v>
      </c>
      <c r="AQ196" s="9" t="n">
        <v>976.5530253409269</v>
      </c>
      <c r="AR196" s="9" t="n">
        <v>0</v>
      </c>
      <c r="AS196" s="9" t="n">
        <v>0</v>
      </c>
      <c r="AT196" s="9" t="n">
        <v>0</v>
      </c>
      <c r="AU196" s="9" t="n">
        <v>112</v>
      </c>
      <c r="AV196" s="9" t="n">
        <v>0</v>
      </c>
      <c r="AW196" s="9" t="n">
        <v>0</v>
      </c>
      <c r="AX196" s="9" t="n">
        <v>0</v>
      </c>
      <c r="AY196" s="9" t="n">
        <v>113.3750242823409</v>
      </c>
    </row>
    <row r="197">
      <c r="A197" s="9" t="n">
        <v>203</v>
      </c>
      <c r="B197" s="9" t="inlineStr">
        <is>
          <t>ЮК043</t>
        </is>
      </c>
      <c r="C197" s="9" t="inlineStr"/>
      <c r="D197" s="9" t="inlineStr">
        <is>
          <t>КОНФЕТЫ ВЕСОВЫЕ</t>
        </is>
      </c>
      <c r="E197" s="9" t="inlineStr">
        <is>
          <t>Локальный</t>
        </is>
      </c>
      <c r="F197" s="9" t="n">
        <v>1035</v>
      </c>
      <c r="G197" s="9" t="n">
        <v>0</v>
      </c>
      <c r="H197" s="9" t="n">
        <v>1000</v>
      </c>
      <c r="I197" s="9" t="n">
        <v>1000</v>
      </c>
      <c r="J197" s="9" t="n">
        <v>1000</v>
      </c>
      <c r="K197" s="9" t="n">
        <v>0</v>
      </c>
      <c r="L197" s="9" t="n">
        <v>0</v>
      </c>
      <c r="M197" s="9" t="n">
        <v>0</v>
      </c>
      <c r="N197" s="9" t="n">
        <v>0</v>
      </c>
      <c r="O197" s="9" t="n">
        <v>0</v>
      </c>
      <c r="P197" s="9" t="n">
        <v>0</v>
      </c>
      <c r="Q197" s="9" t="n">
        <v>0</v>
      </c>
      <c r="R197" s="9" t="n">
        <v>0</v>
      </c>
      <c r="S197" s="9" t="n">
        <v>358.8689706083503</v>
      </c>
      <c r="T197" s="9" t="n">
        <v>0</v>
      </c>
      <c r="U197" s="9" t="n">
        <v>0</v>
      </c>
      <c r="V197" s="9" t="n">
        <v>0</v>
      </c>
      <c r="W197" s="9" t="n">
        <v>0</v>
      </c>
      <c r="X197" s="9" t="n">
        <v>0</v>
      </c>
      <c r="Y197" s="9" t="n">
        <v>0</v>
      </c>
      <c r="Z197" s="9" t="n">
        <v>0</v>
      </c>
      <c r="AA197" s="9" t="n">
        <v>777.3644671588939</v>
      </c>
      <c r="AB197" s="9" t="n">
        <v>0</v>
      </c>
      <c r="AC197" s="9" t="n">
        <v>0</v>
      </c>
      <c r="AD197" s="9" t="n">
        <v>0</v>
      </c>
      <c r="AE197" s="9" t="n">
        <v>0</v>
      </c>
      <c r="AF197" s="9" t="n">
        <v>0</v>
      </c>
      <c r="AG197" s="9" t="n">
        <v>0</v>
      </c>
      <c r="AH197" s="9" t="n">
        <v>0</v>
      </c>
      <c r="AI197" s="9" t="n">
        <v>861.2281823761151</v>
      </c>
      <c r="AJ197" s="9" t="n">
        <v>0</v>
      </c>
      <c r="AK197" s="9" t="n">
        <v>0</v>
      </c>
      <c r="AL197" s="9" t="n">
        <v>0</v>
      </c>
      <c r="AM197" s="9" t="n">
        <v>0</v>
      </c>
      <c r="AN197" s="9" t="n">
        <v>0</v>
      </c>
      <c r="AO197" s="9" t="n">
        <v>0</v>
      </c>
      <c r="AP197" s="9" t="n">
        <v>0</v>
      </c>
      <c r="AQ197" s="9" t="n">
        <v>1410.4214449638</v>
      </c>
      <c r="AR197" s="9" t="n">
        <v>0</v>
      </c>
      <c r="AS197" s="9" t="n">
        <v>0</v>
      </c>
      <c r="AT197" s="9" t="n">
        <v>0</v>
      </c>
      <c r="AU197" s="9" t="n">
        <v>0</v>
      </c>
      <c r="AV197" s="9" t="n">
        <v>0</v>
      </c>
      <c r="AW197" s="9" t="n">
        <v>0</v>
      </c>
      <c r="AX197" s="9" t="n">
        <v>0</v>
      </c>
      <c r="AY197" s="9" t="n">
        <v>179.4344853041751</v>
      </c>
    </row>
    <row r="198">
      <c r="A198" s="9" t="n">
        <v>204</v>
      </c>
      <c r="B198" s="9" t="inlineStr">
        <is>
          <t>КО222</t>
        </is>
      </c>
      <c r="C198" s="9" t="inlineStr"/>
      <c r="D198" s="9" t="inlineStr">
        <is>
          <t>КОНФЕТЫ ВЕСОВЫЕ</t>
        </is>
      </c>
      <c r="E198" s="9" t="inlineStr">
        <is>
          <t>Федеральный</t>
        </is>
      </c>
      <c r="F198" s="9" t="n">
        <v>1601.46</v>
      </c>
      <c r="G198" s="9" t="n">
        <v>0</v>
      </c>
      <c r="H198" s="9" t="n">
        <v>0</v>
      </c>
      <c r="I198" s="9" t="n">
        <v>0</v>
      </c>
      <c r="J198" s="9" t="n">
        <v>0</v>
      </c>
      <c r="K198" s="9" t="n">
        <v>0</v>
      </c>
      <c r="L198" s="9" t="n">
        <v>0</v>
      </c>
      <c r="M198" s="9" t="n">
        <v>0</v>
      </c>
      <c r="N198" s="9" t="n">
        <v>16.26369862379193</v>
      </c>
      <c r="O198" s="9" t="n">
        <v>0</v>
      </c>
      <c r="P198" s="9" t="n">
        <v>0</v>
      </c>
      <c r="Q198" s="9" t="n">
        <v>0</v>
      </c>
      <c r="R198" s="9" t="n">
        <v>0</v>
      </c>
      <c r="S198" s="9" t="n">
        <v>0</v>
      </c>
      <c r="T198" s="9" t="n">
        <v>0</v>
      </c>
      <c r="U198" s="9" t="n">
        <v>0</v>
      </c>
      <c r="V198" s="9" t="n">
        <v>44.85695391511327</v>
      </c>
      <c r="W198" s="9" t="n">
        <v>0</v>
      </c>
      <c r="X198" s="9" t="n">
        <v>0</v>
      </c>
      <c r="Y198" s="9" t="n">
        <v>0</v>
      </c>
      <c r="Z198" s="9" t="n">
        <v>0</v>
      </c>
      <c r="AA198" s="9" t="n">
        <v>0</v>
      </c>
      <c r="AB198" s="9" t="n">
        <v>0</v>
      </c>
      <c r="AC198" s="9" t="n">
        <v>0</v>
      </c>
      <c r="AD198" s="9" t="n">
        <v>61.52361432587202</v>
      </c>
      <c r="AE198" s="9" t="n">
        <v>0</v>
      </c>
      <c r="AF198" s="9" t="n">
        <v>0</v>
      </c>
      <c r="AG198" s="9" t="n">
        <v>0</v>
      </c>
      <c r="AH198" s="9" t="n">
        <v>0</v>
      </c>
      <c r="AI198" s="9" t="n">
        <v>0</v>
      </c>
      <c r="AJ198" s="9" t="n">
        <v>0</v>
      </c>
      <c r="AK198" s="9" t="n">
        <v>0</v>
      </c>
      <c r="AL198" s="9" t="n">
        <v>61.99456670619394</v>
      </c>
      <c r="AM198" s="9" t="n">
        <v>0</v>
      </c>
      <c r="AN198" s="9" t="n">
        <v>0</v>
      </c>
      <c r="AO198" s="9" t="n">
        <v>0</v>
      </c>
      <c r="AP198" s="9" t="n">
        <v>0</v>
      </c>
      <c r="AQ198" s="9" t="n">
        <v>0</v>
      </c>
      <c r="AR198" s="9" t="n">
        <v>0</v>
      </c>
      <c r="AS198" s="9" t="n">
        <v>0</v>
      </c>
      <c r="AT198" s="9" t="n">
        <v>65.26521642902884</v>
      </c>
      <c r="AU198" s="9" t="n">
        <v>0</v>
      </c>
      <c r="AV198" s="9" t="n">
        <v>0</v>
      </c>
      <c r="AW198" s="9" t="n">
        <v>0</v>
      </c>
      <c r="AX198" s="9" t="n">
        <v>0</v>
      </c>
      <c r="AY198" s="9" t="n">
        <v>0</v>
      </c>
    </row>
    <row r="199">
      <c r="A199" s="9" t="n">
        <v>205</v>
      </c>
      <c r="B199" s="9" t="inlineStr">
        <is>
          <t>ОК153</t>
        </is>
      </c>
      <c r="C199" s="9" t="inlineStr"/>
      <c r="D199" s="9" t="inlineStr">
        <is>
          <t>КОНФЕТЫ ВЕСОВЫЕ</t>
        </is>
      </c>
      <c r="E199" s="9" t="inlineStr">
        <is>
          <t>Локальный</t>
        </is>
      </c>
      <c r="F199" s="9" t="n">
        <v>56</v>
      </c>
      <c r="G199" s="9" t="n">
        <v>0</v>
      </c>
      <c r="H199" s="9" t="n">
        <v>121.11</v>
      </c>
      <c r="I199" s="9" t="n">
        <v>76.47</v>
      </c>
      <c r="J199" s="9" t="n">
        <v>156</v>
      </c>
      <c r="K199" s="9" t="n">
        <v>0</v>
      </c>
      <c r="L199" s="9" t="n">
        <v>0</v>
      </c>
      <c r="M199" s="9" t="n">
        <v>0</v>
      </c>
      <c r="N199" s="9" t="n">
        <v>0</v>
      </c>
      <c r="O199" s="9" t="n">
        <v>0</v>
      </c>
      <c r="P199" s="9" t="n">
        <v>0</v>
      </c>
      <c r="Q199" s="9" t="n">
        <v>0</v>
      </c>
      <c r="R199" s="9" t="n">
        <v>0</v>
      </c>
      <c r="S199" s="9" t="n">
        <v>41.76596979377814</v>
      </c>
      <c r="T199" s="9" t="n">
        <v>0</v>
      </c>
      <c r="U199" s="9" t="n">
        <v>0</v>
      </c>
      <c r="V199" s="9" t="n">
        <v>0</v>
      </c>
      <c r="W199" s="9" t="n">
        <v>0</v>
      </c>
      <c r="X199" s="9" t="n">
        <v>0</v>
      </c>
      <c r="Y199" s="9" t="n">
        <v>0</v>
      </c>
      <c r="Z199" s="9" t="n">
        <v>0</v>
      </c>
      <c r="AA199" s="9" t="n">
        <v>90.47140743061875</v>
      </c>
      <c r="AB199" s="9" t="n">
        <v>0</v>
      </c>
      <c r="AC199" s="9" t="n">
        <v>0</v>
      </c>
      <c r="AD199" s="9" t="n">
        <v>0</v>
      </c>
      <c r="AE199" s="9" t="n">
        <v>0</v>
      </c>
      <c r="AF199" s="9" t="n">
        <v>0</v>
      </c>
      <c r="AG199" s="9" t="n">
        <v>0</v>
      </c>
      <c r="AH199" s="9" t="n">
        <v>0</v>
      </c>
      <c r="AI199" s="9" t="n">
        <v>100.2316533237613</v>
      </c>
      <c r="AJ199" s="9" t="n">
        <v>0</v>
      </c>
      <c r="AK199" s="9" t="n">
        <v>0</v>
      </c>
      <c r="AL199" s="9" t="n">
        <v>0</v>
      </c>
      <c r="AM199" s="9" t="n">
        <v>0</v>
      </c>
      <c r="AN199" s="9" t="n">
        <v>0</v>
      </c>
      <c r="AO199" s="9" t="n">
        <v>0</v>
      </c>
      <c r="AP199" s="9" t="n">
        <v>0</v>
      </c>
      <c r="AQ199" s="9" t="n">
        <v>179.8750845549528</v>
      </c>
      <c r="AR199" s="9" t="n">
        <v>0</v>
      </c>
      <c r="AS199" s="9" t="n">
        <v>0</v>
      </c>
      <c r="AT199" s="9" t="n">
        <v>0</v>
      </c>
      <c r="AU199" s="9" t="n">
        <v>0</v>
      </c>
      <c r="AV199" s="9" t="n">
        <v>0</v>
      </c>
      <c r="AW199" s="9" t="n">
        <v>0</v>
      </c>
      <c r="AX199" s="9" t="n">
        <v>0</v>
      </c>
      <c r="AY199" s="9" t="n">
        <v>20.88298489688907</v>
      </c>
    </row>
    <row r="200">
      <c r="A200" s="9" t="n">
        <v>206</v>
      </c>
      <c r="B200" s="9" t="inlineStr">
        <is>
          <t>ОК153</t>
        </is>
      </c>
      <c r="C200" s="9" t="inlineStr"/>
      <c r="D200" s="9" t="inlineStr">
        <is>
          <t>КОНФЕТЫ ВЕСОВЫЕ</t>
        </is>
      </c>
      <c r="E200" s="9" t="inlineStr">
        <is>
          <t>Локальный</t>
        </is>
      </c>
      <c r="F200" s="9" t="n">
        <v>108</v>
      </c>
      <c r="G200" s="9" t="n">
        <v>0</v>
      </c>
      <c r="H200" s="9" t="n">
        <v>75.02500000000001</v>
      </c>
      <c r="I200" s="9" t="n">
        <v>36.88</v>
      </c>
      <c r="J200" s="9" t="n">
        <v>74</v>
      </c>
      <c r="K200" s="9" t="n">
        <v>0</v>
      </c>
      <c r="L200" s="9" t="n">
        <v>0</v>
      </c>
      <c r="M200" s="9" t="n">
        <v>0</v>
      </c>
      <c r="N200" s="9" t="n">
        <v>0</v>
      </c>
      <c r="O200" s="9" t="n">
        <v>0</v>
      </c>
      <c r="P200" s="9" t="n">
        <v>0</v>
      </c>
      <c r="Q200" s="9" t="n">
        <v>0</v>
      </c>
      <c r="R200" s="9" t="n">
        <v>0</v>
      </c>
      <c r="S200" s="9" t="n">
        <v>19.79626802246265</v>
      </c>
      <c r="T200" s="9" t="n">
        <v>0</v>
      </c>
      <c r="U200" s="9" t="n">
        <v>0</v>
      </c>
      <c r="V200" s="9" t="n">
        <v>0</v>
      </c>
      <c r="W200" s="9" t="n">
        <v>0</v>
      </c>
      <c r="X200" s="9" t="n">
        <v>0</v>
      </c>
      <c r="Y200" s="9" t="n">
        <v>0</v>
      </c>
      <c r="Z200" s="9" t="n">
        <v>0</v>
      </c>
      <c r="AA200" s="9" t="n">
        <v>42.88171060576575</v>
      </c>
      <c r="AB200" s="9" t="n">
        <v>0</v>
      </c>
      <c r="AC200" s="9" t="n">
        <v>0</v>
      </c>
      <c r="AD200" s="9" t="n">
        <v>0</v>
      </c>
      <c r="AE200" s="9" t="n">
        <v>0</v>
      </c>
      <c r="AF200" s="9" t="n">
        <v>0</v>
      </c>
      <c r="AG200" s="9" t="n">
        <v>0</v>
      </c>
      <c r="AH200" s="9" t="n">
        <v>0</v>
      </c>
      <c r="AI200" s="9" t="n">
        <v>47.50787982007603</v>
      </c>
      <c r="AJ200" s="9" t="n">
        <v>0</v>
      </c>
      <c r="AK200" s="9" t="n">
        <v>0</v>
      </c>
      <c r="AL200" s="9" t="n">
        <v>0</v>
      </c>
      <c r="AM200" s="9" t="n">
        <v>0</v>
      </c>
      <c r="AN200" s="9" t="n">
        <v>0</v>
      </c>
      <c r="AO200" s="9" t="n">
        <v>0</v>
      </c>
      <c r="AP200" s="9" t="n">
        <v>0</v>
      </c>
      <c r="AQ200" s="9" t="n">
        <v>85.25733754046425</v>
      </c>
      <c r="AR200" s="9" t="n">
        <v>0</v>
      </c>
      <c r="AS200" s="9" t="n">
        <v>0</v>
      </c>
      <c r="AT200" s="9" t="n">
        <v>0</v>
      </c>
      <c r="AU200" s="9" t="n">
        <v>0</v>
      </c>
      <c r="AV200" s="9" t="n">
        <v>0</v>
      </c>
      <c r="AW200" s="9" t="n">
        <v>0</v>
      </c>
      <c r="AX200" s="9" t="n">
        <v>0</v>
      </c>
      <c r="AY200" s="9" t="n">
        <v>9.898134011231322</v>
      </c>
    </row>
    <row r="201">
      <c r="A201" s="9" t="n">
        <v>207</v>
      </c>
      <c r="B201" s="9" t="inlineStr">
        <is>
          <t>НС083</t>
        </is>
      </c>
      <c r="C201" s="9" t="inlineStr"/>
      <c r="D201" s="9" t="inlineStr">
        <is>
          <t>КОНФЕТЫ ВЕСОВЫЕ</t>
        </is>
      </c>
      <c r="E201" s="9" t="inlineStr">
        <is>
          <t>Локальный</t>
        </is>
      </c>
      <c r="F201" s="9" t="n">
        <v>61</v>
      </c>
      <c r="G201" s="9" t="n">
        <v>0</v>
      </c>
      <c r="H201" s="9" t="n">
        <v>0</v>
      </c>
      <c r="I201" s="9" t="n">
        <v>0</v>
      </c>
      <c r="J201" s="9" t="n">
        <v>100</v>
      </c>
      <c r="K201" s="9" t="n">
        <v>47</v>
      </c>
      <c r="L201" s="9" t="n">
        <v>0</v>
      </c>
      <c r="M201" s="9" t="n">
        <v>0</v>
      </c>
      <c r="N201" s="9" t="n">
        <v>0</v>
      </c>
      <c r="O201" s="9" t="n">
        <v>0</v>
      </c>
      <c r="P201" s="9" t="n">
        <v>0</v>
      </c>
      <c r="Q201" s="9" t="n">
        <v>0</v>
      </c>
      <c r="R201" s="9" t="n">
        <v>0</v>
      </c>
      <c r="S201" s="9" t="n">
        <v>22.82962009306767</v>
      </c>
      <c r="T201" s="9" t="n">
        <v>0</v>
      </c>
      <c r="U201" s="9" t="n">
        <v>0</v>
      </c>
      <c r="V201" s="9" t="n">
        <v>0</v>
      </c>
      <c r="W201" s="9" t="n">
        <v>0</v>
      </c>
      <c r="X201" s="9" t="n">
        <v>0</v>
      </c>
      <c r="Y201" s="9" t="n">
        <v>0</v>
      </c>
      <c r="Z201" s="9" t="n">
        <v>0</v>
      </c>
      <c r="AA201" s="9" t="n">
        <v>49.452409967357</v>
      </c>
      <c r="AB201" s="9" t="n">
        <v>0</v>
      </c>
      <c r="AC201" s="9" t="n">
        <v>0</v>
      </c>
      <c r="AD201" s="9" t="n">
        <v>0</v>
      </c>
      <c r="AE201" s="9" t="n">
        <v>0</v>
      </c>
      <c r="AF201" s="9" t="n">
        <v>0</v>
      </c>
      <c r="AG201" s="9" t="n">
        <v>0</v>
      </c>
      <c r="AH201" s="9" t="n">
        <v>0</v>
      </c>
      <c r="AI201" s="9" t="n">
        <v>54.78744006136817</v>
      </c>
      <c r="AJ201" s="9" t="n">
        <v>0</v>
      </c>
      <c r="AK201" s="9" t="n">
        <v>0</v>
      </c>
      <c r="AL201" s="9" t="n">
        <v>0</v>
      </c>
      <c r="AM201" s="9" t="n">
        <v>0</v>
      </c>
      <c r="AN201" s="9" t="n">
        <v>0</v>
      </c>
      <c r="AO201" s="9" t="n">
        <v>0</v>
      </c>
      <c r="AP201" s="9" t="n">
        <v>0</v>
      </c>
      <c r="AQ201" s="9" t="n">
        <v>98.32118983167335</v>
      </c>
      <c r="AR201" s="9" t="n">
        <v>0</v>
      </c>
      <c r="AS201" s="9" t="n">
        <v>0</v>
      </c>
      <c r="AT201" s="9" t="n">
        <v>0</v>
      </c>
      <c r="AU201" s="9" t="n">
        <v>0</v>
      </c>
      <c r="AV201" s="9" t="n">
        <v>0</v>
      </c>
      <c r="AW201" s="9" t="n">
        <v>0</v>
      </c>
      <c r="AX201" s="9" t="n">
        <v>0</v>
      </c>
      <c r="AY201" s="9" t="n">
        <v>11.41481004653383</v>
      </c>
    </row>
    <row r="202">
      <c r="A202" s="9" t="n">
        <v>208</v>
      </c>
      <c r="B202" s="9" t="inlineStr">
        <is>
          <t>КО111</t>
        </is>
      </c>
      <c r="C202" s="9" t="inlineStr"/>
      <c r="D202" s="9" t="inlineStr">
        <is>
          <t>КОНФЕТЫ ВЕСОВЫЕ</t>
        </is>
      </c>
      <c r="E202" s="9" t="inlineStr">
        <is>
          <t>Федеральный</t>
        </is>
      </c>
      <c r="F202" s="9" t="n">
        <v>0</v>
      </c>
      <c r="G202" s="9" t="n">
        <v>0</v>
      </c>
      <c r="H202" s="9" t="n">
        <v>0</v>
      </c>
      <c r="I202" s="9" t="n">
        <v>0</v>
      </c>
      <c r="J202" s="9" t="n">
        <v>0</v>
      </c>
      <c r="K202" s="9" t="n">
        <v>0</v>
      </c>
      <c r="L202" s="9" t="n">
        <v>0</v>
      </c>
      <c r="M202" s="9" t="n">
        <v>0</v>
      </c>
      <c r="N202" s="9" t="n">
        <v>0</v>
      </c>
      <c r="O202" s="9" t="n">
        <v>0</v>
      </c>
      <c r="P202" s="9" t="n">
        <v>0</v>
      </c>
      <c r="Q202" s="9" t="n">
        <v>23.7093653675795</v>
      </c>
      <c r="R202" s="9" t="n">
        <v>0</v>
      </c>
      <c r="S202" s="9" t="n">
        <v>0</v>
      </c>
      <c r="T202" s="9" t="n">
        <v>0</v>
      </c>
      <c r="U202" s="9" t="n">
        <v>0</v>
      </c>
      <c r="V202" s="9" t="n">
        <v>0</v>
      </c>
      <c r="W202" s="9" t="n">
        <v>0</v>
      </c>
      <c r="X202" s="9" t="n">
        <v>0</v>
      </c>
      <c r="Y202" s="9" t="n">
        <v>52.39025211545335</v>
      </c>
      <c r="Z202" s="9" t="n">
        <v>0</v>
      </c>
      <c r="AA202" s="9" t="n">
        <v>0</v>
      </c>
      <c r="AB202" s="9" t="n">
        <v>0</v>
      </c>
      <c r="AC202" s="9" t="n">
        <v>0</v>
      </c>
      <c r="AD202" s="9" t="n">
        <v>0</v>
      </c>
      <c r="AE202" s="9" t="n">
        <v>0</v>
      </c>
      <c r="AF202" s="9" t="n">
        <v>0</v>
      </c>
      <c r="AG202" s="9" t="n">
        <v>78.02231967216373</v>
      </c>
      <c r="AH202" s="9" t="n">
        <v>0</v>
      </c>
      <c r="AI202" s="9" t="n">
        <v>0</v>
      </c>
      <c r="AJ202" s="9" t="n">
        <v>0</v>
      </c>
      <c r="AK202" s="9" t="n">
        <v>0</v>
      </c>
      <c r="AL202" s="9" t="n">
        <v>0</v>
      </c>
      <c r="AM202" s="9" t="n">
        <v>0</v>
      </c>
      <c r="AN202" s="9" t="n">
        <v>0</v>
      </c>
      <c r="AO202" s="9" t="n">
        <v>70.2637710951546</v>
      </c>
      <c r="AP202" s="9" t="n">
        <v>0</v>
      </c>
      <c r="AQ202" s="9" t="n">
        <v>0</v>
      </c>
      <c r="AR202" s="9" t="n">
        <v>0</v>
      </c>
      <c r="AS202" s="9" t="n">
        <v>0</v>
      </c>
      <c r="AT202" s="9" t="n">
        <v>0</v>
      </c>
      <c r="AU202" s="9" t="n">
        <v>0</v>
      </c>
      <c r="AV202" s="9" t="n">
        <v>0</v>
      </c>
      <c r="AW202" s="9" t="n">
        <v>11.85468268378977</v>
      </c>
      <c r="AX202" s="9" t="n">
        <v>0</v>
      </c>
      <c r="AY202" s="9" t="n">
        <v>0</v>
      </c>
    </row>
    <row r="203">
      <c r="A203" s="9" t="n">
        <v>209</v>
      </c>
      <c r="B203" s="9" t="inlineStr">
        <is>
          <t>КО176</t>
        </is>
      </c>
      <c r="C203" s="9" t="inlineStr"/>
      <c r="D203" s="9" t="inlineStr">
        <is>
          <t>КОНФЕТЫ ВЕСОВЫЕ</t>
        </is>
      </c>
      <c r="E203" s="9" t="inlineStr">
        <is>
          <t>Федеральный</t>
        </is>
      </c>
      <c r="F203" s="9" t="n">
        <v>63375.598</v>
      </c>
      <c r="G203" s="9" t="n">
        <v>4064</v>
      </c>
      <c r="H203" s="9" t="n">
        <v>64874</v>
      </c>
      <c r="I203" s="9" t="n">
        <v>56551.11</v>
      </c>
      <c r="J203" s="9" t="n">
        <v>48425.74</v>
      </c>
      <c r="K203" s="9" t="n">
        <v>0</v>
      </c>
      <c r="L203" s="9" t="n">
        <v>218</v>
      </c>
      <c r="M203" s="9" t="n">
        <v>20</v>
      </c>
      <c r="N203" s="9" t="n">
        <v>7357.633332651297</v>
      </c>
      <c r="O203" s="9" t="n">
        <v>293</v>
      </c>
      <c r="P203" s="9" t="n">
        <v>0</v>
      </c>
      <c r="Q203" s="9" t="n">
        <v>417.3778819395256</v>
      </c>
      <c r="R203" s="9" t="n">
        <v>0</v>
      </c>
      <c r="S203" s="9" t="n">
        <v>1.148463802388932</v>
      </c>
      <c r="T203" s="9" t="n">
        <v>347</v>
      </c>
      <c r="U203" s="9" t="n">
        <v>20</v>
      </c>
      <c r="V203" s="9" t="n">
        <v>20907.89771660363</v>
      </c>
      <c r="W203" s="9" t="n">
        <v>315.5</v>
      </c>
      <c r="X203" s="9" t="n">
        <v>0</v>
      </c>
      <c r="Y203" s="9" t="n">
        <v>922.2740517604178</v>
      </c>
      <c r="Z203" s="9" t="n">
        <v>0</v>
      </c>
      <c r="AA203" s="9" t="n">
        <v>2.296927604777865</v>
      </c>
      <c r="AB203" s="9" t="n">
        <v>94</v>
      </c>
      <c r="AC203" s="9" t="n">
        <v>20</v>
      </c>
      <c r="AD203" s="9" t="n">
        <v>27459.12781077984</v>
      </c>
      <c r="AE203" s="9" t="n">
        <v>353.5</v>
      </c>
      <c r="AF203" s="9" t="n">
        <v>0</v>
      </c>
      <c r="AG203" s="9" t="n">
        <v>1373.499038203098</v>
      </c>
      <c r="AH203" s="9" t="n">
        <v>0</v>
      </c>
      <c r="AI203" s="9" t="n">
        <v>3.675084167644588</v>
      </c>
      <c r="AJ203" s="9" t="n">
        <v>204</v>
      </c>
      <c r="AK203" s="9" t="n">
        <v>20</v>
      </c>
      <c r="AL203" s="9" t="n">
        <v>27590.8773134704</v>
      </c>
      <c r="AM203" s="9" t="n">
        <v>310.75</v>
      </c>
      <c r="AN203" s="9" t="n">
        <v>0</v>
      </c>
      <c r="AO203" s="9" t="n">
        <v>1000</v>
      </c>
      <c r="AP203" s="9" t="n">
        <v>0</v>
      </c>
      <c r="AQ203" s="9" t="n">
        <v>5.101154680618109</v>
      </c>
      <c r="AR203" s="9" t="n">
        <v>243</v>
      </c>
      <c r="AS203" s="9" t="n">
        <v>20</v>
      </c>
      <c r="AT203" s="9" t="n">
        <v>22293.21496350024</v>
      </c>
      <c r="AU203" s="9" t="n">
        <v>282.25</v>
      </c>
      <c r="AV203" s="9" t="n">
        <v>0</v>
      </c>
      <c r="AW203" s="9" t="n">
        <v>208.6889409697632</v>
      </c>
      <c r="AX203" s="9" t="n">
        <v>0</v>
      </c>
      <c r="AY203" s="9" t="n">
        <v>2.296927604777867</v>
      </c>
    </row>
    <row r="204">
      <c r="A204" s="9" t="n">
        <v>210</v>
      </c>
      <c r="B204" s="9" t="inlineStr">
        <is>
          <t>КО142</t>
        </is>
      </c>
      <c r="C204" s="9" t="inlineStr"/>
      <c r="D204" s="9" t="inlineStr">
        <is>
          <t>КОНФЕТЫ ВЕСОВЫЕ</t>
        </is>
      </c>
      <c r="E204" s="9" t="inlineStr">
        <is>
          <t>Федеральный</t>
        </is>
      </c>
      <c r="F204" s="9" t="n">
        <v>1959</v>
      </c>
      <c r="G204" s="9" t="n">
        <v>0</v>
      </c>
      <c r="H204" s="9" t="n">
        <v>0</v>
      </c>
      <c r="I204" s="9" t="n">
        <v>8000</v>
      </c>
      <c r="J204" s="9" t="n">
        <v>17000</v>
      </c>
      <c r="K204" s="9" t="n">
        <v>35441</v>
      </c>
      <c r="L204" s="9" t="n">
        <v>0</v>
      </c>
      <c r="M204" s="9" t="n">
        <v>0</v>
      </c>
      <c r="N204" s="9" t="n">
        <v>3038.231609178608</v>
      </c>
      <c r="O204" s="9" t="n">
        <v>0</v>
      </c>
      <c r="P204" s="9" t="n">
        <v>0</v>
      </c>
      <c r="Q204" s="9" t="n">
        <v>0</v>
      </c>
      <c r="R204" s="9" t="n">
        <v>32.11311558657169</v>
      </c>
      <c r="S204" s="9" t="n">
        <v>0</v>
      </c>
      <c r="T204" s="9" t="n">
        <v>1400</v>
      </c>
      <c r="U204" s="9" t="n">
        <v>0</v>
      </c>
      <c r="V204" s="9" t="n">
        <v>8605.870818854337</v>
      </c>
      <c r="W204" s="9" t="n">
        <v>0</v>
      </c>
      <c r="X204" s="9" t="n">
        <v>0</v>
      </c>
      <c r="Y204" s="9" t="n">
        <v>0</v>
      </c>
      <c r="Z204" s="9" t="n">
        <v>83.38420766827123</v>
      </c>
      <c r="AA204" s="9" t="n">
        <v>0</v>
      </c>
      <c r="AB204" s="9" t="n">
        <v>2600</v>
      </c>
      <c r="AC204" s="9" t="n">
        <v>0</v>
      </c>
      <c r="AD204" s="9" t="n">
        <v>11315.10148987796</v>
      </c>
      <c r="AE204" s="9" t="n">
        <v>0</v>
      </c>
      <c r="AF204" s="9" t="n">
        <v>0</v>
      </c>
      <c r="AG204" s="9" t="n">
        <v>0</v>
      </c>
      <c r="AH204" s="9" t="n">
        <v>84.28977998099477</v>
      </c>
      <c r="AI204" s="9" t="n">
        <v>0</v>
      </c>
      <c r="AJ204" s="9" t="n">
        <v>1000</v>
      </c>
      <c r="AK204" s="9" t="n">
        <v>0</v>
      </c>
      <c r="AL204" s="9" t="n">
        <v>11399.53475740826</v>
      </c>
      <c r="AM204" s="9" t="n">
        <v>0</v>
      </c>
      <c r="AN204" s="9" t="n">
        <v>0</v>
      </c>
      <c r="AO204" s="9" t="n">
        <v>0</v>
      </c>
      <c r="AP204" s="9" t="n">
        <v>40.47784631994084</v>
      </c>
      <c r="AQ204" s="9" t="n">
        <v>0</v>
      </c>
      <c r="AR204" s="9" t="n">
        <v>0</v>
      </c>
      <c r="AS204" s="9" t="n">
        <v>0</v>
      </c>
      <c r="AT204" s="9" t="n">
        <v>9598.884055572076</v>
      </c>
      <c r="AU204" s="9" t="n">
        <v>0</v>
      </c>
      <c r="AV204" s="9" t="n">
        <v>0</v>
      </c>
      <c r="AW204" s="9" t="n">
        <v>0</v>
      </c>
      <c r="AX204" s="9" t="n">
        <v>0</v>
      </c>
      <c r="AY204" s="9" t="n">
        <v>0</v>
      </c>
    </row>
    <row r="205">
      <c r="A205" s="9" t="n">
        <v>211</v>
      </c>
      <c r="B205" s="9" t="inlineStr">
        <is>
          <t>КО069</t>
        </is>
      </c>
      <c r="C205" s="9" t="inlineStr"/>
      <c r="D205" s="9" t="inlineStr">
        <is>
          <t>КОНФЕТЫ ВЕСОВЫЕ</t>
        </is>
      </c>
      <c r="E205" s="9" t="inlineStr">
        <is>
          <t>Федеральный</t>
        </is>
      </c>
      <c r="F205" s="9" t="n">
        <v>4741.25</v>
      </c>
      <c r="G205" s="9" t="n">
        <v>0</v>
      </c>
      <c r="H205" s="9" t="n">
        <v>0</v>
      </c>
      <c r="I205" s="9" t="n">
        <v>0</v>
      </c>
      <c r="J205" s="9" t="n">
        <v>0</v>
      </c>
      <c r="K205" s="9" t="n">
        <v>0</v>
      </c>
      <c r="L205" s="9" t="n">
        <v>0</v>
      </c>
      <c r="M205" s="9" t="n">
        <v>15.45590674140015</v>
      </c>
      <c r="N205" s="9" t="n">
        <v>198.1792086829107</v>
      </c>
      <c r="O205" s="9" t="n">
        <v>5</v>
      </c>
      <c r="P205" s="9" t="n">
        <v>0</v>
      </c>
      <c r="Q205" s="9" t="n">
        <v>5.583487603943341</v>
      </c>
      <c r="R205" s="9" t="n">
        <v>46.85705093574781</v>
      </c>
      <c r="S205" s="9" t="n">
        <v>0</v>
      </c>
      <c r="T205" s="9" t="n">
        <v>200</v>
      </c>
      <c r="U205" s="9" t="n">
        <v>36.69481958627751</v>
      </c>
      <c r="V205" s="9" t="n">
        <v>519.8873893466874</v>
      </c>
      <c r="W205" s="9" t="n">
        <v>9.5</v>
      </c>
      <c r="X205" s="9" t="n">
        <v>0</v>
      </c>
      <c r="Y205" s="9" t="n">
        <v>12.3377542468554</v>
      </c>
      <c r="Z205" s="9" t="n">
        <v>131.0605262167757</v>
      </c>
      <c r="AA205" s="9" t="n">
        <v>0</v>
      </c>
      <c r="AB205" s="9" t="n">
        <v>335</v>
      </c>
      <c r="AC205" s="9" t="n">
        <v>34.68849354254057</v>
      </c>
      <c r="AD205" s="9" t="n">
        <v>769.8886336214182</v>
      </c>
      <c r="AE205" s="9" t="n">
        <v>17.1</v>
      </c>
      <c r="AF205" s="9" t="n">
        <v>0</v>
      </c>
      <c r="AG205" s="9" t="n">
        <v>18.3740327067601</v>
      </c>
      <c r="AH205" s="9" t="n">
        <v>127.8641528691216</v>
      </c>
      <c r="AI205" s="9" t="n">
        <v>0</v>
      </c>
      <c r="AJ205" s="9" t="n">
        <v>321</v>
      </c>
      <c r="AK205" s="9" t="n">
        <v>37.77290305672391</v>
      </c>
      <c r="AL205" s="9" t="n">
        <v>774.8249231182216</v>
      </c>
      <c r="AM205" s="9" t="n">
        <v>8.550000000000001</v>
      </c>
      <c r="AN205" s="9" t="n">
        <v>0</v>
      </c>
      <c r="AO205" s="9" t="n">
        <v>16.54691674930142</v>
      </c>
      <c r="AP205" s="9" t="n">
        <v>74.32635388095822</v>
      </c>
      <c r="AQ205" s="9" t="n">
        <v>0</v>
      </c>
      <c r="AR205" s="9" t="n">
        <v>144</v>
      </c>
      <c r="AS205" s="9" t="n">
        <v>31.21670850129414</v>
      </c>
      <c r="AT205" s="9" t="n">
        <v>737.5904934664668</v>
      </c>
      <c r="AU205" s="9" t="n">
        <v>2.85</v>
      </c>
      <c r="AV205" s="9" t="n">
        <v>0</v>
      </c>
      <c r="AW205" s="9" t="n">
        <v>2.791743801971676</v>
      </c>
      <c r="AX205" s="9" t="n">
        <v>11.25025362207071</v>
      </c>
      <c r="AY205" s="9" t="n">
        <v>0</v>
      </c>
    </row>
    <row r="206">
      <c r="A206" s="9" t="n">
        <v>212</v>
      </c>
      <c r="B206" s="9" t="inlineStr">
        <is>
          <t>КО016</t>
        </is>
      </c>
      <c r="C206" s="9" t="inlineStr"/>
      <c r="D206" s="9" t="inlineStr">
        <is>
          <t>КОНФЕТЫ ВЕСОВЫЕ</t>
        </is>
      </c>
      <c r="E206" s="9" t="inlineStr">
        <is>
          <t>Федеральный</t>
        </is>
      </c>
      <c r="F206" s="9" t="n">
        <v>1025.975</v>
      </c>
      <c r="G206" s="9" t="n">
        <v>0</v>
      </c>
      <c r="H206" s="9" t="n">
        <v>0</v>
      </c>
      <c r="I206" s="9" t="n">
        <v>0</v>
      </c>
      <c r="J206" s="9" t="n">
        <v>0</v>
      </c>
      <c r="K206" s="9" t="n">
        <v>0</v>
      </c>
      <c r="L206" s="9" t="n">
        <v>0</v>
      </c>
      <c r="M206" s="9" t="n">
        <v>0</v>
      </c>
      <c r="N206" s="9" t="n">
        <v>0</v>
      </c>
      <c r="O206" s="9" t="n">
        <v>0</v>
      </c>
      <c r="P206" s="9" t="n">
        <v>0</v>
      </c>
      <c r="Q206" s="9" t="n">
        <v>0</v>
      </c>
      <c r="R206" s="9" t="n">
        <v>0</v>
      </c>
      <c r="S206" s="9" t="n">
        <v>0</v>
      </c>
      <c r="T206" s="9" t="n">
        <v>0</v>
      </c>
      <c r="U206" s="9" t="n">
        <v>0</v>
      </c>
      <c r="V206" s="9" t="n">
        <v>0</v>
      </c>
      <c r="W206" s="9" t="n">
        <v>0</v>
      </c>
      <c r="X206" s="9" t="n">
        <v>0</v>
      </c>
      <c r="Y206" s="9" t="n">
        <v>0</v>
      </c>
      <c r="Z206" s="9" t="n">
        <v>0</v>
      </c>
      <c r="AA206" s="9" t="n">
        <v>0</v>
      </c>
      <c r="AB206" s="9" t="n">
        <v>0</v>
      </c>
      <c r="AC206" s="9" t="n">
        <v>0</v>
      </c>
      <c r="AD206" s="9" t="n">
        <v>0</v>
      </c>
      <c r="AE206" s="9" t="n">
        <v>0</v>
      </c>
      <c r="AF206" s="9" t="n">
        <v>0</v>
      </c>
      <c r="AG206" s="9" t="n">
        <v>0</v>
      </c>
      <c r="AH206" s="9" t="n">
        <v>0</v>
      </c>
      <c r="AI206" s="9" t="n">
        <v>0</v>
      </c>
      <c r="AJ206" s="9" t="n">
        <v>0</v>
      </c>
      <c r="AK206" s="9" t="n">
        <v>0</v>
      </c>
      <c r="AL206" s="9" t="n">
        <v>0</v>
      </c>
      <c r="AM206" s="9" t="n">
        <v>0</v>
      </c>
      <c r="AN206" s="9" t="n">
        <v>0</v>
      </c>
      <c r="AO206" s="9" t="n">
        <v>0</v>
      </c>
      <c r="AP206" s="9" t="n">
        <v>0</v>
      </c>
      <c r="AQ206" s="9" t="n">
        <v>0</v>
      </c>
      <c r="AR206" s="9" t="n">
        <v>0</v>
      </c>
      <c r="AS206" s="9" t="n">
        <v>0</v>
      </c>
      <c r="AT206" s="9" t="n">
        <v>0</v>
      </c>
      <c r="AU206" s="9" t="n">
        <v>0</v>
      </c>
      <c r="AV206" s="9" t="n">
        <v>0</v>
      </c>
      <c r="AW206" s="9" t="n">
        <v>0</v>
      </c>
      <c r="AX206" s="9" t="n">
        <v>0</v>
      </c>
      <c r="AY206" s="9" t="n">
        <v>0</v>
      </c>
    </row>
    <row r="207">
      <c r="A207" s="9" t="n">
        <v>213</v>
      </c>
      <c r="B207" s="9" t="inlineStr">
        <is>
          <t>РФ176</t>
        </is>
      </c>
      <c r="C207" s="9" t="inlineStr"/>
      <c r="D207" s="9" t="inlineStr">
        <is>
          <t>КОНФЕТЫ ВЕСОВЫЕ</t>
        </is>
      </c>
      <c r="E207" s="9" t="inlineStr">
        <is>
          <t>Федеральный</t>
        </is>
      </c>
      <c r="F207" s="9" t="n">
        <v>51081.76500000001</v>
      </c>
      <c r="G207" s="9" t="n">
        <v>210</v>
      </c>
      <c r="H207" s="9" t="n">
        <v>47113.095</v>
      </c>
      <c r="I207" s="9" t="n">
        <v>36461.84</v>
      </c>
      <c r="J207" s="9" t="n">
        <v>38355.83</v>
      </c>
      <c r="K207" s="9" t="n">
        <v>19043.91</v>
      </c>
      <c r="L207" s="9" t="n">
        <v>7875</v>
      </c>
      <c r="M207" s="9" t="n">
        <v>356.972790930728</v>
      </c>
      <c r="N207" s="9" t="n">
        <v>3641.940716308228</v>
      </c>
      <c r="O207" s="9" t="n">
        <v>1417.4</v>
      </c>
      <c r="P207" s="9" t="n">
        <v>0</v>
      </c>
      <c r="Q207" s="9" t="n">
        <v>120.7947797429166</v>
      </c>
      <c r="R207" s="9" t="n">
        <v>55.24459472686966</v>
      </c>
      <c r="S207" s="9" t="n">
        <v>0.3027433975231351</v>
      </c>
      <c r="T207" s="9" t="n">
        <v>27926</v>
      </c>
      <c r="U207" s="9" t="n">
        <v>670.4756600394298</v>
      </c>
      <c r="V207" s="9" t="n">
        <v>9150.855127379584</v>
      </c>
      <c r="W207" s="9" t="n">
        <v>1556.9</v>
      </c>
      <c r="X207" s="9" t="n">
        <v>0</v>
      </c>
      <c r="Y207" s="9" t="n">
        <v>266.9185305826739</v>
      </c>
      <c r="Z207" s="9" t="n">
        <v>107.8548324495885</v>
      </c>
      <c r="AA207" s="9" t="n">
        <v>0.6054867950462708</v>
      </c>
      <c r="AB207" s="9" t="n">
        <v>14657</v>
      </c>
      <c r="AC207" s="9" t="n">
        <v>710.2332513299912</v>
      </c>
      <c r="AD207" s="9" t="n">
        <v>11138.82140031342</v>
      </c>
      <c r="AE207" s="9" t="n">
        <v>1792.5</v>
      </c>
      <c r="AF207" s="9" t="n">
        <v>0</v>
      </c>
      <c r="AG207" s="9" t="n">
        <v>397.5091181781648</v>
      </c>
      <c r="AH207" s="9" t="n">
        <v>127.8801766552332</v>
      </c>
      <c r="AI207" s="9" t="n">
        <v>0.9687788720740341</v>
      </c>
      <c r="AJ207" s="9" t="n">
        <v>13836</v>
      </c>
      <c r="AK207" s="9" t="n">
        <v>896.8884397582985</v>
      </c>
      <c r="AL207" s="9" t="n">
        <v>10823.56732509425</v>
      </c>
      <c r="AM207" s="9" t="n">
        <v>1527.45</v>
      </c>
      <c r="AN207" s="9" t="n">
        <v>0</v>
      </c>
      <c r="AO207" s="9" t="n">
        <v>357.9807650588499</v>
      </c>
      <c r="AP207" s="9" t="n">
        <v>0</v>
      </c>
      <c r="AQ207" s="9" t="n">
        <v>1.344701414262226</v>
      </c>
      <c r="AR207" s="9" t="n">
        <v>7605.1</v>
      </c>
      <c r="AS207" s="9" t="n">
        <v>658.1129452876653</v>
      </c>
      <c r="AT207" s="9" t="n">
        <v>10687.99821311086</v>
      </c>
      <c r="AU207" s="9" t="n">
        <v>1350.75</v>
      </c>
      <c r="AV207" s="9" t="n">
        <v>0</v>
      </c>
      <c r="AW207" s="9" t="n">
        <v>60.39738987145839</v>
      </c>
      <c r="AX207" s="9" t="n">
        <v>0</v>
      </c>
      <c r="AY207" s="9" t="n">
        <v>0.6054867950462713</v>
      </c>
    </row>
    <row r="208">
      <c r="A208" s="9" t="n">
        <v>214</v>
      </c>
      <c r="B208" s="9" t="inlineStr">
        <is>
          <t>РФ039</t>
        </is>
      </c>
      <c r="C208" s="9" t="inlineStr"/>
      <c r="D208" s="9" t="inlineStr">
        <is>
          <t>КОНФЕТЫ ВЕСОВЫЕ</t>
        </is>
      </c>
      <c r="E208" s="9" t="inlineStr">
        <is>
          <t>Федеральный</t>
        </is>
      </c>
      <c r="F208" s="9" t="n">
        <v>9444.5</v>
      </c>
      <c r="G208" s="9" t="n">
        <v>0</v>
      </c>
      <c r="H208" s="9" t="n">
        <v>616.4</v>
      </c>
      <c r="I208" s="9" t="n">
        <v>4309.3</v>
      </c>
      <c r="J208" s="9" t="n">
        <v>6528.29</v>
      </c>
      <c r="K208" s="9" t="n">
        <v>4526.88</v>
      </c>
      <c r="L208" s="9" t="n">
        <v>2150</v>
      </c>
      <c r="M208" s="9" t="n">
        <v>244.6511678680695</v>
      </c>
      <c r="N208" s="9" t="n">
        <v>272.9125390429367</v>
      </c>
      <c r="O208" s="9" t="n">
        <v>45</v>
      </c>
      <c r="P208" s="9" t="n">
        <v>0</v>
      </c>
      <c r="Q208" s="9" t="n">
        <v>10.04298037549767</v>
      </c>
      <c r="R208" s="9" t="n">
        <v>218.4697628962436</v>
      </c>
      <c r="S208" s="9" t="n">
        <v>0</v>
      </c>
      <c r="T208" s="9" t="n">
        <v>2295</v>
      </c>
      <c r="U208" s="9" t="n">
        <v>619.9322332661402</v>
      </c>
      <c r="V208" s="9" t="n">
        <v>660.7130720601987</v>
      </c>
      <c r="W208" s="9" t="n">
        <v>85.49999999999999</v>
      </c>
      <c r="X208" s="9" t="n">
        <v>0</v>
      </c>
      <c r="Y208" s="9" t="n">
        <v>22.19183287724536</v>
      </c>
      <c r="Z208" s="9" t="n">
        <v>666.071992175855</v>
      </c>
      <c r="AA208" s="9" t="n">
        <v>0</v>
      </c>
      <c r="AB208" s="9" t="n">
        <v>491</v>
      </c>
      <c r="AC208" s="9" t="n">
        <v>557.7378539533773</v>
      </c>
      <c r="AD208" s="9" t="n">
        <v>845.9273213546392</v>
      </c>
      <c r="AE208" s="9" t="n">
        <v>153.9</v>
      </c>
      <c r="AF208" s="9" t="n">
        <v>0</v>
      </c>
      <c r="AG208" s="9" t="n">
        <v>33.0492450206963</v>
      </c>
      <c r="AH208" s="9" t="n">
        <v>501.4250391097365</v>
      </c>
      <c r="AI208" s="9" t="n">
        <v>0</v>
      </c>
      <c r="AJ208" s="9" t="n">
        <v>607</v>
      </c>
      <c r="AK208" s="9" t="n">
        <v>441.9843751837378</v>
      </c>
      <c r="AL208" s="9" t="n">
        <v>849.9617679179423</v>
      </c>
      <c r="AM208" s="9" t="n">
        <v>76.94999999999999</v>
      </c>
      <c r="AN208" s="9" t="n">
        <v>0</v>
      </c>
      <c r="AO208" s="9" t="n">
        <v>29.76282423746456</v>
      </c>
      <c r="AP208" s="9" t="n">
        <v>167.2828678873785</v>
      </c>
      <c r="AQ208" s="9" t="n">
        <v>0</v>
      </c>
      <c r="AR208" s="9" t="n">
        <v>481.25</v>
      </c>
      <c r="AS208" s="9" t="n">
        <v>413.6207407633876</v>
      </c>
      <c r="AT208" s="9" t="n">
        <v>793.6858496127185</v>
      </c>
      <c r="AU208" s="9" t="n">
        <v>25.65</v>
      </c>
      <c r="AV208" s="9" t="n">
        <v>0</v>
      </c>
      <c r="AW208" s="9" t="n">
        <v>5.021490187748843</v>
      </c>
      <c r="AX208" s="9" t="n">
        <v>44.44832461623789</v>
      </c>
      <c r="AY208" s="9" t="n">
        <v>0</v>
      </c>
    </row>
    <row r="209">
      <c r="A209" s="9" t="n">
        <v>215</v>
      </c>
      <c r="B209" s="9" t="inlineStr">
        <is>
          <t>РФ142</t>
        </is>
      </c>
      <c r="C209" s="9" t="inlineStr"/>
      <c r="D209" s="9" t="inlineStr">
        <is>
          <t>КОНФЕТЫ ВЕСОВЫЕ</t>
        </is>
      </c>
      <c r="E209" s="9" t="inlineStr">
        <is>
          <t>Федеральный</t>
        </is>
      </c>
      <c r="F209" s="9" t="n">
        <v>7643.000000000001</v>
      </c>
      <c r="G209" s="9" t="n">
        <v>0</v>
      </c>
      <c r="H209" s="9" t="n">
        <v>12035.97</v>
      </c>
      <c r="I209" s="9" t="n">
        <v>977.76</v>
      </c>
      <c r="J209" s="9" t="n">
        <v>1469.44</v>
      </c>
      <c r="K209" s="9" t="n">
        <v>0</v>
      </c>
      <c r="L209" s="9" t="n">
        <v>0</v>
      </c>
      <c r="M209" s="9" t="n">
        <v>0</v>
      </c>
      <c r="N209" s="9" t="n">
        <v>681.394615310465</v>
      </c>
      <c r="O209" s="9" t="n">
        <v>0</v>
      </c>
      <c r="P209" s="9" t="n">
        <v>0</v>
      </c>
      <c r="Q209" s="9" t="n">
        <v>0</v>
      </c>
      <c r="R209" s="9" t="n">
        <v>0</v>
      </c>
      <c r="S209" s="9" t="n">
        <v>0</v>
      </c>
      <c r="T209" s="9" t="n">
        <v>0</v>
      </c>
      <c r="U209" s="9" t="n">
        <v>0</v>
      </c>
      <c r="V209" s="9" t="n">
        <v>539.3994349678487</v>
      </c>
      <c r="W209" s="9" t="n">
        <v>0</v>
      </c>
      <c r="X209" s="9" t="n">
        <v>0</v>
      </c>
      <c r="Y209" s="9" t="n">
        <v>0</v>
      </c>
      <c r="Z209" s="9" t="n">
        <v>0</v>
      </c>
      <c r="AA209" s="9" t="n">
        <v>0</v>
      </c>
      <c r="AB209" s="9" t="n">
        <v>0</v>
      </c>
      <c r="AC209" s="9" t="n">
        <v>0</v>
      </c>
      <c r="AD209" s="9" t="n">
        <v>760.0994818143035</v>
      </c>
      <c r="AE209" s="9" t="n">
        <v>0</v>
      </c>
      <c r="AF209" s="9" t="n">
        <v>0</v>
      </c>
      <c r="AG209" s="9" t="n">
        <v>0</v>
      </c>
      <c r="AH209" s="9" t="n">
        <v>0</v>
      </c>
      <c r="AI209" s="9" t="n">
        <v>0</v>
      </c>
      <c r="AJ209" s="9" t="n">
        <v>0</v>
      </c>
      <c r="AK209" s="9" t="n">
        <v>0</v>
      </c>
      <c r="AL209" s="9" t="n">
        <v>765.8897257684692</v>
      </c>
      <c r="AM209" s="9" t="n">
        <v>0</v>
      </c>
      <c r="AN209" s="9" t="n">
        <v>0</v>
      </c>
      <c r="AO209" s="9" t="n">
        <v>0</v>
      </c>
      <c r="AP209" s="9" t="n">
        <v>0</v>
      </c>
      <c r="AQ209" s="9" t="n">
        <v>0</v>
      </c>
      <c r="AR209" s="9" t="n">
        <v>0</v>
      </c>
      <c r="AS209" s="9" t="n">
        <v>0</v>
      </c>
      <c r="AT209" s="9" t="n">
        <v>812.9426705658775</v>
      </c>
      <c r="AU209" s="9" t="n">
        <v>0</v>
      </c>
      <c r="AV209" s="9" t="n">
        <v>0</v>
      </c>
      <c r="AW209" s="9" t="n">
        <v>0</v>
      </c>
      <c r="AX209" s="9" t="n">
        <v>0</v>
      </c>
      <c r="AY209" s="9" t="n">
        <v>0</v>
      </c>
    </row>
    <row r="210">
      <c r="A210" s="9" t="n">
        <v>216</v>
      </c>
      <c r="B210" s="9" t="inlineStr">
        <is>
          <t>РФ026</t>
        </is>
      </c>
      <c r="C210" s="9" t="inlineStr"/>
      <c r="D210" s="9" t="inlineStr">
        <is>
          <t>КОНФЕТЫ ВЕСОВЫЕ</t>
        </is>
      </c>
      <c r="E210" s="9" t="inlineStr">
        <is>
          <t>Федеральный</t>
        </is>
      </c>
      <c r="F210" s="9" t="n">
        <v>16162</v>
      </c>
      <c r="G210" s="9" t="n">
        <v>12340</v>
      </c>
      <c r="H210" s="9" t="n">
        <v>0</v>
      </c>
      <c r="I210" s="9" t="n">
        <v>0</v>
      </c>
      <c r="J210" s="9" t="n">
        <v>0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9" t="n">
        <v>0</v>
      </c>
      <c r="Q210" s="9" t="n">
        <v>0</v>
      </c>
      <c r="R210" s="9" t="n">
        <v>0</v>
      </c>
      <c r="S210" s="9" t="n">
        <v>0</v>
      </c>
      <c r="T210" s="9" t="n">
        <v>0</v>
      </c>
      <c r="U210" s="9" t="n">
        <v>0</v>
      </c>
      <c r="V210" s="9" t="n">
        <v>0</v>
      </c>
      <c r="W210" s="9" t="n">
        <v>0</v>
      </c>
      <c r="X210" s="9" t="n">
        <v>0</v>
      </c>
      <c r="Y210" s="9" t="n">
        <v>0</v>
      </c>
      <c r="Z210" s="9" t="n">
        <v>0</v>
      </c>
      <c r="AA210" s="9" t="n">
        <v>0</v>
      </c>
      <c r="AB210" s="9" t="n">
        <v>0</v>
      </c>
      <c r="AC210" s="9" t="n">
        <v>0</v>
      </c>
      <c r="AD210" s="9" t="n">
        <v>0</v>
      </c>
      <c r="AE210" s="9" t="n">
        <v>0</v>
      </c>
      <c r="AF210" s="9" t="n">
        <v>0</v>
      </c>
      <c r="AG210" s="9" t="n">
        <v>0</v>
      </c>
      <c r="AH210" s="9" t="n">
        <v>0</v>
      </c>
      <c r="AI210" s="9" t="n">
        <v>0</v>
      </c>
      <c r="AJ210" s="9" t="n">
        <v>0</v>
      </c>
      <c r="AK210" s="9" t="n">
        <v>0</v>
      </c>
      <c r="AL210" s="9" t="n">
        <v>0</v>
      </c>
      <c r="AM210" s="9" t="n">
        <v>0</v>
      </c>
      <c r="AN210" s="9" t="n">
        <v>0</v>
      </c>
      <c r="AO210" s="9" t="n">
        <v>0</v>
      </c>
      <c r="AP210" s="9" t="n">
        <v>0</v>
      </c>
      <c r="AQ210" s="9" t="n">
        <v>0</v>
      </c>
      <c r="AR210" s="9" t="n">
        <v>0</v>
      </c>
      <c r="AS210" s="9" t="n">
        <v>0</v>
      </c>
      <c r="AT210" s="9" t="n">
        <v>0</v>
      </c>
      <c r="AU210" s="9" t="n">
        <v>0</v>
      </c>
      <c r="AV210" s="9" t="n">
        <v>0</v>
      </c>
      <c r="AW210" s="9" t="n">
        <v>0</v>
      </c>
      <c r="AX210" s="9" t="n">
        <v>0</v>
      </c>
      <c r="AY210" s="9" t="n">
        <v>0</v>
      </c>
    </row>
    <row r="211">
      <c r="A211" s="9" t="n">
        <v>217</v>
      </c>
      <c r="B211" s="9" t="inlineStr">
        <is>
          <t>РФ222</t>
        </is>
      </c>
      <c r="C211" s="9" t="inlineStr"/>
      <c r="D211" s="9" t="inlineStr">
        <is>
          <t>КОНФЕТЫ ВЕСОВЫЕ</t>
        </is>
      </c>
      <c r="E211" s="9" t="inlineStr">
        <is>
          <t>Федеральный</t>
        </is>
      </c>
      <c r="F211" s="9" t="n">
        <v>505.08</v>
      </c>
      <c r="G211" s="9" t="n">
        <v>0</v>
      </c>
      <c r="H211" s="9" t="n">
        <v>0</v>
      </c>
      <c r="I211" s="9" t="n">
        <v>0</v>
      </c>
      <c r="J211" s="9" t="n">
        <v>0</v>
      </c>
      <c r="K211" s="9" t="n">
        <v>0</v>
      </c>
      <c r="L211" s="9" t="n">
        <v>0</v>
      </c>
      <c r="M211" s="9" t="n">
        <v>0</v>
      </c>
      <c r="N211" s="9" t="n">
        <v>0</v>
      </c>
      <c r="O211" s="9" t="n">
        <v>0</v>
      </c>
      <c r="P211" s="9" t="n">
        <v>0</v>
      </c>
      <c r="Q211" s="9" t="n">
        <v>0</v>
      </c>
      <c r="R211" s="9" t="n">
        <v>0</v>
      </c>
      <c r="S211" s="9" t="n">
        <v>0</v>
      </c>
      <c r="T211" s="9" t="n">
        <v>0</v>
      </c>
      <c r="U211" s="9" t="n">
        <v>0</v>
      </c>
      <c r="V211" s="9" t="n">
        <v>0</v>
      </c>
      <c r="W211" s="9" t="n">
        <v>0</v>
      </c>
      <c r="X211" s="9" t="n">
        <v>0</v>
      </c>
      <c r="Y211" s="9" t="n">
        <v>0</v>
      </c>
      <c r="Z211" s="9" t="n">
        <v>0</v>
      </c>
      <c r="AA211" s="9" t="n">
        <v>0</v>
      </c>
      <c r="AB211" s="9" t="n">
        <v>0</v>
      </c>
      <c r="AC211" s="9" t="n">
        <v>0</v>
      </c>
      <c r="AD211" s="9" t="n">
        <v>0</v>
      </c>
      <c r="AE211" s="9" t="n">
        <v>0</v>
      </c>
      <c r="AF211" s="9" t="n">
        <v>0</v>
      </c>
      <c r="AG211" s="9" t="n">
        <v>0</v>
      </c>
      <c r="AH211" s="9" t="n">
        <v>0</v>
      </c>
      <c r="AI211" s="9" t="n">
        <v>0</v>
      </c>
      <c r="AJ211" s="9" t="n">
        <v>0</v>
      </c>
      <c r="AK211" s="9" t="n">
        <v>0</v>
      </c>
      <c r="AL211" s="9" t="n">
        <v>0</v>
      </c>
      <c r="AM211" s="9" t="n">
        <v>0</v>
      </c>
      <c r="AN211" s="9" t="n">
        <v>0</v>
      </c>
      <c r="AO211" s="9" t="n">
        <v>0</v>
      </c>
      <c r="AP211" s="9" t="n">
        <v>0</v>
      </c>
      <c r="AQ211" s="9" t="n">
        <v>0</v>
      </c>
      <c r="AR211" s="9" t="n">
        <v>0</v>
      </c>
      <c r="AS211" s="9" t="n">
        <v>0</v>
      </c>
      <c r="AT211" s="9" t="n">
        <v>0</v>
      </c>
      <c r="AU211" s="9" t="n">
        <v>0</v>
      </c>
      <c r="AV211" s="9" t="n">
        <v>0</v>
      </c>
      <c r="AW211" s="9" t="n">
        <v>0</v>
      </c>
      <c r="AX211" s="9" t="n">
        <v>0</v>
      </c>
      <c r="AY211" s="9" t="n">
        <v>0</v>
      </c>
    </row>
    <row r="212">
      <c r="A212" s="9" t="n">
        <v>218</v>
      </c>
      <c r="B212" s="9" t="inlineStr">
        <is>
          <t>КО180</t>
        </is>
      </c>
      <c r="C212" s="9" t="inlineStr"/>
      <c r="D212" s="9" t="inlineStr">
        <is>
          <t>КОНФЕТЫ ВЕСОВЫЕ</t>
        </is>
      </c>
      <c r="E212" s="9" t="inlineStr">
        <is>
          <t>Федеральный</t>
        </is>
      </c>
      <c r="F212" s="9" t="n">
        <v>64234.612</v>
      </c>
      <c r="G212" s="9" t="n">
        <v>24686</v>
      </c>
      <c r="H212" s="9" t="n">
        <v>61544.885</v>
      </c>
      <c r="I212" s="9" t="n">
        <v>34512.3</v>
      </c>
      <c r="J212" s="9" t="n">
        <v>26532.01</v>
      </c>
      <c r="K212" s="9" t="n">
        <v>3886.01</v>
      </c>
      <c r="L212" s="9" t="n">
        <v>10088</v>
      </c>
      <c r="M212" s="9" t="n">
        <v>0</v>
      </c>
      <c r="N212" s="9" t="n">
        <v>3651.8476617497</v>
      </c>
      <c r="O212" s="9" t="n">
        <v>835</v>
      </c>
      <c r="P212" s="9" t="n">
        <v>0</v>
      </c>
      <c r="Q212" s="9" t="n">
        <v>107.5769969384599</v>
      </c>
      <c r="R212" s="9" t="n">
        <v>0</v>
      </c>
      <c r="S212" s="9" t="n">
        <v>0.4029974636517444</v>
      </c>
      <c r="T212" s="9" t="n">
        <v>4053</v>
      </c>
      <c r="U212" s="9" t="n">
        <v>0</v>
      </c>
      <c r="V212" s="9" t="n">
        <v>9359.502746359041</v>
      </c>
      <c r="W212" s="9" t="n">
        <v>907</v>
      </c>
      <c r="X212" s="9" t="n">
        <v>0</v>
      </c>
      <c r="Y212" s="9" t="n">
        <v>237.7113813065613</v>
      </c>
      <c r="Z212" s="9" t="n">
        <v>0</v>
      </c>
      <c r="AA212" s="9" t="n">
        <v>0.8059949273034895</v>
      </c>
      <c r="AB212" s="9" t="n">
        <v>3464</v>
      </c>
      <c r="AC212" s="9" t="n">
        <v>0</v>
      </c>
      <c r="AD212" s="9" t="n">
        <v>11632.13614346321</v>
      </c>
      <c r="AE212" s="9" t="n">
        <v>1028.6</v>
      </c>
      <c r="AF212" s="9" t="n">
        <v>0</v>
      </c>
      <c r="AG212" s="9" t="n">
        <v>354.0122949044076</v>
      </c>
      <c r="AH212" s="9" t="n">
        <v>0</v>
      </c>
      <c r="AI212" s="9" t="n">
        <v>1.289591883685584</v>
      </c>
      <c r="AJ212" s="9" t="n">
        <v>3781</v>
      </c>
      <c r="AK212" s="9" t="n">
        <v>0</v>
      </c>
      <c r="AL212" s="9" t="n">
        <v>11751.16166792765</v>
      </c>
      <c r="AM212" s="9" t="n">
        <v>891.8</v>
      </c>
      <c r="AN212" s="9" t="n">
        <v>0</v>
      </c>
      <c r="AO212" s="9" t="n">
        <v>318.8092709695239</v>
      </c>
      <c r="AP212" s="9" t="n">
        <v>0</v>
      </c>
      <c r="AQ212" s="9" t="n">
        <v>1.790001908382423</v>
      </c>
      <c r="AR212" s="9" t="n">
        <v>1700</v>
      </c>
      <c r="AS212" s="9" t="n">
        <v>0</v>
      </c>
      <c r="AT212" s="9" t="n">
        <v>11380.19401818962</v>
      </c>
      <c r="AU212" s="9" t="n">
        <v>800.6</v>
      </c>
      <c r="AV212" s="9" t="n">
        <v>0</v>
      </c>
      <c r="AW212" s="9" t="n">
        <v>53.78849846923007</v>
      </c>
      <c r="AX212" s="9" t="n">
        <v>0</v>
      </c>
      <c r="AY212" s="9" t="n">
        <v>0.8059949273034903</v>
      </c>
    </row>
    <row r="213">
      <c r="A213" s="9" t="n">
        <v>219</v>
      </c>
      <c r="B213" s="9" t="inlineStr">
        <is>
          <t>КО041</t>
        </is>
      </c>
      <c r="C213" s="9" t="inlineStr"/>
      <c r="D213" s="9" t="inlineStr">
        <is>
          <t>КОНФЕТЫ ВЕСОВЫЕ</t>
        </is>
      </c>
      <c r="E213" s="9" t="inlineStr">
        <is>
          <t>Федеральный</t>
        </is>
      </c>
      <c r="F213" s="9" t="n">
        <v>28185.5</v>
      </c>
      <c r="G213" s="9" t="n">
        <v>0</v>
      </c>
      <c r="H213" s="9" t="n">
        <v>2282</v>
      </c>
      <c r="I213" s="9" t="n">
        <v>6745.74</v>
      </c>
      <c r="J213" s="9" t="n">
        <v>2389.409999999943</v>
      </c>
      <c r="K213" s="9" t="n">
        <v>0</v>
      </c>
      <c r="L213" s="9" t="n">
        <v>2041</v>
      </c>
      <c r="M213" s="9" t="n">
        <v>162.0813068873737</v>
      </c>
      <c r="N213" s="9" t="n">
        <v>470.7351173802768</v>
      </c>
      <c r="O213" s="9" t="n">
        <v>25</v>
      </c>
      <c r="P213" s="9" t="n">
        <v>0</v>
      </c>
      <c r="Q213" s="9" t="n">
        <v>9.032488717999611</v>
      </c>
      <c r="R213" s="9" t="n">
        <v>125.5224155339602</v>
      </c>
      <c r="S213" s="9" t="n">
        <v>0</v>
      </c>
      <c r="T213" s="9" t="n">
        <v>5450</v>
      </c>
      <c r="U213" s="9" t="n">
        <v>410.7048718588938</v>
      </c>
      <c r="V213" s="9" t="n">
        <v>1266.343776478644</v>
      </c>
      <c r="W213" s="9" t="n">
        <v>47.5</v>
      </c>
      <c r="X213" s="9" t="n">
        <v>0</v>
      </c>
      <c r="Y213" s="9" t="n">
        <v>19.95896363439012</v>
      </c>
      <c r="Z213" s="9" t="n">
        <v>401.4086285089599</v>
      </c>
      <c r="AA213" s="9" t="n">
        <v>0</v>
      </c>
      <c r="AB213" s="9" t="n">
        <v>4457</v>
      </c>
      <c r="AC213" s="9" t="n">
        <v>369.501118907681</v>
      </c>
      <c r="AD213" s="9" t="n">
        <v>1628.278794338722</v>
      </c>
      <c r="AE213" s="9" t="n">
        <v>85.5</v>
      </c>
      <c r="AF213" s="9" t="n">
        <v>0</v>
      </c>
      <c r="AG213" s="9" t="n">
        <v>29.72393867423559</v>
      </c>
      <c r="AH213" s="9" t="n">
        <v>290.5592619881632</v>
      </c>
      <c r="AI213" s="9" t="n">
        <v>0</v>
      </c>
      <c r="AJ213" s="9" t="n">
        <v>4233</v>
      </c>
      <c r="AK213" s="9" t="n">
        <v>341.8786828972401</v>
      </c>
      <c r="AL213" s="9" t="n">
        <v>1604.263233278773</v>
      </c>
      <c r="AM213" s="9" t="n">
        <v>42.75</v>
      </c>
      <c r="AN213" s="9" t="n">
        <v>0</v>
      </c>
      <c r="AO213" s="9" t="n">
        <v>26.76818674231277</v>
      </c>
      <c r="AP213" s="9" t="n">
        <v>90.03577857146375</v>
      </c>
      <c r="AQ213" s="9" t="n">
        <v>0</v>
      </c>
      <c r="AR213" s="9" t="n">
        <v>1463.5</v>
      </c>
      <c r="AS213" s="9" t="n">
        <v>320.243641823916</v>
      </c>
      <c r="AT213" s="9" t="n">
        <v>1566.433191017135</v>
      </c>
      <c r="AU213" s="9" t="n">
        <v>14.25</v>
      </c>
      <c r="AV213" s="9" t="n">
        <v>0</v>
      </c>
      <c r="AW213" s="9" t="n">
        <v>4.516244358999813</v>
      </c>
      <c r="AX213" s="9" t="n">
        <v>17.88988078372912</v>
      </c>
      <c r="AY213" s="9" t="n">
        <v>0</v>
      </c>
    </row>
    <row r="214">
      <c r="A214" s="9" t="n">
        <v>220</v>
      </c>
      <c r="B214" s="9" t="inlineStr">
        <is>
          <t>КО142</t>
        </is>
      </c>
      <c r="C214" s="9" t="inlineStr"/>
      <c r="D214" s="9" t="inlineStr">
        <is>
          <t>КОНФЕТЫ ВЕСОВЫЕ</t>
        </is>
      </c>
      <c r="E214" s="9" t="inlineStr">
        <is>
          <t>Федеральный</t>
        </is>
      </c>
      <c r="F214" s="9" t="n">
        <v>3415</v>
      </c>
      <c r="G214" s="9" t="n">
        <v>0</v>
      </c>
      <c r="H214" s="9" t="n">
        <v>0</v>
      </c>
      <c r="I214" s="9" t="n">
        <v>3741.7</v>
      </c>
      <c r="J214" s="9" t="n">
        <v>7190.97</v>
      </c>
      <c r="K214" s="9" t="n">
        <v>0</v>
      </c>
      <c r="L214" s="9" t="n">
        <v>0</v>
      </c>
      <c r="M214" s="9" t="n">
        <v>0</v>
      </c>
      <c r="N214" s="9" t="n">
        <v>791.8159971432791</v>
      </c>
      <c r="O214" s="9" t="n">
        <v>0</v>
      </c>
      <c r="P214" s="9" t="n">
        <v>0</v>
      </c>
      <c r="Q214" s="9" t="n">
        <v>0</v>
      </c>
      <c r="R214" s="9" t="n">
        <v>0</v>
      </c>
      <c r="S214" s="9" t="n">
        <v>0</v>
      </c>
      <c r="T214" s="9" t="n">
        <v>0</v>
      </c>
      <c r="U214" s="9" t="n">
        <v>0</v>
      </c>
      <c r="V214" s="9" t="n">
        <v>1941.888673855275</v>
      </c>
      <c r="W214" s="9" t="n">
        <v>0</v>
      </c>
      <c r="X214" s="9" t="n">
        <v>0</v>
      </c>
      <c r="Y214" s="9" t="n">
        <v>0</v>
      </c>
      <c r="Z214" s="9" t="n">
        <v>0</v>
      </c>
      <c r="AA214" s="9" t="n">
        <v>0</v>
      </c>
      <c r="AB214" s="9" t="n">
        <v>0</v>
      </c>
      <c r="AC214" s="9" t="n">
        <v>0</v>
      </c>
      <c r="AD214" s="9" t="n">
        <v>2382.602952743348</v>
      </c>
      <c r="AE214" s="9" t="n">
        <v>0</v>
      </c>
      <c r="AF214" s="9" t="n">
        <v>0</v>
      </c>
      <c r="AG214" s="9" t="n">
        <v>0</v>
      </c>
      <c r="AH214" s="9" t="n">
        <v>0</v>
      </c>
      <c r="AI214" s="9" t="n">
        <v>0</v>
      </c>
      <c r="AJ214" s="9" t="n">
        <v>0</v>
      </c>
      <c r="AK214" s="9" t="n">
        <v>0</v>
      </c>
      <c r="AL214" s="9" t="n">
        <v>2431.833177293754</v>
      </c>
      <c r="AM214" s="9" t="n">
        <v>0</v>
      </c>
      <c r="AN214" s="9" t="n">
        <v>0</v>
      </c>
      <c r="AO214" s="9" t="n">
        <v>0</v>
      </c>
      <c r="AP214" s="9" t="n">
        <v>0</v>
      </c>
      <c r="AQ214" s="9" t="n">
        <v>0</v>
      </c>
      <c r="AR214" s="9" t="n">
        <v>0</v>
      </c>
      <c r="AS214" s="9" t="n">
        <v>0</v>
      </c>
      <c r="AT214" s="9" t="n">
        <v>2404.178393461688</v>
      </c>
      <c r="AU214" s="9" t="n">
        <v>0</v>
      </c>
      <c r="AV214" s="9" t="n">
        <v>0</v>
      </c>
      <c r="AW214" s="9" t="n">
        <v>0</v>
      </c>
      <c r="AX214" s="9" t="n">
        <v>0</v>
      </c>
      <c r="AY214" s="9" t="n">
        <v>0</v>
      </c>
    </row>
    <row r="215">
      <c r="A215" s="9" t="n">
        <v>221</v>
      </c>
      <c r="B215" s="9" t="inlineStr">
        <is>
          <t>КО016</t>
        </is>
      </c>
      <c r="C215" s="9" t="inlineStr"/>
      <c r="D215" s="9" t="inlineStr">
        <is>
          <t>КОНФЕТЫ ВЕСОВЫЕ</t>
        </is>
      </c>
      <c r="E215" s="9" t="inlineStr">
        <is>
          <t>Федеральный</t>
        </is>
      </c>
      <c r="F215" s="9" t="n">
        <v>1848</v>
      </c>
      <c r="G215" s="9" t="n">
        <v>0</v>
      </c>
      <c r="H215" s="9" t="n">
        <v>0</v>
      </c>
      <c r="I215" s="9" t="n">
        <v>0</v>
      </c>
      <c r="J215" s="9" t="n">
        <v>0</v>
      </c>
      <c r="K215" s="9" t="n">
        <v>0</v>
      </c>
      <c r="L215" s="9" t="n">
        <v>0</v>
      </c>
      <c r="M215" s="9" t="n">
        <v>0</v>
      </c>
      <c r="N215" s="9" t="n">
        <v>0</v>
      </c>
      <c r="O215" s="9" t="n">
        <v>0</v>
      </c>
      <c r="P215" s="9" t="n">
        <v>0</v>
      </c>
      <c r="Q215" s="9" t="n">
        <v>0</v>
      </c>
      <c r="R215" s="9" t="n">
        <v>0</v>
      </c>
      <c r="S215" s="9" t="n">
        <v>0</v>
      </c>
      <c r="T215" s="9" t="n">
        <v>0</v>
      </c>
      <c r="U215" s="9" t="n">
        <v>0</v>
      </c>
      <c r="V215" s="9" t="n">
        <v>0</v>
      </c>
      <c r="W215" s="9" t="n">
        <v>0</v>
      </c>
      <c r="X215" s="9" t="n">
        <v>0</v>
      </c>
      <c r="Y215" s="9" t="n">
        <v>0</v>
      </c>
      <c r="Z215" s="9" t="n">
        <v>0</v>
      </c>
      <c r="AA215" s="9" t="n">
        <v>0</v>
      </c>
      <c r="AB215" s="9" t="n">
        <v>0</v>
      </c>
      <c r="AC215" s="9" t="n">
        <v>0</v>
      </c>
      <c r="AD215" s="9" t="n">
        <v>0</v>
      </c>
      <c r="AE215" s="9" t="n">
        <v>0</v>
      </c>
      <c r="AF215" s="9" t="n">
        <v>0</v>
      </c>
      <c r="AG215" s="9" t="n">
        <v>0</v>
      </c>
      <c r="AH215" s="9" t="n">
        <v>0</v>
      </c>
      <c r="AI215" s="9" t="n">
        <v>0</v>
      </c>
      <c r="AJ215" s="9" t="n">
        <v>0</v>
      </c>
      <c r="AK215" s="9" t="n">
        <v>0</v>
      </c>
      <c r="AL215" s="9" t="n">
        <v>0</v>
      </c>
      <c r="AM215" s="9" t="n">
        <v>0</v>
      </c>
      <c r="AN215" s="9" t="n">
        <v>0</v>
      </c>
      <c r="AO215" s="9" t="n">
        <v>0</v>
      </c>
      <c r="AP215" s="9" t="n">
        <v>0</v>
      </c>
      <c r="AQ215" s="9" t="n">
        <v>0</v>
      </c>
      <c r="AR215" s="9" t="n">
        <v>0</v>
      </c>
      <c r="AS215" s="9" t="n">
        <v>0</v>
      </c>
      <c r="AT215" s="9" t="n">
        <v>0</v>
      </c>
      <c r="AU215" s="9" t="n">
        <v>0</v>
      </c>
      <c r="AV215" s="9" t="n">
        <v>0</v>
      </c>
      <c r="AW215" s="9" t="n">
        <v>0</v>
      </c>
      <c r="AX215" s="9" t="n">
        <v>0</v>
      </c>
      <c r="AY215" s="9" t="n">
        <v>0</v>
      </c>
    </row>
    <row r="216">
      <c r="A216" s="9" t="n">
        <v>222</v>
      </c>
      <c r="B216" s="9" t="inlineStr">
        <is>
          <t>РФ176</t>
        </is>
      </c>
      <c r="C216" s="9" t="inlineStr"/>
      <c r="D216" s="9" t="inlineStr">
        <is>
          <t>КОНФЕТЫ ВЕСОВЫЕ</t>
        </is>
      </c>
      <c r="E216" s="9" t="inlineStr">
        <is>
          <t>Федеральный</t>
        </is>
      </c>
      <c r="F216" s="9" t="n">
        <v>131658.349</v>
      </c>
      <c r="G216" s="9" t="n">
        <v>43205</v>
      </c>
      <c r="H216" s="9" t="n">
        <v>117990</v>
      </c>
      <c r="I216" s="9" t="n">
        <v>61562</v>
      </c>
      <c r="J216" s="9" t="n">
        <v>65565.91</v>
      </c>
      <c r="K216" s="9" t="n">
        <v>26892.1</v>
      </c>
      <c r="L216" s="9" t="n">
        <v>35729</v>
      </c>
      <c r="M216" s="9" t="n">
        <v>2957.345445151067</v>
      </c>
      <c r="N216" s="9" t="n">
        <v>3832.295983445174</v>
      </c>
      <c r="O216" s="9" t="n">
        <v>1327</v>
      </c>
      <c r="P216" s="9" t="n">
        <v>0</v>
      </c>
      <c r="Q216" s="9" t="n">
        <v>167.6855900417467</v>
      </c>
      <c r="R216" s="9" t="n">
        <v>6.888917126523287</v>
      </c>
      <c r="S216" s="9" t="n">
        <v>0.4193734348534856</v>
      </c>
      <c r="T216" s="9" t="n">
        <v>47560</v>
      </c>
      <c r="U216" s="9" t="n">
        <v>1885.565162355969</v>
      </c>
      <c r="V216" s="9" t="n">
        <v>9355.868235385618</v>
      </c>
      <c r="W216" s="9" t="n">
        <v>1448.5</v>
      </c>
      <c r="X216" s="9" t="n">
        <v>0</v>
      </c>
      <c r="Y216" s="9" t="n">
        <v>370.5324964298081</v>
      </c>
      <c r="Z216" s="9" t="n">
        <v>20.99849901697605</v>
      </c>
      <c r="AA216" s="9" t="n">
        <v>0.8387468697069719</v>
      </c>
      <c r="AB216" s="9" t="n">
        <v>35101</v>
      </c>
      <c r="AC216" s="9" t="n">
        <v>1698.403306407705</v>
      </c>
      <c r="AD216" s="9" t="n">
        <v>12069.80782187421</v>
      </c>
      <c r="AE216" s="9" t="n">
        <v>1653.7</v>
      </c>
      <c r="AF216" s="9" t="n">
        <v>0</v>
      </c>
      <c r="AG216" s="9" t="n">
        <v>551.816487190447</v>
      </c>
      <c r="AH216" s="9" t="n">
        <v>21.22654770689315</v>
      </c>
      <c r="AI216" s="9" t="n">
        <v>1.341994991531156</v>
      </c>
      <c r="AJ216" s="9" t="n">
        <v>28914</v>
      </c>
      <c r="AK216" s="9" t="n">
        <v>534.0947615833566</v>
      </c>
      <c r="AL216" s="9" t="n">
        <v>12275.22474061721</v>
      </c>
      <c r="AM216" s="9" t="n">
        <v>1422.85</v>
      </c>
      <c r="AN216" s="9" t="n">
        <v>0</v>
      </c>
      <c r="AO216" s="9" t="n">
        <v>496.9437912817521</v>
      </c>
      <c r="AP216" s="9" t="n">
        <v>15.29019774715707</v>
      </c>
      <c r="AQ216" s="9" t="n">
        <v>1.862739387762849</v>
      </c>
      <c r="AR216" s="9" t="n">
        <v>16424.75</v>
      </c>
      <c r="AS216" s="9" t="n">
        <v>5497.7877160745</v>
      </c>
      <c r="AT216" s="9" t="n">
        <v>9432.899180027463</v>
      </c>
      <c r="AU216" s="9" t="n">
        <v>1268.95</v>
      </c>
      <c r="AV216" s="9" t="n">
        <v>0</v>
      </c>
      <c r="AW216" s="9" t="n">
        <v>83.84279502087351</v>
      </c>
      <c r="AX216" s="9" t="n">
        <v>4.924137171771126</v>
      </c>
      <c r="AY216" s="9" t="n">
        <v>0.8387468697069728</v>
      </c>
    </row>
    <row r="217">
      <c r="A217" s="9" t="n">
        <v>223</v>
      </c>
      <c r="B217" s="9" t="inlineStr">
        <is>
          <t>РФ099</t>
        </is>
      </c>
      <c r="C217" s="9" t="inlineStr"/>
      <c r="D217" s="9" t="inlineStr">
        <is>
          <t>КОНФЕТЫ ВЕСОВЫЕ</t>
        </is>
      </c>
      <c r="E217" s="9" t="inlineStr">
        <is>
          <t>Федеральный</t>
        </is>
      </c>
      <c r="F217" s="9" t="n">
        <v>78875.77500000001</v>
      </c>
      <c r="G217" s="9" t="n">
        <v>0</v>
      </c>
      <c r="H217" s="9" t="n">
        <v>0</v>
      </c>
      <c r="I217" s="9" t="n">
        <v>49915.5</v>
      </c>
      <c r="J217" s="9" t="n">
        <v>35548.69</v>
      </c>
      <c r="K217" s="9" t="n">
        <v>20836.96</v>
      </c>
      <c r="L217" s="9" t="n">
        <v>5258</v>
      </c>
      <c r="M217" s="9" t="n">
        <v>1798.957803775299</v>
      </c>
      <c r="N217" s="9" t="n">
        <v>3780.999347449355</v>
      </c>
      <c r="O217" s="9" t="n">
        <v>80</v>
      </c>
      <c r="P217" s="9" t="n">
        <v>0</v>
      </c>
      <c r="Q217" s="9" t="n">
        <v>54.55052053755391</v>
      </c>
      <c r="R217" s="9" t="n">
        <v>580.1874883295485</v>
      </c>
      <c r="S217" s="9" t="n">
        <v>0</v>
      </c>
      <c r="T217" s="9" t="n">
        <v>17075</v>
      </c>
      <c r="U217" s="9" t="n">
        <v>4147.252835150606</v>
      </c>
      <c r="V217" s="9" t="n">
        <v>4652.129544791253</v>
      </c>
      <c r="W217" s="9" t="n">
        <v>152</v>
      </c>
      <c r="X217" s="9" t="n">
        <v>0</v>
      </c>
      <c r="Y217" s="9" t="n">
        <v>120.5395201298647</v>
      </c>
      <c r="Z217" s="9" t="n">
        <v>2381.691297608684</v>
      </c>
      <c r="AA217" s="9" t="n">
        <v>0</v>
      </c>
      <c r="AB217" s="9" t="n">
        <v>21575</v>
      </c>
      <c r="AC217" s="9" t="n">
        <v>4069.342896040125</v>
      </c>
      <c r="AD217" s="9" t="n">
        <v>6440.829922320925</v>
      </c>
      <c r="AE217" s="9" t="n">
        <v>273.6</v>
      </c>
      <c r="AF217" s="9" t="n">
        <v>0</v>
      </c>
      <c r="AG217" s="9" t="n">
        <v>179.5137948940587</v>
      </c>
      <c r="AH217" s="9" t="n">
        <v>1625.811568934004</v>
      </c>
      <c r="AI217" s="9" t="n">
        <v>0</v>
      </c>
      <c r="AJ217" s="9" t="n">
        <v>6191</v>
      </c>
      <c r="AK217" s="9" t="n">
        <v>4395.618892648125</v>
      </c>
      <c r="AL217" s="9" t="n">
        <v>6396.863755553831</v>
      </c>
      <c r="AM217" s="9" t="n">
        <v>136.8</v>
      </c>
      <c r="AN217" s="9" t="n">
        <v>0</v>
      </c>
      <c r="AO217" s="9" t="n">
        <v>161.6629221722405</v>
      </c>
      <c r="AP217" s="9" t="n">
        <v>1102.85155710141</v>
      </c>
      <c r="AQ217" s="9" t="n">
        <v>0</v>
      </c>
      <c r="AR217" s="9" t="n">
        <v>5102</v>
      </c>
      <c r="AS217" s="9" t="n">
        <v>3431.255384720582</v>
      </c>
      <c r="AT217" s="9" t="n">
        <v>5692.814277335133</v>
      </c>
      <c r="AU217" s="9" t="n">
        <v>45.6</v>
      </c>
      <c r="AV217" s="9" t="n">
        <v>0</v>
      </c>
      <c r="AW217" s="9" t="n">
        <v>27.275260268777</v>
      </c>
      <c r="AX217" s="9" t="n">
        <v>167.2754016648031</v>
      </c>
      <c r="AY217" s="9" t="n">
        <v>0</v>
      </c>
    </row>
    <row r="218">
      <c r="A218" s="9" t="n">
        <v>224</v>
      </c>
      <c r="B218" s="9" t="inlineStr">
        <is>
          <t>РФ144</t>
        </is>
      </c>
      <c r="C218" s="9" t="inlineStr"/>
      <c r="D218" s="9" t="inlineStr">
        <is>
          <t>КОНФЕТЫ ВЕСОВЫЕ</t>
        </is>
      </c>
      <c r="E218" s="9" t="inlineStr">
        <is>
          <t>Федеральный</t>
        </is>
      </c>
      <c r="F218" s="9" t="n">
        <v>15836</v>
      </c>
      <c r="G218" s="9" t="n">
        <v>0</v>
      </c>
      <c r="H218" s="9" t="n">
        <v>0</v>
      </c>
      <c r="I218" s="9" t="n">
        <v>6341</v>
      </c>
      <c r="J218" s="9" t="n">
        <v>11284.74</v>
      </c>
      <c r="K218" s="9" t="n">
        <v>0</v>
      </c>
      <c r="L218" s="9" t="n">
        <v>0</v>
      </c>
      <c r="M218" s="9" t="n">
        <v>0</v>
      </c>
      <c r="N218" s="9" t="n">
        <v>1218.413821172061</v>
      </c>
      <c r="O218" s="9" t="n">
        <v>0</v>
      </c>
      <c r="P218" s="9" t="n">
        <v>0</v>
      </c>
      <c r="Q218" s="9" t="n">
        <v>73.0075805354282</v>
      </c>
      <c r="R218" s="9" t="n">
        <v>60.00073256131615</v>
      </c>
      <c r="S218" s="9" t="n">
        <v>0</v>
      </c>
      <c r="T218" s="9" t="n">
        <v>0</v>
      </c>
      <c r="U218" s="9" t="n">
        <v>0</v>
      </c>
      <c r="V218" s="9" t="n">
        <v>3327.248979627219</v>
      </c>
      <c r="W218" s="9" t="n">
        <v>0</v>
      </c>
      <c r="X218" s="9" t="n">
        <v>0</v>
      </c>
      <c r="Y218" s="9" t="n">
        <v>161.3238267364401</v>
      </c>
      <c r="Z218" s="9" t="n">
        <v>173.2322802401658</v>
      </c>
      <c r="AA218" s="9" t="n">
        <v>0</v>
      </c>
      <c r="AB218" s="9" t="n">
        <v>0</v>
      </c>
      <c r="AC218" s="9" t="n">
        <v>0</v>
      </c>
      <c r="AD218" s="9" t="n">
        <v>6019.923537582054</v>
      </c>
      <c r="AE218" s="9" t="n">
        <v>0</v>
      </c>
      <c r="AF218" s="9" t="n">
        <v>0</v>
      </c>
      <c r="AG218" s="9" t="n">
        <v>240.2519299321064</v>
      </c>
      <c r="AH218" s="9" t="n">
        <v>175.1136239746959</v>
      </c>
      <c r="AI218" s="9" t="n">
        <v>0</v>
      </c>
      <c r="AJ218" s="9" t="n">
        <v>0</v>
      </c>
      <c r="AK218" s="9" t="n">
        <v>0</v>
      </c>
      <c r="AL218" s="9" t="n">
        <v>5367.868417040189</v>
      </c>
      <c r="AM218" s="9" t="n">
        <v>0</v>
      </c>
      <c r="AN218" s="9" t="n">
        <v>0</v>
      </c>
      <c r="AO218" s="9" t="n">
        <v>216.3612499711584</v>
      </c>
      <c r="AP218" s="9" t="n">
        <v>114.2349965790462</v>
      </c>
      <c r="AQ218" s="9" t="n">
        <v>0</v>
      </c>
      <c r="AR218" s="9" t="n">
        <v>0</v>
      </c>
      <c r="AS218" s="9" t="n">
        <v>0</v>
      </c>
      <c r="AT218" s="9" t="n">
        <v>5615.062895700317</v>
      </c>
      <c r="AU218" s="9" t="n">
        <v>0</v>
      </c>
      <c r="AV218" s="9" t="n">
        <v>0</v>
      </c>
      <c r="AW218" s="9" t="n">
        <v>36.50379026771417</v>
      </c>
      <c r="AX218" s="9" t="n">
        <v>27.59847506217709</v>
      </c>
      <c r="AY218" s="9" t="n">
        <v>0</v>
      </c>
    </row>
    <row r="219">
      <c r="A219" s="9" t="n">
        <v>225</v>
      </c>
      <c r="B219" s="9" t="inlineStr">
        <is>
          <t>РФ091</t>
        </is>
      </c>
      <c r="C219" s="9" t="inlineStr"/>
      <c r="D219" s="9" t="inlineStr">
        <is>
          <t>КОНФЕТЫ ВЕСОВЫЕ</t>
        </is>
      </c>
      <c r="E219" s="9" t="inlineStr">
        <is>
          <t>Федеральный</t>
        </is>
      </c>
      <c r="F219" s="9" t="n">
        <v>41332.07554000001</v>
      </c>
      <c r="G219" s="9" t="n">
        <v>9925</v>
      </c>
      <c r="H219" s="9" t="n">
        <v>0</v>
      </c>
      <c r="I219" s="9" t="n">
        <v>0</v>
      </c>
      <c r="J219" s="9" t="n">
        <v>5000</v>
      </c>
      <c r="K219" s="9" t="n">
        <v>3360</v>
      </c>
      <c r="L219" s="9" t="n">
        <v>0</v>
      </c>
      <c r="M219" s="9" t="n">
        <v>0</v>
      </c>
      <c r="N219" s="9" t="n">
        <v>0</v>
      </c>
      <c r="O219" s="9" t="n">
        <v>0</v>
      </c>
      <c r="P219" s="9" t="n">
        <v>0</v>
      </c>
      <c r="Q219" s="9" t="n">
        <v>0</v>
      </c>
      <c r="R219" s="9" t="n">
        <v>0</v>
      </c>
      <c r="S219" s="9" t="n">
        <v>0</v>
      </c>
      <c r="T219" s="9" t="n">
        <v>0</v>
      </c>
      <c r="U219" s="9" t="n">
        <v>0</v>
      </c>
      <c r="V219" s="9" t="n">
        <v>0</v>
      </c>
      <c r="W219" s="9" t="n">
        <v>0</v>
      </c>
      <c r="X219" s="9" t="n">
        <v>0</v>
      </c>
      <c r="Y219" s="9" t="n">
        <v>0</v>
      </c>
      <c r="Z219" s="9" t="n">
        <v>0</v>
      </c>
      <c r="AA219" s="9" t="n">
        <v>0</v>
      </c>
      <c r="AB219" s="9" t="n">
        <v>0</v>
      </c>
      <c r="AC219" s="9" t="n">
        <v>0</v>
      </c>
      <c r="AD219" s="9" t="n">
        <v>0</v>
      </c>
      <c r="AE219" s="9" t="n">
        <v>0</v>
      </c>
      <c r="AF219" s="9" t="n">
        <v>0</v>
      </c>
      <c r="AG219" s="9" t="n">
        <v>0</v>
      </c>
      <c r="AH219" s="9" t="n">
        <v>0</v>
      </c>
      <c r="AI219" s="9" t="n">
        <v>0</v>
      </c>
      <c r="AJ219" s="9" t="n">
        <v>0</v>
      </c>
      <c r="AK219" s="9" t="n">
        <v>0</v>
      </c>
      <c r="AL219" s="9" t="n">
        <v>0</v>
      </c>
      <c r="AM219" s="9" t="n">
        <v>0</v>
      </c>
      <c r="AN219" s="9" t="n">
        <v>0</v>
      </c>
      <c r="AO219" s="9" t="n">
        <v>0</v>
      </c>
      <c r="AP219" s="9" t="n">
        <v>0</v>
      </c>
      <c r="AQ219" s="9" t="n">
        <v>0</v>
      </c>
      <c r="AR219" s="9" t="n">
        <v>0</v>
      </c>
      <c r="AS219" s="9" t="n">
        <v>0</v>
      </c>
      <c r="AT219" s="9" t="n">
        <v>0</v>
      </c>
      <c r="AU219" s="9" t="n">
        <v>0</v>
      </c>
      <c r="AV219" s="9" t="n">
        <v>0</v>
      </c>
      <c r="AW219" s="9" t="n">
        <v>0</v>
      </c>
      <c r="AX219" s="9" t="n">
        <v>0</v>
      </c>
      <c r="AY219" s="9" t="n">
        <v>0</v>
      </c>
    </row>
    <row r="220">
      <c r="A220" s="9" t="n">
        <v>226</v>
      </c>
      <c r="B220" s="9" t="inlineStr">
        <is>
          <t>РФ190</t>
        </is>
      </c>
      <c r="C220" s="9" t="inlineStr"/>
      <c r="D220" s="9" t="inlineStr">
        <is>
          <t>КОНФЕТЫ ВЕСОВЫЕ</t>
        </is>
      </c>
      <c r="E220" s="9" t="inlineStr">
        <is>
          <t>Федеральный</t>
        </is>
      </c>
      <c r="F220" s="9" t="n">
        <v>358</v>
      </c>
      <c r="G220" s="9" t="n">
        <v>0</v>
      </c>
      <c r="H220" s="9" t="n">
        <v>0</v>
      </c>
      <c r="I220" s="9" t="n">
        <v>0</v>
      </c>
      <c r="J220" s="9" t="n">
        <v>0</v>
      </c>
      <c r="K220" s="9" t="n">
        <v>0</v>
      </c>
      <c r="L220" s="9" t="n">
        <v>0</v>
      </c>
      <c r="M220" s="9" t="n">
        <v>0</v>
      </c>
      <c r="N220" s="9" t="n">
        <v>0</v>
      </c>
      <c r="O220" s="9" t="n">
        <v>0</v>
      </c>
      <c r="P220" s="9" t="n">
        <v>0</v>
      </c>
      <c r="Q220" s="9" t="n">
        <v>0</v>
      </c>
      <c r="R220" s="9" t="n">
        <v>0</v>
      </c>
      <c r="S220" s="9" t="n">
        <v>0</v>
      </c>
      <c r="T220" s="9" t="n">
        <v>0</v>
      </c>
      <c r="U220" s="9" t="n">
        <v>0</v>
      </c>
      <c r="V220" s="9" t="n">
        <v>0</v>
      </c>
      <c r="W220" s="9" t="n">
        <v>0</v>
      </c>
      <c r="X220" s="9" t="n">
        <v>0</v>
      </c>
      <c r="Y220" s="9" t="n">
        <v>0</v>
      </c>
      <c r="Z220" s="9" t="n">
        <v>0</v>
      </c>
      <c r="AA220" s="9" t="n">
        <v>0</v>
      </c>
      <c r="AB220" s="9" t="n">
        <v>0</v>
      </c>
      <c r="AC220" s="9" t="n">
        <v>0</v>
      </c>
      <c r="AD220" s="9" t="n">
        <v>0</v>
      </c>
      <c r="AE220" s="9" t="n">
        <v>0</v>
      </c>
      <c r="AF220" s="9" t="n">
        <v>0</v>
      </c>
      <c r="AG220" s="9" t="n">
        <v>0</v>
      </c>
      <c r="AH220" s="9" t="n">
        <v>0</v>
      </c>
      <c r="AI220" s="9" t="n">
        <v>0</v>
      </c>
      <c r="AJ220" s="9" t="n">
        <v>0</v>
      </c>
      <c r="AK220" s="9" t="n">
        <v>0</v>
      </c>
      <c r="AL220" s="9" t="n">
        <v>0</v>
      </c>
      <c r="AM220" s="9" t="n">
        <v>0</v>
      </c>
      <c r="AN220" s="9" t="n">
        <v>0</v>
      </c>
      <c r="AO220" s="9" t="n">
        <v>0</v>
      </c>
      <c r="AP220" s="9" t="n">
        <v>0</v>
      </c>
      <c r="AQ220" s="9" t="n">
        <v>0</v>
      </c>
      <c r="AR220" s="9" t="n">
        <v>0</v>
      </c>
      <c r="AS220" s="9" t="n">
        <v>0</v>
      </c>
      <c r="AT220" s="9" t="n">
        <v>0</v>
      </c>
      <c r="AU220" s="9" t="n">
        <v>0</v>
      </c>
      <c r="AV220" s="9" t="n">
        <v>0</v>
      </c>
      <c r="AW220" s="9" t="n">
        <v>0</v>
      </c>
      <c r="AX220" s="9" t="n">
        <v>0</v>
      </c>
      <c r="AY220" s="9" t="n">
        <v>0</v>
      </c>
    </row>
    <row r="221">
      <c r="A221" s="9" t="n">
        <v>227</v>
      </c>
      <c r="B221" s="9" t="inlineStr">
        <is>
          <t>РФ222</t>
        </is>
      </c>
      <c r="C221" s="9" t="inlineStr"/>
      <c r="D221" s="9" t="inlineStr">
        <is>
          <t>КОНФЕТЫ ВЕСОВЫЕ</t>
        </is>
      </c>
      <c r="E221" s="9" t="inlineStr">
        <is>
          <t>Федеральный</t>
        </is>
      </c>
      <c r="F221" s="9" t="n">
        <v>1746.735</v>
      </c>
      <c r="G221" s="9" t="n">
        <v>0</v>
      </c>
      <c r="H221" s="9" t="n">
        <v>0</v>
      </c>
      <c r="I221" s="9" t="n">
        <v>0</v>
      </c>
      <c r="J221" s="9" t="n">
        <v>0</v>
      </c>
      <c r="K221" s="9" t="n">
        <v>0</v>
      </c>
      <c r="L221" s="9" t="n">
        <v>0</v>
      </c>
      <c r="M221" s="9" t="n">
        <v>0</v>
      </c>
      <c r="N221" s="9" t="n">
        <v>0</v>
      </c>
      <c r="O221" s="9" t="n">
        <v>0</v>
      </c>
      <c r="P221" s="9" t="n">
        <v>0</v>
      </c>
      <c r="Q221" s="9" t="n">
        <v>0</v>
      </c>
      <c r="R221" s="9" t="n">
        <v>0</v>
      </c>
      <c r="S221" s="9" t="n">
        <v>0</v>
      </c>
      <c r="T221" s="9" t="n">
        <v>0</v>
      </c>
      <c r="U221" s="9" t="n">
        <v>0</v>
      </c>
      <c r="V221" s="9" t="n">
        <v>0</v>
      </c>
      <c r="W221" s="9" t="n">
        <v>0</v>
      </c>
      <c r="X221" s="9" t="n">
        <v>0</v>
      </c>
      <c r="Y221" s="9" t="n">
        <v>0</v>
      </c>
      <c r="Z221" s="9" t="n">
        <v>0</v>
      </c>
      <c r="AA221" s="9" t="n">
        <v>0</v>
      </c>
      <c r="AB221" s="9" t="n">
        <v>0</v>
      </c>
      <c r="AC221" s="9" t="n">
        <v>0</v>
      </c>
      <c r="AD221" s="9" t="n">
        <v>0</v>
      </c>
      <c r="AE221" s="9" t="n">
        <v>0</v>
      </c>
      <c r="AF221" s="9" t="n">
        <v>0</v>
      </c>
      <c r="AG221" s="9" t="n">
        <v>0</v>
      </c>
      <c r="AH221" s="9" t="n">
        <v>0</v>
      </c>
      <c r="AI221" s="9" t="n">
        <v>0</v>
      </c>
      <c r="AJ221" s="9" t="n">
        <v>0</v>
      </c>
      <c r="AK221" s="9" t="n">
        <v>0</v>
      </c>
      <c r="AL221" s="9" t="n">
        <v>0</v>
      </c>
      <c r="AM221" s="9" t="n">
        <v>0</v>
      </c>
      <c r="AN221" s="9" t="n">
        <v>0</v>
      </c>
      <c r="AO221" s="9" t="n">
        <v>0</v>
      </c>
      <c r="AP221" s="9" t="n">
        <v>0</v>
      </c>
      <c r="AQ221" s="9" t="n">
        <v>0</v>
      </c>
      <c r="AR221" s="9" t="n">
        <v>0</v>
      </c>
      <c r="AS221" s="9" t="n">
        <v>0</v>
      </c>
      <c r="AT221" s="9" t="n">
        <v>0</v>
      </c>
      <c r="AU221" s="9" t="n">
        <v>0</v>
      </c>
      <c r="AV221" s="9" t="n">
        <v>0</v>
      </c>
      <c r="AW221" s="9" t="n">
        <v>0</v>
      </c>
      <c r="AX221" s="9" t="n">
        <v>0</v>
      </c>
      <c r="AY221" s="9" t="n">
        <v>0</v>
      </c>
    </row>
    <row r="222">
      <c r="A222" s="9" t="n">
        <v>228</v>
      </c>
      <c r="B222" s="9" t="inlineStr">
        <is>
          <t>РФ176</t>
        </is>
      </c>
      <c r="C222" s="9" t="inlineStr"/>
      <c r="D222" s="9" t="inlineStr">
        <is>
          <t>КОНФЕТЫ ВЕСОВЫЕ</t>
        </is>
      </c>
      <c r="E222" s="9" t="inlineStr">
        <is>
          <t>Федеральный</t>
        </is>
      </c>
      <c r="F222" s="9" t="n">
        <v>586334.813</v>
      </c>
      <c r="G222" s="9" t="n">
        <v>60410</v>
      </c>
      <c r="H222" s="9" t="n">
        <v>248912.89</v>
      </c>
      <c r="I222" s="9" t="n">
        <v>173039.74</v>
      </c>
      <c r="J222" s="9" t="n">
        <v>146385.76</v>
      </c>
      <c r="K222" s="9" t="n">
        <v>90468.69</v>
      </c>
      <c r="L222" s="9" t="n">
        <v>110145</v>
      </c>
      <c r="M222" s="9" t="n">
        <v>7.898785577240071</v>
      </c>
      <c r="N222" s="9" t="n">
        <v>18684.0940634219</v>
      </c>
      <c r="O222" s="9" t="n">
        <v>1049.2</v>
      </c>
      <c r="P222" s="9" t="n">
        <v>0</v>
      </c>
      <c r="Q222" s="9" t="n">
        <v>954.8676152916918</v>
      </c>
      <c r="R222" s="9" t="n">
        <v>0</v>
      </c>
      <c r="S222" s="9" t="n">
        <v>1.797293230109323</v>
      </c>
      <c r="T222" s="9" t="n">
        <v>69268</v>
      </c>
      <c r="U222" s="9" t="n">
        <v>20.01507626413382</v>
      </c>
      <c r="V222" s="9" t="n">
        <v>34699.33090556863</v>
      </c>
      <c r="W222" s="9" t="n">
        <v>1058.2</v>
      </c>
      <c r="X222" s="9" t="n">
        <v>0</v>
      </c>
      <c r="Y222" s="9" t="n">
        <v>2109.957576950555</v>
      </c>
      <c r="Z222" s="9" t="n">
        <v>0</v>
      </c>
      <c r="AA222" s="9" t="n">
        <v>3.594586460218648</v>
      </c>
      <c r="AB222" s="9" t="n">
        <v>89856</v>
      </c>
      <c r="AC222" s="9" t="n">
        <v>18.00707413366385</v>
      </c>
      <c r="AD222" s="9" t="n">
        <v>43770.55521847171</v>
      </c>
      <c r="AE222" s="9" t="n">
        <v>1073.4</v>
      </c>
      <c r="AF222" s="9" t="n">
        <v>0</v>
      </c>
      <c r="AG222" s="9" t="n">
        <v>3142.25982728153</v>
      </c>
      <c r="AH222" s="9" t="n">
        <v>0</v>
      </c>
      <c r="AI222" s="9" t="n">
        <v>5.751338336349843</v>
      </c>
      <c r="AJ222" s="9" t="n">
        <v>102869</v>
      </c>
      <c r="AK222" s="9" t="n">
        <v>300.4363677098083</v>
      </c>
      <c r="AL222" s="9" t="n">
        <v>42460.53152650298</v>
      </c>
      <c r="AM222" s="9" t="n">
        <v>1056.3</v>
      </c>
      <c r="AN222" s="9" t="n">
        <v>0</v>
      </c>
      <c r="AO222" s="9" t="n">
        <v>2829.793143209767</v>
      </c>
      <c r="AP222" s="9" t="n">
        <v>0</v>
      </c>
      <c r="AQ222" s="9" t="n">
        <v>7.983073349063674</v>
      </c>
      <c r="AR222" s="9" t="n">
        <v>212605.6</v>
      </c>
      <c r="AS222" s="9" t="n">
        <v>17.93640001651867</v>
      </c>
      <c r="AT222" s="9" t="n">
        <v>33752.36898070585</v>
      </c>
      <c r="AU222" s="9" t="n">
        <v>1044.9</v>
      </c>
      <c r="AV222" s="9" t="n">
        <v>0</v>
      </c>
      <c r="AW222" s="9" t="n">
        <v>477.4338076458467</v>
      </c>
      <c r="AX222" s="9" t="n">
        <v>0</v>
      </c>
      <c r="AY222" s="9" t="n">
        <v>3.594586460218652</v>
      </c>
    </row>
    <row r="223">
      <c r="A223" s="9" t="n">
        <v>229</v>
      </c>
      <c r="B223" s="9" t="inlineStr">
        <is>
          <t>РФ048</t>
        </is>
      </c>
      <c r="C223" s="9" t="inlineStr"/>
      <c r="D223" s="9" t="inlineStr">
        <is>
          <t>КОНФЕТЫ ВЕСОВЫЕ</t>
        </is>
      </c>
      <c r="E223" s="9" t="inlineStr">
        <is>
          <t>Федеральный</t>
        </is>
      </c>
      <c r="F223" s="9" t="n">
        <v>58573.49999999999</v>
      </c>
      <c r="G223" s="9" t="n">
        <v>0</v>
      </c>
      <c r="H223" s="9" t="n">
        <v>17033.305</v>
      </c>
      <c r="I223" s="9" t="n">
        <v>24203.98</v>
      </c>
      <c r="J223" s="9" t="n">
        <v>18411.11</v>
      </c>
      <c r="K223" s="9" t="n">
        <v>9398.379999999999</v>
      </c>
      <c r="L223" s="9" t="n">
        <v>7027</v>
      </c>
      <c r="M223" s="9" t="n">
        <v>65.39319173009147</v>
      </c>
      <c r="N223" s="9" t="n">
        <v>2133.069793507774</v>
      </c>
      <c r="O223" s="9" t="n">
        <v>10</v>
      </c>
      <c r="P223" s="9" t="n">
        <v>0</v>
      </c>
      <c r="Q223" s="9" t="n">
        <v>78.6645054260721</v>
      </c>
      <c r="R223" s="9" t="n">
        <v>492.2544110015511</v>
      </c>
      <c r="S223" s="9" t="n">
        <v>0</v>
      </c>
      <c r="T223" s="9" t="n">
        <v>15399</v>
      </c>
      <c r="U223" s="9" t="n">
        <v>165.7026522411605</v>
      </c>
      <c r="V223" s="9" t="n">
        <v>5637.255803015857</v>
      </c>
      <c r="W223" s="9" t="n">
        <v>19</v>
      </c>
      <c r="X223" s="9" t="n">
        <v>0</v>
      </c>
      <c r="Y223" s="9" t="n">
        <v>173.8238543257181</v>
      </c>
      <c r="Z223" s="9" t="n">
        <v>1400.016752205069</v>
      </c>
      <c r="AA223" s="9" t="n">
        <v>0</v>
      </c>
      <c r="AB223" s="9" t="n">
        <v>8447</v>
      </c>
      <c r="AC223" s="9" t="n">
        <v>149.0786197201845</v>
      </c>
      <c r="AD223" s="9" t="n">
        <v>7470.036896063857</v>
      </c>
      <c r="AE223" s="9" t="n">
        <v>34.2</v>
      </c>
      <c r="AF223" s="9" t="n">
        <v>0</v>
      </c>
      <c r="AG223" s="9" t="n">
        <v>258.8676286375119</v>
      </c>
      <c r="AH223" s="9" t="n">
        <v>1295.062674229939</v>
      </c>
      <c r="AI223" s="9" t="n">
        <v>0</v>
      </c>
      <c r="AJ223" s="9" t="n">
        <v>4540</v>
      </c>
      <c r="AK223" s="9" t="n">
        <v>159.1937040527804</v>
      </c>
      <c r="AL223" s="9" t="n">
        <v>7162.462039951688</v>
      </c>
      <c r="AM223" s="9" t="n">
        <v>17.1</v>
      </c>
      <c r="AN223" s="9" t="n">
        <v>0</v>
      </c>
      <c r="AO223" s="9" t="n">
        <v>233.1258014239864</v>
      </c>
      <c r="AP223" s="9" t="n">
        <v>768.0351049287973</v>
      </c>
      <c r="AQ223" s="9" t="n">
        <v>0</v>
      </c>
      <c r="AR223" s="9" t="n">
        <v>3392</v>
      </c>
      <c r="AS223" s="9" t="n">
        <v>261.7226530128278</v>
      </c>
      <c r="AT223" s="9" t="n">
        <v>6377.910549950042</v>
      </c>
      <c r="AU223" s="9" t="n">
        <v>5.7</v>
      </c>
      <c r="AV223" s="9" t="n">
        <v>0</v>
      </c>
      <c r="AW223" s="9" t="n">
        <v>39.33225271303612</v>
      </c>
      <c r="AX223" s="9" t="n">
        <v>126.5287485117614</v>
      </c>
      <c r="AY223" s="9" t="n">
        <v>0</v>
      </c>
    </row>
    <row r="224">
      <c r="A224" s="9" t="n">
        <v>230</v>
      </c>
      <c r="B224" s="9" t="inlineStr">
        <is>
          <t>РФ142</t>
        </is>
      </c>
      <c r="C224" s="9" t="inlineStr"/>
      <c r="D224" s="9" t="inlineStr">
        <is>
          <t>КОНФЕТЫ ВЕСОВЫЕ</t>
        </is>
      </c>
      <c r="E224" s="9" t="inlineStr">
        <is>
          <t>Федеральный</t>
        </is>
      </c>
      <c r="F224" s="9" t="n">
        <v>57956</v>
      </c>
      <c r="G224" s="9" t="n">
        <v>0</v>
      </c>
      <c r="H224" s="9" t="n">
        <v>10051.53</v>
      </c>
      <c r="I224" s="9" t="n">
        <v>14836.18</v>
      </c>
      <c r="J224" s="9" t="n">
        <v>14517.5</v>
      </c>
      <c r="K224" s="9" t="n">
        <v>0</v>
      </c>
      <c r="L224" s="9" t="n">
        <v>0</v>
      </c>
      <c r="M224" s="9" t="n">
        <v>0</v>
      </c>
      <c r="N224" s="9" t="n">
        <v>2739.363556760608</v>
      </c>
      <c r="O224" s="9" t="n">
        <v>0</v>
      </c>
      <c r="P224" s="9" t="n">
        <v>0</v>
      </c>
      <c r="Q224" s="9" t="n">
        <v>159.7669374918484</v>
      </c>
      <c r="R224" s="9" t="n">
        <v>30.29448672286892</v>
      </c>
      <c r="S224" s="9" t="n">
        <v>0</v>
      </c>
      <c r="T224" s="9" t="n">
        <v>0</v>
      </c>
      <c r="U224" s="9" t="n">
        <v>0</v>
      </c>
      <c r="V224" s="9" t="n">
        <v>8189.907784021423</v>
      </c>
      <c r="W224" s="9" t="n">
        <v>0</v>
      </c>
      <c r="X224" s="9" t="n">
        <v>0</v>
      </c>
      <c r="Y224" s="9" t="n">
        <v>353.0347609538878</v>
      </c>
      <c r="Z224" s="9" t="n">
        <v>82.04140433982735</v>
      </c>
      <c r="AA224" s="9" t="n">
        <v>0</v>
      </c>
      <c r="AB224" s="9" t="n">
        <v>0</v>
      </c>
      <c r="AC224" s="9" t="n">
        <v>0</v>
      </c>
      <c r="AD224" s="9" t="n">
        <v>10374.72163198629</v>
      </c>
      <c r="AE224" s="9" t="n">
        <v>0</v>
      </c>
      <c r="AF224" s="9" t="n">
        <v>0</v>
      </c>
      <c r="AG224" s="9" t="n">
        <v>525.7579389736402</v>
      </c>
      <c r="AH224" s="9" t="n">
        <v>82.9323934892676</v>
      </c>
      <c r="AI224" s="9" t="n">
        <v>0</v>
      </c>
      <c r="AJ224" s="9" t="n">
        <v>0</v>
      </c>
      <c r="AK224" s="9" t="n">
        <v>0</v>
      </c>
      <c r="AL224" s="9" t="n">
        <v>10330.32566304501</v>
      </c>
      <c r="AM224" s="9" t="n">
        <v>0</v>
      </c>
      <c r="AN224" s="9" t="n">
        <v>0</v>
      </c>
      <c r="AO224" s="9" t="n">
        <v>473.476508141861</v>
      </c>
      <c r="AP224" s="9" t="n">
        <v>45.45269953849468</v>
      </c>
      <c r="AQ224" s="9" t="n">
        <v>0</v>
      </c>
      <c r="AR224" s="9" t="n">
        <v>0</v>
      </c>
      <c r="AS224" s="9" t="n">
        <v>0</v>
      </c>
      <c r="AT224" s="9" t="n">
        <v>8803.810739448501</v>
      </c>
      <c r="AU224" s="9" t="n">
        <v>0</v>
      </c>
      <c r="AV224" s="9" t="n">
        <v>0</v>
      </c>
      <c r="AW224" s="9" t="n">
        <v>79.88346874592435</v>
      </c>
      <c r="AX224" s="9" t="n">
        <v>5.349169079236862</v>
      </c>
      <c r="AY224" s="9" t="n">
        <v>0</v>
      </c>
    </row>
    <row r="225">
      <c r="A225" s="9" t="n">
        <v>231</v>
      </c>
      <c r="B225" s="9" t="inlineStr">
        <is>
          <t>РФ048</t>
        </is>
      </c>
      <c r="C225" s="9" t="inlineStr"/>
      <c r="D225" s="9" t="inlineStr">
        <is>
          <t>КОНФЕТЫ ВЕСОВЫЕ</t>
        </is>
      </c>
      <c r="E225" s="9" t="inlineStr">
        <is>
          <t>Федеральный</t>
        </is>
      </c>
      <c r="F225" s="9" t="n">
        <v>23560</v>
      </c>
      <c r="G225" s="9" t="n">
        <v>13200</v>
      </c>
      <c r="H225" s="9" t="n">
        <v>255.5</v>
      </c>
      <c r="I225" s="9" t="n">
        <v>0</v>
      </c>
      <c r="J225" s="9" t="n">
        <v>0</v>
      </c>
      <c r="K225" s="9" t="n">
        <v>0</v>
      </c>
      <c r="L225" s="9" t="n">
        <v>0</v>
      </c>
      <c r="M225" s="9" t="n">
        <v>0</v>
      </c>
      <c r="N225" s="9" t="n">
        <v>0</v>
      </c>
      <c r="O225" s="9" t="n">
        <v>0</v>
      </c>
      <c r="P225" s="9" t="n">
        <v>0</v>
      </c>
      <c r="Q225" s="9" t="n">
        <v>0</v>
      </c>
      <c r="R225" s="9" t="n">
        <v>0</v>
      </c>
      <c r="S225" s="9" t="n">
        <v>0.765135133679808</v>
      </c>
      <c r="T225" s="9" t="n">
        <v>0</v>
      </c>
      <c r="U225" s="9" t="n">
        <v>0</v>
      </c>
      <c r="V225" s="9" t="n">
        <v>0</v>
      </c>
      <c r="W225" s="9" t="n">
        <v>0</v>
      </c>
      <c r="X225" s="9" t="n">
        <v>0</v>
      </c>
      <c r="Y225" s="9" t="n">
        <v>0</v>
      </c>
      <c r="Z225" s="9" t="n">
        <v>0</v>
      </c>
      <c r="AA225" s="9" t="n">
        <v>1.530270267359617</v>
      </c>
      <c r="AB225" s="9" t="n">
        <v>0</v>
      </c>
      <c r="AC225" s="9" t="n">
        <v>0</v>
      </c>
      <c r="AD225" s="9" t="n">
        <v>0</v>
      </c>
      <c r="AE225" s="9" t="n">
        <v>0</v>
      </c>
      <c r="AF225" s="9" t="n">
        <v>0</v>
      </c>
      <c r="AG225" s="9" t="n">
        <v>0</v>
      </c>
      <c r="AH225" s="9" t="n">
        <v>0</v>
      </c>
      <c r="AI225" s="9" t="n">
        <v>2.44843242777539</v>
      </c>
      <c r="AJ225" s="9" t="n">
        <v>0</v>
      </c>
      <c r="AK225" s="9" t="n">
        <v>0</v>
      </c>
      <c r="AL225" s="9" t="n">
        <v>0</v>
      </c>
      <c r="AM225" s="9" t="n">
        <v>0</v>
      </c>
      <c r="AN225" s="9" t="n">
        <v>0</v>
      </c>
      <c r="AO225" s="9" t="n">
        <v>0</v>
      </c>
      <c r="AP225" s="9" t="n">
        <v>0</v>
      </c>
      <c r="AQ225" s="9" t="n">
        <v>3.398516052797914</v>
      </c>
      <c r="AR225" s="9" t="n">
        <v>0</v>
      </c>
      <c r="AS225" s="9" t="n">
        <v>0</v>
      </c>
      <c r="AT225" s="9" t="n">
        <v>0</v>
      </c>
      <c r="AU225" s="9" t="n">
        <v>0</v>
      </c>
      <c r="AV225" s="9" t="n">
        <v>0</v>
      </c>
      <c r="AW225" s="9" t="n">
        <v>0</v>
      </c>
      <c r="AX225" s="9" t="n">
        <v>0</v>
      </c>
      <c r="AY225" s="9" t="n">
        <v>1.530270267359619</v>
      </c>
    </row>
    <row r="226">
      <c r="A226" s="9" t="n">
        <v>232</v>
      </c>
      <c r="B226" s="9" t="inlineStr">
        <is>
          <t>КО018</t>
        </is>
      </c>
      <c r="C226" s="9" t="inlineStr"/>
      <c r="D226" s="9" t="inlineStr">
        <is>
          <t>КОНФЕТЫ ВЕСОВЫЕ</t>
        </is>
      </c>
      <c r="E226" s="9" t="inlineStr">
        <is>
          <t>Федеральный</t>
        </is>
      </c>
      <c r="F226" s="9" t="n">
        <v>12148</v>
      </c>
      <c r="G226" s="9" t="n">
        <v>6028</v>
      </c>
      <c r="H226" s="9" t="n">
        <v>16900</v>
      </c>
      <c r="I226" s="9" t="n">
        <v>12343.79</v>
      </c>
      <c r="J226" s="9" t="n">
        <v>11289.57</v>
      </c>
      <c r="K226" s="9" t="n">
        <v>7292.07</v>
      </c>
      <c r="L226" s="9" t="n">
        <v>2081</v>
      </c>
      <c r="M226" s="9" t="n">
        <v>0</v>
      </c>
      <c r="N226" s="9" t="n">
        <v>2066.134781849264</v>
      </c>
      <c r="O226" s="9" t="n">
        <v>3316</v>
      </c>
      <c r="P226" s="9" t="n">
        <v>0</v>
      </c>
      <c r="Q226" s="9" t="n">
        <v>239.7344140606588</v>
      </c>
      <c r="R226" s="9" t="n">
        <v>0</v>
      </c>
      <c r="S226" s="9" t="n">
        <v>0</v>
      </c>
      <c r="T226" s="9" t="n">
        <v>2825</v>
      </c>
      <c r="U226" s="9" t="n">
        <v>350</v>
      </c>
      <c r="V226" s="9" t="n">
        <v>4965.992158214432</v>
      </c>
      <c r="W226" s="9" t="n">
        <v>3568</v>
      </c>
      <c r="X226" s="9" t="n">
        <v>0</v>
      </c>
      <c r="Y226" s="9" t="n">
        <v>529.7377723388062</v>
      </c>
      <c r="Z226" s="9" t="n">
        <v>0</v>
      </c>
      <c r="AA226" s="9" t="n">
        <v>0</v>
      </c>
      <c r="AB226" s="9" t="n">
        <v>840</v>
      </c>
      <c r="AC226" s="9" t="n">
        <v>350</v>
      </c>
      <c r="AD226" s="9" t="n">
        <v>5985.387777163909</v>
      </c>
      <c r="AE226" s="9" t="n">
        <v>3993.6</v>
      </c>
      <c r="AF226" s="9" t="n">
        <v>0</v>
      </c>
      <c r="AG226" s="9" t="n">
        <v>788.9133597745538</v>
      </c>
      <c r="AH226" s="9" t="n">
        <v>0</v>
      </c>
      <c r="AI226" s="9" t="n">
        <v>0</v>
      </c>
      <c r="AJ226" s="9" t="n">
        <v>484</v>
      </c>
      <c r="AK226" s="9" t="n">
        <v>269.2227090106123</v>
      </c>
      <c r="AL226" s="9" t="n">
        <v>5951.057351789339</v>
      </c>
      <c r="AM226" s="9" t="n">
        <v>3514.8</v>
      </c>
      <c r="AN226" s="9" t="n">
        <v>0</v>
      </c>
      <c r="AO226" s="9" t="n">
        <v>710.4637231759369</v>
      </c>
      <c r="AP226" s="9" t="n">
        <v>0</v>
      </c>
      <c r="AQ226" s="9" t="n">
        <v>0</v>
      </c>
      <c r="AR226" s="9" t="n">
        <v>1011</v>
      </c>
      <c r="AS226" s="9" t="n">
        <v>251.1269335622715</v>
      </c>
      <c r="AT226" s="9" t="n">
        <v>5692.457321950757</v>
      </c>
      <c r="AU226" s="9" t="n">
        <v>3195.6</v>
      </c>
      <c r="AV226" s="9" t="n">
        <v>0</v>
      </c>
      <c r="AW226" s="9" t="n">
        <v>119.8672070303296</v>
      </c>
      <c r="AX226" s="9" t="n">
        <v>0</v>
      </c>
      <c r="AY226" s="9" t="n">
        <v>0</v>
      </c>
    </row>
    <row r="227">
      <c r="A227" s="9" t="n">
        <v>233</v>
      </c>
      <c r="B227" s="9" t="inlineStr">
        <is>
          <t>КО163</t>
        </is>
      </c>
      <c r="C227" s="9" t="inlineStr"/>
      <c r="D227" s="9" t="inlineStr">
        <is>
          <t>КОНФЕТЫ ВЕСОВЫЕ</t>
        </is>
      </c>
      <c r="E227" s="9" t="inlineStr">
        <is>
          <t>Федеральный</t>
        </is>
      </c>
      <c r="F227" s="9" t="n">
        <v>15</v>
      </c>
      <c r="G227" s="9" t="n">
        <v>0</v>
      </c>
      <c r="H227" s="9" t="n">
        <v>0</v>
      </c>
      <c r="I227" s="9" t="n">
        <v>0</v>
      </c>
      <c r="J227" s="9" t="n">
        <v>0</v>
      </c>
      <c r="K227" s="9" t="n">
        <v>0</v>
      </c>
      <c r="L227" s="9" t="n">
        <v>0</v>
      </c>
      <c r="M227" s="9" t="n">
        <v>0</v>
      </c>
      <c r="N227" s="9" t="n">
        <v>0</v>
      </c>
      <c r="O227" s="9" t="n">
        <v>0</v>
      </c>
      <c r="P227" s="9" t="n">
        <v>0</v>
      </c>
      <c r="Q227" s="9" t="n">
        <v>0</v>
      </c>
      <c r="R227" s="9" t="n">
        <v>0</v>
      </c>
      <c r="S227" s="9" t="n">
        <v>0</v>
      </c>
      <c r="T227" s="9" t="n">
        <v>0</v>
      </c>
      <c r="U227" s="9" t="n">
        <v>0</v>
      </c>
      <c r="V227" s="9" t="n">
        <v>0</v>
      </c>
      <c r="W227" s="9" t="n">
        <v>0</v>
      </c>
      <c r="X227" s="9" t="n">
        <v>0</v>
      </c>
      <c r="Y227" s="9" t="n">
        <v>0</v>
      </c>
      <c r="Z227" s="9" t="n">
        <v>0</v>
      </c>
      <c r="AA227" s="9" t="n">
        <v>0</v>
      </c>
      <c r="AB227" s="9" t="n">
        <v>0</v>
      </c>
      <c r="AC227" s="9" t="n">
        <v>0</v>
      </c>
      <c r="AD227" s="9" t="n">
        <v>0</v>
      </c>
      <c r="AE227" s="9" t="n">
        <v>0</v>
      </c>
      <c r="AF227" s="9" t="n">
        <v>0</v>
      </c>
      <c r="AG227" s="9" t="n">
        <v>0</v>
      </c>
      <c r="AH227" s="9" t="n">
        <v>0</v>
      </c>
      <c r="AI227" s="9" t="n">
        <v>0</v>
      </c>
      <c r="AJ227" s="9" t="n">
        <v>0</v>
      </c>
      <c r="AK227" s="9" t="n">
        <v>0</v>
      </c>
      <c r="AL227" s="9" t="n">
        <v>0</v>
      </c>
      <c r="AM227" s="9" t="n">
        <v>0</v>
      </c>
      <c r="AN227" s="9" t="n">
        <v>0</v>
      </c>
      <c r="AO227" s="9" t="n">
        <v>0</v>
      </c>
      <c r="AP227" s="9" t="n">
        <v>0</v>
      </c>
      <c r="AQ227" s="9" t="n">
        <v>0</v>
      </c>
      <c r="AR227" s="9" t="n">
        <v>0</v>
      </c>
      <c r="AS227" s="9" t="n">
        <v>0</v>
      </c>
      <c r="AT227" s="9" t="n">
        <v>0</v>
      </c>
      <c r="AU227" s="9" t="n">
        <v>0</v>
      </c>
      <c r="AV227" s="9" t="n">
        <v>0</v>
      </c>
      <c r="AW227" s="9" t="n">
        <v>0</v>
      </c>
      <c r="AX227" s="9" t="n">
        <v>0</v>
      </c>
      <c r="AY227" s="9" t="n">
        <v>0</v>
      </c>
    </row>
    <row r="228">
      <c r="A228" s="9" t="n">
        <v>234</v>
      </c>
      <c r="B228" s="9" t="inlineStr">
        <is>
          <t>КО176</t>
        </is>
      </c>
      <c r="C228" s="9" t="inlineStr"/>
      <c r="D228" s="9" t="inlineStr">
        <is>
          <t>КОНФЕТЫ ВЕСОВЫЕ</t>
        </is>
      </c>
      <c r="E228" s="9" t="inlineStr">
        <is>
          <t>Федеральный</t>
        </is>
      </c>
      <c r="F228" s="9" t="n">
        <v>14033.684</v>
      </c>
      <c r="G228" s="9" t="n">
        <v>3516</v>
      </c>
      <c r="H228" s="9" t="n">
        <v>20239</v>
      </c>
      <c r="I228" s="9" t="n">
        <v>12284.4</v>
      </c>
      <c r="J228" s="9" t="n">
        <v>13430.29</v>
      </c>
      <c r="K228" s="9" t="n">
        <v>3580.71</v>
      </c>
      <c r="L228" s="9" t="n">
        <v>871</v>
      </c>
      <c r="M228" s="9" t="n">
        <v>15.50340686104321</v>
      </c>
      <c r="N228" s="9" t="n">
        <v>2382.11454252582</v>
      </c>
      <c r="O228" s="9" t="n">
        <v>1762.8</v>
      </c>
      <c r="P228" s="9" t="n">
        <v>0</v>
      </c>
      <c r="Q228" s="9" t="n">
        <v>129.0767928502249</v>
      </c>
      <c r="R228" s="9" t="n">
        <v>3.650377281717506</v>
      </c>
      <c r="S228" s="9" t="n">
        <v>0.2475573974703211</v>
      </c>
      <c r="T228" s="9" t="n">
        <v>1628</v>
      </c>
      <c r="U228" s="9" t="n">
        <v>39.28475683297362</v>
      </c>
      <c r="V228" s="9" t="n">
        <v>6567.307484539087</v>
      </c>
      <c r="W228" s="9" t="n">
        <v>1803.3</v>
      </c>
      <c r="X228" s="9" t="n">
        <v>0</v>
      </c>
      <c r="Y228" s="9" t="n">
        <v>285.2191787859653</v>
      </c>
      <c r="Z228" s="9" t="n">
        <v>11.12692203345198</v>
      </c>
      <c r="AA228" s="9" t="n">
        <v>0.4951147949406426</v>
      </c>
      <c r="AB228" s="9" t="n">
        <v>1232</v>
      </c>
      <c r="AC228" s="9" t="n">
        <v>35.34353400800931</v>
      </c>
      <c r="AD228" s="9" t="n">
        <v>8244.899749950104</v>
      </c>
      <c r="AE228" s="9" t="n">
        <v>1871.7</v>
      </c>
      <c r="AF228" s="9" t="n">
        <v>0</v>
      </c>
      <c r="AG228" s="9" t="n">
        <v>424.7634062693618</v>
      </c>
      <c r="AH228" s="9" t="n">
        <v>11.24776305120697</v>
      </c>
      <c r="AI228" s="9" t="n">
        <v>0.792183671905029</v>
      </c>
      <c r="AJ228" s="9" t="n">
        <v>940</v>
      </c>
      <c r="AK228" s="9" t="n">
        <v>37.74161649478042</v>
      </c>
      <c r="AL228" s="9" t="n">
        <v>8245.686964316141</v>
      </c>
      <c r="AM228" s="9" t="n">
        <v>1794.75</v>
      </c>
      <c r="AN228" s="9" t="n">
        <v>0</v>
      </c>
      <c r="AO228" s="9" t="n">
        <v>382.5248835604238</v>
      </c>
      <c r="AP228" s="9" t="n">
        <v>8.102142827977252</v>
      </c>
      <c r="AQ228" s="9" t="n">
        <v>1.099580652172531</v>
      </c>
      <c r="AR228" s="9" t="n">
        <v>624.0000000000001</v>
      </c>
      <c r="AS228" s="9" t="n">
        <v>35.20481779879812</v>
      </c>
      <c r="AT228" s="9" t="n">
        <v>7799.556706178658</v>
      </c>
      <c r="AU228" s="9" t="n">
        <v>1743.45</v>
      </c>
      <c r="AV228" s="9" t="n">
        <v>0</v>
      </c>
      <c r="AW228" s="9" t="n">
        <v>64.53839642511258</v>
      </c>
      <c r="AX228" s="9" t="n">
        <v>2.609257468737418</v>
      </c>
      <c r="AY228" s="9" t="n">
        <v>0.4951147949406431</v>
      </c>
    </row>
    <row r="229">
      <c r="A229" s="9" t="n">
        <v>235</v>
      </c>
      <c r="B229" s="9" t="inlineStr">
        <is>
          <t>КО171</t>
        </is>
      </c>
      <c r="C229" s="9" t="inlineStr"/>
      <c r="D229" s="9" t="inlineStr">
        <is>
          <t>КОНФЕТЫ ВЕСОВЫЕ</t>
        </is>
      </c>
      <c r="E229" s="9" t="inlineStr">
        <is>
          <t>Федеральный</t>
        </is>
      </c>
      <c r="F229" s="9" t="n">
        <v>20531.8</v>
      </c>
      <c r="G229" s="9" t="n">
        <v>0</v>
      </c>
      <c r="H229" s="9" t="n">
        <v>12088</v>
      </c>
      <c r="I229" s="9" t="n">
        <v>15208.11</v>
      </c>
      <c r="J229" s="9" t="n">
        <v>13455.93</v>
      </c>
      <c r="K229" s="9" t="n">
        <v>7339.02</v>
      </c>
      <c r="L229" s="9" t="n">
        <v>9831</v>
      </c>
      <c r="M229" s="9" t="n">
        <v>822.6192129525436</v>
      </c>
      <c r="N229" s="9" t="n">
        <v>671.9927346846075</v>
      </c>
      <c r="O229" s="9" t="n">
        <v>45</v>
      </c>
      <c r="P229" s="9" t="n">
        <v>0</v>
      </c>
      <c r="Q229" s="9" t="n">
        <v>20.75711157541772</v>
      </c>
      <c r="R229" s="9" t="n">
        <v>130.812503998715</v>
      </c>
      <c r="S229" s="9" t="n">
        <v>0</v>
      </c>
      <c r="T229" s="9" t="n">
        <v>10080</v>
      </c>
      <c r="U229" s="9" t="n">
        <v>2016.818727861514</v>
      </c>
      <c r="V229" s="9" t="n">
        <v>1658.647928890512</v>
      </c>
      <c r="W229" s="9" t="n">
        <v>85.49999999999999</v>
      </c>
      <c r="X229" s="9" t="n">
        <v>0</v>
      </c>
      <c r="Y229" s="9" t="n">
        <v>45.86669831794617</v>
      </c>
      <c r="Z229" s="9" t="n">
        <v>502.9492031104751</v>
      </c>
      <c r="AA229" s="9" t="n">
        <v>0</v>
      </c>
      <c r="AB229" s="9" t="n">
        <v>7359</v>
      </c>
      <c r="AC229" s="9" t="n">
        <v>1853.659187518641</v>
      </c>
      <c r="AD229" s="9" t="n">
        <v>2084.235108193052</v>
      </c>
      <c r="AE229" s="9" t="n">
        <v>153.9</v>
      </c>
      <c r="AF229" s="9" t="n">
        <v>0</v>
      </c>
      <c r="AG229" s="9" t="n">
        <v>68.30710015640328</v>
      </c>
      <c r="AH229" s="9" t="n">
        <v>302.8047576921188</v>
      </c>
      <c r="AI229" s="9" t="n">
        <v>0</v>
      </c>
      <c r="AJ229" s="9" t="n">
        <v>2883</v>
      </c>
      <c r="AK229" s="9" t="n">
        <v>2354.236901634958</v>
      </c>
      <c r="AL229" s="9" t="n">
        <v>2143.349908298907</v>
      </c>
      <c r="AM229" s="9" t="n">
        <v>76.94999999999999</v>
      </c>
      <c r="AN229" s="9" t="n">
        <v>0</v>
      </c>
      <c r="AO229" s="9" t="n">
        <v>61.51463414225631</v>
      </c>
      <c r="AP229" s="9" t="n">
        <v>140.0727478646781</v>
      </c>
      <c r="AQ229" s="9" t="n">
        <v>0</v>
      </c>
      <c r="AR229" s="9" t="n">
        <v>6133.5</v>
      </c>
      <c r="AS229" s="9" t="n">
        <v>1736.042235183644</v>
      </c>
      <c r="AT229" s="9" t="n">
        <v>2088.515459675052</v>
      </c>
      <c r="AU229" s="9" t="n">
        <v>25.65</v>
      </c>
      <c r="AV229" s="9" t="n">
        <v>0</v>
      </c>
      <c r="AW229" s="9" t="n">
        <v>10.37855578770888</v>
      </c>
      <c r="AX229" s="9" t="n">
        <v>34.34007261524785</v>
      </c>
      <c r="AY229" s="9" t="n">
        <v>0</v>
      </c>
    </row>
    <row r="230">
      <c r="A230" s="9" t="n">
        <v>236</v>
      </c>
      <c r="B230" s="9" t="inlineStr">
        <is>
          <t>ПЗ116</t>
        </is>
      </c>
      <c r="C230" s="9" t="inlineStr"/>
      <c r="D230" s="9" t="inlineStr">
        <is>
          <t>КОНФЕТЫ ВЕСОВЫЕ</t>
        </is>
      </c>
      <c r="E230" s="9" t="inlineStr">
        <is>
          <t>Локальный</t>
        </is>
      </c>
      <c r="F230" s="9" t="n">
        <v>4005</v>
      </c>
      <c r="G230" s="9" t="n">
        <v>0</v>
      </c>
      <c r="H230" s="9" t="n">
        <v>2930.885</v>
      </c>
      <c r="I230" s="9" t="n">
        <v>3064.46</v>
      </c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0</v>
      </c>
      <c r="O230" s="9" t="n">
        <v>0</v>
      </c>
      <c r="P230" s="9" t="n">
        <v>0</v>
      </c>
      <c r="Q230" s="9" t="n">
        <v>0</v>
      </c>
      <c r="R230" s="9" t="n">
        <v>0</v>
      </c>
      <c r="S230" s="9" t="n">
        <v>586.5075251371788</v>
      </c>
      <c r="T230" s="9" t="n">
        <v>0</v>
      </c>
      <c r="U230" s="9" t="n">
        <v>0</v>
      </c>
      <c r="V230" s="9" t="n">
        <v>0</v>
      </c>
      <c r="W230" s="9" t="n">
        <v>0</v>
      </c>
      <c r="X230" s="9" t="n">
        <v>0</v>
      </c>
      <c r="Y230" s="9" t="n">
        <v>0</v>
      </c>
      <c r="Z230" s="9" t="n">
        <v>0</v>
      </c>
      <c r="AA230" s="9" t="n">
        <v>1270.464005260911</v>
      </c>
      <c r="AB230" s="9" t="n">
        <v>0</v>
      </c>
      <c r="AC230" s="9" t="n">
        <v>0</v>
      </c>
      <c r="AD230" s="9" t="n">
        <v>0</v>
      </c>
      <c r="AE230" s="9" t="n">
        <v>0</v>
      </c>
      <c r="AF230" s="9" t="n">
        <v>0</v>
      </c>
      <c r="AG230" s="9" t="n">
        <v>0</v>
      </c>
      <c r="AH230" s="9" t="n">
        <v>0</v>
      </c>
      <c r="AI230" s="9" t="n">
        <v>1407.52433671693</v>
      </c>
      <c r="AJ230" s="9" t="n">
        <v>0</v>
      </c>
      <c r="AK230" s="9" t="n">
        <v>0</v>
      </c>
      <c r="AL230" s="9" t="n">
        <v>0</v>
      </c>
      <c r="AM230" s="9" t="n">
        <v>0</v>
      </c>
      <c r="AN230" s="9" t="n">
        <v>0</v>
      </c>
      <c r="AO230" s="9" t="n">
        <v>0</v>
      </c>
      <c r="AP230" s="9" t="n">
        <v>0</v>
      </c>
      <c r="AQ230" s="9" t="n">
        <v>2525.934180316392</v>
      </c>
      <c r="AR230" s="9" t="n">
        <v>0</v>
      </c>
      <c r="AS230" s="9" t="n">
        <v>0</v>
      </c>
      <c r="AT230" s="9" t="n">
        <v>0</v>
      </c>
      <c r="AU230" s="9" t="n">
        <v>0</v>
      </c>
      <c r="AV230" s="9" t="n">
        <v>0</v>
      </c>
      <c r="AW230" s="9" t="n">
        <v>0</v>
      </c>
      <c r="AX230" s="9" t="n">
        <v>0</v>
      </c>
      <c r="AY230" s="9" t="n">
        <v>293.2537625685894</v>
      </c>
    </row>
    <row r="231">
      <c r="A231" s="9" t="n">
        <v>237</v>
      </c>
      <c r="B231" s="9" t="inlineStr">
        <is>
          <t>НС021</t>
        </is>
      </c>
      <c r="C231" s="9" t="inlineStr"/>
      <c r="D231" s="9" t="inlineStr">
        <is>
          <t>КОНФЕТЫ ВЕСОВЫЕ</t>
        </is>
      </c>
      <c r="E231" s="9" t="inlineStr">
        <is>
          <t>Локальный</t>
        </is>
      </c>
      <c r="F231" s="9" t="n">
        <v>3417.62</v>
      </c>
      <c r="G231" s="9" t="n">
        <v>1600</v>
      </c>
      <c r="H231" s="9" t="n">
        <v>500</v>
      </c>
      <c r="I231" s="9" t="n">
        <v>500</v>
      </c>
      <c r="J231" s="9" t="n">
        <v>500</v>
      </c>
      <c r="K231" s="9" t="n">
        <v>500</v>
      </c>
      <c r="L231" s="9" t="n">
        <v>0</v>
      </c>
      <c r="M231" s="9" t="n">
        <v>0</v>
      </c>
      <c r="N231" s="9" t="n">
        <v>0</v>
      </c>
      <c r="O231" s="9" t="n">
        <v>91.40000000000001</v>
      </c>
      <c r="P231" s="9" t="n">
        <v>0</v>
      </c>
      <c r="Q231" s="9" t="n">
        <v>0</v>
      </c>
      <c r="R231" s="9" t="n">
        <v>0</v>
      </c>
      <c r="S231" s="9" t="n">
        <v>601.9080802728646</v>
      </c>
      <c r="T231" s="9" t="n">
        <v>0</v>
      </c>
      <c r="U231" s="9" t="n">
        <v>0</v>
      </c>
      <c r="V231" s="9" t="n">
        <v>0</v>
      </c>
      <c r="W231" s="9" t="n">
        <v>95.90000000000001</v>
      </c>
      <c r="X231" s="9" t="n">
        <v>0</v>
      </c>
      <c r="Y231" s="9" t="n">
        <v>0</v>
      </c>
      <c r="Z231" s="9" t="n">
        <v>0</v>
      </c>
      <c r="AA231" s="9" t="n">
        <v>1303.823936928196</v>
      </c>
      <c r="AB231" s="9" t="n">
        <v>0</v>
      </c>
      <c r="AC231" s="9" t="n">
        <v>0</v>
      </c>
      <c r="AD231" s="9" t="n">
        <v>0</v>
      </c>
      <c r="AE231" s="9" t="n">
        <v>103.5</v>
      </c>
      <c r="AF231" s="9" t="n">
        <v>0</v>
      </c>
      <c r="AG231" s="9" t="n">
        <v>0</v>
      </c>
      <c r="AH231" s="9" t="n">
        <v>0</v>
      </c>
      <c r="AI231" s="9" t="n">
        <v>1444.483208041486</v>
      </c>
      <c r="AJ231" s="9" t="n">
        <v>0</v>
      </c>
      <c r="AK231" s="9" t="n">
        <v>0</v>
      </c>
      <c r="AL231" s="9" t="n">
        <v>0</v>
      </c>
      <c r="AM231" s="9" t="n">
        <v>94.95</v>
      </c>
      <c r="AN231" s="9" t="n">
        <v>0</v>
      </c>
      <c r="AO231" s="9" t="n">
        <v>0</v>
      </c>
      <c r="AP231" s="9" t="n">
        <v>0</v>
      </c>
      <c r="AQ231" s="9" t="n">
        <v>2592.260334621022</v>
      </c>
      <c r="AR231" s="9" t="n">
        <v>0</v>
      </c>
      <c r="AS231" s="9" t="n">
        <v>0</v>
      </c>
      <c r="AT231" s="9" t="n">
        <v>0</v>
      </c>
      <c r="AU231" s="9" t="n">
        <v>89.25</v>
      </c>
      <c r="AV231" s="9" t="n">
        <v>0</v>
      </c>
      <c r="AW231" s="9" t="n">
        <v>0</v>
      </c>
      <c r="AX231" s="9" t="n">
        <v>0</v>
      </c>
      <c r="AY231" s="9" t="n">
        <v>300.9540401364322</v>
      </c>
    </row>
    <row r="232">
      <c r="A232" s="9" t="n">
        <v>238</v>
      </c>
      <c r="B232" s="9" t="inlineStr">
        <is>
          <t>КО018</t>
        </is>
      </c>
      <c r="C232" s="9" t="inlineStr"/>
      <c r="D232" s="9" t="inlineStr">
        <is>
          <t>КОНФЕТЫ ВЕСОВЫЕ</t>
        </is>
      </c>
      <c r="E232" s="9" t="inlineStr">
        <is>
          <t>Локальный</t>
        </is>
      </c>
      <c r="F232" s="9" t="n">
        <v>405</v>
      </c>
      <c r="G232" s="9" t="n">
        <v>0</v>
      </c>
      <c r="H232" s="9" t="n">
        <v>2155.695</v>
      </c>
      <c r="I232" s="9" t="n">
        <v>2205.29</v>
      </c>
      <c r="J232" s="9" t="n">
        <v>30.44</v>
      </c>
      <c r="K232" s="9" t="n">
        <v>0</v>
      </c>
      <c r="L232" s="9" t="n">
        <v>0</v>
      </c>
      <c r="M232" s="9" t="n">
        <v>0</v>
      </c>
      <c r="N232" s="9" t="n">
        <v>0</v>
      </c>
      <c r="O232" s="9" t="n">
        <v>40</v>
      </c>
      <c r="P232" s="9" t="n">
        <v>0</v>
      </c>
      <c r="Q232" s="9" t="n">
        <v>0</v>
      </c>
      <c r="R232" s="9" t="n">
        <v>0</v>
      </c>
      <c r="S232" s="9" t="n">
        <v>416.3371482442893</v>
      </c>
      <c r="T232" s="9" t="n">
        <v>0</v>
      </c>
      <c r="U232" s="9" t="n">
        <v>0</v>
      </c>
      <c r="V232" s="9" t="n">
        <v>0</v>
      </c>
      <c r="W232" s="9" t="n">
        <v>40</v>
      </c>
      <c r="X232" s="9" t="n">
        <v>0</v>
      </c>
      <c r="Y232" s="9" t="n">
        <v>0</v>
      </c>
      <c r="Z232" s="9" t="n">
        <v>0</v>
      </c>
      <c r="AA232" s="9" t="n">
        <v>901.849231642221</v>
      </c>
      <c r="AB232" s="9" t="n">
        <v>0</v>
      </c>
      <c r="AC232" s="9" t="n">
        <v>0</v>
      </c>
      <c r="AD232" s="9" t="n">
        <v>0</v>
      </c>
      <c r="AE232" s="9" t="n">
        <v>40</v>
      </c>
      <c r="AF232" s="9" t="n">
        <v>0</v>
      </c>
      <c r="AG232" s="9" t="n">
        <v>0</v>
      </c>
      <c r="AH232" s="9" t="n">
        <v>0</v>
      </c>
      <c r="AI232" s="9" t="n">
        <v>999.1426253160186</v>
      </c>
      <c r="AJ232" s="9" t="n">
        <v>0</v>
      </c>
      <c r="AK232" s="9" t="n">
        <v>0</v>
      </c>
      <c r="AL232" s="9" t="n">
        <v>0</v>
      </c>
      <c r="AM232" s="9" t="n">
        <v>40</v>
      </c>
      <c r="AN232" s="9" t="n">
        <v>0</v>
      </c>
      <c r="AO232" s="9" t="n">
        <v>0</v>
      </c>
      <c r="AP232" s="9" t="n">
        <v>0</v>
      </c>
      <c r="AQ232" s="9" t="n">
        <v>1793.054970675327</v>
      </c>
      <c r="AR232" s="9" t="n">
        <v>0</v>
      </c>
      <c r="AS232" s="9" t="n">
        <v>0</v>
      </c>
      <c r="AT232" s="9" t="n">
        <v>0</v>
      </c>
      <c r="AU232" s="9" t="n">
        <v>40</v>
      </c>
      <c r="AV232" s="9" t="n">
        <v>0</v>
      </c>
      <c r="AW232" s="9" t="n">
        <v>0</v>
      </c>
      <c r="AX232" s="9" t="n">
        <v>0</v>
      </c>
      <c r="AY232" s="9" t="n">
        <v>208.1685741221446</v>
      </c>
    </row>
    <row r="233">
      <c r="A233" s="9" t="n">
        <v>239</v>
      </c>
      <c r="B233" s="9" t="inlineStr">
        <is>
          <t>ЮК036</t>
        </is>
      </c>
      <c r="C233" s="9" t="inlineStr"/>
      <c r="D233" s="9" t="inlineStr">
        <is>
          <t>КОНФЕТЫ ВЕСОВЫЕ</t>
        </is>
      </c>
      <c r="E233" s="9" t="inlineStr">
        <is>
          <t>Локальный</t>
        </is>
      </c>
      <c r="F233" s="9" t="n">
        <v>2007</v>
      </c>
      <c r="G233" s="9" t="n">
        <v>0</v>
      </c>
      <c r="H233" s="9" t="n">
        <v>564.1500000000001</v>
      </c>
      <c r="I233" s="9" t="n">
        <v>799.4</v>
      </c>
      <c r="J233" s="9" t="n">
        <v>18.36</v>
      </c>
      <c r="K233" s="9" t="n">
        <v>0</v>
      </c>
      <c r="L233" s="9" t="n">
        <v>0</v>
      </c>
      <c r="M233" s="9" t="n">
        <v>0</v>
      </c>
      <c r="N233" s="9" t="n">
        <v>0.7540192854541057</v>
      </c>
      <c r="O233" s="9" t="n">
        <v>15.2</v>
      </c>
      <c r="P233" s="9" t="n">
        <v>0</v>
      </c>
      <c r="Q233" s="9" t="n">
        <v>0</v>
      </c>
      <c r="R233" s="9" t="n">
        <v>0</v>
      </c>
      <c r="S233" s="9" t="n">
        <v>148.4764392515345</v>
      </c>
      <c r="T233" s="9" t="n">
        <v>0</v>
      </c>
      <c r="U233" s="9" t="n">
        <v>0</v>
      </c>
      <c r="V233" s="9" t="n">
        <v>2.079662758214313</v>
      </c>
      <c r="W233" s="9" t="n">
        <v>15.2</v>
      </c>
      <c r="X233" s="9" t="n">
        <v>0</v>
      </c>
      <c r="Y233" s="9" t="n">
        <v>0</v>
      </c>
      <c r="Z233" s="9" t="n">
        <v>0</v>
      </c>
      <c r="AA233" s="9" t="n">
        <v>321.6224236070339</v>
      </c>
      <c r="AB233" s="9" t="n">
        <v>0</v>
      </c>
      <c r="AC233" s="9" t="n">
        <v>0</v>
      </c>
      <c r="AD233" s="9" t="n">
        <v>2.85236419990498</v>
      </c>
      <c r="AE233" s="9" t="n">
        <v>15.2</v>
      </c>
      <c r="AF233" s="9" t="n">
        <v>0</v>
      </c>
      <c r="AG233" s="9" t="n">
        <v>0</v>
      </c>
      <c r="AH233" s="9" t="n">
        <v>0</v>
      </c>
      <c r="AI233" s="9" t="n">
        <v>356.3197277421606</v>
      </c>
      <c r="AJ233" s="9" t="n">
        <v>0</v>
      </c>
      <c r="AK233" s="9" t="n">
        <v>0</v>
      </c>
      <c r="AL233" s="9" t="n">
        <v>2.874198543095142</v>
      </c>
      <c r="AM233" s="9" t="n">
        <v>15.2</v>
      </c>
      <c r="AN233" s="9" t="n">
        <v>0</v>
      </c>
      <c r="AO233" s="9" t="n">
        <v>0</v>
      </c>
      <c r="AP233" s="9" t="n">
        <v>0</v>
      </c>
      <c r="AQ233" s="9" t="n">
        <v>583.5398742812248</v>
      </c>
      <c r="AR233" s="9" t="n">
        <v>0</v>
      </c>
      <c r="AS233" s="9" t="n">
        <v>0</v>
      </c>
      <c r="AT233" s="9" t="n">
        <v>3.025832745377702</v>
      </c>
      <c r="AU233" s="9" t="n">
        <v>15.2</v>
      </c>
      <c r="AV233" s="9" t="n">
        <v>0</v>
      </c>
      <c r="AW233" s="9" t="n">
        <v>0</v>
      </c>
      <c r="AX233" s="9" t="n">
        <v>0</v>
      </c>
      <c r="AY233" s="9" t="n">
        <v>74.23821962576727</v>
      </c>
    </row>
    <row r="234">
      <c r="A234" s="9" t="n">
        <v>240</v>
      </c>
      <c r="B234" s="9" t="inlineStr">
        <is>
          <t>НС021</t>
        </is>
      </c>
      <c r="C234" s="9" t="inlineStr"/>
      <c r="D234" s="9" t="inlineStr">
        <is>
          <t>КОНФЕТЫ ВЕСОВЫЕ</t>
        </is>
      </c>
      <c r="E234" s="9" t="inlineStr">
        <is>
          <t>Локальный</t>
        </is>
      </c>
      <c r="F234" s="9" t="n">
        <v>1196</v>
      </c>
      <c r="G234" s="9" t="n">
        <v>300</v>
      </c>
      <c r="H234" s="9" t="n">
        <v>0</v>
      </c>
      <c r="I234" s="9" t="n">
        <v>300</v>
      </c>
      <c r="J234" s="9" t="n">
        <v>400</v>
      </c>
      <c r="K234" s="9" t="n">
        <v>0</v>
      </c>
      <c r="L234" s="9" t="n">
        <v>0</v>
      </c>
      <c r="M234" s="9" t="n">
        <v>0</v>
      </c>
      <c r="N234" s="9" t="n">
        <v>0</v>
      </c>
      <c r="O234" s="9" t="n">
        <v>0</v>
      </c>
      <c r="P234" s="9" t="n">
        <v>0</v>
      </c>
      <c r="Q234" s="9" t="n">
        <v>0</v>
      </c>
      <c r="R234" s="9" t="n">
        <v>0</v>
      </c>
      <c r="S234" s="9" t="n">
        <v>115.8234936470303</v>
      </c>
      <c r="T234" s="9" t="n">
        <v>0</v>
      </c>
      <c r="U234" s="9" t="n">
        <v>0</v>
      </c>
      <c r="V234" s="9" t="n">
        <v>0</v>
      </c>
      <c r="W234" s="9" t="n">
        <v>0</v>
      </c>
      <c r="X234" s="9" t="n">
        <v>0</v>
      </c>
      <c r="Y234" s="9" t="n">
        <v>0</v>
      </c>
      <c r="Z234" s="9" t="n">
        <v>0</v>
      </c>
      <c r="AA234" s="9" t="n">
        <v>250.8912048616951</v>
      </c>
      <c r="AB234" s="9" t="n">
        <v>0</v>
      </c>
      <c r="AC234" s="9" t="n">
        <v>0</v>
      </c>
      <c r="AD234" s="9" t="n">
        <v>0</v>
      </c>
      <c r="AE234" s="9" t="n">
        <v>0</v>
      </c>
      <c r="AF234" s="9" t="n">
        <v>0</v>
      </c>
      <c r="AG234" s="9" t="n">
        <v>0</v>
      </c>
      <c r="AH234" s="9" t="n">
        <v>0</v>
      </c>
      <c r="AI234" s="9" t="n">
        <v>277.9578762159002</v>
      </c>
      <c r="AJ234" s="9" t="n">
        <v>0</v>
      </c>
      <c r="AK234" s="9" t="n">
        <v>0</v>
      </c>
      <c r="AL234" s="9" t="n">
        <v>0</v>
      </c>
      <c r="AM234" s="9" t="n">
        <v>0</v>
      </c>
      <c r="AN234" s="9" t="n">
        <v>0</v>
      </c>
      <c r="AO234" s="9" t="n">
        <v>0</v>
      </c>
      <c r="AP234" s="9" t="n">
        <v>0</v>
      </c>
      <c r="AQ234" s="9" t="n">
        <v>498.8214284518592</v>
      </c>
      <c r="AR234" s="9" t="n">
        <v>0</v>
      </c>
      <c r="AS234" s="9" t="n">
        <v>0</v>
      </c>
      <c r="AT234" s="9" t="n">
        <v>0</v>
      </c>
      <c r="AU234" s="9" t="n">
        <v>0</v>
      </c>
      <c r="AV234" s="9" t="n">
        <v>0</v>
      </c>
      <c r="AW234" s="9" t="n">
        <v>0</v>
      </c>
      <c r="AX234" s="9" t="n">
        <v>0</v>
      </c>
      <c r="AY234" s="9" t="n">
        <v>57.91174682351514</v>
      </c>
    </row>
    <row r="235">
      <c r="A235" s="9" t="n">
        <v>241</v>
      </c>
      <c r="B235" s="9" t="inlineStr">
        <is>
          <t>НС103</t>
        </is>
      </c>
      <c r="C235" s="9" t="inlineStr"/>
      <c r="D235" s="9" t="inlineStr">
        <is>
          <t>КОНФЕТЫ ВЕСОВЫЕ</t>
        </is>
      </c>
      <c r="E235" s="9" t="inlineStr">
        <is>
          <t>Локальный</t>
        </is>
      </c>
      <c r="F235" s="9" t="n">
        <v>351</v>
      </c>
      <c r="G235" s="9" t="n">
        <v>100</v>
      </c>
      <c r="H235" s="9" t="n">
        <v>0</v>
      </c>
      <c r="I235" s="9" t="n">
        <v>100</v>
      </c>
      <c r="J235" s="9" t="n">
        <v>143</v>
      </c>
      <c r="K235" s="9" t="n">
        <v>0</v>
      </c>
      <c r="L235" s="9" t="n">
        <v>0</v>
      </c>
      <c r="M235" s="9" t="n">
        <v>0</v>
      </c>
      <c r="N235" s="9" t="n">
        <v>0</v>
      </c>
      <c r="O235" s="9" t="n">
        <v>0</v>
      </c>
      <c r="P235" s="9" t="n">
        <v>0</v>
      </c>
      <c r="Q235" s="9" t="n">
        <v>0</v>
      </c>
      <c r="R235" s="9" t="n">
        <v>0</v>
      </c>
      <c r="S235" s="9" t="n">
        <v>36.0905744267301</v>
      </c>
      <c r="T235" s="9" t="n">
        <v>0</v>
      </c>
      <c r="U235" s="9" t="n">
        <v>0</v>
      </c>
      <c r="V235" s="9" t="n">
        <v>0</v>
      </c>
      <c r="W235" s="9" t="n">
        <v>0</v>
      </c>
      <c r="X235" s="9" t="n">
        <v>0</v>
      </c>
      <c r="Y235" s="9" t="n">
        <v>0</v>
      </c>
      <c r="Z235" s="9" t="n">
        <v>0</v>
      </c>
      <c r="AA235" s="9" t="n">
        <v>78.17764269542185</v>
      </c>
      <c r="AB235" s="9" t="n">
        <v>0</v>
      </c>
      <c r="AC235" s="9" t="n">
        <v>0</v>
      </c>
      <c r="AD235" s="9" t="n">
        <v>0</v>
      </c>
      <c r="AE235" s="9" t="n">
        <v>0</v>
      </c>
      <c r="AF235" s="9" t="n">
        <v>0</v>
      </c>
      <c r="AG235" s="9" t="n">
        <v>0</v>
      </c>
      <c r="AH235" s="9" t="n">
        <v>0</v>
      </c>
      <c r="AI235" s="9" t="n">
        <v>86.61161136821732</v>
      </c>
      <c r="AJ235" s="9" t="n">
        <v>0</v>
      </c>
      <c r="AK235" s="9" t="n">
        <v>0</v>
      </c>
      <c r="AL235" s="9" t="n">
        <v>0</v>
      </c>
      <c r="AM235" s="9" t="n">
        <v>0</v>
      </c>
      <c r="AN235" s="9" t="n">
        <v>0</v>
      </c>
      <c r="AO235" s="9" t="n">
        <v>0</v>
      </c>
      <c r="AP235" s="9" t="n">
        <v>0</v>
      </c>
      <c r="AQ235" s="9" t="n">
        <v>155.4326442962657</v>
      </c>
      <c r="AR235" s="9" t="n">
        <v>0</v>
      </c>
      <c r="AS235" s="9" t="n">
        <v>0</v>
      </c>
      <c r="AT235" s="9" t="n">
        <v>0</v>
      </c>
      <c r="AU235" s="9" t="n">
        <v>0</v>
      </c>
      <c r="AV235" s="9" t="n">
        <v>0</v>
      </c>
      <c r="AW235" s="9" t="n">
        <v>0</v>
      </c>
      <c r="AX235" s="9" t="n">
        <v>0</v>
      </c>
      <c r="AY235" s="9" t="n">
        <v>18.04528721336505</v>
      </c>
    </row>
    <row r="236">
      <c r="A236" s="9" t="n">
        <v>242</v>
      </c>
      <c r="B236" s="9" t="inlineStr">
        <is>
          <t>КО018</t>
        </is>
      </c>
      <c r="C236" s="9" t="inlineStr"/>
      <c r="D236" s="9" t="inlineStr">
        <is>
          <t>КОНФЕТЫ ВЕСОВЫЕ</t>
        </is>
      </c>
      <c r="E236" s="9" t="inlineStr">
        <is>
          <t>Локальный</t>
        </is>
      </c>
      <c r="F236" s="9" t="n">
        <v>176.4</v>
      </c>
      <c r="G236" s="9" t="n">
        <v>0</v>
      </c>
      <c r="H236" s="9" t="n">
        <v>142.265</v>
      </c>
      <c r="I236" s="9" t="n">
        <v>138.53</v>
      </c>
      <c r="J236" s="9" t="n">
        <v>0</v>
      </c>
      <c r="K236" s="9" t="n">
        <v>0</v>
      </c>
      <c r="L236" s="9" t="n">
        <v>0</v>
      </c>
      <c r="M236" s="9" t="n">
        <v>0</v>
      </c>
      <c r="N236" s="9" t="n">
        <v>0</v>
      </c>
      <c r="O236" s="9" t="n">
        <v>0</v>
      </c>
      <c r="P236" s="9" t="n">
        <v>0</v>
      </c>
      <c r="Q236" s="9" t="n">
        <v>0</v>
      </c>
      <c r="R236" s="9" t="n">
        <v>0</v>
      </c>
      <c r="S236" s="9" t="n">
        <v>26.55793872151823</v>
      </c>
      <c r="T236" s="9" t="n">
        <v>0</v>
      </c>
      <c r="U236" s="9" t="n">
        <v>0</v>
      </c>
      <c r="V236" s="9" t="n">
        <v>0</v>
      </c>
      <c r="W236" s="9" t="n">
        <v>0</v>
      </c>
      <c r="X236" s="9" t="n">
        <v>0</v>
      </c>
      <c r="Y236" s="9" t="n">
        <v>0</v>
      </c>
      <c r="Z236" s="9" t="n">
        <v>0</v>
      </c>
      <c r="AA236" s="9" t="n">
        <v>57.52851200284631</v>
      </c>
      <c r="AB236" s="9" t="n">
        <v>0</v>
      </c>
      <c r="AC236" s="9" t="n">
        <v>0</v>
      </c>
      <c r="AD236" s="9" t="n">
        <v>0</v>
      </c>
      <c r="AE236" s="9" t="n">
        <v>0</v>
      </c>
      <c r="AF236" s="9" t="n">
        <v>0</v>
      </c>
      <c r="AG236" s="9" t="n">
        <v>0</v>
      </c>
      <c r="AH236" s="9" t="n">
        <v>0</v>
      </c>
      <c r="AI236" s="9" t="n">
        <v>63.73480898617755</v>
      </c>
      <c r="AJ236" s="9" t="n">
        <v>0</v>
      </c>
      <c r="AK236" s="9" t="n">
        <v>0</v>
      </c>
      <c r="AL236" s="9" t="n">
        <v>0</v>
      </c>
      <c r="AM236" s="9" t="n">
        <v>0</v>
      </c>
      <c r="AN236" s="9" t="n">
        <v>0</v>
      </c>
      <c r="AO236" s="9" t="n">
        <v>0</v>
      </c>
      <c r="AP236" s="9" t="n">
        <v>0</v>
      </c>
      <c r="AQ236" s="9" t="n">
        <v>114.3780809286988</v>
      </c>
      <c r="AR236" s="9" t="n">
        <v>0</v>
      </c>
      <c r="AS236" s="9" t="n">
        <v>0</v>
      </c>
      <c r="AT236" s="9" t="n">
        <v>0</v>
      </c>
      <c r="AU236" s="9" t="n">
        <v>0</v>
      </c>
      <c r="AV236" s="9" t="n">
        <v>0</v>
      </c>
      <c r="AW236" s="9" t="n">
        <v>0</v>
      </c>
      <c r="AX236" s="9" t="n">
        <v>0</v>
      </c>
      <c r="AY236" s="9" t="n">
        <v>13.27896936075911</v>
      </c>
    </row>
    <row r="237">
      <c r="A237" s="9" t="n">
        <v>243</v>
      </c>
      <c r="B237" s="9" t="inlineStr">
        <is>
          <t>КО195</t>
        </is>
      </c>
      <c r="C237" s="9" t="inlineStr"/>
      <c r="D237" s="9" t="inlineStr">
        <is>
          <t>КОНФЕТЫ ВЕСОВЫЕ</t>
        </is>
      </c>
      <c r="E237" s="9" t="inlineStr">
        <is>
          <t>Федеральный</t>
        </is>
      </c>
      <c r="F237" s="9" t="n">
        <v>491</v>
      </c>
      <c r="G237" s="9" t="n">
        <v>0</v>
      </c>
      <c r="H237" s="9" t="n">
        <v>0</v>
      </c>
      <c r="I237" s="9" t="n">
        <v>0</v>
      </c>
      <c r="J237" s="9" t="n">
        <v>0</v>
      </c>
      <c r="K237" s="9" t="n">
        <v>0</v>
      </c>
      <c r="L237" s="9" t="n">
        <v>0</v>
      </c>
      <c r="M237" s="9" t="n">
        <v>0</v>
      </c>
      <c r="N237" s="9" t="n">
        <v>3.566486104568665</v>
      </c>
      <c r="O237" s="9" t="n">
        <v>0</v>
      </c>
      <c r="P237" s="9" t="n">
        <v>0</v>
      </c>
      <c r="Q237" s="9" t="n">
        <v>0</v>
      </c>
      <c r="R237" s="9" t="n">
        <v>0</v>
      </c>
      <c r="S237" s="9" t="n">
        <v>0</v>
      </c>
      <c r="T237" s="9" t="n">
        <v>0</v>
      </c>
      <c r="U237" s="9" t="n">
        <v>0</v>
      </c>
      <c r="V237" s="9" t="n">
        <v>9.836735574864472</v>
      </c>
      <c r="W237" s="9" t="n">
        <v>0</v>
      </c>
      <c r="X237" s="9" t="n">
        <v>0</v>
      </c>
      <c r="Y237" s="9" t="n">
        <v>0</v>
      </c>
      <c r="Z237" s="9" t="n">
        <v>0</v>
      </c>
      <c r="AA237" s="9" t="n">
        <v>0</v>
      </c>
      <c r="AB237" s="9" t="n">
        <v>0</v>
      </c>
      <c r="AC237" s="9" t="n">
        <v>0</v>
      </c>
      <c r="AD237" s="9" t="n">
        <v>13.49158765614811</v>
      </c>
      <c r="AE237" s="9" t="n">
        <v>0</v>
      </c>
      <c r="AF237" s="9" t="n">
        <v>0</v>
      </c>
      <c r="AG237" s="9" t="n">
        <v>0</v>
      </c>
      <c r="AH237" s="9" t="n">
        <v>0</v>
      </c>
      <c r="AI237" s="9" t="n">
        <v>0</v>
      </c>
      <c r="AJ237" s="9" t="n">
        <v>0</v>
      </c>
      <c r="AK237" s="9" t="n">
        <v>0</v>
      </c>
      <c r="AL237" s="9" t="n">
        <v>13.59486337215741</v>
      </c>
      <c r="AM237" s="9" t="n">
        <v>0</v>
      </c>
      <c r="AN237" s="9" t="n">
        <v>0</v>
      </c>
      <c r="AO237" s="9" t="n">
        <v>0</v>
      </c>
      <c r="AP237" s="9" t="n">
        <v>0</v>
      </c>
      <c r="AQ237" s="9" t="n">
        <v>0</v>
      </c>
      <c r="AR237" s="9" t="n">
        <v>0</v>
      </c>
      <c r="AS237" s="9" t="n">
        <v>0</v>
      </c>
      <c r="AT237" s="9" t="n">
        <v>14.3120880981701</v>
      </c>
      <c r="AU237" s="9" t="n">
        <v>0</v>
      </c>
      <c r="AV237" s="9" t="n">
        <v>0</v>
      </c>
      <c r="AW237" s="9" t="n">
        <v>0</v>
      </c>
      <c r="AX237" s="9" t="n">
        <v>0</v>
      </c>
      <c r="AY237" s="9" t="n">
        <v>0</v>
      </c>
    </row>
    <row r="238">
      <c r="A238" s="9" t="n">
        <v>244</v>
      </c>
      <c r="B238" s="9" t="inlineStr">
        <is>
          <t>КО222</t>
        </is>
      </c>
      <c r="C238" s="9" t="inlineStr"/>
      <c r="D238" s="9" t="inlineStr">
        <is>
          <t>КОНФЕТЫ ВЕСОВЫЕ</t>
        </is>
      </c>
      <c r="E238" s="9" t="inlineStr">
        <is>
          <t>Федеральный</t>
        </is>
      </c>
      <c r="F238" s="9" t="n">
        <v>677.6</v>
      </c>
      <c r="G238" s="9" t="n">
        <v>0</v>
      </c>
      <c r="H238" s="9" t="n">
        <v>0</v>
      </c>
      <c r="I238" s="9" t="n">
        <v>0</v>
      </c>
      <c r="J238" s="9" t="n">
        <v>0</v>
      </c>
      <c r="K238" s="9" t="n">
        <v>0</v>
      </c>
      <c r="L238" s="9" t="n">
        <v>0</v>
      </c>
      <c r="M238" s="9" t="n">
        <v>0</v>
      </c>
      <c r="N238" s="9" t="n">
        <v>3.3573261725305</v>
      </c>
      <c r="O238" s="9" t="n">
        <v>0</v>
      </c>
      <c r="P238" s="9" t="n">
        <v>0</v>
      </c>
      <c r="Q238" s="9" t="n">
        <v>0</v>
      </c>
      <c r="R238" s="9" t="n">
        <v>0</v>
      </c>
      <c r="S238" s="9" t="n">
        <v>0</v>
      </c>
      <c r="T238" s="9" t="n">
        <v>0</v>
      </c>
      <c r="U238" s="9" t="n">
        <v>0</v>
      </c>
      <c r="V238" s="9" t="n">
        <v>9.259850965197703</v>
      </c>
      <c r="W238" s="9" t="n">
        <v>0</v>
      </c>
      <c r="X238" s="9" t="n">
        <v>0</v>
      </c>
      <c r="Y238" s="9" t="n">
        <v>0</v>
      </c>
      <c r="Z238" s="9" t="n">
        <v>0</v>
      </c>
      <c r="AA238" s="9" t="n">
        <v>0</v>
      </c>
      <c r="AB238" s="9" t="n">
        <v>0</v>
      </c>
      <c r="AC238" s="9" t="n">
        <v>0</v>
      </c>
      <c r="AD238" s="9" t="n">
        <v>12.70036080862667</v>
      </c>
      <c r="AE238" s="9" t="n">
        <v>0</v>
      </c>
      <c r="AF238" s="9" t="n">
        <v>0</v>
      </c>
      <c r="AG238" s="9" t="n">
        <v>0</v>
      </c>
      <c r="AH238" s="9" t="n">
        <v>0</v>
      </c>
      <c r="AI238" s="9" t="n">
        <v>0</v>
      </c>
      <c r="AJ238" s="9" t="n">
        <v>0</v>
      </c>
      <c r="AK238" s="9" t="n">
        <v>0</v>
      </c>
      <c r="AL238" s="9" t="n">
        <v>12.79757982313529</v>
      </c>
      <c r="AM238" s="9" t="n">
        <v>0</v>
      </c>
      <c r="AN238" s="9" t="n">
        <v>0</v>
      </c>
      <c r="AO238" s="9" t="n">
        <v>0</v>
      </c>
      <c r="AP238" s="9" t="n">
        <v>0</v>
      </c>
      <c r="AQ238" s="9" t="n">
        <v>0</v>
      </c>
      <c r="AR238" s="9" t="n">
        <v>0</v>
      </c>
      <c r="AS238" s="9" t="n">
        <v>0</v>
      </c>
      <c r="AT238" s="9" t="n">
        <v>13.47274223050983</v>
      </c>
      <c r="AU238" s="9" t="n">
        <v>0</v>
      </c>
      <c r="AV238" s="9" t="n">
        <v>0</v>
      </c>
      <c r="AW238" s="9" t="n">
        <v>0</v>
      </c>
      <c r="AX238" s="9" t="n">
        <v>0</v>
      </c>
      <c r="AY238" s="9" t="n">
        <v>0</v>
      </c>
    </row>
    <row r="239">
      <c r="A239" s="9" t="n">
        <v>245</v>
      </c>
      <c r="B239" s="9" t="inlineStr">
        <is>
          <t>КО018</t>
        </is>
      </c>
      <c r="C239" s="9" t="inlineStr"/>
      <c r="D239" s="9" t="inlineStr">
        <is>
          <t>КОНФЕТЫ ВЕСОВЫЕ</t>
        </is>
      </c>
      <c r="E239" s="9" t="inlineStr">
        <is>
          <t>Федеральный</t>
        </is>
      </c>
      <c r="F239" s="9" t="n">
        <v>432.9</v>
      </c>
      <c r="G239" s="9" t="n">
        <v>0</v>
      </c>
      <c r="H239" s="9" t="n">
        <v>0</v>
      </c>
      <c r="I239" s="9" t="n">
        <v>0</v>
      </c>
      <c r="J239" s="9" t="n">
        <v>0</v>
      </c>
      <c r="K239" s="9" t="n">
        <v>0</v>
      </c>
      <c r="L239" s="9" t="n">
        <v>0</v>
      </c>
      <c r="M239" s="9" t="n">
        <v>0</v>
      </c>
      <c r="N239" s="9" t="n">
        <v>0</v>
      </c>
      <c r="O239" s="9" t="n">
        <v>0</v>
      </c>
      <c r="P239" s="9" t="n">
        <v>0</v>
      </c>
      <c r="Q239" s="9" t="n">
        <v>0</v>
      </c>
      <c r="R239" s="9" t="n">
        <v>0</v>
      </c>
      <c r="S239" s="9" t="n">
        <v>0</v>
      </c>
      <c r="T239" s="9" t="n">
        <v>0</v>
      </c>
      <c r="U239" s="9" t="n">
        <v>0</v>
      </c>
      <c r="V239" s="9" t="n">
        <v>0</v>
      </c>
      <c r="W239" s="9" t="n">
        <v>0</v>
      </c>
      <c r="X239" s="9" t="n">
        <v>0</v>
      </c>
      <c r="Y239" s="9" t="n">
        <v>0</v>
      </c>
      <c r="Z239" s="9" t="n">
        <v>0</v>
      </c>
      <c r="AA239" s="9" t="n">
        <v>0</v>
      </c>
      <c r="AB239" s="9" t="n">
        <v>0</v>
      </c>
      <c r="AC239" s="9" t="n">
        <v>0</v>
      </c>
      <c r="AD239" s="9" t="n">
        <v>0</v>
      </c>
      <c r="AE239" s="9" t="n">
        <v>0</v>
      </c>
      <c r="AF239" s="9" t="n">
        <v>0</v>
      </c>
      <c r="AG239" s="9" t="n">
        <v>0</v>
      </c>
      <c r="AH239" s="9" t="n">
        <v>0</v>
      </c>
      <c r="AI239" s="9" t="n">
        <v>0</v>
      </c>
      <c r="AJ239" s="9" t="n">
        <v>0</v>
      </c>
      <c r="AK239" s="9" t="n">
        <v>0</v>
      </c>
      <c r="AL239" s="9" t="n">
        <v>0</v>
      </c>
      <c r="AM239" s="9" t="n">
        <v>0</v>
      </c>
      <c r="AN239" s="9" t="n">
        <v>0</v>
      </c>
      <c r="AO239" s="9" t="n">
        <v>0</v>
      </c>
      <c r="AP239" s="9" t="n">
        <v>0</v>
      </c>
      <c r="AQ239" s="9" t="n">
        <v>0</v>
      </c>
      <c r="AR239" s="9" t="n">
        <v>0</v>
      </c>
      <c r="AS239" s="9" t="n">
        <v>0</v>
      </c>
      <c r="AT239" s="9" t="n">
        <v>0</v>
      </c>
      <c r="AU239" s="9" t="n">
        <v>0</v>
      </c>
      <c r="AV239" s="9" t="n">
        <v>0</v>
      </c>
      <c r="AW239" s="9" t="n">
        <v>0</v>
      </c>
      <c r="AX239" s="9" t="n">
        <v>0</v>
      </c>
      <c r="AY239" s="9" t="n">
        <v>0</v>
      </c>
    </row>
    <row r="240">
      <c r="A240" s="9" t="n">
        <v>246</v>
      </c>
      <c r="B240" s="9" t="inlineStr">
        <is>
          <t>КО222</t>
        </is>
      </c>
      <c r="C240" s="9" t="inlineStr"/>
      <c r="D240" s="9" t="inlineStr">
        <is>
          <t>КОНФЕТЫ ВЕСОВЫЕ</t>
        </is>
      </c>
      <c r="E240" s="9" t="inlineStr">
        <is>
          <t>Федеральный</t>
        </is>
      </c>
      <c r="F240" s="9" t="n">
        <v>376</v>
      </c>
      <c r="G240" s="9" t="n">
        <v>0</v>
      </c>
      <c r="H240" s="9" t="n">
        <v>0</v>
      </c>
      <c r="I240" s="9" t="n">
        <v>0</v>
      </c>
      <c r="J240" s="9" t="n">
        <v>0</v>
      </c>
      <c r="K240" s="9" t="n">
        <v>0</v>
      </c>
      <c r="L240" s="9" t="n">
        <v>0</v>
      </c>
      <c r="M240" s="9" t="n">
        <v>0</v>
      </c>
      <c r="N240" s="9" t="n">
        <v>0</v>
      </c>
      <c r="O240" s="9" t="n">
        <v>0</v>
      </c>
      <c r="P240" s="9" t="n">
        <v>0</v>
      </c>
      <c r="Q240" s="9" t="n">
        <v>0</v>
      </c>
      <c r="R240" s="9" t="n">
        <v>0</v>
      </c>
      <c r="S240" s="9" t="n">
        <v>0</v>
      </c>
      <c r="T240" s="9" t="n">
        <v>0</v>
      </c>
      <c r="U240" s="9" t="n">
        <v>0</v>
      </c>
      <c r="V240" s="9" t="n">
        <v>0</v>
      </c>
      <c r="W240" s="9" t="n">
        <v>0</v>
      </c>
      <c r="X240" s="9" t="n">
        <v>0</v>
      </c>
      <c r="Y240" s="9" t="n">
        <v>0</v>
      </c>
      <c r="Z240" s="9" t="n">
        <v>0</v>
      </c>
      <c r="AA240" s="9" t="n">
        <v>0</v>
      </c>
      <c r="AB240" s="9" t="n">
        <v>0</v>
      </c>
      <c r="AC240" s="9" t="n">
        <v>0</v>
      </c>
      <c r="AD240" s="9" t="n">
        <v>0</v>
      </c>
      <c r="AE240" s="9" t="n">
        <v>0</v>
      </c>
      <c r="AF240" s="9" t="n">
        <v>0</v>
      </c>
      <c r="AG240" s="9" t="n">
        <v>0</v>
      </c>
      <c r="AH240" s="9" t="n">
        <v>0</v>
      </c>
      <c r="AI240" s="9" t="n">
        <v>0</v>
      </c>
      <c r="AJ240" s="9" t="n">
        <v>0</v>
      </c>
      <c r="AK240" s="9" t="n">
        <v>0</v>
      </c>
      <c r="AL240" s="9" t="n">
        <v>0</v>
      </c>
      <c r="AM240" s="9" t="n">
        <v>0</v>
      </c>
      <c r="AN240" s="9" t="n">
        <v>0</v>
      </c>
      <c r="AO240" s="9" t="n">
        <v>0</v>
      </c>
      <c r="AP240" s="9" t="n">
        <v>0</v>
      </c>
      <c r="AQ240" s="9" t="n">
        <v>0</v>
      </c>
      <c r="AR240" s="9" t="n">
        <v>0</v>
      </c>
      <c r="AS240" s="9" t="n">
        <v>0</v>
      </c>
      <c r="AT240" s="9" t="n">
        <v>0</v>
      </c>
      <c r="AU240" s="9" t="n">
        <v>0</v>
      </c>
      <c r="AV240" s="9" t="n">
        <v>0</v>
      </c>
      <c r="AW240" s="9" t="n">
        <v>0</v>
      </c>
      <c r="AX240" s="9" t="n">
        <v>0</v>
      </c>
      <c r="AY240" s="9" t="n">
        <v>0</v>
      </c>
    </row>
    <row r="241">
      <c r="A241" s="9" t="n">
        <v>247</v>
      </c>
      <c r="B241" s="9" t="inlineStr">
        <is>
          <t>ЮК043</t>
        </is>
      </c>
      <c r="C241" s="9" t="inlineStr"/>
      <c r="D241" s="9" t="inlineStr">
        <is>
          <t>КОНФЕТЫ ВЕСОВЫЕ</t>
        </is>
      </c>
      <c r="E241" s="9" t="inlineStr">
        <is>
          <t>Локальный</t>
        </is>
      </c>
      <c r="F241" s="9" t="n">
        <v>1596</v>
      </c>
      <c r="G241" s="9" t="n">
        <v>0</v>
      </c>
      <c r="H241" s="9" t="n">
        <v>383</v>
      </c>
      <c r="I241" s="9" t="n">
        <v>0</v>
      </c>
      <c r="J241" s="9" t="n">
        <v>0</v>
      </c>
      <c r="K241" s="9" t="n">
        <v>0</v>
      </c>
      <c r="L241" s="9" t="n">
        <v>0</v>
      </c>
      <c r="M241" s="9" t="n">
        <v>0</v>
      </c>
      <c r="N241" s="9" t="n">
        <v>0</v>
      </c>
      <c r="O241" s="9" t="n">
        <v>0</v>
      </c>
      <c r="P241" s="9" t="n">
        <v>0</v>
      </c>
      <c r="Q241" s="9" t="n">
        <v>0</v>
      </c>
      <c r="R241" s="9" t="n">
        <v>0</v>
      </c>
      <c r="S241" s="9" t="n">
        <v>0</v>
      </c>
      <c r="T241" s="9" t="n">
        <v>0</v>
      </c>
      <c r="U241" s="9" t="n">
        <v>0</v>
      </c>
      <c r="V241" s="9" t="n">
        <v>0</v>
      </c>
      <c r="W241" s="9" t="n">
        <v>0</v>
      </c>
      <c r="X241" s="9" t="n">
        <v>0</v>
      </c>
      <c r="Y241" s="9" t="n">
        <v>0</v>
      </c>
      <c r="Z241" s="9" t="n">
        <v>0</v>
      </c>
      <c r="AA241" s="9" t="n">
        <v>0</v>
      </c>
      <c r="AB241" s="9" t="n">
        <v>0</v>
      </c>
      <c r="AC241" s="9" t="n">
        <v>0</v>
      </c>
      <c r="AD241" s="9" t="n">
        <v>0</v>
      </c>
      <c r="AE241" s="9" t="n">
        <v>0</v>
      </c>
      <c r="AF241" s="9" t="n">
        <v>0</v>
      </c>
      <c r="AG241" s="9" t="n">
        <v>0</v>
      </c>
      <c r="AH241" s="9" t="n">
        <v>0</v>
      </c>
      <c r="AI241" s="9" t="n">
        <v>0</v>
      </c>
      <c r="AJ241" s="9" t="n">
        <v>0</v>
      </c>
      <c r="AK241" s="9" t="n">
        <v>0</v>
      </c>
      <c r="AL241" s="9" t="n">
        <v>0</v>
      </c>
      <c r="AM241" s="9" t="n">
        <v>0</v>
      </c>
      <c r="AN241" s="9" t="n">
        <v>0</v>
      </c>
      <c r="AO241" s="9" t="n">
        <v>0</v>
      </c>
      <c r="AP241" s="9" t="n">
        <v>0</v>
      </c>
      <c r="AQ241" s="9" t="n">
        <v>0</v>
      </c>
      <c r="AR241" s="9" t="n">
        <v>0</v>
      </c>
      <c r="AS241" s="9" t="n">
        <v>0</v>
      </c>
      <c r="AT241" s="9" t="n">
        <v>0</v>
      </c>
      <c r="AU241" s="9" t="n">
        <v>0</v>
      </c>
      <c r="AV241" s="9" t="n">
        <v>0</v>
      </c>
      <c r="AW241" s="9" t="n">
        <v>0</v>
      </c>
      <c r="AX241" s="9" t="n">
        <v>0</v>
      </c>
      <c r="AY241" s="9" t="n">
        <v>0</v>
      </c>
    </row>
    <row r="242">
      <c r="A242" s="9" t="n">
        <v>248</v>
      </c>
      <c r="B242" s="9" t="inlineStr">
        <is>
          <t>ЮК144</t>
        </is>
      </c>
      <c r="C242" s="9" t="inlineStr"/>
      <c r="D242" s="9" t="inlineStr">
        <is>
          <t>КОНФЕТЫ ВЕСОВЫЕ</t>
        </is>
      </c>
      <c r="E242" s="9" t="inlineStr">
        <is>
          <t>Локальный</t>
        </is>
      </c>
      <c r="F242" s="9" t="n">
        <v>12</v>
      </c>
      <c r="G242" s="9" t="n">
        <v>0</v>
      </c>
      <c r="H242" s="9" t="n">
        <v>0</v>
      </c>
      <c r="I242" s="9" t="n">
        <v>0</v>
      </c>
      <c r="J242" s="9" t="n">
        <v>0</v>
      </c>
      <c r="K242" s="9" t="n">
        <v>0</v>
      </c>
      <c r="L242" s="9" t="n">
        <v>0</v>
      </c>
      <c r="M242" s="9" t="n">
        <v>0</v>
      </c>
      <c r="N242" s="9" t="n">
        <v>0</v>
      </c>
      <c r="O242" s="9" t="n">
        <v>0</v>
      </c>
      <c r="P242" s="9" t="n">
        <v>0</v>
      </c>
      <c r="Q242" s="9" t="n">
        <v>0</v>
      </c>
      <c r="R242" s="9" t="n">
        <v>0</v>
      </c>
      <c r="S242" s="9" t="n">
        <v>0</v>
      </c>
      <c r="T242" s="9" t="n">
        <v>0</v>
      </c>
      <c r="U242" s="9" t="n">
        <v>0</v>
      </c>
      <c r="V242" s="9" t="n">
        <v>0</v>
      </c>
      <c r="W242" s="9" t="n">
        <v>0</v>
      </c>
      <c r="X242" s="9" t="n">
        <v>0</v>
      </c>
      <c r="Y242" s="9" t="n">
        <v>0</v>
      </c>
      <c r="Z242" s="9" t="n">
        <v>0</v>
      </c>
      <c r="AA242" s="9" t="n">
        <v>0</v>
      </c>
      <c r="AB242" s="9" t="n">
        <v>0</v>
      </c>
      <c r="AC242" s="9" t="n">
        <v>0</v>
      </c>
      <c r="AD242" s="9" t="n">
        <v>0</v>
      </c>
      <c r="AE242" s="9" t="n">
        <v>0</v>
      </c>
      <c r="AF242" s="9" t="n">
        <v>0</v>
      </c>
      <c r="AG242" s="9" t="n">
        <v>0</v>
      </c>
      <c r="AH242" s="9" t="n">
        <v>0</v>
      </c>
      <c r="AI242" s="9" t="n">
        <v>0</v>
      </c>
      <c r="AJ242" s="9" t="n">
        <v>0</v>
      </c>
      <c r="AK242" s="9" t="n">
        <v>0</v>
      </c>
      <c r="AL242" s="9" t="n">
        <v>0</v>
      </c>
      <c r="AM242" s="9" t="n">
        <v>0</v>
      </c>
      <c r="AN242" s="9" t="n">
        <v>0</v>
      </c>
      <c r="AO242" s="9" t="n">
        <v>0</v>
      </c>
      <c r="AP242" s="9" t="n">
        <v>0</v>
      </c>
      <c r="AQ242" s="9" t="n">
        <v>0</v>
      </c>
      <c r="AR242" s="9" t="n">
        <v>0</v>
      </c>
      <c r="AS242" s="9" t="n">
        <v>0</v>
      </c>
      <c r="AT242" s="9" t="n">
        <v>0</v>
      </c>
      <c r="AU242" s="9" t="n">
        <v>0</v>
      </c>
      <c r="AV242" s="9" t="n">
        <v>0</v>
      </c>
      <c r="AW242" s="9" t="n">
        <v>0</v>
      </c>
      <c r="AX242" s="9" t="n">
        <v>0</v>
      </c>
      <c r="AY242" s="9" t="n">
        <v>0</v>
      </c>
    </row>
    <row r="243">
      <c r="A243" s="9" t="n">
        <v>249</v>
      </c>
      <c r="B243" s="9" t="inlineStr">
        <is>
          <t>КО176</t>
        </is>
      </c>
      <c r="C243" s="9" t="inlineStr"/>
      <c r="D243" s="9" t="inlineStr">
        <is>
          <t>КОНФЕТЫ ВЕСОВЫЕ</t>
        </is>
      </c>
      <c r="E243" s="9" t="inlineStr">
        <is>
          <t>Федеральный</t>
        </is>
      </c>
      <c r="F243" s="9" t="n">
        <v>107143.198</v>
      </c>
      <c r="G243" s="9" t="n">
        <v>31448</v>
      </c>
      <c r="H243" s="9" t="n">
        <v>56454</v>
      </c>
      <c r="I243" s="9" t="n">
        <v>69141.25999999999</v>
      </c>
      <c r="J243" s="9" t="n">
        <v>57718.60000000001</v>
      </c>
      <c r="K243" s="9" t="n">
        <v>18540</v>
      </c>
      <c r="L243" s="9" t="n">
        <v>24491</v>
      </c>
      <c r="M243" s="9" t="n">
        <v>54.73743664918672</v>
      </c>
      <c r="N243" s="9" t="n">
        <v>4674.807723062157</v>
      </c>
      <c r="O243" s="9" t="n">
        <v>819</v>
      </c>
      <c r="P243" s="9" t="n">
        <v>0</v>
      </c>
      <c r="Q243" s="9" t="n">
        <v>436.4420221463412</v>
      </c>
      <c r="R243" s="9" t="n">
        <v>0</v>
      </c>
      <c r="S243" s="9" t="n">
        <v>0.447993731761657</v>
      </c>
      <c r="T243" s="9" t="n">
        <v>13547</v>
      </c>
      <c r="U243" s="9" t="n">
        <v>138.7015710609367</v>
      </c>
      <c r="V243" s="9" t="n">
        <v>12741.0090677135</v>
      </c>
      <c r="W243" s="9" t="n">
        <v>832.5</v>
      </c>
      <c r="X243" s="9" t="n">
        <v>0</v>
      </c>
      <c r="Y243" s="9" t="n">
        <v>964.3998149900469</v>
      </c>
      <c r="Z243" s="9" t="n">
        <v>0</v>
      </c>
      <c r="AA243" s="9" t="n">
        <v>0.8959874635233146</v>
      </c>
      <c r="AB243" s="9" t="n">
        <v>10823</v>
      </c>
      <c r="AC243" s="9" t="n">
        <v>124.7864079851419</v>
      </c>
      <c r="AD243" s="9" t="n">
        <v>15217.42758099178</v>
      </c>
      <c r="AE243" s="9" t="n">
        <v>855.3</v>
      </c>
      <c r="AF243" s="9" t="n">
        <v>0</v>
      </c>
      <c r="AG243" s="9" t="n">
        <v>1436.234941017479</v>
      </c>
      <c r="AH243" s="9" t="n">
        <v>0</v>
      </c>
      <c r="AI243" s="9" t="n">
        <v>1.433579941637305</v>
      </c>
      <c r="AJ243" s="9" t="n">
        <v>10271</v>
      </c>
      <c r="AK243" s="9" t="n">
        <v>133.2532494591278</v>
      </c>
      <c r="AL243" s="9" t="n">
        <v>14635.60359769677</v>
      </c>
      <c r="AM243" s="9" t="n">
        <v>829.65</v>
      </c>
      <c r="AN243" s="9" t="n">
        <v>0</v>
      </c>
      <c r="AO243" s="9" t="n">
        <v>1293.415570807732</v>
      </c>
      <c r="AP243" s="9" t="n">
        <v>0</v>
      </c>
      <c r="AQ243" s="9" t="n">
        <v>1.989862733949389</v>
      </c>
      <c r="AR243" s="9" t="n">
        <v>5886</v>
      </c>
      <c r="AS243" s="9" t="n">
        <v>124.2966466196582</v>
      </c>
      <c r="AT243" s="9" t="n">
        <v>12312.35204252647</v>
      </c>
      <c r="AU243" s="9" t="n">
        <v>812.55</v>
      </c>
      <c r="AV243" s="9" t="n">
        <v>0</v>
      </c>
      <c r="AW243" s="9" t="n">
        <v>218.221011073171</v>
      </c>
      <c r="AX243" s="9" t="n">
        <v>0</v>
      </c>
      <c r="AY243" s="9" t="n">
        <v>0.8959874635233156</v>
      </c>
    </row>
    <row r="244">
      <c r="A244" s="9" t="n">
        <v>250</v>
      </c>
      <c r="B244" s="9" t="inlineStr">
        <is>
          <t>КО041</t>
        </is>
      </c>
      <c r="C244" s="9" t="inlineStr"/>
      <c r="D244" s="9" t="inlineStr">
        <is>
          <t>КОНФЕТЫ ВЕСОВЫЕ</t>
        </is>
      </c>
      <c r="E244" s="9" t="inlineStr">
        <is>
          <t>Федеральный</t>
        </is>
      </c>
      <c r="F244" s="9" t="n">
        <v>36860.74999999999</v>
      </c>
      <c r="G244" s="9" t="n">
        <v>0</v>
      </c>
      <c r="H244" s="9" t="n">
        <v>15470</v>
      </c>
      <c r="I244" s="9" t="n">
        <v>25051.75</v>
      </c>
      <c r="J244" s="9" t="n">
        <v>14656.38</v>
      </c>
      <c r="K244" s="9" t="n">
        <v>0</v>
      </c>
      <c r="L244" s="9" t="n">
        <v>8666</v>
      </c>
      <c r="M244" s="9" t="n">
        <v>187.4736568257942</v>
      </c>
      <c r="N244" s="9" t="n">
        <v>991.4322952818102</v>
      </c>
      <c r="O244" s="9" t="n">
        <v>5</v>
      </c>
      <c r="P244" s="9" t="n">
        <v>0</v>
      </c>
      <c r="Q244" s="9" t="n">
        <v>60.74901018986817</v>
      </c>
      <c r="R244" s="9" t="n">
        <v>206.9743927691001</v>
      </c>
      <c r="S244" s="9" t="n">
        <v>0</v>
      </c>
      <c r="T244" s="9" t="n">
        <v>18997</v>
      </c>
      <c r="U244" s="9" t="n">
        <v>441.5997735718437</v>
      </c>
      <c r="V244" s="9" t="n">
        <v>2619.90407028745</v>
      </c>
      <c r="W244" s="9" t="n">
        <v>9.5</v>
      </c>
      <c r="X244" s="9" t="n">
        <v>0</v>
      </c>
      <c r="Y244" s="9" t="n">
        <v>134.236235777253</v>
      </c>
      <c r="Z244" s="9" t="n">
        <v>758.7918538098253</v>
      </c>
      <c r="AA244" s="9" t="n">
        <v>0</v>
      </c>
      <c r="AB244" s="9" t="n">
        <v>7928</v>
      </c>
      <c r="AC244" s="9" t="n">
        <v>579.6882997270778</v>
      </c>
      <c r="AD244" s="9" t="n">
        <v>3328.36754172527</v>
      </c>
      <c r="AE244" s="9" t="n">
        <v>17.1</v>
      </c>
      <c r="AF244" s="9" t="n">
        <v>0</v>
      </c>
      <c r="AG244" s="9" t="n">
        <v>199.9116644126908</v>
      </c>
      <c r="AH244" s="9" t="n">
        <v>549.2866034153557</v>
      </c>
      <c r="AI244" s="9" t="n">
        <v>0</v>
      </c>
      <c r="AJ244" s="9" t="n">
        <v>6739</v>
      </c>
      <c r="AK244" s="9" t="n">
        <v>579.5656218842284</v>
      </c>
      <c r="AL244" s="9" t="n">
        <v>3278.224902738726</v>
      </c>
      <c r="AM244" s="9" t="n">
        <v>8.550000000000001</v>
      </c>
      <c r="AN244" s="9" t="n">
        <v>0</v>
      </c>
      <c r="AO244" s="9" t="n">
        <v>180.0324251645661</v>
      </c>
      <c r="AP244" s="9" t="n">
        <v>329.8675647065163</v>
      </c>
      <c r="AQ244" s="9" t="n">
        <v>0</v>
      </c>
      <c r="AR244" s="9" t="n">
        <v>5527.5</v>
      </c>
      <c r="AS244" s="9" t="n">
        <v>637.8508388446987</v>
      </c>
      <c r="AT244" s="9" t="n">
        <v>2875.275509037416</v>
      </c>
      <c r="AU244" s="9" t="n">
        <v>2.85</v>
      </c>
      <c r="AV244" s="9" t="n">
        <v>0</v>
      </c>
      <c r="AW244" s="9" t="n">
        <v>30.37450509493414</v>
      </c>
      <c r="AX244" s="9" t="n">
        <v>36.28696544841161</v>
      </c>
      <c r="AY244" s="9" t="n">
        <v>0</v>
      </c>
    </row>
    <row r="245">
      <c r="A245" s="9" t="n">
        <v>251</v>
      </c>
      <c r="B245" s="9" t="inlineStr">
        <is>
          <t>КО226</t>
        </is>
      </c>
      <c r="C245" s="9" t="inlineStr"/>
      <c r="D245" s="9" t="inlineStr">
        <is>
          <t>КОНФЕТЫ ВЕСОВЫЕ</t>
        </is>
      </c>
      <c r="E245" s="9" t="inlineStr">
        <is>
          <t>Федеральный</t>
        </is>
      </c>
      <c r="F245" s="9" t="n">
        <v>6017.199999999999</v>
      </c>
      <c r="G245" s="9" t="n">
        <v>0</v>
      </c>
      <c r="H245" s="9" t="n">
        <v>6437</v>
      </c>
      <c r="I245" s="9" t="n">
        <v>8874.549999999999</v>
      </c>
      <c r="J245" s="9" t="n">
        <v>12550.91</v>
      </c>
      <c r="K245" s="9" t="n">
        <v>0</v>
      </c>
      <c r="L245" s="9" t="n">
        <v>1906.6</v>
      </c>
      <c r="M245" s="9" t="n">
        <v>0</v>
      </c>
      <c r="N245" s="9" t="n">
        <v>516.0422509782366</v>
      </c>
      <c r="O245" s="9" t="n">
        <v>0</v>
      </c>
      <c r="P245" s="9" t="n">
        <v>0</v>
      </c>
      <c r="Q245" s="9" t="n">
        <v>0</v>
      </c>
      <c r="R245" s="9" t="n">
        <v>75.69231068497585</v>
      </c>
      <c r="S245" s="9" t="n">
        <v>0</v>
      </c>
      <c r="T245" s="9" t="n">
        <v>5000</v>
      </c>
      <c r="U245" s="9" t="n">
        <v>0</v>
      </c>
      <c r="V245" s="9" t="n">
        <v>1415.346294728011</v>
      </c>
      <c r="W245" s="9" t="n">
        <v>0</v>
      </c>
      <c r="X245" s="9" t="n">
        <v>0</v>
      </c>
      <c r="Y245" s="9" t="n">
        <v>0</v>
      </c>
      <c r="Z245" s="9" t="n">
        <v>202.2463080328179</v>
      </c>
      <c r="AA245" s="9" t="n">
        <v>0</v>
      </c>
      <c r="AB245" s="9" t="n">
        <v>5700</v>
      </c>
      <c r="AC245" s="9" t="n">
        <v>0</v>
      </c>
      <c r="AD245" s="9" t="n">
        <v>1949.095947423301</v>
      </c>
      <c r="AE245" s="9" t="n">
        <v>0</v>
      </c>
      <c r="AF245" s="9" t="n">
        <v>0</v>
      </c>
      <c r="AG245" s="9" t="n">
        <v>0</v>
      </c>
      <c r="AH245" s="9" t="n">
        <v>204.4427510047737</v>
      </c>
      <c r="AI245" s="9" t="n">
        <v>0</v>
      </c>
      <c r="AJ245" s="9" t="n">
        <v>0</v>
      </c>
      <c r="AK245" s="9" t="n">
        <v>0</v>
      </c>
      <c r="AL245" s="9" t="n">
        <v>1963.999959708337</v>
      </c>
      <c r="AM245" s="9" t="n">
        <v>0</v>
      </c>
      <c r="AN245" s="9" t="n">
        <v>0</v>
      </c>
      <c r="AO245" s="9" t="n">
        <v>0</v>
      </c>
      <c r="AP245" s="9" t="n">
        <v>110.2654905891288</v>
      </c>
      <c r="AQ245" s="9" t="n">
        <v>0</v>
      </c>
      <c r="AR245" s="9" t="n">
        <v>0</v>
      </c>
      <c r="AS245" s="9" t="n">
        <v>0</v>
      </c>
      <c r="AT245" s="9" t="n">
        <v>2064.724380534396</v>
      </c>
      <c r="AU245" s="9" t="n">
        <v>0</v>
      </c>
      <c r="AV245" s="9" t="n">
        <v>0</v>
      </c>
      <c r="AW245" s="9" t="n">
        <v>0</v>
      </c>
      <c r="AX245" s="9" t="n">
        <v>7.406275370668081</v>
      </c>
      <c r="AY245" s="9" t="n">
        <v>0</v>
      </c>
    </row>
    <row r="246">
      <c r="A246" s="9" t="n">
        <v>252</v>
      </c>
      <c r="B246" s="9" t="inlineStr">
        <is>
          <t>КО142</t>
        </is>
      </c>
      <c r="C246" s="9" t="inlineStr"/>
      <c r="D246" s="9" t="inlineStr">
        <is>
          <t>КОНФЕТЫ ВЕСОВЫЕ</t>
        </is>
      </c>
      <c r="E246" s="9" t="inlineStr">
        <is>
          <t>Федеральный</t>
        </is>
      </c>
      <c r="F246" s="9" t="n">
        <v>13619</v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</v>
      </c>
      <c r="M246" s="9" t="n">
        <v>0</v>
      </c>
      <c r="N246" s="9" t="n">
        <v>1002.073880897519</v>
      </c>
      <c r="O246" s="9" t="n">
        <v>0</v>
      </c>
      <c r="P246" s="9" t="n">
        <v>0</v>
      </c>
      <c r="Q246" s="9" t="n">
        <v>56.75924281929412</v>
      </c>
      <c r="R246" s="9" t="n">
        <v>35.89112918499188</v>
      </c>
      <c r="S246" s="9" t="n">
        <v>0</v>
      </c>
      <c r="T246" s="9" t="n">
        <v>0</v>
      </c>
      <c r="U246" s="9" t="n">
        <v>0</v>
      </c>
      <c r="V246" s="9" t="n">
        <v>2843.854150977303</v>
      </c>
      <c r="W246" s="9" t="n">
        <v>0</v>
      </c>
      <c r="X246" s="9" t="n">
        <v>0</v>
      </c>
      <c r="Y246" s="9" t="n">
        <v>125.4201027772442</v>
      </c>
      <c r="Z246" s="9" t="n">
        <v>93.19411445277372</v>
      </c>
      <c r="AA246" s="9" t="n">
        <v>0</v>
      </c>
      <c r="AB246" s="9" t="n">
        <v>0</v>
      </c>
      <c r="AC246" s="9" t="n">
        <v>0</v>
      </c>
      <c r="AD246" s="9" t="n">
        <v>3920.980030989446</v>
      </c>
      <c r="AE246" s="9" t="n">
        <v>0</v>
      </c>
      <c r="AF246" s="9" t="n">
        <v>0</v>
      </c>
      <c r="AG246" s="9" t="n">
        <v>186.7822153372567</v>
      </c>
      <c r="AH246" s="9" t="n">
        <v>94.20622468464114</v>
      </c>
      <c r="AI246" s="9" t="n">
        <v>0</v>
      </c>
      <c r="AJ246" s="9" t="n">
        <v>0</v>
      </c>
      <c r="AK246" s="9" t="n">
        <v>0</v>
      </c>
      <c r="AL246" s="9" t="n">
        <v>4392.682368350896</v>
      </c>
      <c r="AM246" s="9" t="n">
        <v>0</v>
      </c>
      <c r="AN246" s="9" t="n">
        <v>0</v>
      </c>
      <c r="AO246" s="9" t="n">
        <v>168.2085700380064</v>
      </c>
      <c r="AP246" s="9" t="n">
        <v>45.2399458869927</v>
      </c>
      <c r="AQ246" s="9" t="n">
        <v>0</v>
      </c>
      <c r="AR246" s="9" t="n">
        <v>0</v>
      </c>
      <c r="AS246" s="9" t="n">
        <v>0</v>
      </c>
      <c r="AT246" s="9" t="n">
        <v>3124.108672103208</v>
      </c>
      <c r="AU246" s="9" t="n">
        <v>0</v>
      </c>
      <c r="AV246" s="9" t="n">
        <v>0</v>
      </c>
      <c r="AW246" s="9" t="n">
        <v>28.37962140964711</v>
      </c>
      <c r="AX246" s="9" t="n">
        <v>0</v>
      </c>
      <c r="AY246" s="9" t="n">
        <v>0</v>
      </c>
    </row>
    <row r="247">
      <c r="A247" s="9" t="n">
        <v>253</v>
      </c>
      <c r="B247" s="9" t="inlineStr">
        <is>
          <t>КО018</t>
        </is>
      </c>
      <c r="C247" s="9" t="inlineStr"/>
      <c r="D247" s="9" t="inlineStr">
        <is>
          <t>КОНФЕТЫ ВЕСОВЫЕ</t>
        </is>
      </c>
      <c r="E247" s="9" t="inlineStr">
        <is>
          <t>Федеральный</t>
        </is>
      </c>
      <c r="F247" s="9" t="n">
        <v>2282</v>
      </c>
      <c r="G247" s="9" t="n">
        <v>0</v>
      </c>
      <c r="H247" s="9" t="n">
        <v>0</v>
      </c>
      <c r="I247" s="9" t="n">
        <v>0</v>
      </c>
      <c r="J247" s="9" t="n">
        <v>0</v>
      </c>
      <c r="K247" s="9" t="n">
        <v>0</v>
      </c>
      <c r="L247" s="9" t="n">
        <v>0</v>
      </c>
      <c r="M247" s="9" t="n">
        <v>0</v>
      </c>
      <c r="N247" s="9" t="n">
        <v>0</v>
      </c>
      <c r="O247" s="9" t="n">
        <v>0</v>
      </c>
      <c r="P247" s="9" t="n">
        <v>0</v>
      </c>
      <c r="Q247" s="9" t="n">
        <v>0</v>
      </c>
      <c r="R247" s="9" t="n">
        <v>0</v>
      </c>
      <c r="S247" s="9" t="n">
        <v>0</v>
      </c>
      <c r="T247" s="9" t="n">
        <v>0</v>
      </c>
      <c r="U247" s="9" t="n">
        <v>0</v>
      </c>
      <c r="V247" s="9" t="n">
        <v>0</v>
      </c>
      <c r="W247" s="9" t="n">
        <v>0</v>
      </c>
      <c r="X247" s="9" t="n">
        <v>0</v>
      </c>
      <c r="Y247" s="9" t="n">
        <v>0</v>
      </c>
      <c r="Z247" s="9" t="n">
        <v>0</v>
      </c>
      <c r="AA247" s="9" t="n">
        <v>0</v>
      </c>
      <c r="AB247" s="9" t="n">
        <v>0</v>
      </c>
      <c r="AC247" s="9" t="n">
        <v>0</v>
      </c>
      <c r="AD247" s="9" t="n">
        <v>0</v>
      </c>
      <c r="AE247" s="9" t="n">
        <v>0</v>
      </c>
      <c r="AF247" s="9" t="n">
        <v>0</v>
      </c>
      <c r="AG247" s="9" t="n">
        <v>0</v>
      </c>
      <c r="AH247" s="9" t="n">
        <v>0</v>
      </c>
      <c r="AI247" s="9" t="n">
        <v>0</v>
      </c>
      <c r="AJ247" s="9" t="n">
        <v>0</v>
      </c>
      <c r="AK247" s="9" t="n">
        <v>0</v>
      </c>
      <c r="AL247" s="9" t="n">
        <v>0</v>
      </c>
      <c r="AM247" s="9" t="n">
        <v>0</v>
      </c>
      <c r="AN247" s="9" t="n">
        <v>0</v>
      </c>
      <c r="AO247" s="9" t="n">
        <v>0</v>
      </c>
      <c r="AP247" s="9" t="n">
        <v>0</v>
      </c>
      <c r="AQ247" s="9" t="n">
        <v>0</v>
      </c>
      <c r="AR247" s="9" t="n">
        <v>0</v>
      </c>
      <c r="AS247" s="9" t="n">
        <v>0</v>
      </c>
      <c r="AT247" s="9" t="n">
        <v>0</v>
      </c>
      <c r="AU247" s="9" t="n">
        <v>0</v>
      </c>
      <c r="AV247" s="9" t="n">
        <v>0</v>
      </c>
      <c r="AW247" s="9" t="n">
        <v>0</v>
      </c>
      <c r="AX247" s="9" t="n">
        <v>0</v>
      </c>
      <c r="AY247" s="9" t="n">
        <v>0</v>
      </c>
    </row>
    <row r="248">
      <c r="A248" s="9" t="n">
        <v>254</v>
      </c>
      <c r="B248" s="9" t="inlineStr">
        <is>
          <t>ББ051</t>
        </is>
      </c>
      <c r="C248" s="9" t="inlineStr"/>
      <c r="D248" s="9" t="inlineStr">
        <is>
          <t>КОНФЕТЫ В КОРОБКАХ</t>
        </is>
      </c>
      <c r="E248" s="9" t="inlineStr">
        <is>
          <t>Федеральный</t>
        </is>
      </c>
      <c r="F248" s="9" t="n">
        <v>64303.10000000001</v>
      </c>
      <c r="G248" s="9" t="n">
        <v>7544</v>
      </c>
      <c r="H248" s="9" t="n">
        <v>12336.13</v>
      </c>
      <c r="I248" s="9" t="n">
        <v>26429.47</v>
      </c>
      <c r="J248" s="9" t="n">
        <v>34027.94</v>
      </c>
      <c r="K248" s="9" t="n">
        <v>16028.21</v>
      </c>
      <c r="L248" s="9" t="n">
        <v>3716</v>
      </c>
      <c r="M248" s="9" t="n">
        <v>10.56035685886122</v>
      </c>
      <c r="N248" s="9" t="n">
        <v>10161.80678272046</v>
      </c>
      <c r="O248" s="9" t="n">
        <v>378.6</v>
      </c>
      <c r="P248" s="9" t="n">
        <v>0</v>
      </c>
      <c r="Q248" s="9" t="n">
        <v>53.0082305127962</v>
      </c>
      <c r="R248" s="9" t="n">
        <v>29.30474638466223</v>
      </c>
      <c r="S248" s="9" t="n">
        <v>0.261281060611601</v>
      </c>
      <c r="T248" s="9" t="n">
        <v>13412</v>
      </c>
      <c r="U248" s="9" t="n">
        <v>26.75934747685984</v>
      </c>
      <c r="V248" s="9" t="n">
        <v>9931.808215125833</v>
      </c>
      <c r="W248" s="9" t="n">
        <v>419.1</v>
      </c>
      <c r="X248" s="9" t="n">
        <v>0</v>
      </c>
      <c r="Y248" s="9" t="n">
        <v>117.1315434936493</v>
      </c>
      <c r="Z248" s="9" t="n">
        <v>105.2942362891068</v>
      </c>
      <c r="AA248" s="9" t="n">
        <v>0.5225621212232023</v>
      </c>
      <c r="AB248" s="9" t="n">
        <v>17812</v>
      </c>
      <c r="AC248" s="9" t="n">
        <v>55.24472073592749</v>
      </c>
      <c r="AD248" s="9" t="n">
        <v>13384.98868880823</v>
      </c>
      <c r="AE248" s="9" t="n">
        <v>487.5</v>
      </c>
      <c r="AF248" s="9" t="n">
        <v>0</v>
      </c>
      <c r="AG248" s="9" t="n">
        <v>174.438456795664</v>
      </c>
      <c r="AH248" s="9" t="n">
        <v>67.83462098029871</v>
      </c>
      <c r="AI248" s="9" t="n">
        <v>0.8360993939571247</v>
      </c>
      <c r="AJ248" s="9" t="n">
        <v>4800</v>
      </c>
      <c r="AK248" s="9" t="n">
        <v>67.16187398403534</v>
      </c>
      <c r="AL248" s="9" t="n">
        <v>13221.03688129632</v>
      </c>
      <c r="AM248" s="9" t="n">
        <v>410.55</v>
      </c>
      <c r="AN248" s="9" t="n">
        <v>0</v>
      </c>
      <c r="AO248" s="9" t="n">
        <v>157.0922762868766</v>
      </c>
      <c r="AP248" s="9" t="n">
        <v>32.77923662474312</v>
      </c>
      <c r="AQ248" s="9" t="n">
        <v>1.16053732170164</v>
      </c>
      <c r="AR248" s="9" t="n">
        <v>2638</v>
      </c>
      <c r="AS248" s="9" t="n">
        <v>38.66735443956416</v>
      </c>
      <c r="AT248" s="9" t="n">
        <v>12179.74717594611</v>
      </c>
      <c r="AU248" s="9" t="n">
        <v>359.25</v>
      </c>
      <c r="AV248" s="9" t="n">
        <v>0</v>
      </c>
      <c r="AW248" s="9" t="n">
        <v>26.50411525639815</v>
      </c>
      <c r="AX248" s="9" t="n">
        <v>10.09709679579147</v>
      </c>
      <c r="AY248" s="9" t="n">
        <v>0.5225621212232029</v>
      </c>
    </row>
    <row r="249">
      <c r="A249" s="9" t="n">
        <v>255</v>
      </c>
      <c r="B249" s="9" t="inlineStr">
        <is>
          <t>ПЗ092</t>
        </is>
      </c>
      <c r="C249" s="9" t="inlineStr"/>
      <c r="D249" s="9" t="inlineStr">
        <is>
          <t>КОНФЕТЫ В КОРОБКАХ</t>
        </is>
      </c>
      <c r="E249" s="9" t="inlineStr">
        <is>
          <t>Локальный</t>
        </is>
      </c>
      <c r="F249" s="9" t="n">
        <v>509.36</v>
      </c>
      <c r="G249" s="9" t="n">
        <v>70</v>
      </c>
      <c r="H249" s="9" t="n">
        <v>236.225</v>
      </c>
      <c r="I249" s="9" t="n">
        <v>185.61</v>
      </c>
      <c r="J249" s="9" t="n">
        <v>192</v>
      </c>
      <c r="K249" s="9" t="n">
        <v>0</v>
      </c>
      <c r="L249" s="9" t="n">
        <v>0</v>
      </c>
      <c r="M249" s="9" t="n">
        <v>0</v>
      </c>
      <c r="N249" s="9" t="n">
        <v>0.1842217195591237</v>
      </c>
      <c r="O249" s="9" t="n">
        <v>82.94399999999999</v>
      </c>
      <c r="P249" s="9" t="n">
        <v>0</v>
      </c>
      <c r="Q249" s="9" t="n">
        <v>0</v>
      </c>
      <c r="R249" s="9" t="n">
        <v>0</v>
      </c>
      <c r="S249" s="9" t="n">
        <v>34.79822411374286</v>
      </c>
      <c r="T249" s="9" t="n">
        <v>0</v>
      </c>
      <c r="U249" s="9" t="n">
        <v>0</v>
      </c>
      <c r="V249" s="9" t="n">
        <v>0.5081024541574936</v>
      </c>
      <c r="W249" s="9" t="n">
        <v>82.94399999999999</v>
      </c>
      <c r="X249" s="9" t="n">
        <v>0</v>
      </c>
      <c r="Y249" s="9" t="n">
        <v>0</v>
      </c>
      <c r="Z249" s="9" t="n">
        <v>0</v>
      </c>
      <c r="AA249" s="9" t="n">
        <v>75.37821645710729</v>
      </c>
      <c r="AB249" s="9" t="n">
        <v>0</v>
      </c>
      <c r="AC249" s="9" t="n">
        <v>0</v>
      </c>
      <c r="AD249" s="9" t="n">
        <v>0.6968885913825379</v>
      </c>
      <c r="AE249" s="9" t="n">
        <v>82.94399999999999</v>
      </c>
      <c r="AF249" s="9" t="n">
        <v>0</v>
      </c>
      <c r="AG249" s="9" t="n">
        <v>0</v>
      </c>
      <c r="AH249" s="9" t="n">
        <v>0</v>
      </c>
      <c r="AI249" s="9" t="n">
        <v>83.51017713398849</v>
      </c>
      <c r="AJ249" s="9" t="n">
        <v>0</v>
      </c>
      <c r="AK249" s="9" t="n">
        <v>0</v>
      </c>
      <c r="AL249" s="9" t="n">
        <v>0.7022231502267633</v>
      </c>
      <c r="AM249" s="9" t="n">
        <v>82.94399999999999</v>
      </c>
      <c r="AN249" s="9" t="n">
        <v>0</v>
      </c>
      <c r="AO249" s="9" t="n">
        <v>0</v>
      </c>
      <c r="AP249" s="9" t="n">
        <v>0</v>
      </c>
      <c r="AQ249" s="9" t="n">
        <v>149.86683023829</v>
      </c>
      <c r="AR249" s="9" t="n">
        <v>0</v>
      </c>
      <c r="AS249" s="9" t="n">
        <v>0</v>
      </c>
      <c r="AT249" s="9" t="n">
        <v>0.7392703637760104</v>
      </c>
      <c r="AU249" s="9" t="n">
        <v>82.94399999999999</v>
      </c>
      <c r="AV249" s="9" t="n">
        <v>0</v>
      </c>
      <c r="AW249" s="9" t="n">
        <v>0</v>
      </c>
      <c r="AX249" s="9" t="n">
        <v>0</v>
      </c>
      <c r="AY249" s="9" t="n">
        <v>17.39911205687143</v>
      </c>
    </row>
    <row r="250">
      <c r="A250" s="9" t="n">
        <v>256</v>
      </c>
      <c r="B250" s="9" t="inlineStr">
        <is>
          <t>ББ135</t>
        </is>
      </c>
      <c r="C250" s="9" t="inlineStr"/>
      <c r="D250" s="9" t="inlineStr">
        <is>
          <t>КОНФЕТЫ В КОРОБКАХ</t>
        </is>
      </c>
      <c r="E250" s="9" t="inlineStr">
        <is>
          <t>Федеральный</t>
        </is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0</v>
      </c>
      <c r="M250" s="9" t="n">
        <v>0</v>
      </c>
      <c r="N250" s="9" t="n">
        <v>0</v>
      </c>
      <c r="O250" s="9" t="n">
        <v>0</v>
      </c>
      <c r="P250" s="9" t="n">
        <v>0</v>
      </c>
      <c r="Q250" s="9" t="n">
        <v>0</v>
      </c>
      <c r="R250" s="9" t="n">
        <v>0</v>
      </c>
      <c r="S250" s="9" t="n">
        <v>0</v>
      </c>
      <c r="T250" s="9" t="n">
        <v>0</v>
      </c>
      <c r="U250" s="9" t="n">
        <v>0</v>
      </c>
      <c r="V250" s="9" t="n">
        <v>0</v>
      </c>
      <c r="W250" s="9" t="n">
        <v>0</v>
      </c>
      <c r="X250" s="9" t="n">
        <v>0</v>
      </c>
      <c r="Y250" s="9" t="n">
        <v>0</v>
      </c>
      <c r="Z250" s="9" t="n">
        <v>0</v>
      </c>
      <c r="AA250" s="9" t="n">
        <v>0</v>
      </c>
      <c r="AB250" s="9" t="n">
        <v>0</v>
      </c>
      <c r="AC250" s="9" t="n">
        <v>0</v>
      </c>
      <c r="AD250" s="9" t="n">
        <v>0</v>
      </c>
      <c r="AE250" s="9" t="n">
        <v>0</v>
      </c>
      <c r="AF250" s="9" t="n">
        <v>0</v>
      </c>
      <c r="AG250" s="9" t="n">
        <v>0</v>
      </c>
      <c r="AH250" s="9" t="n">
        <v>0</v>
      </c>
      <c r="AI250" s="9" t="n">
        <v>0</v>
      </c>
      <c r="AJ250" s="9" t="n">
        <v>0</v>
      </c>
      <c r="AK250" s="9" t="n">
        <v>0</v>
      </c>
      <c r="AL250" s="9" t="n">
        <v>0</v>
      </c>
      <c r="AM250" s="9" t="n">
        <v>0</v>
      </c>
      <c r="AN250" s="9" t="n">
        <v>0</v>
      </c>
      <c r="AO250" s="9" t="n">
        <v>0</v>
      </c>
      <c r="AP250" s="9" t="n">
        <v>0</v>
      </c>
      <c r="AQ250" s="9" t="n">
        <v>0</v>
      </c>
      <c r="AR250" s="9" t="n">
        <v>0</v>
      </c>
      <c r="AS250" s="9" t="n">
        <v>0</v>
      </c>
      <c r="AT250" s="9" t="n">
        <v>0</v>
      </c>
      <c r="AU250" s="9" t="n">
        <v>0</v>
      </c>
      <c r="AV250" s="9" t="n">
        <v>0</v>
      </c>
      <c r="AW250" s="9" t="n">
        <v>0</v>
      </c>
      <c r="AX250" s="9" t="n">
        <v>0</v>
      </c>
      <c r="AY250" s="9" t="n">
        <v>0</v>
      </c>
    </row>
    <row r="251">
      <c r="A251" s="9" t="n">
        <v>257</v>
      </c>
      <c r="B251" s="9" t="inlineStr">
        <is>
          <t>ББ184</t>
        </is>
      </c>
      <c r="C251" s="9" t="inlineStr"/>
      <c r="D251" s="9" t="inlineStr">
        <is>
          <t>КОНФЕТЫ В КОРОБКАХ</t>
        </is>
      </c>
      <c r="E251" s="9" t="inlineStr">
        <is>
          <t>Федеральный</t>
        </is>
      </c>
      <c r="F251" s="9" t="n">
        <v>3.9</v>
      </c>
      <c r="G251" s="9" t="n">
        <v>0</v>
      </c>
      <c r="H251" s="9" t="n">
        <v>0</v>
      </c>
      <c r="I251" s="9" t="n">
        <v>0</v>
      </c>
      <c r="J251" s="9" t="n">
        <v>0</v>
      </c>
      <c r="K251" s="9" t="n">
        <v>0</v>
      </c>
      <c r="L251" s="9" t="n">
        <v>0</v>
      </c>
      <c r="M251" s="9" t="n">
        <v>0</v>
      </c>
      <c r="N251" s="9" t="n">
        <v>0</v>
      </c>
      <c r="O251" s="9" t="n">
        <v>0</v>
      </c>
      <c r="P251" s="9" t="n">
        <v>0</v>
      </c>
      <c r="Q251" s="9" t="n">
        <v>0</v>
      </c>
      <c r="R251" s="9" t="n">
        <v>0</v>
      </c>
      <c r="S251" s="9" t="n">
        <v>0</v>
      </c>
      <c r="T251" s="9" t="n">
        <v>0</v>
      </c>
      <c r="U251" s="9" t="n">
        <v>0</v>
      </c>
      <c r="V251" s="9" t="n">
        <v>0</v>
      </c>
      <c r="W251" s="9" t="n">
        <v>0</v>
      </c>
      <c r="X251" s="9" t="n">
        <v>0</v>
      </c>
      <c r="Y251" s="9" t="n">
        <v>0</v>
      </c>
      <c r="Z251" s="9" t="n">
        <v>0</v>
      </c>
      <c r="AA251" s="9" t="n">
        <v>0</v>
      </c>
      <c r="AB251" s="9" t="n">
        <v>0</v>
      </c>
      <c r="AC251" s="9" t="n">
        <v>0</v>
      </c>
      <c r="AD251" s="9" t="n">
        <v>0</v>
      </c>
      <c r="AE251" s="9" t="n">
        <v>0</v>
      </c>
      <c r="AF251" s="9" t="n">
        <v>0</v>
      </c>
      <c r="AG251" s="9" t="n">
        <v>0</v>
      </c>
      <c r="AH251" s="9" t="n">
        <v>0</v>
      </c>
      <c r="AI251" s="9" t="n">
        <v>0</v>
      </c>
      <c r="AJ251" s="9" t="n">
        <v>0</v>
      </c>
      <c r="AK251" s="9" t="n">
        <v>0</v>
      </c>
      <c r="AL251" s="9" t="n">
        <v>0</v>
      </c>
      <c r="AM251" s="9" t="n">
        <v>0</v>
      </c>
      <c r="AN251" s="9" t="n">
        <v>0</v>
      </c>
      <c r="AO251" s="9" t="n">
        <v>0</v>
      </c>
      <c r="AP251" s="9" t="n">
        <v>0</v>
      </c>
      <c r="AQ251" s="9" t="n">
        <v>0</v>
      </c>
      <c r="AR251" s="9" t="n">
        <v>0</v>
      </c>
      <c r="AS251" s="9" t="n">
        <v>0</v>
      </c>
      <c r="AT251" s="9" t="n">
        <v>0</v>
      </c>
      <c r="AU251" s="9" t="n">
        <v>0</v>
      </c>
      <c r="AV251" s="9" t="n">
        <v>0</v>
      </c>
      <c r="AW251" s="9" t="n">
        <v>0</v>
      </c>
      <c r="AX251" s="9" t="n">
        <v>0</v>
      </c>
      <c r="AY251" s="9" t="n">
        <v>0</v>
      </c>
    </row>
    <row r="252">
      <c r="A252" s="9" t="n">
        <v>258</v>
      </c>
      <c r="B252" s="9" t="inlineStr">
        <is>
          <t>ББ193</t>
        </is>
      </c>
      <c r="C252" s="9" t="inlineStr"/>
      <c r="D252" s="9" t="inlineStr">
        <is>
          <t>КОНФЕТЫ В КОРОБКАХ</t>
        </is>
      </c>
      <c r="E252" s="9" t="inlineStr">
        <is>
          <t>Федеральный</t>
        </is>
      </c>
      <c r="F252" s="9" t="n">
        <v>26.7</v>
      </c>
      <c r="G252" s="9" t="n">
        <v>0</v>
      </c>
      <c r="H252" s="9" t="n">
        <v>0</v>
      </c>
      <c r="I252" s="9" t="n">
        <v>0</v>
      </c>
      <c r="J252" s="9" t="n">
        <v>0</v>
      </c>
      <c r="K252" s="9" t="n">
        <v>0</v>
      </c>
      <c r="L252" s="9" t="n">
        <v>0</v>
      </c>
      <c r="M252" s="9" t="n">
        <v>0</v>
      </c>
      <c r="N252" s="9" t="n">
        <v>0</v>
      </c>
      <c r="O252" s="9" t="n">
        <v>0</v>
      </c>
      <c r="P252" s="9" t="n">
        <v>0</v>
      </c>
      <c r="Q252" s="9" t="n">
        <v>0</v>
      </c>
      <c r="R252" s="9" t="n">
        <v>0</v>
      </c>
      <c r="S252" s="9" t="n">
        <v>0</v>
      </c>
      <c r="T252" s="9" t="n">
        <v>0</v>
      </c>
      <c r="U252" s="9" t="n">
        <v>0</v>
      </c>
      <c r="V252" s="9" t="n">
        <v>0</v>
      </c>
      <c r="W252" s="9" t="n">
        <v>0</v>
      </c>
      <c r="X252" s="9" t="n">
        <v>0</v>
      </c>
      <c r="Y252" s="9" t="n">
        <v>0</v>
      </c>
      <c r="Z252" s="9" t="n">
        <v>0</v>
      </c>
      <c r="AA252" s="9" t="n">
        <v>0</v>
      </c>
      <c r="AB252" s="9" t="n">
        <v>0</v>
      </c>
      <c r="AC252" s="9" t="n">
        <v>0</v>
      </c>
      <c r="AD252" s="9" t="n">
        <v>0</v>
      </c>
      <c r="AE252" s="9" t="n">
        <v>0</v>
      </c>
      <c r="AF252" s="9" t="n">
        <v>0</v>
      </c>
      <c r="AG252" s="9" t="n">
        <v>0</v>
      </c>
      <c r="AH252" s="9" t="n">
        <v>0</v>
      </c>
      <c r="AI252" s="9" t="n">
        <v>0</v>
      </c>
      <c r="AJ252" s="9" t="n">
        <v>0</v>
      </c>
      <c r="AK252" s="9" t="n">
        <v>0</v>
      </c>
      <c r="AL252" s="9" t="n">
        <v>0</v>
      </c>
      <c r="AM252" s="9" t="n">
        <v>0</v>
      </c>
      <c r="AN252" s="9" t="n">
        <v>0</v>
      </c>
      <c r="AO252" s="9" t="n">
        <v>0</v>
      </c>
      <c r="AP252" s="9" t="n">
        <v>0</v>
      </c>
      <c r="AQ252" s="9" t="n">
        <v>0</v>
      </c>
      <c r="AR252" s="9" t="n">
        <v>0</v>
      </c>
      <c r="AS252" s="9" t="n">
        <v>0</v>
      </c>
      <c r="AT252" s="9" t="n">
        <v>0</v>
      </c>
      <c r="AU252" s="9" t="n">
        <v>0</v>
      </c>
      <c r="AV252" s="9" t="n">
        <v>0</v>
      </c>
      <c r="AW252" s="9" t="n">
        <v>0</v>
      </c>
      <c r="AX252" s="9" t="n">
        <v>0</v>
      </c>
      <c r="AY252" s="9" t="n">
        <v>0</v>
      </c>
    </row>
    <row r="253">
      <c r="A253" s="9" t="n">
        <v>259</v>
      </c>
      <c r="B253" s="9" t="inlineStr">
        <is>
          <t>ББ220</t>
        </is>
      </c>
      <c r="C253" s="9" t="inlineStr"/>
      <c r="D253" s="9" t="inlineStr">
        <is>
          <t>КОНФЕТЫ В КОРОБКАХ</t>
        </is>
      </c>
      <c r="E253" s="9" t="inlineStr">
        <is>
          <t>Федеральный</t>
        </is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  <c r="K253" s="9" t="n">
        <v>0</v>
      </c>
      <c r="L253" s="9" t="n">
        <v>0</v>
      </c>
      <c r="M253" s="9" t="n">
        <v>0</v>
      </c>
      <c r="N253" s="9" t="n">
        <v>0</v>
      </c>
      <c r="O253" s="9" t="n">
        <v>0</v>
      </c>
      <c r="P253" s="9" t="n">
        <v>0</v>
      </c>
      <c r="Q253" s="9" t="n">
        <v>0</v>
      </c>
      <c r="R253" s="9" t="n">
        <v>0</v>
      </c>
      <c r="S253" s="9" t="n">
        <v>0</v>
      </c>
      <c r="T253" s="9" t="n">
        <v>0</v>
      </c>
      <c r="U253" s="9" t="n">
        <v>0</v>
      </c>
      <c r="V253" s="9" t="n">
        <v>0</v>
      </c>
      <c r="W253" s="9" t="n">
        <v>0</v>
      </c>
      <c r="X253" s="9" t="n">
        <v>0</v>
      </c>
      <c r="Y253" s="9" t="n">
        <v>0</v>
      </c>
      <c r="Z253" s="9" t="n">
        <v>0</v>
      </c>
      <c r="AA253" s="9" t="n">
        <v>0</v>
      </c>
      <c r="AB253" s="9" t="n">
        <v>0</v>
      </c>
      <c r="AC253" s="9" t="n">
        <v>0</v>
      </c>
      <c r="AD253" s="9" t="n">
        <v>0</v>
      </c>
      <c r="AE253" s="9" t="n">
        <v>0</v>
      </c>
      <c r="AF253" s="9" t="n">
        <v>0</v>
      </c>
      <c r="AG253" s="9" t="n">
        <v>0</v>
      </c>
      <c r="AH253" s="9" t="n">
        <v>0</v>
      </c>
      <c r="AI253" s="9" t="n">
        <v>0</v>
      </c>
      <c r="AJ253" s="9" t="n">
        <v>0</v>
      </c>
      <c r="AK253" s="9" t="n">
        <v>0</v>
      </c>
      <c r="AL253" s="9" t="n">
        <v>0</v>
      </c>
      <c r="AM253" s="9" t="n">
        <v>0</v>
      </c>
      <c r="AN253" s="9" t="n">
        <v>0</v>
      </c>
      <c r="AO253" s="9" t="n">
        <v>0</v>
      </c>
      <c r="AP253" s="9" t="n">
        <v>0</v>
      </c>
      <c r="AQ253" s="9" t="n">
        <v>0</v>
      </c>
      <c r="AR253" s="9" t="n">
        <v>0</v>
      </c>
      <c r="AS253" s="9" t="n">
        <v>0</v>
      </c>
      <c r="AT253" s="9" t="n">
        <v>0</v>
      </c>
      <c r="AU253" s="9" t="n">
        <v>0</v>
      </c>
      <c r="AV253" s="9" t="n">
        <v>0</v>
      </c>
      <c r="AW253" s="9" t="n">
        <v>0</v>
      </c>
      <c r="AX253" s="9" t="n">
        <v>0</v>
      </c>
      <c r="AY253" s="9" t="n">
        <v>0</v>
      </c>
    </row>
    <row r="254">
      <c r="A254" s="9" t="n">
        <v>260</v>
      </c>
      <c r="B254" s="9" t="inlineStr">
        <is>
          <t>РФ106</t>
        </is>
      </c>
      <c r="C254" s="9" t="inlineStr"/>
      <c r="D254" s="9" t="inlineStr">
        <is>
          <t>КОНФЕТЫ В КОРОБКАХ</t>
        </is>
      </c>
      <c r="E254" s="9" t="inlineStr">
        <is>
          <t>Федеральный</t>
        </is>
      </c>
      <c r="F254" s="9" t="n">
        <v>34386.6</v>
      </c>
      <c r="G254" s="9" t="n">
        <v>0</v>
      </c>
      <c r="H254" s="9" t="n">
        <v>2539.82</v>
      </c>
      <c r="I254" s="9" t="n">
        <v>8206.43</v>
      </c>
      <c r="J254" s="9" t="n">
        <v>15224.39</v>
      </c>
      <c r="K254" s="9" t="n">
        <v>8240.75</v>
      </c>
      <c r="L254" s="9" t="n">
        <v>980</v>
      </c>
      <c r="M254" s="9" t="n">
        <v>314.3942467587776</v>
      </c>
      <c r="N254" s="9" t="n">
        <v>1292.34277946439</v>
      </c>
      <c r="O254" s="9" t="n">
        <v>121.8</v>
      </c>
      <c r="P254" s="9" t="n">
        <v>0</v>
      </c>
      <c r="Q254" s="9" t="n">
        <v>9.831191044655629</v>
      </c>
      <c r="R254" s="9" t="n">
        <v>25.7318665104552</v>
      </c>
      <c r="S254" s="9" t="n">
        <v>0</v>
      </c>
      <c r="T254" s="9" t="n">
        <v>6070</v>
      </c>
      <c r="U254" s="9" t="n">
        <v>796.6572537446393</v>
      </c>
      <c r="V254" s="9" t="n">
        <v>12608.04648095293</v>
      </c>
      <c r="W254" s="9" t="n">
        <v>198.3</v>
      </c>
      <c r="X254" s="9" t="n">
        <v>0</v>
      </c>
      <c r="Y254" s="9" t="n">
        <v>21.72384496334911</v>
      </c>
      <c r="Z254" s="9" t="n">
        <v>75.47676351307109</v>
      </c>
      <c r="AA254" s="9" t="n">
        <v>0</v>
      </c>
      <c r="AB254" s="9" t="n">
        <v>125</v>
      </c>
      <c r="AC254" s="9" t="n">
        <v>716.733028542452</v>
      </c>
      <c r="AD254" s="9" t="n">
        <v>4281.818095772221</v>
      </c>
      <c r="AE254" s="9" t="n">
        <v>327.5</v>
      </c>
      <c r="AF254" s="9" t="n">
        <v>0</v>
      </c>
      <c r="AG254" s="9" t="n">
        <v>32.35229279873988</v>
      </c>
      <c r="AH254" s="9" t="n">
        <v>74.32604012273076</v>
      </c>
      <c r="AI254" s="9" t="n">
        <v>0</v>
      </c>
      <c r="AJ254" s="9" t="n">
        <v>54</v>
      </c>
      <c r="AK254" s="9" t="n">
        <v>687.0770473437368</v>
      </c>
      <c r="AL254" s="9" t="n">
        <v>4440.153461197605</v>
      </c>
      <c r="AM254" s="9" t="n">
        <v>182.15</v>
      </c>
      <c r="AN254" s="9" t="n">
        <v>0</v>
      </c>
      <c r="AO254" s="9" t="n">
        <v>29.13517702582601</v>
      </c>
      <c r="AP254" s="9" t="n">
        <v>46.10605800184545</v>
      </c>
      <c r="AQ254" s="9" t="n">
        <v>0</v>
      </c>
      <c r="AR254" s="9" t="n">
        <v>197</v>
      </c>
      <c r="AS254" s="9" t="n">
        <v>640.8952374580365</v>
      </c>
      <c r="AT254" s="9" t="n">
        <v>3853.937044007244</v>
      </c>
      <c r="AU254" s="9" t="n">
        <v>85.25</v>
      </c>
      <c r="AV254" s="9" t="n">
        <v>0</v>
      </c>
      <c r="AW254" s="9" t="n">
        <v>4.915595522327823</v>
      </c>
      <c r="AX254" s="9" t="n">
        <v>13.86282238117832</v>
      </c>
      <c r="AY254" s="9" t="n">
        <v>0</v>
      </c>
    </row>
    <row r="255">
      <c r="A255" s="9" t="n">
        <v>261</v>
      </c>
      <c r="B255" s="9" t="inlineStr">
        <is>
          <t>РФ057</t>
        </is>
      </c>
      <c r="C255" s="9" t="inlineStr"/>
      <c r="D255" s="9" t="inlineStr">
        <is>
          <t>КОНФЕТЫ В КОРОБКАХ</t>
        </is>
      </c>
      <c r="E255" s="9" t="inlineStr">
        <is>
          <t>Федеральный</t>
        </is>
      </c>
      <c r="F255" s="9" t="n">
        <v>1137.4</v>
      </c>
      <c r="G255" s="9" t="n">
        <v>0</v>
      </c>
      <c r="H255" s="9" t="n">
        <v>0</v>
      </c>
      <c r="I255" s="9" t="n">
        <v>0</v>
      </c>
      <c r="J255" s="9" t="n">
        <v>0</v>
      </c>
      <c r="K255" s="9" t="n">
        <v>0</v>
      </c>
      <c r="L255" s="9" t="n">
        <v>160</v>
      </c>
      <c r="M255" s="9" t="n">
        <v>103.3364491898751</v>
      </c>
      <c r="N255" s="9" t="n">
        <v>834.0245963780606</v>
      </c>
      <c r="O255" s="9" t="n">
        <v>97.29600000000001</v>
      </c>
      <c r="P255" s="9" t="n">
        <v>0</v>
      </c>
      <c r="Q255" s="9" t="n">
        <v>11.14320437656598</v>
      </c>
      <c r="R255" s="9" t="n">
        <v>9.873266717690733</v>
      </c>
      <c r="S255" s="9" t="n">
        <v>0.03020805428398578</v>
      </c>
      <c r="T255" s="9" t="n">
        <v>257</v>
      </c>
      <c r="U255" s="9" t="n">
        <v>261.8487223352154</v>
      </c>
      <c r="V255" s="9" t="n">
        <v>2088.789826548595</v>
      </c>
      <c r="W255" s="9" t="n">
        <v>106.296</v>
      </c>
      <c r="X255" s="9" t="n">
        <v>0</v>
      </c>
      <c r="Y255" s="9" t="n">
        <v>24.62298242114081</v>
      </c>
      <c r="Z255" s="9" t="n">
        <v>28.83439065508571</v>
      </c>
      <c r="AA255" s="9" t="n">
        <v>0.06041610856797161</v>
      </c>
      <c r="AB255" s="9" t="n">
        <v>177</v>
      </c>
      <c r="AC255" s="9" t="n">
        <v>235.5788852698354</v>
      </c>
      <c r="AD255" s="9" t="n">
        <v>2751.608039213515</v>
      </c>
      <c r="AE255" s="9" t="n">
        <v>121.496</v>
      </c>
      <c r="AF255" s="9" t="n">
        <v>0</v>
      </c>
      <c r="AG255" s="9" t="n">
        <v>36.66984082288172</v>
      </c>
      <c r="AH255" s="9" t="n">
        <v>27.66128010256556</v>
      </c>
      <c r="AI255" s="9" t="n">
        <v>0.09666577370875466</v>
      </c>
      <c r="AJ255" s="9" t="n">
        <v>29</v>
      </c>
      <c r="AK255" s="9" t="n">
        <v>251.5630706342822</v>
      </c>
      <c r="AL255" s="9" t="n">
        <v>2847.633825221947</v>
      </c>
      <c r="AM255" s="9" t="n">
        <v>104.396</v>
      </c>
      <c r="AN255" s="9" t="n">
        <v>0</v>
      </c>
      <c r="AO255" s="9" t="n">
        <v>33.02338757038986</v>
      </c>
      <c r="AP255" s="9" t="n">
        <v>16.18736690173627</v>
      </c>
      <c r="AQ255" s="9" t="n">
        <v>0.1341757199335176</v>
      </c>
      <c r="AR255" s="9" t="n">
        <v>25</v>
      </c>
      <c r="AS255" s="9" t="n">
        <v>234.6542858812337</v>
      </c>
      <c r="AT255" s="9" t="n">
        <v>2680.757414017816</v>
      </c>
      <c r="AU255" s="9" t="n">
        <v>92.99600000000001</v>
      </c>
      <c r="AV255" s="9" t="n">
        <v>0</v>
      </c>
      <c r="AW255" s="9" t="n">
        <v>5.571602188282998</v>
      </c>
      <c r="AX255" s="9" t="n">
        <v>4.800732631869085</v>
      </c>
      <c r="AY255" s="9" t="n">
        <v>0.06041610856797167</v>
      </c>
    </row>
    <row r="256">
      <c r="A256" s="9" t="n">
        <v>262</v>
      </c>
      <c r="B256" s="9" t="inlineStr">
        <is>
          <t>РФ138</t>
        </is>
      </c>
      <c r="C256" s="9" t="inlineStr"/>
      <c r="D256" s="9" t="inlineStr">
        <is>
          <t>КОНФЕТЫ В КОРОБКАХ</t>
        </is>
      </c>
      <c r="E256" s="9" t="inlineStr">
        <is>
          <t>Федеральный</t>
        </is>
      </c>
      <c r="F256" s="9" t="n">
        <v>0</v>
      </c>
      <c r="G256" s="9" t="n">
        <v>0</v>
      </c>
      <c r="H256" s="9" t="n">
        <v>0</v>
      </c>
      <c r="I256" s="9" t="n">
        <v>0</v>
      </c>
      <c r="J256" s="9" t="n">
        <v>0</v>
      </c>
      <c r="K256" s="9" t="n">
        <v>0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0</v>
      </c>
      <c r="Q256" s="9" t="n">
        <v>0</v>
      </c>
      <c r="R256" s="9" t="n">
        <v>0</v>
      </c>
      <c r="S256" s="9" t="n">
        <v>0</v>
      </c>
      <c r="T256" s="9" t="n">
        <v>0</v>
      </c>
      <c r="U256" s="9" t="n">
        <v>0</v>
      </c>
      <c r="V256" s="9" t="n">
        <v>0</v>
      </c>
      <c r="W256" s="9" t="n">
        <v>0</v>
      </c>
      <c r="X256" s="9" t="n">
        <v>0</v>
      </c>
      <c r="Y256" s="9" t="n">
        <v>0</v>
      </c>
      <c r="Z256" s="9" t="n">
        <v>0</v>
      </c>
      <c r="AA256" s="9" t="n">
        <v>0</v>
      </c>
      <c r="AB256" s="9" t="n">
        <v>0</v>
      </c>
      <c r="AC256" s="9" t="n">
        <v>0</v>
      </c>
      <c r="AD256" s="9" t="n">
        <v>0</v>
      </c>
      <c r="AE256" s="9" t="n">
        <v>0</v>
      </c>
      <c r="AF256" s="9" t="n">
        <v>0</v>
      </c>
      <c r="AG256" s="9" t="n">
        <v>0</v>
      </c>
      <c r="AH256" s="9" t="n">
        <v>0</v>
      </c>
      <c r="AI256" s="9" t="n">
        <v>0</v>
      </c>
      <c r="AJ256" s="9" t="n">
        <v>0</v>
      </c>
      <c r="AK256" s="9" t="n">
        <v>0</v>
      </c>
      <c r="AL256" s="9" t="n">
        <v>0</v>
      </c>
      <c r="AM256" s="9" t="n">
        <v>0</v>
      </c>
      <c r="AN256" s="9" t="n">
        <v>0</v>
      </c>
      <c r="AO256" s="9" t="n">
        <v>0</v>
      </c>
      <c r="AP256" s="9" t="n">
        <v>0</v>
      </c>
      <c r="AQ256" s="9" t="n">
        <v>0</v>
      </c>
      <c r="AR256" s="9" t="n">
        <v>0</v>
      </c>
      <c r="AS256" s="9" t="n">
        <v>0</v>
      </c>
      <c r="AT256" s="9" t="n">
        <v>0</v>
      </c>
      <c r="AU256" s="9" t="n">
        <v>0</v>
      </c>
      <c r="AV256" s="9" t="n">
        <v>0</v>
      </c>
      <c r="AW256" s="9" t="n">
        <v>0</v>
      </c>
      <c r="AX256" s="9" t="n">
        <v>0</v>
      </c>
      <c r="AY256" s="9" t="n">
        <v>0</v>
      </c>
    </row>
    <row r="257">
      <c r="A257" s="9" t="n">
        <v>263</v>
      </c>
      <c r="B257" s="9" t="inlineStr">
        <is>
          <t>РФ193</t>
        </is>
      </c>
      <c r="C257" s="9" t="inlineStr"/>
      <c r="D257" s="9" t="inlineStr">
        <is>
          <t>КОНФЕТЫ В КОРОБКАХ</t>
        </is>
      </c>
      <c r="E257" s="9" t="inlineStr">
        <is>
          <t>Федеральный</t>
        </is>
      </c>
      <c r="F257" s="9" t="n">
        <v>1.32</v>
      </c>
      <c r="G257" s="9" t="n">
        <v>0</v>
      </c>
      <c r="H257" s="9" t="n">
        <v>0</v>
      </c>
      <c r="I257" s="9" t="n">
        <v>0</v>
      </c>
      <c r="J257" s="9" t="n">
        <v>0</v>
      </c>
      <c r="K257" s="9" t="n">
        <v>0</v>
      </c>
      <c r="L257" s="9" t="n">
        <v>0</v>
      </c>
      <c r="M257" s="9" t="n">
        <v>0</v>
      </c>
      <c r="N257" s="9" t="n">
        <v>0</v>
      </c>
      <c r="O257" s="9" t="n">
        <v>0</v>
      </c>
      <c r="P257" s="9" t="n">
        <v>0</v>
      </c>
      <c r="Q257" s="9" t="n">
        <v>0</v>
      </c>
      <c r="R257" s="9" t="n">
        <v>0</v>
      </c>
      <c r="S257" s="9" t="n">
        <v>0</v>
      </c>
      <c r="T257" s="9" t="n">
        <v>0</v>
      </c>
      <c r="U257" s="9" t="n">
        <v>0</v>
      </c>
      <c r="V257" s="9" t="n">
        <v>0</v>
      </c>
      <c r="W257" s="9" t="n">
        <v>0</v>
      </c>
      <c r="X257" s="9" t="n">
        <v>0</v>
      </c>
      <c r="Y257" s="9" t="n">
        <v>0</v>
      </c>
      <c r="Z257" s="9" t="n">
        <v>0</v>
      </c>
      <c r="AA257" s="9" t="n">
        <v>0</v>
      </c>
      <c r="AB257" s="9" t="n">
        <v>0</v>
      </c>
      <c r="AC257" s="9" t="n">
        <v>0</v>
      </c>
      <c r="AD257" s="9" t="n">
        <v>0</v>
      </c>
      <c r="AE257" s="9" t="n">
        <v>0</v>
      </c>
      <c r="AF257" s="9" t="n">
        <v>0</v>
      </c>
      <c r="AG257" s="9" t="n">
        <v>0</v>
      </c>
      <c r="AH257" s="9" t="n">
        <v>0</v>
      </c>
      <c r="AI257" s="9" t="n">
        <v>0</v>
      </c>
      <c r="AJ257" s="9" t="n">
        <v>0</v>
      </c>
      <c r="AK257" s="9" t="n">
        <v>0</v>
      </c>
      <c r="AL257" s="9" t="n">
        <v>0</v>
      </c>
      <c r="AM257" s="9" t="n">
        <v>0</v>
      </c>
      <c r="AN257" s="9" t="n">
        <v>0</v>
      </c>
      <c r="AO257" s="9" t="n">
        <v>0</v>
      </c>
      <c r="AP257" s="9" t="n">
        <v>0</v>
      </c>
      <c r="AQ257" s="9" t="n">
        <v>0</v>
      </c>
      <c r="AR257" s="9" t="n">
        <v>0</v>
      </c>
      <c r="AS257" s="9" t="n">
        <v>0</v>
      </c>
      <c r="AT257" s="9" t="n">
        <v>0</v>
      </c>
      <c r="AU257" s="9" t="n">
        <v>0</v>
      </c>
      <c r="AV257" s="9" t="n">
        <v>0</v>
      </c>
      <c r="AW257" s="9" t="n">
        <v>0</v>
      </c>
      <c r="AX257" s="9" t="n">
        <v>0</v>
      </c>
      <c r="AY257" s="9" t="n">
        <v>0</v>
      </c>
    </row>
    <row r="258">
      <c r="A258" s="9" t="n">
        <v>264</v>
      </c>
      <c r="B258" s="9" t="inlineStr">
        <is>
          <t>КО076</t>
        </is>
      </c>
      <c r="C258" s="9" t="inlineStr"/>
      <c r="D258" s="9" t="inlineStr">
        <is>
          <t>КОНФЕТЫ В КОРОБКАХ</t>
        </is>
      </c>
      <c r="E258" s="9" t="inlineStr">
        <is>
          <t>Федеральный</t>
        </is>
      </c>
      <c r="F258" s="9" t="n">
        <v>56474.28000000001</v>
      </c>
      <c r="G258" s="9" t="n">
        <v>7335</v>
      </c>
      <c r="H258" s="9" t="n">
        <v>18815.29</v>
      </c>
      <c r="I258" s="9" t="n">
        <v>10591.47</v>
      </c>
      <c r="J258" s="9" t="n">
        <v>9799.190000000001</v>
      </c>
      <c r="K258" s="9" t="n">
        <v>7480.7</v>
      </c>
      <c r="L258" s="9" t="n">
        <v>11611</v>
      </c>
      <c r="M258" s="9" t="n">
        <v>388.1330304820548</v>
      </c>
      <c r="N258" s="9" t="n">
        <v>578.4143056463896</v>
      </c>
      <c r="O258" s="9" t="n">
        <v>190.24</v>
      </c>
      <c r="P258" s="9" t="n">
        <v>0</v>
      </c>
      <c r="Q258" s="9" t="n">
        <v>15.27461209068736</v>
      </c>
      <c r="R258" s="9" t="n">
        <v>17.90101338035829</v>
      </c>
      <c r="S258" s="9" t="n">
        <v>0</v>
      </c>
      <c r="T258" s="9" t="n">
        <v>7097</v>
      </c>
      <c r="U258" s="9" t="n">
        <v>1149.367767161199</v>
      </c>
      <c r="V258" s="9" t="n">
        <v>1513.12259260711</v>
      </c>
      <c r="W258" s="9" t="n">
        <v>226.24</v>
      </c>
      <c r="X258" s="9" t="n">
        <v>0</v>
      </c>
      <c r="Y258" s="9" t="n">
        <v>33.75209610170008</v>
      </c>
      <c r="Z258" s="9" t="n">
        <v>72.39329322448872</v>
      </c>
      <c r="AA258" s="9" t="n">
        <v>0</v>
      </c>
      <c r="AB258" s="9" t="n">
        <v>4989</v>
      </c>
      <c r="AC258" s="9" t="n">
        <v>1140.249213965738</v>
      </c>
      <c r="AD258" s="9" t="n">
        <v>2089.667284886286</v>
      </c>
      <c r="AE258" s="9" t="n">
        <v>287.04</v>
      </c>
      <c r="AF258" s="9" t="n">
        <v>0</v>
      </c>
      <c r="AG258" s="9" t="n">
        <v>50.26539719352994</v>
      </c>
      <c r="AH258" s="9" t="n">
        <v>51.14412081635113</v>
      </c>
      <c r="AI258" s="9" t="n">
        <v>0</v>
      </c>
      <c r="AJ258" s="9" t="n">
        <v>7529</v>
      </c>
      <c r="AK258" s="9" t="n">
        <v>1087.320345226469</v>
      </c>
      <c r="AL258" s="9" t="n">
        <v>2126.689422355109</v>
      </c>
      <c r="AM258" s="9" t="n">
        <v>218.64</v>
      </c>
      <c r="AN258" s="9" t="n">
        <v>0</v>
      </c>
      <c r="AO258" s="9" t="n">
        <v>45.26700022831132</v>
      </c>
      <c r="AP258" s="9" t="n">
        <v>31.7435811055304</v>
      </c>
      <c r="AQ258" s="9" t="n">
        <v>0</v>
      </c>
      <c r="AR258" s="9" t="n">
        <v>23356</v>
      </c>
      <c r="AS258" s="9" t="n">
        <v>882.4599572185749</v>
      </c>
      <c r="AT258" s="9" t="n">
        <v>2000.717085553949</v>
      </c>
      <c r="AU258" s="9" t="n">
        <v>173.04</v>
      </c>
      <c r="AV258" s="9" t="n">
        <v>0</v>
      </c>
      <c r="AW258" s="9" t="n">
        <v>7.637306045343694</v>
      </c>
      <c r="AX258" s="9" t="n">
        <v>9.394843928288717</v>
      </c>
      <c r="AY258" s="9" t="n">
        <v>0</v>
      </c>
    </row>
    <row r="259">
      <c r="A259" s="9" t="n">
        <v>265</v>
      </c>
      <c r="B259" s="9" t="inlineStr">
        <is>
          <t>ББ128</t>
        </is>
      </c>
      <c r="C259" s="9" t="inlineStr"/>
      <c r="D259" s="9" t="inlineStr">
        <is>
          <t>КОНФЕТЫ В КОРОБКАХ</t>
        </is>
      </c>
      <c r="E259" s="9" t="inlineStr">
        <is>
          <t>Федеральный</t>
        </is>
      </c>
      <c r="F259" s="9" t="n">
        <v>2898.6</v>
      </c>
      <c r="G259" s="9" t="n">
        <v>0</v>
      </c>
      <c r="H259" s="9" t="n">
        <v>0</v>
      </c>
      <c r="I259" s="9" t="n">
        <v>0</v>
      </c>
      <c r="J259" s="9" t="n">
        <v>0</v>
      </c>
      <c r="K259" s="9" t="n">
        <v>457</v>
      </c>
      <c r="L259" s="9" t="n">
        <v>327</v>
      </c>
      <c r="M259" s="9" t="n">
        <v>0</v>
      </c>
      <c r="N259" s="9" t="n">
        <v>125.5570373261883</v>
      </c>
      <c r="O259" s="9" t="n">
        <v>0</v>
      </c>
      <c r="P259" s="9" t="n">
        <v>0</v>
      </c>
      <c r="Q259" s="9" t="n">
        <v>0.6436000268108498</v>
      </c>
      <c r="R259" s="9" t="n">
        <v>3.571602963199455</v>
      </c>
      <c r="S259" s="9" t="n">
        <v>0</v>
      </c>
      <c r="T259" s="9" t="n">
        <v>584</v>
      </c>
      <c r="U259" s="9" t="n">
        <v>0</v>
      </c>
      <c r="V259" s="9" t="n">
        <v>254.4540280197555</v>
      </c>
      <c r="W259" s="9" t="n">
        <v>0</v>
      </c>
      <c r="X259" s="9" t="n">
        <v>0</v>
      </c>
      <c r="Y259" s="9" t="n">
        <v>1.422153952388785</v>
      </c>
      <c r="Z259" s="9" t="n">
        <v>10.75777675857838</v>
      </c>
      <c r="AA259" s="9" t="n">
        <v>0</v>
      </c>
      <c r="AB259" s="9" t="n">
        <v>584</v>
      </c>
      <c r="AC259" s="9" t="n">
        <v>0</v>
      </c>
      <c r="AD259" s="9" t="n">
        <v>186.7698022327355</v>
      </c>
      <c r="AE259" s="9" t="n">
        <v>0</v>
      </c>
      <c r="AF259" s="9" t="n">
        <v>0</v>
      </c>
      <c r="AG259" s="9" t="n">
        <v>2.117946484620553</v>
      </c>
      <c r="AH259" s="9" t="n">
        <v>10.8746087709156</v>
      </c>
      <c r="AI259" s="9" t="n">
        <v>0</v>
      </c>
      <c r="AJ259" s="9" t="n">
        <v>584</v>
      </c>
      <c r="AK259" s="9" t="n">
        <v>0</v>
      </c>
      <c r="AL259" s="9" t="n">
        <v>184.2847758354132</v>
      </c>
      <c r="AM259" s="9" t="n">
        <v>0</v>
      </c>
      <c r="AN259" s="9" t="n">
        <v>0</v>
      </c>
      <c r="AO259" s="9" t="n">
        <v>1.907337638927686</v>
      </c>
      <c r="AP259" s="9" t="n">
        <v>7.833347222839808</v>
      </c>
      <c r="AQ259" s="9" t="n">
        <v>0</v>
      </c>
      <c r="AR259" s="9" t="n">
        <v>250</v>
      </c>
      <c r="AS259" s="9" t="n">
        <v>0</v>
      </c>
      <c r="AT259" s="9" t="n">
        <v>113.1199778899615</v>
      </c>
      <c r="AU259" s="9" t="n">
        <v>0</v>
      </c>
      <c r="AV259" s="9" t="n">
        <v>0</v>
      </c>
      <c r="AW259" s="9" t="n">
        <v>0.3218000134054255</v>
      </c>
      <c r="AX259" s="9" t="n">
        <v>2.348714258513988</v>
      </c>
      <c r="AY259" s="9" t="n">
        <v>0</v>
      </c>
    </row>
    <row r="260">
      <c r="A260" s="9" t="n">
        <v>266</v>
      </c>
      <c r="B260" s="9" t="inlineStr">
        <is>
          <t>ББ125</t>
        </is>
      </c>
      <c r="C260" s="9" t="inlineStr"/>
      <c r="D260" s="9" t="inlineStr">
        <is>
          <t>КОНФЕТЫ В КОРОБКАХ</t>
        </is>
      </c>
      <c r="E260" s="9" t="inlineStr">
        <is>
          <t>Федеральный</t>
        </is>
      </c>
      <c r="F260" s="9" t="n">
        <v>150.8</v>
      </c>
      <c r="G260" s="9" t="n">
        <v>0</v>
      </c>
      <c r="H260" s="9" t="n">
        <v>0</v>
      </c>
      <c r="I260" s="9" t="n">
        <v>0</v>
      </c>
      <c r="J260" s="9" t="n">
        <v>0</v>
      </c>
      <c r="K260" s="9" t="n">
        <v>0</v>
      </c>
      <c r="L260" s="9" t="n">
        <v>0</v>
      </c>
      <c r="M260" s="9" t="n">
        <v>50</v>
      </c>
      <c r="N260" s="9" t="n">
        <v>36.85346991273012</v>
      </c>
      <c r="O260" s="9" t="n">
        <v>0</v>
      </c>
      <c r="P260" s="9" t="n">
        <v>0</v>
      </c>
      <c r="Q260" s="9" t="n">
        <v>0</v>
      </c>
      <c r="R260" s="9" t="n">
        <v>4.018053333599385</v>
      </c>
      <c r="S260" s="9" t="n">
        <v>0</v>
      </c>
      <c r="T260" s="9" t="n">
        <v>0</v>
      </c>
      <c r="U260" s="9" t="n">
        <v>60</v>
      </c>
      <c r="V260" s="9" t="n">
        <v>85.18534973890502</v>
      </c>
      <c r="W260" s="9" t="n">
        <v>0</v>
      </c>
      <c r="X260" s="9" t="n">
        <v>0</v>
      </c>
      <c r="Y260" s="9" t="n">
        <v>0</v>
      </c>
      <c r="Z260" s="9" t="n">
        <v>12.10249885340068</v>
      </c>
      <c r="AA260" s="9" t="n">
        <v>0</v>
      </c>
      <c r="AB260" s="9" t="n">
        <v>0</v>
      </c>
      <c r="AC260" s="9" t="n">
        <v>100</v>
      </c>
      <c r="AD260" s="9" t="n">
        <v>115.2229435709533</v>
      </c>
      <c r="AE260" s="9" t="n">
        <v>0</v>
      </c>
      <c r="AF260" s="9" t="n">
        <v>0</v>
      </c>
      <c r="AG260" s="9" t="n">
        <v>0</v>
      </c>
      <c r="AH260" s="9" t="n">
        <v>12.23393486728005</v>
      </c>
      <c r="AI260" s="9" t="n">
        <v>0</v>
      </c>
      <c r="AJ260" s="9" t="n">
        <v>0</v>
      </c>
      <c r="AK260" s="9" t="n">
        <v>100</v>
      </c>
      <c r="AL260" s="9" t="n">
        <v>114.2417140796171</v>
      </c>
      <c r="AM260" s="9" t="n">
        <v>0</v>
      </c>
      <c r="AN260" s="9" t="n">
        <v>0</v>
      </c>
      <c r="AO260" s="9" t="n">
        <v>0</v>
      </c>
      <c r="AP260" s="9" t="n">
        <v>8.812515625694784</v>
      </c>
      <c r="AQ260" s="9" t="n">
        <v>0</v>
      </c>
      <c r="AR260" s="9" t="n">
        <v>0</v>
      </c>
      <c r="AS260" s="9" t="n">
        <v>60</v>
      </c>
      <c r="AT260" s="9" t="n">
        <v>88.93259599611272</v>
      </c>
      <c r="AU260" s="9" t="n">
        <v>0</v>
      </c>
      <c r="AV260" s="9" t="n">
        <v>0</v>
      </c>
      <c r="AW260" s="9" t="n">
        <v>0</v>
      </c>
      <c r="AX260" s="9" t="n">
        <v>2.642303540828236</v>
      </c>
      <c r="AY260" s="9" t="n">
        <v>0</v>
      </c>
    </row>
    <row r="261">
      <c r="A261" s="9" t="n">
        <v>267</v>
      </c>
      <c r="B261" s="9" t="inlineStr">
        <is>
          <t>ББ126</t>
        </is>
      </c>
      <c r="C261" s="9" t="inlineStr"/>
      <c r="D261" s="9" t="inlineStr">
        <is>
          <t>КОНФЕТЫ В КОРОБКАХ</t>
        </is>
      </c>
      <c r="E261" s="9" t="inlineStr">
        <is>
          <t>Федеральный</t>
        </is>
      </c>
      <c r="F261" s="9" t="n">
        <v>18426.6</v>
      </c>
      <c r="G261" s="9" t="n">
        <v>0</v>
      </c>
      <c r="H261" s="9" t="n">
        <v>0</v>
      </c>
      <c r="I261" s="9" t="n">
        <v>8605.52</v>
      </c>
      <c r="J261" s="9" t="n">
        <v>8980.219999999999</v>
      </c>
      <c r="K261" s="9" t="n">
        <v>8383.040000000001</v>
      </c>
      <c r="L261" s="9" t="n">
        <v>10891</v>
      </c>
      <c r="M261" s="9" t="n">
        <v>46.64185050346194</v>
      </c>
      <c r="N261" s="9" t="n">
        <v>605.1492370558315</v>
      </c>
      <c r="O261" s="9" t="n">
        <v>126.8</v>
      </c>
      <c r="P261" s="9" t="n">
        <v>0</v>
      </c>
      <c r="Q261" s="9" t="n">
        <v>1.347116095196854</v>
      </c>
      <c r="R261" s="9" t="n">
        <v>5.527386986945745</v>
      </c>
      <c r="S261" s="9" t="n">
        <v>0</v>
      </c>
      <c r="T261" s="9" t="n">
        <v>7887</v>
      </c>
      <c r="U261" s="9" t="n">
        <v>118.1878132781658</v>
      </c>
      <c r="V261" s="9" t="n">
        <v>671.2488435638717</v>
      </c>
      <c r="W261" s="9" t="n">
        <v>153.8</v>
      </c>
      <c r="X261" s="9" t="n">
        <v>0</v>
      </c>
      <c r="Y261" s="9" t="n">
        <v>2.976703541489746</v>
      </c>
      <c r="Z261" s="9" t="n">
        <v>12.91706202800203</v>
      </c>
      <c r="AA261" s="9" t="n">
        <v>0</v>
      </c>
      <c r="AB261" s="9" t="n">
        <v>9106</v>
      </c>
      <c r="AC261" s="9" t="n">
        <v>106.3306822971856</v>
      </c>
      <c r="AD261" s="9" t="n">
        <v>821.1900260244755</v>
      </c>
      <c r="AE261" s="9" t="n">
        <v>199.4</v>
      </c>
      <c r="AF261" s="9" t="n">
        <v>0</v>
      </c>
      <c r="AG261" s="9" t="n">
        <v>4.433063516693198</v>
      </c>
      <c r="AH261" s="9" t="n">
        <v>13.05734439155014</v>
      </c>
      <c r="AI261" s="9" t="n">
        <v>0</v>
      </c>
      <c r="AJ261" s="9" t="n">
        <v>8012</v>
      </c>
      <c r="AK261" s="9" t="n">
        <v>118.5590637252037</v>
      </c>
      <c r="AL261" s="9" t="n">
        <v>826.5449481256311</v>
      </c>
      <c r="AM261" s="9" t="n">
        <v>148.1</v>
      </c>
      <c r="AN261" s="9" t="n">
        <v>0</v>
      </c>
      <c r="AO261" s="9" t="n">
        <v>3.992239163049916</v>
      </c>
      <c r="AP261" s="9" t="n">
        <v>0</v>
      </c>
      <c r="AQ261" s="9" t="n">
        <v>0</v>
      </c>
      <c r="AR261" s="9" t="n">
        <v>462</v>
      </c>
      <c r="AS261" s="9" t="n">
        <v>110.5901290004133</v>
      </c>
      <c r="AT261" s="9" t="n">
        <v>688.4246221320029</v>
      </c>
      <c r="AU261" s="9" t="n">
        <v>113.9</v>
      </c>
      <c r="AV261" s="9" t="n">
        <v>0</v>
      </c>
      <c r="AW261" s="9" t="n">
        <v>0.6735580475984281</v>
      </c>
      <c r="AX261" s="9" t="n">
        <v>0</v>
      </c>
      <c r="AY261" s="9" t="n">
        <v>0</v>
      </c>
    </row>
    <row r="262">
      <c r="A262" s="9" t="n">
        <v>268</v>
      </c>
      <c r="B262" s="9" t="inlineStr">
        <is>
          <t>ББ135</t>
        </is>
      </c>
      <c r="C262" s="9" t="inlineStr"/>
      <c r="D262" s="9" t="inlineStr">
        <is>
          <t>КОНФЕТЫ В КОРОБКАХ</t>
        </is>
      </c>
      <c r="E262" s="9" t="inlineStr">
        <is>
          <t>Федеральный</t>
        </is>
      </c>
      <c r="F262" s="9" t="n">
        <v>96</v>
      </c>
      <c r="G262" s="9" t="n">
        <v>0</v>
      </c>
      <c r="H262" s="9" t="n">
        <v>0</v>
      </c>
      <c r="I262" s="9" t="n">
        <v>0</v>
      </c>
      <c r="J262" s="9" t="n">
        <v>0</v>
      </c>
      <c r="K262" s="9" t="n">
        <v>0</v>
      </c>
      <c r="L262" s="9" t="n">
        <v>0</v>
      </c>
      <c r="M262" s="9" t="n">
        <v>0</v>
      </c>
      <c r="N262" s="9" t="n">
        <v>0</v>
      </c>
      <c r="O262" s="9" t="n">
        <v>0</v>
      </c>
      <c r="P262" s="9" t="n">
        <v>0</v>
      </c>
      <c r="Q262" s="9" t="n">
        <v>0</v>
      </c>
      <c r="R262" s="9" t="n">
        <v>0</v>
      </c>
      <c r="S262" s="9" t="n">
        <v>0</v>
      </c>
      <c r="T262" s="9" t="n">
        <v>0</v>
      </c>
      <c r="U262" s="9" t="n">
        <v>0</v>
      </c>
      <c r="V262" s="9" t="n">
        <v>0</v>
      </c>
      <c r="W262" s="9" t="n">
        <v>0</v>
      </c>
      <c r="X262" s="9" t="n">
        <v>0</v>
      </c>
      <c r="Y262" s="9" t="n">
        <v>0</v>
      </c>
      <c r="Z262" s="9" t="n">
        <v>0</v>
      </c>
      <c r="AA262" s="9" t="n">
        <v>0</v>
      </c>
      <c r="AB262" s="9" t="n">
        <v>0</v>
      </c>
      <c r="AC262" s="9" t="n">
        <v>0</v>
      </c>
      <c r="AD262" s="9" t="n">
        <v>0</v>
      </c>
      <c r="AE262" s="9" t="n">
        <v>0</v>
      </c>
      <c r="AF262" s="9" t="n">
        <v>0</v>
      </c>
      <c r="AG262" s="9" t="n">
        <v>0</v>
      </c>
      <c r="AH262" s="9" t="n">
        <v>0</v>
      </c>
      <c r="AI262" s="9" t="n">
        <v>0</v>
      </c>
      <c r="AJ262" s="9" t="n">
        <v>0</v>
      </c>
      <c r="AK262" s="9" t="n">
        <v>0</v>
      </c>
      <c r="AL262" s="9" t="n">
        <v>0</v>
      </c>
      <c r="AM262" s="9" t="n">
        <v>0</v>
      </c>
      <c r="AN262" s="9" t="n">
        <v>0</v>
      </c>
      <c r="AO262" s="9" t="n">
        <v>0</v>
      </c>
      <c r="AP262" s="9" t="n">
        <v>0</v>
      </c>
      <c r="AQ262" s="9" t="n">
        <v>0</v>
      </c>
      <c r="AR262" s="9" t="n">
        <v>0</v>
      </c>
      <c r="AS262" s="9" t="n">
        <v>0</v>
      </c>
      <c r="AT262" s="9" t="n">
        <v>0</v>
      </c>
      <c r="AU262" s="9" t="n">
        <v>0</v>
      </c>
      <c r="AV262" s="9" t="n">
        <v>0</v>
      </c>
      <c r="AW262" s="9" t="n">
        <v>0</v>
      </c>
      <c r="AX262" s="9" t="n">
        <v>0</v>
      </c>
      <c r="AY262" s="9" t="n">
        <v>0</v>
      </c>
    </row>
    <row r="263">
      <c r="A263" s="9" t="n">
        <v>269</v>
      </c>
      <c r="B263" s="9" t="inlineStr">
        <is>
          <t>ББ159</t>
        </is>
      </c>
      <c r="C263" s="9" t="inlineStr"/>
      <c r="D263" s="9" t="inlineStr">
        <is>
          <t>КОНФЕТЫ В КОРОБКАХ</t>
        </is>
      </c>
      <c r="E263" s="9" t="inlineStr">
        <is>
          <t>Федеральный</t>
        </is>
      </c>
      <c r="F263" s="9" t="n">
        <v>0</v>
      </c>
      <c r="G263" s="9" t="n">
        <v>0</v>
      </c>
      <c r="H263" s="9" t="n">
        <v>0</v>
      </c>
      <c r="I263" s="9" t="n">
        <v>0</v>
      </c>
      <c r="J263" s="9" t="n">
        <v>0</v>
      </c>
      <c r="K263" s="9" t="n">
        <v>0</v>
      </c>
      <c r="L263" s="9" t="n">
        <v>0</v>
      </c>
      <c r="M263" s="9" t="n">
        <v>0</v>
      </c>
      <c r="N263" s="9" t="n">
        <v>0</v>
      </c>
      <c r="O263" s="9" t="n">
        <v>0</v>
      </c>
      <c r="P263" s="9" t="n">
        <v>0</v>
      </c>
      <c r="Q263" s="9" t="n">
        <v>0</v>
      </c>
      <c r="R263" s="9" t="n">
        <v>0</v>
      </c>
      <c r="S263" s="9" t="n">
        <v>0</v>
      </c>
      <c r="T263" s="9" t="n">
        <v>0</v>
      </c>
      <c r="U263" s="9" t="n">
        <v>0</v>
      </c>
      <c r="V263" s="9" t="n">
        <v>0</v>
      </c>
      <c r="W263" s="9" t="n">
        <v>0</v>
      </c>
      <c r="X263" s="9" t="n">
        <v>0</v>
      </c>
      <c r="Y263" s="9" t="n">
        <v>0</v>
      </c>
      <c r="Z263" s="9" t="n">
        <v>0</v>
      </c>
      <c r="AA263" s="9" t="n">
        <v>0</v>
      </c>
      <c r="AB263" s="9" t="n">
        <v>0</v>
      </c>
      <c r="AC263" s="9" t="n">
        <v>0</v>
      </c>
      <c r="AD263" s="9" t="n">
        <v>0</v>
      </c>
      <c r="AE263" s="9" t="n">
        <v>0</v>
      </c>
      <c r="AF263" s="9" t="n">
        <v>0</v>
      </c>
      <c r="AG263" s="9" t="n">
        <v>0</v>
      </c>
      <c r="AH263" s="9" t="n">
        <v>0</v>
      </c>
      <c r="AI263" s="9" t="n">
        <v>0</v>
      </c>
      <c r="AJ263" s="9" t="n">
        <v>0</v>
      </c>
      <c r="AK263" s="9" t="n">
        <v>0</v>
      </c>
      <c r="AL263" s="9" t="n">
        <v>0</v>
      </c>
      <c r="AM263" s="9" t="n">
        <v>0</v>
      </c>
      <c r="AN263" s="9" t="n">
        <v>0</v>
      </c>
      <c r="AO263" s="9" t="n">
        <v>0</v>
      </c>
      <c r="AP263" s="9" t="n">
        <v>0</v>
      </c>
      <c r="AQ263" s="9" t="n">
        <v>0</v>
      </c>
      <c r="AR263" s="9" t="n">
        <v>0</v>
      </c>
      <c r="AS263" s="9" t="n">
        <v>0</v>
      </c>
      <c r="AT263" s="9" t="n">
        <v>0</v>
      </c>
      <c r="AU263" s="9" t="n">
        <v>0</v>
      </c>
      <c r="AV263" s="9" t="n">
        <v>0</v>
      </c>
      <c r="AW263" s="9" t="n">
        <v>0</v>
      </c>
      <c r="AX263" s="9" t="n">
        <v>0</v>
      </c>
      <c r="AY263" s="9" t="n">
        <v>0</v>
      </c>
    </row>
    <row r="264">
      <c r="A264" s="9" t="n">
        <v>270</v>
      </c>
      <c r="B264" s="9" t="inlineStr">
        <is>
          <t>ББ195</t>
        </is>
      </c>
      <c r="C264" s="9" t="inlineStr"/>
      <c r="D264" s="9" t="inlineStr">
        <is>
          <t>КОНФЕТЫ В КОРОБКАХ</t>
        </is>
      </c>
      <c r="E264" s="9" t="inlineStr">
        <is>
          <t>Федеральный</t>
        </is>
      </c>
      <c r="F264" s="9" t="n">
        <v>0</v>
      </c>
      <c r="G264" s="9" t="n">
        <v>0</v>
      </c>
      <c r="H264" s="9" t="n">
        <v>0</v>
      </c>
      <c r="I264" s="9" t="n">
        <v>0</v>
      </c>
      <c r="J264" s="9" t="n">
        <v>0</v>
      </c>
      <c r="K264" s="9" t="n">
        <v>0</v>
      </c>
      <c r="L264" s="9" t="n">
        <v>0</v>
      </c>
      <c r="M264" s="9" t="n">
        <v>0</v>
      </c>
      <c r="N264" s="9" t="n">
        <v>0</v>
      </c>
      <c r="O264" s="9" t="n">
        <v>0</v>
      </c>
      <c r="P264" s="9" t="n">
        <v>0</v>
      </c>
      <c r="Q264" s="9" t="n">
        <v>0</v>
      </c>
      <c r="R264" s="9" t="n">
        <v>0</v>
      </c>
      <c r="S264" s="9" t="n">
        <v>0</v>
      </c>
      <c r="T264" s="9" t="n">
        <v>0</v>
      </c>
      <c r="U264" s="9" t="n">
        <v>0</v>
      </c>
      <c r="V264" s="9" t="n">
        <v>0</v>
      </c>
      <c r="W264" s="9" t="n">
        <v>0</v>
      </c>
      <c r="X264" s="9" t="n">
        <v>0</v>
      </c>
      <c r="Y264" s="9" t="n">
        <v>0</v>
      </c>
      <c r="Z264" s="9" t="n">
        <v>0</v>
      </c>
      <c r="AA264" s="9" t="n">
        <v>0</v>
      </c>
      <c r="AB264" s="9" t="n">
        <v>0</v>
      </c>
      <c r="AC264" s="9" t="n">
        <v>0</v>
      </c>
      <c r="AD264" s="9" t="n">
        <v>0</v>
      </c>
      <c r="AE264" s="9" t="n">
        <v>0</v>
      </c>
      <c r="AF264" s="9" t="n">
        <v>0</v>
      </c>
      <c r="AG264" s="9" t="n">
        <v>0</v>
      </c>
      <c r="AH264" s="9" t="n">
        <v>0</v>
      </c>
      <c r="AI264" s="9" t="n">
        <v>0</v>
      </c>
      <c r="AJ264" s="9" t="n">
        <v>0</v>
      </c>
      <c r="AK264" s="9" t="n">
        <v>0</v>
      </c>
      <c r="AL264" s="9" t="n">
        <v>0</v>
      </c>
      <c r="AM264" s="9" t="n">
        <v>0</v>
      </c>
      <c r="AN264" s="9" t="n">
        <v>0</v>
      </c>
      <c r="AO264" s="9" t="n">
        <v>0</v>
      </c>
      <c r="AP264" s="9" t="n">
        <v>0</v>
      </c>
      <c r="AQ264" s="9" t="n">
        <v>0</v>
      </c>
      <c r="AR264" s="9" t="n">
        <v>0</v>
      </c>
      <c r="AS264" s="9" t="n">
        <v>0</v>
      </c>
      <c r="AT264" s="9" t="n">
        <v>0</v>
      </c>
      <c r="AU264" s="9" t="n">
        <v>0</v>
      </c>
      <c r="AV264" s="9" t="n">
        <v>0</v>
      </c>
      <c r="AW264" s="9" t="n">
        <v>0</v>
      </c>
      <c r="AX264" s="9" t="n">
        <v>0</v>
      </c>
      <c r="AY264" s="9" t="n">
        <v>0</v>
      </c>
    </row>
    <row r="265">
      <c r="A265" s="9" t="n">
        <v>271</v>
      </c>
      <c r="B265" s="9" t="inlineStr">
        <is>
          <t>ББ126</t>
        </is>
      </c>
      <c r="C265" s="9" t="inlineStr"/>
      <c r="D265" s="9" t="inlineStr">
        <is>
          <t>КОНФЕТЫ В КОРОБКАХ</t>
        </is>
      </c>
      <c r="E265" s="9" t="inlineStr">
        <is>
          <t>Федеральный</t>
        </is>
      </c>
      <c r="F265" s="9" t="n">
        <v>3847</v>
      </c>
      <c r="G265" s="9" t="n">
        <v>0</v>
      </c>
      <c r="H265" s="9" t="n">
        <v>0</v>
      </c>
      <c r="I265" s="9" t="n">
        <v>0</v>
      </c>
      <c r="J265" s="9" t="n">
        <v>537.36</v>
      </c>
      <c r="K265" s="9" t="n">
        <v>665.67</v>
      </c>
      <c r="L265" s="9" t="n">
        <v>1053</v>
      </c>
      <c r="M265" s="9" t="n">
        <v>0</v>
      </c>
      <c r="N265" s="9" t="n">
        <v>137.2792162716723</v>
      </c>
      <c r="O265" s="9" t="n">
        <v>25.2</v>
      </c>
      <c r="P265" s="9" t="n">
        <v>0</v>
      </c>
      <c r="Q265" s="9" t="n">
        <v>0</v>
      </c>
      <c r="R265" s="9" t="n">
        <v>1.785801481599727</v>
      </c>
      <c r="S265" s="9" t="n">
        <v>0</v>
      </c>
      <c r="T265" s="9" t="n">
        <v>672</v>
      </c>
      <c r="U265" s="9" t="n">
        <v>0</v>
      </c>
      <c r="V265" s="9" t="n">
        <v>261.654397008841</v>
      </c>
      <c r="W265" s="9" t="n">
        <v>25.2</v>
      </c>
      <c r="X265" s="9" t="n">
        <v>0</v>
      </c>
      <c r="Y265" s="9" t="n">
        <v>0</v>
      </c>
      <c r="Z265" s="9" t="n">
        <v>5.378888379289188</v>
      </c>
      <c r="AA265" s="9" t="n">
        <v>0</v>
      </c>
      <c r="AB265" s="9" t="n">
        <v>1024</v>
      </c>
      <c r="AC265" s="9" t="n">
        <v>0</v>
      </c>
      <c r="AD265" s="9" t="n">
        <v>219.5482270293502</v>
      </c>
      <c r="AE265" s="9" t="n">
        <v>25.2</v>
      </c>
      <c r="AF265" s="9" t="n">
        <v>0</v>
      </c>
      <c r="AG265" s="9" t="n">
        <v>0</v>
      </c>
      <c r="AH265" s="9" t="n">
        <v>5.437304385457799</v>
      </c>
      <c r="AI265" s="9" t="n">
        <v>0</v>
      </c>
      <c r="AJ265" s="9" t="n">
        <v>1120</v>
      </c>
      <c r="AK265" s="9" t="n">
        <v>0</v>
      </c>
      <c r="AL265" s="9" t="n">
        <v>220.6022806052979</v>
      </c>
      <c r="AM265" s="9" t="n">
        <v>25.2</v>
      </c>
      <c r="AN265" s="9" t="n">
        <v>0</v>
      </c>
      <c r="AO265" s="9" t="n">
        <v>0</v>
      </c>
      <c r="AP265" s="9" t="n">
        <v>3.916673611419904</v>
      </c>
      <c r="AQ265" s="9" t="n">
        <v>0</v>
      </c>
      <c r="AR265" s="9" t="n">
        <v>294</v>
      </c>
      <c r="AS265" s="9" t="n">
        <v>0</v>
      </c>
      <c r="AT265" s="9" t="n">
        <v>202.1955695769812</v>
      </c>
      <c r="AU265" s="9" t="n">
        <v>25.2</v>
      </c>
      <c r="AV265" s="9" t="n">
        <v>0</v>
      </c>
      <c r="AW265" s="9" t="n">
        <v>0</v>
      </c>
      <c r="AX265" s="9" t="n">
        <v>1.174357129256994</v>
      </c>
      <c r="AY265" s="9" t="n">
        <v>0</v>
      </c>
    </row>
    <row r="266">
      <c r="A266" s="9" t="n">
        <v>272</v>
      </c>
      <c r="B266" s="9" t="inlineStr">
        <is>
          <t>ББ087</t>
        </is>
      </c>
      <c r="C266" s="9" t="inlineStr"/>
      <c r="D266" s="9" t="inlineStr">
        <is>
          <t>КОНФЕТЫ В КОРОБКАХ</t>
        </is>
      </c>
      <c r="E266" s="9" t="inlineStr">
        <is>
          <t>Федеральный</t>
        </is>
      </c>
      <c r="F266" s="9" t="n">
        <v>43205.095</v>
      </c>
      <c r="G266" s="9" t="n">
        <v>13571</v>
      </c>
      <c r="H266" s="9" t="n">
        <v>29502.5</v>
      </c>
      <c r="I266" s="9" t="n">
        <v>29775.82</v>
      </c>
      <c r="J266" s="9" t="n">
        <v>27679.05</v>
      </c>
      <c r="K266" s="9" t="n">
        <v>13424.24</v>
      </c>
      <c r="L266" s="9" t="n">
        <v>18802.92000000001</v>
      </c>
      <c r="M266" s="9" t="n">
        <v>30.88413515486561</v>
      </c>
      <c r="N266" s="9" t="n">
        <v>3373.37765425411</v>
      </c>
      <c r="O266" s="9" t="n">
        <v>64.672</v>
      </c>
      <c r="P266" s="9" t="n">
        <v>0</v>
      </c>
      <c r="Q266" s="9" t="n">
        <v>10.35842045056684</v>
      </c>
      <c r="R266" s="9" t="n">
        <v>36.40972262353873</v>
      </c>
      <c r="S266" s="9" t="n">
        <v>0.1006025099688711</v>
      </c>
      <c r="T266" s="9" t="n">
        <v>20748.4</v>
      </c>
      <c r="U266" s="9" t="n">
        <v>67.57978338106672</v>
      </c>
      <c r="V266" s="9" t="n">
        <v>4038.727019326284</v>
      </c>
      <c r="W266" s="9" t="n">
        <v>64.672</v>
      </c>
      <c r="X266" s="9" t="n">
        <v>0</v>
      </c>
      <c r="Y266" s="9" t="n">
        <v>22.88885638689988</v>
      </c>
      <c r="Z266" s="9" t="n">
        <v>121.1732000800859</v>
      </c>
      <c r="AA266" s="9" t="n">
        <v>0.2012050199377425</v>
      </c>
      <c r="AB266" s="9" t="n">
        <v>19955.68</v>
      </c>
      <c r="AC266" s="9" t="n">
        <v>64.81285593816102</v>
      </c>
      <c r="AD266" s="9" t="n">
        <v>5164.017020762945</v>
      </c>
      <c r="AE266" s="9" t="n">
        <v>64.672</v>
      </c>
      <c r="AF266" s="9" t="n">
        <v>0</v>
      </c>
      <c r="AG266" s="9" t="n">
        <v>34.08728910129039</v>
      </c>
      <c r="AH266" s="9" t="n">
        <v>101.560987913399</v>
      </c>
      <c r="AI266" s="9" t="n">
        <v>0.3219280319003882</v>
      </c>
      <c r="AJ266" s="9" t="n">
        <v>12028.36</v>
      </c>
      <c r="AK266" s="9" t="n">
        <v>66.49642485514015</v>
      </c>
      <c r="AL266" s="9" t="n">
        <v>5085.848104165198</v>
      </c>
      <c r="AM266" s="9" t="n">
        <v>64.672</v>
      </c>
      <c r="AN266" s="9" t="n">
        <v>0</v>
      </c>
      <c r="AO266" s="9" t="n">
        <v>30.69764509349667</v>
      </c>
      <c r="AP266" s="9" t="n">
        <v>59.95357646570183</v>
      </c>
      <c r="AQ266" s="9" t="n">
        <v>0.4468481841065842</v>
      </c>
      <c r="AR266" s="9" t="n">
        <v>4116.9</v>
      </c>
      <c r="AS266" s="9" t="n">
        <v>64.71547050650993</v>
      </c>
      <c r="AT266" s="9" t="n">
        <v>4560.280432187539</v>
      </c>
      <c r="AU266" s="9" t="n">
        <v>64.672</v>
      </c>
      <c r="AV266" s="9" t="n">
        <v>0</v>
      </c>
      <c r="AW266" s="9" t="n">
        <v>5.17921022528343</v>
      </c>
      <c r="AX266" s="9" t="n">
        <v>10.91132322538979</v>
      </c>
      <c r="AY266" s="9" t="n">
        <v>0.2012050199377426</v>
      </c>
    </row>
    <row r="267">
      <c r="A267" s="9" t="n">
        <v>273</v>
      </c>
      <c r="B267" s="9" t="inlineStr">
        <is>
          <t>ББ172</t>
        </is>
      </c>
      <c r="C267" s="9" t="inlineStr"/>
      <c r="D267" s="9" t="inlineStr">
        <is>
          <t>КОНФЕТЫ В КОРОБКАХ</t>
        </is>
      </c>
      <c r="E267" s="9" t="inlineStr">
        <is>
          <t>Федеральный</t>
        </is>
      </c>
      <c r="F267" s="9" t="n">
        <v>0</v>
      </c>
      <c r="G267" s="9" t="n">
        <v>0</v>
      </c>
      <c r="H267" s="9" t="n">
        <v>0</v>
      </c>
      <c r="I267" s="9" t="n">
        <v>0</v>
      </c>
      <c r="J267" s="9" t="n">
        <v>0</v>
      </c>
      <c r="K267" s="9" t="n">
        <v>0</v>
      </c>
      <c r="L267" s="9" t="n">
        <v>0</v>
      </c>
      <c r="M267" s="9" t="n">
        <v>0</v>
      </c>
      <c r="N267" s="9" t="n">
        <v>0</v>
      </c>
      <c r="O267" s="9" t="n">
        <v>0</v>
      </c>
      <c r="P267" s="9" t="n">
        <v>0</v>
      </c>
      <c r="Q267" s="9" t="n">
        <v>0</v>
      </c>
      <c r="R267" s="9" t="n">
        <v>0</v>
      </c>
      <c r="S267" s="9" t="n">
        <v>0</v>
      </c>
      <c r="T267" s="9" t="n">
        <v>0</v>
      </c>
      <c r="U267" s="9" t="n">
        <v>0</v>
      </c>
      <c r="V267" s="9" t="n">
        <v>0</v>
      </c>
      <c r="W267" s="9" t="n">
        <v>0</v>
      </c>
      <c r="X267" s="9" t="n">
        <v>0</v>
      </c>
      <c r="Y267" s="9" t="n">
        <v>0</v>
      </c>
      <c r="Z267" s="9" t="n">
        <v>0</v>
      </c>
      <c r="AA267" s="9" t="n">
        <v>0</v>
      </c>
      <c r="AB267" s="9" t="n">
        <v>0</v>
      </c>
      <c r="AC267" s="9" t="n">
        <v>0</v>
      </c>
      <c r="AD267" s="9" t="n">
        <v>0</v>
      </c>
      <c r="AE267" s="9" t="n">
        <v>0</v>
      </c>
      <c r="AF267" s="9" t="n">
        <v>0</v>
      </c>
      <c r="AG267" s="9" t="n">
        <v>0</v>
      </c>
      <c r="AH267" s="9" t="n">
        <v>0</v>
      </c>
      <c r="AI267" s="9" t="n">
        <v>0</v>
      </c>
      <c r="AJ267" s="9" t="n">
        <v>0</v>
      </c>
      <c r="AK267" s="9" t="n">
        <v>0</v>
      </c>
      <c r="AL267" s="9" t="n">
        <v>0</v>
      </c>
      <c r="AM267" s="9" t="n">
        <v>0</v>
      </c>
      <c r="AN267" s="9" t="n">
        <v>0</v>
      </c>
      <c r="AO267" s="9" t="n">
        <v>0</v>
      </c>
      <c r="AP267" s="9" t="n">
        <v>0</v>
      </c>
      <c r="AQ267" s="9" t="n">
        <v>0</v>
      </c>
      <c r="AR267" s="9" t="n">
        <v>0</v>
      </c>
      <c r="AS267" s="9" t="n">
        <v>0</v>
      </c>
      <c r="AT267" s="9" t="n">
        <v>0</v>
      </c>
      <c r="AU267" s="9" t="n">
        <v>0</v>
      </c>
      <c r="AV267" s="9" t="n">
        <v>0</v>
      </c>
      <c r="AW267" s="9" t="n">
        <v>0</v>
      </c>
      <c r="AX267" s="9" t="n">
        <v>0</v>
      </c>
      <c r="AY267" s="9" t="n">
        <v>0</v>
      </c>
    </row>
    <row r="268">
      <c r="A268" s="9" t="n">
        <v>274</v>
      </c>
      <c r="B268" s="9" t="inlineStr">
        <is>
          <t>ББ181</t>
        </is>
      </c>
      <c r="C268" s="9" t="inlineStr"/>
      <c r="D268" s="9" t="inlineStr">
        <is>
          <t>КОНФЕТЫ В КОРОБКАХ</t>
        </is>
      </c>
      <c r="E268" s="9" t="inlineStr">
        <is>
          <t>Федеральный</t>
        </is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0</v>
      </c>
      <c r="K268" s="9" t="n">
        <v>0</v>
      </c>
      <c r="L268" s="9" t="n">
        <v>0</v>
      </c>
      <c r="M268" s="9" t="n">
        <v>0</v>
      </c>
      <c r="N268" s="9" t="n">
        <v>0</v>
      </c>
      <c r="O268" s="9" t="n">
        <v>0</v>
      </c>
      <c r="P268" s="9" t="n">
        <v>0</v>
      </c>
      <c r="Q268" s="9" t="n">
        <v>0</v>
      </c>
      <c r="R268" s="9" t="n">
        <v>0</v>
      </c>
      <c r="S268" s="9" t="n">
        <v>0</v>
      </c>
      <c r="T268" s="9" t="n">
        <v>0</v>
      </c>
      <c r="U268" s="9" t="n">
        <v>0</v>
      </c>
      <c r="V268" s="9" t="n">
        <v>0</v>
      </c>
      <c r="W268" s="9" t="n">
        <v>0</v>
      </c>
      <c r="X268" s="9" t="n">
        <v>0</v>
      </c>
      <c r="Y268" s="9" t="n">
        <v>0</v>
      </c>
      <c r="Z268" s="9" t="n">
        <v>0</v>
      </c>
      <c r="AA268" s="9" t="n">
        <v>0</v>
      </c>
      <c r="AB268" s="9" t="n">
        <v>0</v>
      </c>
      <c r="AC268" s="9" t="n">
        <v>0</v>
      </c>
      <c r="AD268" s="9" t="n">
        <v>0</v>
      </c>
      <c r="AE268" s="9" t="n">
        <v>0</v>
      </c>
      <c r="AF268" s="9" t="n">
        <v>0</v>
      </c>
      <c r="AG268" s="9" t="n">
        <v>0</v>
      </c>
      <c r="AH268" s="9" t="n">
        <v>0</v>
      </c>
      <c r="AI268" s="9" t="n">
        <v>0</v>
      </c>
      <c r="AJ268" s="9" t="n">
        <v>0</v>
      </c>
      <c r="AK268" s="9" t="n">
        <v>0</v>
      </c>
      <c r="AL268" s="9" t="n">
        <v>0</v>
      </c>
      <c r="AM268" s="9" t="n">
        <v>0</v>
      </c>
      <c r="AN268" s="9" t="n">
        <v>0</v>
      </c>
      <c r="AO268" s="9" t="n">
        <v>0</v>
      </c>
      <c r="AP268" s="9" t="n">
        <v>0</v>
      </c>
      <c r="AQ268" s="9" t="n">
        <v>0</v>
      </c>
      <c r="AR268" s="9" t="n">
        <v>0</v>
      </c>
      <c r="AS268" s="9" t="n">
        <v>0</v>
      </c>
      <c r="AT268" s="9" t="n">
        <v>0</v>
      </c>
      <c r="AU268" s="9" t="n">
        <v>0</v>
      </c>
      <c r="AV268" s="9" t="n">
        <v>0</v>
      </c>
      <c r="AW268" s="9" t="n">
        <v>0</v>
      </c>
      <c r="AX268" s="9" t="n">
        <v>0</v>
      </c>
      <c r="AY268" s="9" t="n">
        <v>0</v>
      </c>
    </row>
    <row r="269">
      <c r="A269" s="9" t="n">
        <v>275</v>
      </c>
      <c r="B269" s="9" t="inlineStr">
        <is>
          <t>ББ158</t>
        </is>
      </c>
      <c r="C269" s="9" t="inlineStr"/>
      <c r="D269" s="9" t="inlineStr">
        <is>
          <t>КОНФЕТЫ В КОРОБКАХ</t>
        </is>
      </c>
      <c r="E269" s="9" t="inlineStr">
        <is>
          <t>Федеральный</t>
        </is>
      </c>
      <c r="F269" s="9" t="n">
        <v>28106.39999999999</v>
      </c>
      <c r="G269" s="9" t="n">
        <v>4266</v>
      </c>
      <c r="H269" s="9" t="n">
        <v>21709.805</v>
      </c>
      <c r="I269" s="9" t="n">
        <v>16007.71</v>
      </c>
      <c r="J269" s="9" t="n">
        <v>15037.35</v>
      </c>
      <c r="K269" s="9" t="n">
        <v>0</v>
      </c>
      <c r="L269" s="9" t="n">
        <v>4674.200000000001</v>
      </c>
      <c r="M269" s="9" t="n">
        <v>169.4831208625542</v>
      </c>
      <c r="N269" s="9" t="n">
        <v>2784.250058305191</v>
      </c>
      <c r="O269" s="9" t="n">
        <v>304.72</v>
      </c>
      <c r="P269" s="9" t="n">
        <v>0</v>
      </c>
      <c r="Q269" s="9" t="n">
        <v>35.10670432355316</v>
      </c>
      <c r="R269" s="9" t="n">
        <v>43.3386060178124</v>
      </c>
      <c r="S269" s="9" t="n">
        <v>0.07072694066897472</v>
      </c>
      <c r="T269" s="9" t="n">
        <v>4953.4</v>
      </c>
      <c r="U269" s="9" t="n">
        <v>429.1097341444108</v>
      </c>
      <c r="V269" s="9" t="n">
        <v>7082.23246963269</v>
      </c>
      <c r="W269" s="9" t="n">
        <v>349.72</v>
      </c>
      <c r="X269" s="9" t="n">
        <v>0</v>
      </c>
      <c r="Y269" s="9" t="n">
        <v>77.57479215232982</v>
      </c>
      <c r="Z269" s="9" t="n">
        <v>266.9508141474165</v>
      </c>
      <c r="AA269" s="9" t="n">
        <v>0.1414538813379495</v>
      </c>
      <c r="AB269" s="9" t="n">
        <v>2937.6</v>
      </c>
      <c r="AC269" s="9" t="n">
        <v>247.47235919367</v>
      </c>
      <c r="AD269" s="9" t="n">
        <v>9941.435780742022</v>
      </c>
      <c r="AE269" s="9" t="n">
        <v>425.72</v>
      </c>
      <c r="AF269" s="9" t="n">
        <v>0</v>
      </c>
      <c r="AG269" s="9" t="n">
        <v>115.5284616396307</v>
      </c>
      <c r="AH269" s="9" t="n">
        <v>126.4293549366094</v>
      </c>
      <c r="AI269" s="9" t="n">
        <v>0.2263262101407195</v>
      </c>
      <c r="AJ269" s="9" t="n">
        <v>1842.8</v>
      </c>
      <c r="AK269" s="9" t="n">
        <v>177.5151853082266</v>
      </c>
      <c r="AL269" s="9" t="n">
        <v>9941.722987327139</v>
      </c>
      <c r="AM269" s="9" t="n">
        <v>340.22</v>
      </c>
      <c r="AN269" s="9" t="n">
        <v>0</v>
      </c>
      <c r="AO269" s="9" t="n">
        <v>104.0402979266772</v>
      </c>
      <c r="AP269" s="9" t="n">
        <v>81.44318122716892</v>
      </c>
      <c r="AQ269" s="9" t="n">
        <v>0.3141492693882547</v>
      </c>
      <c r="AR269" s="9" t="n">
        <v>1702</v>
      </c>
      <c r="AS269" s="9" t="n">
        <v>492.958725852274</v>
      </c>
      <c r="AT269" s="9" t="n">
        <v>9270.031936312933</v>
      </c>
      <c r="AU269" s="9" t="n">
        <v>283.22</v>
      </c>
      <c r="AV269" s="9" t="n">
        <v>0</v>
      </c>
      <c r="AW269" s="9" t="n">
        <v>17.55335216177661</v>
      </c>
      <c r="AX269" s="9" t="n">
        <v>20.23981507483469</v>
      </c>
      <c r="AY269" s="9" t="n">
        <v>0.1414538813379497</v>
      </c>
    </row>
    <row r="270">
      <c r="A270" s="9" t="n">
        <v>276</v>
      </c>
      <c r="B270" s="9" t="inlineStr">
        <is>
          <t>ББ235</t>
        </is>
      </c>
      <c r="C270" s="9" t="inlineStr"/>
      <c r="D270" s="9" t="inlineStr">
        <is>
          <t>КОНФЕТЫ В КОРОБКАХ</t>
        </is>
      </c>
      <c r="E270" s="9" t="inlineStr">
        <is>
          <t>Федеральный</t>
        </is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0</v>
      </c>
      <c r="K270" s="9" t="n">
        <v>0</v>
      </c>
      <c r="L270" s="9" t="n">
        <v>0</v>
      </c>
      <c r="M270" s="9" t="n">
        <v>0</v>
      </c>
      <c r="N270" s="9" t="n">
        <v>0</v>
      </c>
      <c r="O270" s="9" t="n">
        <v>0</v>
      </c>
      <c r="P270" s="9" t="n">
        <v>0</v>
      </c>
      <c r="Q270" s="9" t="n">
        <v>0</v>
      </c>
      <c r="R270" s="9" t="n">
        <v>0</v>
      </c>
      <c r="S270" s="9" t="n">
        <v>0</v>
      </c>
      <c r="T270" s="9" t="n">
        <v>0</v>
      </c>
      <c r="U270" s="9" t="n">
        <v>0</v>
      </c>
      <c r="V270" s="9" t="n">
        <v>0</v>
      </c>
      <c r="W270" s="9" t="n">
        <v>0</v>
      </c>
      <c r="X270" s="9" t="n">
        <v>0</v>
      </c>
      <c r="Y270" s="9" t="n">
        <v>0</v>
      </c>
      <c r="Z270" s="9" t="n">
        <v>0</v>
      </c>
      <c r="AA270" s="9" t="n">
        <v>0</v>
      </c>
      <c r="AB270" s="9" t="n">
        <v>0</v>
      </c>
      <c r="AC270" s="9" t="n">
        <v>0</v>
      </c>
      <c r="AD270" s="9" t="n">
        <v>0</v>
      </c>
      <c r="AE270" s="9" t="n">
        <v>0</v>
      </c>
      <c r="AF270" s="9" t="n">
        <v>0</v>
      </c>
      <c r="AG270" s="9" t="n">
        <v>0</v>
      </c>
      <c r="AH270" s="9" t="n">
        <v>0</v>
      </c>
      <c r="AI270" s="9" t="n">
        <v>0</v>
      </c>
      <c r="AJ270" s="9" t="n">
        <v>0</v>
      </c>
      <c r="AK270" s="9" t="n">
        <v>0</v>
      </c>
      <c r="AL270" s="9" t="n">
        <v>0</v>
      </c>
      <c r="AM270" s="9" t="n">
        <v>0</v>
      </c>
      <c r="AN270" s="9" t="n">
        <v>0</v>
      </c>
      <c r="AO270" s="9" t="n">
        <v>0</v>
      </c>
      <c r="AP270" s="9" t="n">
        <v>0</v>
      </c>
      <c r="AQ270" s="9" t="n">
        <v>0</v>
      </c>
      <c r="AR270" s="9" t="n">
        <v>0</v>
      </c>
      <c r="AS270" s="9" t="n">
        <v>0</v>
      </c>
      <c r="AT270" s="9" t="n">
        <v>0</v>
      </c>
      <c r="AU270" s="9" t="n">
        <v>0</v>
      </c>
      <c r="AV270" s="9" t="n">
        <v>0</v>
      </c>
      <c r="AW270" s="9" t="n">
        <v>0</v>
      </c>
      <c r="AX270" s="9" t="n">
        <v>0</v>
      </c>
      <c r="AY270" s="9" t="n">
        <v>0</v>
      </c>
    </row>
    <row r="271">
      <c r="A271" s="9" t="n">
        <v>277</v>
      </c>
      <c r="B271" s="9" t="inlineStr">
        <is>
          <t>КО147</t>
        </is>
      </c>
      <c r="C271" s="9" t="inlineStr"/>
      <c r="D271" s="9" t="inlineStr">
        <is>
          <t>КОНФЕТЫ В КОРОБКАХ</t>
        </is>
      </c>
      <c r="E271" s="9" t="inlineStr">
        <is>
          <t>Федеральный</t>
        </is>
      </c>
      <c r="F271" s="9" t="n">
        <v>11205.15</v>
      </c>
      <c r="G271" s="9" t="n">
        <v>0</v>
      </c>
      <c r="H271" s="9" t="n">
        <v>0</v>
      </c>
      <c r="I271" s="9" t="n">
        <v>1535.24</v>
      </c>
      <c r="J271" s="9" t="n">
        <v>8070.03</v>
      </c>
      <c r="K271" s="9" t="n">
        <v>5882.28</v>
      </c>
      <c r="L271" s="9" t="n">
        <v>127</v>
      </c>
      <c r="M271" s="9" t="n">
        <v>169.9544647883918</v>
      </c>
      <c r="N271" s="9" t="n">
        <v>179.9901277636251</v>
      </c>
      <c r="O271" s="9" t="n">
        <v>87.36800000000001</v>
      </c>
      <c r="P271" s="9" t="n">
        <v>0</v>
      </c>
      <c r="Q271" s="9" t="n">
        <v>2.815018965398332</v>
      </c>
      <c r="R271" s="9" t="n">
        <v>3.65574482630201</v>
      </c>
      <c r="S271" s="9" t="n">
        <v>0</v>
      </c>
      <c r="T271" s="9" t="n">
        <v>4219</v>
      </c>
      <c r="U271" s="9" t="n">
        <v>430.0937261120166</v>
      </c>
      <c r="V271" s="9" t="n">
        <v>412.5058316536329</v>
      </c>
      <c r="W271" s="9" t="n">
        <v>91.86800000000001</v>
      </c>
      <c r="X271" s="9" t="n">
        <v>0</v>
      </c>
      <c r="Y271" s="9" t="n">
        <v>6.220307925604233</v>
      </c>
      <c r="Z271" s="9" t="n">
        <v>11.10548028614434</v>
      </c>
      <c r="AA271" s="9" t="n">
        <v>0</v>
      </c>
      <c r="AB271" s="9" t="n">
        <v>3137</v>
      </c>
      <c r="AC271" s="9" t="n">
        <v>387.3255033202008</v>
      </c>
      <c r="AD271" s="9" t="n">
        <v>612.7212510500476</v>
      </c>
      <c r="AE271" s="9" t="n">
        <v>99.46800000000002</v>
      </c>
      <c r="AF271" s="9" t="n">
        <v>0</v>
      </c>
      <c r="AG271" s="9" t="n">
        <v>9.263609809727052</v>
      </c>
      <c r="AH271" s="9" t="n">
        <v>10.854523719443</v>
      </c>
      <c r="AI271" s="9" t="n">
        <v>0</v>
      </c>
      <c r="AJ271" s="9" t="n">
        <v>112</v>
      </c>
      <c r="AK271" s="9" t="n">
        <v>517.2595935342501</v>
      </c>
      <c r="AL271" s="9" t="n">
        <v>611.9644803165605</v>
      </c>
      <c r="AM271" s="9" t="n">
        <v>90.91800000000001</v>
      </c>
      <c r="AN271" s="9" t="n">
        <v>0</v>
      </c>
      <c r="AO271" s="9" t="n">
        <v>8.34243536875657</v>
      </c>
      <c r="AP271" s="9" t="n">
        <v>7.818879283303974</v>
      </c>
      <c r="AQ271" s="9" t="n">
        <v>0</v>
      </c>
      <c r="AR271" s="9" t="n">
        <v>345.3</v>
      </c>
      <c r="AS271" s="9" t="n">
        <v>391.5858236536712</v>
      </c>
      <c r="AT271" s="9" t="n">
        <v>564.358266721493</v>
      </c>
      <c r="AU271" s="9" t="n">
        <v>85.218</v>
      </c>
      <c r="AV271" s="9" t="n">
        <v>0</v>
      </c>
      <c r="AW271" s="9" t="n">
        <v>1.407509482699169</v>
      </c>
      <c r="AX271" s="9" t="n">
        <v>2.17373670144638</v>
      </c>
      <c r="AY271" s="9" t="n">
        <v>0</v>
      </c>
    </row>
    <row r="272">
      <c r="A272" s="9" t="n">
        <v>278</v>
      </c>
      <c r="B272" s="9" t="inlineStr">
        <is>
          <t>КО173</t>
        </is>
      </c>
      <c r="C272" s="9" t="inlineStr"/>
      <c r="D272" s="9" t="inlineStr">
        <is>
          <t>КОНФЕТЫ В КОРОБКАХ</t>
        </is>
      </c>
      <c r="E272" s="9" t="inlineStr">
        <is>
          <t>Федеральный</t>
        </is>
      </c>
      <c r="F272" s="9" t="n">
        <v>-8.881784197001252e-16</v>
      </c>
      <c r="G272" s="9" t="n">
        <v>0</v>
      </c>
      <c r="H272" s="9" t="n">
        <v>0</v>
      </c>
      <c r="I272" s="9" t="n">
        <v>0</v>
      </c>
      <c r="J272" s="9" t="n">
        <v>0</v>
      </c>
      <c r="K272" s="9" t="n">
        <v>0</v>
      </c>
      <c r="L272" s="9" t="n">
        <v>0</v>
      </c>
      <c r="M272" s="9" t="n">
        <v>0</v>
      </c>
      <c r="N272" s="9" t="n">
        <v>0</v>
      </c>
      <c r="O272" s="9" t="n">
        <v>0</v>
      </c>
      <c r="P272" s="9" t="n">
        <v>0</v>
      </c>
      <c r="Q272" s="9" t="n">
        <v>0</v>
      </c>
      <c r="R272" s="9" t="n">
        <v>0</v>
      </c>
      <c r="S272" s="9" t="n">
        <v>0</v>
      </c>
      <c r="T272" s="9" t="n">
        <v>0</v>
      </c>
      <c r="U272" s="9" t="n">
        <v>0</v>
      </c>
      <c r="V272" s="9" t="n">
        <v>0</v>
      </c>
      <c r="W272" s="9" t="n">
        <v>0</v>
      </c>
      <c r="X272" s="9" t="n">
        <v>0</v>
      </c>
      <c r="Y272" s="9" t="n">
        <v>0</v>
      </c>
      <c r="Z272" s="9" t="n">
        <v>0</v>
      </c>
      <c r="AA272" s="9" t="n">
        <v>0</v>
      </c>
      <c r="AB272" s="9" t="n">
        <v>0</v>
      </c>
      <c r="AC272" s="9" t="n">
        <v>0</v>
      </c>
      <c r="AD272" s="9" t="n">
        <v>0</v>
      </c>
      <c r="AE272" s="9" t="n">
        <v>0</v>
      </c>
      <c r="AF272" s="9" t="n">
        <v>0</v>
      </c>
      <c r="AG272" s="9" t="n">
        <v>0</v>
      </c>
      <c r="AH272" s="9" t="n">
        <v>0</v>
      </c>
      <c r="AI272" s="9" t="n">
        <v>0</v>
      </c>
      <c r="AJ272" s="9" t="n">
        <v>0</v>
      </c>
      <c r="AK272" s="9" t="n">
        <v>0</v>
      </c>
      <c r="AL272" s="9" t="n">
        <v>0</v>
      </c>
      <c r="AM272" s="9" t="n">
        <v>0</v>
      </c>
      <c r="AN272" s="9" t="n">
        <v>0</v>
      </c>
      <c r="AO272" s="9" t="n">
        <v>0</v>
      </c>
      <c r="AP272" s="9" t="n">
        <v>0</v>
      </c>
      <c r="AQ272" s="9" t="n">
        <v>0</v>
      </c>
      <c r="AR272" s="9" t="n">
        <v>0</v>
      </c>
      <c r="AS272" s="9" t="n">
        <v>0</v>
      </c>
      <c r="AT272" s="9" t="n">
        <v>0</v>
      </c>
      <c r="AU272" s="9" t="n">
        <v>0</v>
      </c>
      <c r="AV272" s="9" t="n">
        <v>0</v>
      </c>
      <c r="AW272" s="9" t="n">
        <v>0</v>
      </c>
      <c r="AX272" s="9" t="n">
        <v>0</v>
      </c>
      <c r="AY272" s="9" t="n">
        <v>0</v>
      </c>
    </row>
    <row r="273">
      <c r="A273" s="9" t="n">
        <v>279</v>
      </c>
      <c r="B273" s="9" t="inlineStr">
        <is>
          <t>КО147</t>
        </is>
      </c>
      <c r="C273" s="9" t="inlineStr"/>
      <c r="D273" s="9" t="inlineStr">
        <is>
          <t>КОНФЕТЫ В КОРОБКАХ</t>
        </is>
      </c>
      <c r="E273" s="9" t="inlineStr">
        <is>
          <t>Федеральный</t>
        </is>
      </c>
      <c r="F273" s="9" t="n">
        <v>353.0999999999999</v>
      </c>
      <c r="G273" s="9" t="n">
        <v>0</v>
      </c>
      <c r="H273" s="9" t="n">
        <v>4958.785</v>
      </c>
      <c r="I273" s="9" t="n">
        <v>2337.32</v>
      </c>
      <c r="J273" s="9" t="n">
        <v>2103</v>
      </c>
      <c r="K273" s="9" t="n">
        <v>141.2</v>
      </c>
      <c r="L273" s="9" t="n">
        <v>684</v>
      </c>
      <c r="M273" s="9" t="n">
        <v>0.4980289346867846</v>
      </c>
      <c r="N273" s="9" t="n">
        <v>257.6243747925614</v>
      </c>
      <c r="O273" s="9" t="n">
        <v>68.90400000000001</v>
      </c>
      <c r="P273" s="9" t="n">
        <v>0</v>
      </c>
      <c r="Q273" s="9" t="n">
        <v>2.920913537149305</v>
      </c>
      <c r="R273" s="9" t="n">
        <v>5.171667665939124</v>
      </c>
      <c r="S273" s="9" t="n">
        <v>0</v>
      </c>
      <c r="T273" s="9" t="n">
        <v>1154</v>
      </c>
      <c r="U273" s="9" t="n">
        <v>0.7006942473255969</v>
      </c>
      <c r="V273" s="9" t="n">
        <v>602.8304704978435</v>
      </c>
      <c r="W273" s="9" t="n">
        <v>68.90400000000001</v>
      </c>
      <c r="X273" s="9" t="n">
        <v>0</v>
      </c>
      <c r="Y273" s="9" t="n">
        <v>6.454301675570973</v>
      </c>
      <c r="Z273" s="9" t="n">
        <v>15.3001162959654</v>
      </c>
      <c r="AA273" s="9" t="n">
        <v>0</v>
      </c>
      <c r="AB273" s="9" t="n">
        <v>1067</v>
      </c>
      <c r="AC273" s="9" t="n">
        <v>1.011104352768731</v>
      </c>
      <c r="AD273" s="9" t="n">
        <v>836.5403612075332</v>
      </c>
      <c r="AE273" s="9" t="n">
        <v>68.90400000000001</v>
      </c>
      <c r="AF273" s="9" t="n">
        <v>0</v>
      </c>
      <c r="AG273" s="9" t="n">
        <v>9.612085612457694</v>
      </c>
      <c r="AH273" s="9" t="n">
        <v>15.46627919523041</v>
      </c>
      <c r="AI273" s="9" t="n">
        <v>0</v>
      </c>
      <c r="AJ273" s="9" t="n">
        <v>468</v>
      </c>
      <c r="AK273" s="9" t="n">
        <v>2.003954604130658</v>
      </c>
      <c r="AL273" s="9" t="n">
        <v>832.7520580189808</v>
      </c>
      <c r="AM273" s="9" t="n">
        <v>68.90400000000001</v>
      </c>
      <c r="AN273" s="9" t="n">
        <v>0</v>
      </c>
      <c r="AO273" s="9" t="n">
        <v>8.656258696980451</v>
      </c>
      <c r="AP273" s="9" t="n">
        <v>11.14088219023098</v>
      </c>
      <c r="AQ273" s="9" t="n">
        <v>0</v>
      </c>
      <c r="AR273" s="9" t="n">
        <v>800.2</v>
      </c>
      <c r="AS273" s="9" t="n">
        <v>0.9562119153052514</v>
      </c>
      <c r="AT273" s="9" t="n">
        <v>719.5171530090838</v>
      </c>
      <c r="AU273" s="9" t="n">
        <v>68.90400000000001</v>
      </c>
      <c r="AV273" s="9" t="n">
        <v>0</v>
      </c>
      <c r="AW273" s="9" t="n">
        <v>1.460456768574655</v>
      </c>
      <c r="AX273" s="9" t="n">
        <v>2.657712109636691</v>
      </c>
      <c r="AY273" s="9" t="n">
        <v>0</v>
      </c>
    </row>
    <row r="274">
      <c r="A274" s="9" t="n">
        <v>280</v>
      </c>
      <c r="B274" s="9" t="inlineStr">
        <is>
          <t>КО173</t>
        </is>
      </c>
      <c r="C274" s="9" t="inlineStr"/>
      <c r="D274" s="9" t="inlineStr">
        <is>
          <t>КОНФЕТЫ В КОРОБКАХ</t>
        </is>
      </c>
      <c r="E274" s="9" t="inlineStr">
        <is>
          <t>Федеральный</t>
        </is>
      </c>
      <c r="F274" s="9" t="n">
        <v>0</v>
      </c>
      <c r="G274" s="9" t="n">
        <v>0</v>
      </c>
      <c r="H274" s="9" t="n">
        <v>3.5</v>
      </c>
      <c r="I274" s="9" t="n">
        <v>0</v>
      </c>
      <c r="J274" s="9" t="n">
        <v>0</v>
      </c>
      <c r="K274" s="9" t="n">
        <v>0</v>
      </c>
      <c r="L274" s="9" t="n">
        <v>0</v>
      </c>
      <c r="M274" s="9" t="n">
        <v>0</v>
      </c>
      <c r="N274" s="9" t="n">
        <v>0</v>
      </c>
      <c r="O274" s="9" t="n">
        <v>0</v>
      </c>
      <c r="P274" s="9" t="n">
        <v>0</v>
      </c>
      <c r="Q274" s="9" t="n">
        <v>0</v>
      </c>
      <c r="R274" s="9" t="n">
        <v>0</v>
      </c>
      <c r="S274" s="9" t="n">
        <v>0</v>
      </c>
      <c r="T274" s="9" t="n">
        <v>0</v>
      </c>
      <c r="U274" s="9" t="n">
        <v>0</v>
      </c>
      <c r="V274" s="9" t="n">
        <v>0</v>
      </c>
      <c r="W274" s="9" t="n">
        <v>0</v>
      </c>
      <c r="X274" s="9" t="n">
        <v>0</v>
      </c>
      <c r="Y274" s="9" t="n">
        <v>0</v>
      </c>
      <c r="Z274" s="9" t="n">
        <v>0</v>
      </c>
      <c r="AA274" s="9" t="n">
        <v>0</v>
      </c>
      <c r="AB274" s="9" t="n">
        <v>0</v>
      </c>
      <c r="AC274" s="9" t="n">
        <v>0</v>
      </c>
      <c r="AD274" s="9" t="n">
        <v>0</v>
      </c>
      <c r="AE274" s="9" t="n">
        <v>0</v>
      </c>
      <c r="AF274" s="9" t="n">
        <v>0</v>
      </c>
      <c r="AG274" s="9" t="n">
        <v>0</v>
      </c>
      <c r="AH274" s="9" t="n">
        <v>0</v>
      </c>
      <c r="AI274" s="9" t="n">
        <v>0</v>
      </c>
      <c r="AJ274" s="9" t="n">
        <v>0</v>
      </c>
      <c r="AK274" s="9" t="n">
        <v>0</v>
      </c>
      <c r="AL274" s="9" t="n">
        <v>0</v>
      </c>
      <c r="AM274" s="9" t="n">
        <v>0</v>
      </c>
      <c r="AN274" s="9" t="n">
        <v>0</v>
      </c>
      <c r="AO274" s="9" t="n">
        <v>0</v>
      </c>
      <c r="AP274" s="9" t="n">
        <v>0</v>
      </c>
      <c r="AQ274" s="9" t="n">
        <v>0</v>
      </c>
      <c r="AR274" s="9" t="n">
        <v>0</v>
      </c>
      <c r="AS274" s="9" t="n">
        <v>0</v>
      </c>
      <c r="AT274" s="9" t="n">
        <v>0</v>
      </c>
      <c r="AU274" s="9" t="n">
        <v>0</v>
      </c>
      <c r="AV274" s="9" t="n">
        <v>0</v>
      </c>
      <c r="AW274" s="9" t="n">
        <v>0</v>
      </c>
      <c r="AX274" s="9" t="n">
        <v>0</v>
      </c>
      <c r="AY274" s="9" t="n">
        <v>0</v>
      </c>
    </row>
    <row r="275">
      <c r="A275" s="9" t="n">
        <v>281</v>
      </c>
      <c r="B275" s="9" t="inlineStr">
        <is>
          <t>КО111</t>
        </is>
      </c>
      <c r="C275" s="9" t="inlineStr"/>
      <c r="D275" s="9" t="inlineStr">
        <is>
          <t>КОНФЕТЫ В КОРОБКАХ</t>
        </is>
      </c>
      <c r="E275" s="9" t="inlineStr">
        <is>
          <t>Федеральный</t>
        </is>
      </c>
      <c r="F275" s="9" t="n">
        <v>2482.65</v>
      </c>
      <c r="G275" s="9" t="n">
        <v>0</v>
      </c>
      <c r="H275" s="9" t="n">
        <v>0</v>
      </c>
      <c r="I275" s="9" t="n">
        <v>10.65</v>
      </c>
      <c r="J275" s="9" t="n">
        <v>565.54</v>
      </c>
      <c r="K275" s="9" t="n">
        <v>277.54</v>
      </c>
      <c r="L275" s="9" t="n">
        <v>503</v>
      </c>
      <c r="M275" s="9" t="n">
        <v>0</v>
      </c>
      <c r="N275" s="9" t="n">
        <v>0.6024380925611383</v>
      </c>
      <c r="O275" s="9" t="n">
        <v>27.36</v>
      </c>
      <c r="P275" s="9" t="n">
        <v>0</v>
      </c>
      <c r="Q275" s="9" t="n">
        <v>0</v>
      </c>
      <c r="R275" s="9" t="n">
        <v>0</v>
      </c>
      <c r="S275" s="9" t="n">
        <v>0</v>
      </c>
      <c r="T275" s="9" t="n">
        <v>659</v>
      </c>
      <c r="U275" s="9" t="n">
        <v>0</v>
      </c>
      <c r="V275" s="9" t="n">
        <v>1.208404137540977</v>
      </c>
      <c r="W275" s="9" t="n">
        <v>27.36</v>
      </c>
      <c r="X275" s="9" t="n">
        <v>0</v>
      </c>
      <c r="Y275" s="9" t="n">
        <v>0</v>
      </c>
      <c r="Z275" s="9" t="n">
        <v>0</v>
      </c>
      <c r="AA275" s="9" t="n">
        <v>0</v>
      </c>
      <c r="AB275" s="9" t="n">
        <v>529</v>
      </c>
      <c r="AC275" s="9" t="n">
        <v>0</v>
      </c>
      <c r="AD275" s="9" t="n">
        <v>1.657388289194789</v>
      </c>
      <c r="AE275" s="9" t="n">
        <v>27.36</v>
      </c>
      <c r="AF275" s="9" t="n">
        <v>0</v>
      </c>
      <c r="AG275" s="9" t="n">
        <v>0</v>
      </c>
      <c r="AH275" s="9" t="n">
        <v>0</v>
      </c>
      <c r="AI275" s="9" t="n">
        <v>0</v>
      </c>
      <c r="AJ275" s="9" t="n">
        <v>307</v>
      </c>
      <c r="AK275" s="9" t="n">
        <v>0</v>
      </c>
      <c r="AL275" s="9" t="n">
        <v>1.670075303253807</v>
      </c>
      <c r="AM275" s="9" t="n">
        <v>27.36</v>
      </c>
      <c r="AN275" s="9" t="n">
        <v>0</v>
      </c>
      <c r="AO275" s="9" t="n">
        <v>0</v>
      </c>
      <c r="AP275" s="9" t="n">
        <v>0</v>
      </c>
      <c r="AQ275" s="9" t="n">
        <v>0</v>
      </c>
      <c r="AR275" s="9" t="n">
        <v>263</v>
      </c>
      <c r="AS275" s="9" t="n">
        <v>0</v>
      </c>
      <c r="AT275" s="9" t="n">
        <v>1.758183529795453</v>
      </c>
      <c r="AU275" s="9" t="n">
        <v>27.36</v>
      </c>
      <c r="AV275" s="9" t="n">
        <v>0</v>
      </c>
      <c r="AW275" s="9" t="n">
        <v>0</v>
      </c>
      <c r="AX275" s="9" t="n">
        <v>0</v>
      </c>
      <c r="AY275" s="9" t="n">
        <v>0</v>
      </c>
    </row>
    <row r="276">
      <c r="A276" s="9" t="n">
        <v>282</v>
      </c>
      <c r="B276" s="9" t="inlineStr">
        <is>
          <t>КО105</t>
        </is>
      </c>
      <c r="C276" s="9" t="inlineStr"/>
      <c r="D276" s="9" t="inlineStr">
        <is>
          <t>КОНФЕТЫ В КОРОБКАХ</t>
        </is>
      </c>
      <c r="E276" s="9" t="inlineStr">
        <is>
          <t>Федеральный</t>
        </is>
      </c>
      <c r="F276" s="9" t="n">
        <v>1737.06</v>
      </c>
      <c r="G276" s="9" t="n">
        <v>0</v>
      </c>
      <c r="H276" s="9" t="n">
        <v>5021.4</v>
      </c>
      <c r="I276" s="9" t="n">
        <v>2091.68</v>
      </c>
      <c r="J276" s="9" t="n">
        <v>2241.74</v>
      </c>
      <c r="K276" s="9" t="n">
        <v>1019.5</v>
      </c>
      <c r="L276" s="9" t="n">
        <v>1994.96</v>
      </c>
      <c r="M276" s="9" t="n">
        <v>49.29890627567716</v>
      </c>
      <c r="N276" s="9" t="n">
        <v>138.5261150370605</v>
      </c>
      <c r="O276" s="9" t="n">
        <v>56.51200000000001</v>
      </c>
      <c r="P276" s="9" t="n">
        <v>0</v>
      </c>
      <c r="Q276" s="9" t="n">
        <v>2.290941117921347</v>
      </c>
      <c r="R276" s="9" t="n">
        <v>13.74083737933776</v>
      </c>
      <c r="S276" s="9" t="n">
        <v>0</v>
      </c>
      <c r="T276" s="9" t="n">
        <v>864.6799999999999</v>
      </c>
      <c r="U276" s="9" t="n">
        <v>124.9206424452448</v>
      </c>
      <c r="V276" s="9" t="n">
        <v>495.1734542259949</v>
      </c>
      <c r="W276" s="9" t="n">
        <v>65.512</v>
      </c>
      <c r="X276" s="9" t="n">
        <v>0</v>
      </c>
      <c r="Y276" s="9" t="n">
        <v>5.062260456523183</v>
      </c>
      <c r="Z276" s="9" t="n">
        <v>38.25987796760989</v>
      </c>
      <c r="AA276" s="9" t="n">
        <v>0</v>
      </c>
      <c r="AB276" s="9" t="n">
        <v>1827.8</v>
      </c>
      <c r="AC276" s="9" t="n">
        <v>112.3880438750748</v>
      </c>
      <c r="AD276" s="9" t="n">
        <v>424.9975273535408</v>
      </c>
      <c r="AE276" s="9" t="n">
        <v>80.71200000000002</v>
      </c>
      <c r="AF276" s="9" t="n">
        <v>0</v>
      </c>
      <c r="AG276" s="9" t="n">
        <v>7.538984594542594</v>
      </c>
      <c r="AH276" s="9" t="n">
        <v>31.807287575338</v>
      </c>
      <c r="AI276" s="9" t="n">
        <v>0</v>
      </c>
      <c r="AJ276" s="9" t="n">
        <v>1682.8</v>
      </c>
      <c r="AK276" s="9" t="n">
        <v>121.2366714812822</v>
      </c>
      <c r="AL276" s="9" t="n">
        <v>416.9181994499493</v>
      </c>
      <c r="AM276" s="9" t="n">
        <v>63.61200000000001</v>
      </c>
      <c r="AN276" s="9" t="n">
        <v>0</v>
      </c>
      <c r="AO276" s="9" t="n">
        <v>6.789307086313491</v>
      </c>
      <c r="AP276" s="9" t="n">
        <v>3.887661860882097</v>
      </c>
      <c r="AQ276" s="9" t="n">
        <v>0</v>
      </c>
      <c r="AR276" s="9" t="n">
        <v>350</v>
      </c>
      <c r="AS276" s="9" t="n">
        <v>113.0877616389736</v>
      </c>
      <c r="AT276" s="9" t="n">
        <v>422.1449099113224</v>
      </c>
      <c r="AU276" s="9" t="n">
        <v>52.21200000000001</v>
      </c>
      <c r="AV276" s="9" t="n">
        <v>0</v>
      </c>
      <c r="AW276" s="9" t="n">
        <v>1.145470558960676</v>
      </c>
      <c r="AX276" s="9" t="n">
        <v>1.192850643170632</v>
      </c>
      <c r="AY276" s="9" t="n">
        <v>0</v>
      </c>
    </row>
    <row r="277">
      <c r="A277" s="9" t="n">
        <v>283</v>
      </c>
      <c r="B277" s="9" t="inlineStr">
        <is>
          <t>КО131</t>
        </is>
      </c>
      <c r="C277" s="9" t="inlineStr"/>
      <c r="D277" s="9" t="inlineStr">
        <is>
          <t>КОНФЕТЫ В КОРОБКАХ</t>
        </is>
      </c>
      <c r="E277" s="9" t="inlineStr">
        <is>
          <t>Федеральный</t>
        </is>
      </c>
      <c r="F277" s="9" t="n">
        <v>0</v>
      </c>
      <c r="G277" s="9" t="n">
        <v>0</v>
      </c>
      <c r="H277" s="9" t="n">
        <v>0</v>
      </c>
      <c r="I277" s="9" t="n">
        <v>0</v>
      </c>
      <c r="J277" s="9" t="n">
        <v>0</v>
      </c>
      <c r="K277" s="9" t="n">
        <v>0</v>
      </c>
      <c r="L277" s="9" t="n">
        <v>0</v>
      </c>
      <c r="M277" s="9" t="n">
        <v>0</v>
      </c>
      <c r="N277" s="9" t="n">
        <v>0</v>
      </c>
      <c r="O277" s="9" t="n">
        <v>0</v>
      </c>
      <c r="P277" s="9" t="n">
        <v>0</v>
      </c>
      <c r="Q277" s="9" t="n">
        <v>0</v>
      </c>
      <c r="R277" s="9" t="n">
        <v>0</v>
      </c>
      <c r="S277" s="9" t="n">
        <v>0</v>
      </c>
      <c r="T277" s="9" t="n">
        <v>0</v>
      </c>
      <c r="U277" s="9" t="n">
        <v>0</v>
      </c>
      <c r="V277" s="9" t="n">
        <v>0</v>
      </c>
      <c r="W277" s="9" t="n">
        <v>0</v>
      </c>
      <c r="X277" s="9" t="n">
        <v>0</v>
      </c>
      <c r="Y277" s="9" t="n">
        <v>0</v>
      </c>
      <c r="Z277" s="9" t="n">
        <v>0</v>
      </c>
      <c r="AA277" s="9" t="n">
        <v>0</v>
      </c>
      <c r="AB277" s="9" t="n">
        <v>0</v>
      </c>
      <c r="AC277" s="9" t="n">
        <v>0</v>
      </c>
      <c r="AD277" s="9" t="n">
        <v>0</v>
      </c>
      <c r="AE277" s="9" t="n">
        <v>0</v>
      </c>
      <c r="AF277" s="9" t="n">
        <v>0</v>
      </c>
      <c r="AG277" s="9" t="n">
        <v>0</v>
      </c>
      <c r="AH277" s="9" t="n">
        <v>0</v>
      </c>
      <c r="AI277" s="9" t="n">
        <v>0</v>
      </c>
      <c r="AJ277" s="9" t="n">
        <v>0</v>
      </c>
      <c r="AK277" s="9" t="n">
        <v>0</v>
      </c>
      <c r="AL277" s="9" t="n">
        <v>0</v>
      </c>
      <c r="AM277" s="9" t="n">
        <v>0</v>
      </c>
      <c r="AN277" s="9" t="n">
        <v>0</v>
      </c>
      <c r="AO277" s="9" t="n">
        <v>0</v>
      </c>
      <c r="AP277" s="9" t="n">
        <v>0</v>
      </c>
      <c r="AQ277" s="9" t="n">
        <v>0</v>
      </c>
      <c r="AR277" s="9" t="n">
        <v>0</v>
      </c>
      <c r="AS277" s="9" t="n">
        <v>0</v>
      </c>
      <c r="AT277" s="9" t="n">
        <v>0</v>
      </c>
      <c r="AU277" s="9" t="n">
        <v>0</v>
      </c>
      <c r="AV277" s="9" t="n">
        <v>0</v>
      </c>
      <c r="AW277" s="9" t="n">
        <v>0</v>
      </c>
      <c r="AX277" s="9" t="n">
        <v>0</v>
      </c>
      <c r="AY277" s="9" t="n">
        <v>0</v>
      </c>
    </row>
    <row r="278">
      <c r="A278" s="9" t="n">
        <v>284</v>
      </c>
      <c r="B278" s="9" t="inlineStr">
        <is>
          <t>КО157</t>
        </is>
      </c>
      <c r="C278" s="9" t="inlineStr"/>
      <c r="D278" s="9" t="inlineStr">
        <is>
          <t>КОНФЕТЫ В КОРОБКАХ</t>
        </is>
      </c>
      <c r="E278" s="9" t="inlineStr">
        <is>
          <t>Федеральный</t>
        </is>
      </c>
      <c r="F278" s="9" t="n">
        <v>0</v>
      </c>
      <c r="G278" s="9" t="n">
        <v>0</v>
      </c>
      <c r="H278" s="9" t="n">
        <v>0</v>
      </c>
      <c r="I278" s="9" t="n">
        <v>0</v>
      </c>
      <c r="J278" s="9" t="n">
        <v>0</v>
      </c>
      <c r="K278" s="9" t="n">
        <v>0</v>
      </c>
      <c r="L278" s="9" t="n">
        <v>0</v>
      </c>
      <c r="M278" s="9" t="n">
        <v>0</v>
      </c>
      <c r="N278" s="9" t="n">
        <v>0</v>
      </c>
      <c r="O278" s="9" t="n">
        <v>0</v>
      </c>
      <c r="P278" s="9" t="n">
        <v>0</v>
      </c>
      <c r="Q278" s="9" t="n">
        <v>0</v>
      </c>
      <c r="R278" s="9" t="n">
        <v>0</v>
      </c>
      <c r="S278" s="9" t="n">
        <v>0</v>
      </c>
      <c r="T278" s="9" t="n">
        <v>0</v>
      </c>
      <c r="U278" s="9" t="n">
        <v>0</v>
      </c>
      <c r="V278" s="9" t="n">
        <v>0</v>
      </c>
      <c r="W278" s="9" t="n">
        <v>0</v>
      </c>
      <c r="X278" s="9" t="n">
        <v>0</v>
      </c>
      <c r="Y278" s="9" t="n">
        <v>0</v>
      </c>
      <c r="Z278" s="9" t="n">
        <v>0</v>
      </c>
      <c r="AA278" s="9" t="n">
        <v>0</v>
      </c>
      <c r="AB278" s="9" t="n">
        <v>0</v>
      </c>
      <c r="AC278" s="9" t="n">
        <v>0</v>
      </c>
      <c r="AD278" s="9" t="n">
        <v>0</v>
      </c>
      <c r="AE278" s="9" t="n">
        <v>0</v>
      </c>
      <c r="AF278" s="9" t="n">
        <v>0</v>
      </c>
      <c r="AG278" s="9" t="n">
        <v>0</v>
      </c>
      <c r="AH278" s="9" t="n">
        <v>0</v>
      </c>
      <c r="AI278" s="9" t="n">
        <v>0</v>
      </c>
      <c r="AJ278" s="9" t="n">
        <v>0</v>
      </c>
      <c r="AK278" s="9" t="n">
        <v>0</v>
      </c>
      <c r="AL278" s="9" t="n">
        <v>0</v>
      </c>
      <c r="AM278" s="9" t="n">
        <v>0</v>
      </c>
      <c r="AN278" s="9" t="n">
        <v>0</v>
      </c>
      <c r="AO278" s="9" t="n">
        <v>0</v>
      </c>
      <c r="AP278" s="9" t="n">
        <v>0</v>
      </c>
      <c r="AQ278" s="9" t="n">
        <v>0</v>
      </c>
      <c r="AR278" s="9" t="n">
        <v>0</v>
      </c>
      <c r="AS278" s="9" t="n">
        <v>0</v>
      </c>
      <c r="AT278" s="9" t="n">
        <v>0</v>
      </c>
      <c r="AU278" s="9" t="n">
        <v>0</v>
      </c>
      <c r="AV278" s="9" t="n">
        <v>0</v>
      </c>
      <c r="AW278" s="9" t="n">
        <v>0</v>
      </c>
      <c r="AX278" s="9" t="n">
        <v>0</v>
      </c>
      <c r="AY278" s="9" t="n">
        <v>0</v>
      </c>
    </row>
    <row r="279">
      <c r="A279" s="9" t="n">
        <v>285</v>
      </c>
      <c r="B279" s="9" t="inlineStr">
        <is>
          <t>ББ208</t>
        </is>
      </c>
      <c r="C279" s="9" t="inlineStr"/>
      <c r="D279" s="9" t="inlineStr">
        <is>
          <t>КОНФЕТЫ В КОРОБКАХ</t>
        </is>
      </c>
      <c r="E279" s="9" t="inlineStr">
        <is>
          <t>Федеральный</t>
        </is>
      </c>
      <c r="F279" s="9" t="n">
        <v>6613.799999999999</v>
      </c>
      <c r="G279" s="9" t="n">
        <v>0</v>
      </c>
      <c r="H279" s="9" t="n">
        <v>5141.685</v>
      </c>
      <c r="I279" s="9" t="n">
        <v>2284.99</v>
      </c>
      <c r="J279" s="9" t="n">
        <v>2170.17</v>
      </c>
      <c r="K279" s="9" t="n">
        <v>154.29</v>
      </c>
      <c r="L279" s="9" t="n">
        <v>1343.8</v>
      </c>
      <c r="M279" s="9" t="n">
        <v>70</v>
      </c>
      <c r="N279" s="9" t="n">
        <v>469.7596919119699</v>
      </c>
      <c r="O279" s="9" t="n">
        <v>15.84</v>
      </c>
      <c r="P279" s="9" t="n">
        <v>0</v>
      </c>
      <c r="Q279" s="9" t="n">
        <v>2.862844371174406</v>
      </c>
      <c r="R279" s="9" t="n">
        <v>63.05417152689532</v>
      </c>
      <c r="S279" s="9" t="n">
        <v>0</v>
      </c>
      <c r="T279" s="9" t="n">
        <v>281.1</v>
      </c>
      <c r="U279" s="9" t="n">
        <v>70</v>
      </c>
      <c r="V279" s="9" t="n">
        <v>1258.836110287942</v>
      </c>
      <c r="W279" s="9" t="n">
        <v>15.84</v>
      </c>
      <c r="X279" s="9" t="n">
        <v>0</v>
      </c>
      <c r="Y279" s="9" t="n">
        <v>6.325987053969202</v>
      </c>
      <c r="Z279" s="9" t="n">
        <v>145.1915820701756</v>
      </c>
      <c r="AA279" s="9" t="n">
        <v>0</v>
      </c>
      <c r="AB279" s="9" t="n">
        <v>277</v>
      </c>
      <c r="AC279" s="9" t="n">
        <v>70</v>
      </c>
      <c r="AD279" s="9" t="n">
        <v>1622.068933165965</v>
      </c>
      <c r="AE279" s="9" t="n">
        <v>15.84</v>
      </c>
      <c r="AF279" s="9" t="n">
        <v>0</v>
      </c>
      <c r="AG279" s="9" t="n">
        <v>9.420992727407938</v>
      </c>
      <c r="AH279" s="9" t="n">
        <v>145.9577834460411</v>
      </c>
      <c r="AI279" s="9" t="n">
        <v>0</v>
      </c>
      <c r="AJ279" s="9" t="n">
        <v>383</v>
      </c>
      <c r="AK279" s="9" t="n">
        <v>70</v>
      </c>
      <c r="AL279" s="9" t="n">
        <v>1640.784858580048</v>
      </c>
      <c r="AM279" s="9" t="n">
        <v>15.84</v>
      </c>
      <c r="AN279" s="9" t="n">
        <v>0</v>
      </c>
      <c r="AO279" s="9" t="n">
        <v>8.484168110729412</v>
      </c>
      <c r="AP279" s="9" t="n">
        <v>8.812515625694784</v>
      </c>
      <c r="AQ279" s="9" t="n">
        <v>0</v>
      </c>
      <c r="AR279" s="9" t="n">
        <v>601.5</v>
      </c>
      <c r="AS279" s="9" t="n">
        <v>70</v>
      </c>
      <c r="AT279" s="9" t="n">
        <v>1386.146853057438</v>
      </c>
      <c r="AU279" s="9" t="n">
        <v>15.84</v>
      </c>
      <c r="AV279" s="9" t="n">
        <v>0</v>
      </c>
      <c r="AW279" s="9" t="n">
        <v>1.431422185587206</v>
      </c>
      <c r="AX279" s="9" t="n">
        <v>2.642303540828236</v>
      </c>
      <c r="AY279" s="9" t="n">
        <v>0</v>
      </c>
    </row>
    <row r="280">
      <c r="A280" s="9" t="n">
        <v>286</v>
      </c>
      <c r="B280" s="9" t="inlineStr">
        <is>
          <t>КО097</t>
        </is>
      </c>
      <c r="C280" s="9" t="inlineStr"/>
      <c r="D280" s="9" t="inlineStr">
        <is>
          <t>КОНФЕТЫ В КОРОБКАХ</t>
        </is>
      </c>
      <c r="E280" s="9" t="inlineStr">
        <is>
          <t>Федеральный</t>
        </is>
      </c>
      <c r="F280" s="9" t="n">
        <v>5496.720000000001</v>
      </c>
      <c r="G280" s="9" t="n">
        <v>0</v>
      </c>
      <c r="H280" s="9" t="n">
        <v>0</v>
      </c>
      <c r="I280" s="9" t="n">
        <v>0</v>
      </c>
      <c r="J280" s="9" t="n">
        <v>0</v>
      </c>
      <c r="K280" s="9" t="n">
        <v>0</v>
      </c>
      <c r="L280" s="9" t="n">
        <v>0</v>
      </c>
      <c r="M280" s="9" t="n">
        <v>17.44184810086939</v>
      </c>
      <c r="N280" s="9" t="n">
        <v>58.50818857484266</v>
      </c>
      <c r="O280" s="9" t="n">
        <v>25.496</v>
      </c>
      <c r="P280" s="9" t="n">
        <v>0</v>
      </c>
      <c r="Q280" s="9" t="n">
        <v>3.919046861934687</v>
      </c>
      <c r="R280" s="9" t="n">
        <v>0</v>
      </c>
      <c r="S280" s="9" t="n">
        <v>0</v>
      </c>
      <c r="T280" s="9" t="n">
        <v>0</v>
      </c>
      <c r="U280" s="9" t="n">
        <v>41.4060745127131</v>
      </c>
      <c r="V280" s="9" t="n">
        <v>138.4695423240827</v>
      </c>
      <c r="W280" s="9" t="n">
        <v>29.996</v>
      </c>
      <c r="X280" s="9" t="n">
        <v>0</v>
      </c>
      <c r="Y280" s="9" t="n">
        <v>8.659862883963637</v>
      </c>
      <c r="Z280" s="9" t="n">
        <v>38.44906241974365</v>
      </c>
      <c r="AA280" s="9" t="n">
        <v>0</v>
      </c>
      <c r="AB280" s="9" t="n">
        <v>0</v>
      </c>
      <c r="AC280" s="9" t="n">
        <v>39.14482768562139</v>
      </c>
      <c r="AD280" s="9" t="n">
        <v>168.1092716380811</v>
      </c>
      <c r="AE280" s="9" t="n">
        <v>37.596</v>
      </c>
      <c r="AF280" s="9" t="n">
        <v>0</v>
      </c>
      <c r="AG280" s="9" t="n">
        <v>12.89672339733634</v>
      </c>
      <c r="AH280" s="9" t="n">
        <v>0</v>
      </c>
      <c r="AI280" s="9" t="n">
        <v>0</v>
      </c>
      <c r="AJ280" s="9" t="n">
        <v>0</v>
      </c>
      <c r="AK280" s="9" t="n">
        <v>42.62659202766314</v>
      </c>
      <c r="AL280" s="9" t="n">
        <v>167.9533216678818</v>
      </c>
      <c r="AM280" s="9" t="n">
        <v>29.046</v>
      </c>
      <c r="AN280" s="9" t="n">
        <v>0</v>
      </c>
      <c r="AO280" s="9" t="n">
        <v>11.61427171706179</v>
      </c>
      <c r="AP280" s="9" t="n">
        <v>0</v>
      </c>
      <c r="AQ280" s="9" t="n">
        <v>0</v>
      </c>
      <c r="AR280" s="9" t="n">
        <v>0</v>
      </c>
      <c r="AS280" s="9" t="n">
        <v>35.22196851120502</v>
      </c>
      <c r="AT280" s="9" t="n">
        <v>168.6373857331386</v>
      </c>
      <c r="AU280" s="9" t="n">
        <v>23.346</v>
      </c>
      <c r="AV280" s="9" t="n">
        <v>0</v>
      </c>
      <c r="AW280" s="9" t="n">
        <v>1.959523430967347</v>
      </c>
      <c r="AX280" s="9" t="n">
        <v>0</v>
      </c>
      <c r="AY280" s="9" t="n">
        <v>0</v>
      </c>
    </row>
    <row r="281">
      <c r="A281" s="9" t="n">
        <v>287</v>
      </c>
      <c r="B281" s="9" t="inlineStr">
        <is>
          <t>КО097</t>
        </is>
      </c>
      <c r="C281" s="9" t="inlineStr"/>
      <c r="D281" s="9" t="inlineStr">
        <is>
          <t>КОНФЕТЫ В КОРОБКАХ</t>
        </is>
      </c>
      <c r="E281" s="9" t="inlineStr">
        <is>
          <t>Федеральный</t>
        </is>
      </c>
      <c r="F281" s="9" t="n">
        <v>431.25</v>
      </c>
      <c r="G281" s="9" t="n">
        <v>0</v>
      </c>
      <c r="H281" s="9" t="n">
        <v>0</v>
      </c>
      <c r="I281" s="9" t="n">
        <v>0</v>
      </c>
      <c r="J281" s="9" t="n">
        <v>0</v>
      </c>
      <c r="K281" s="9" t="n">
        <v>0</v>
      </c>
      <c r="L281" s="9" t="n">
        <v>0</v>
      </c>
      <c r="M281" s="9" t="n">
        <v>0</v>
      </c>
      <c r="N281" s="9" t="n">
        <v>0</v>
      </c>
      <c r="O281" s="9" t="n">
        <v>0</v>
      </c>
      <c r="P281" s="9" t="n">
        <v>0</v>
      </c>
      <c r="Q281" s="9" t="n">
        <v>0</v>
      </c>
      <c r="R281" s="9" t="n">
        <v>0</v>
      </c>
      <c r="S281" s="9" t="n">
        <v>0</v>
      </c>
      <c r="T281" s="9" t="n">
        <v>0</v>
      </c>
      <c r="U281" s="9" t="n">
        <v>0</v>
      </c>
      <c r="V281" s="9" t="n">
        <v>0</v>
      </c>
      <c r="W281" s="9" t="n">
        <v>0</v>
      </c>
      <c r="X281" s="9" t="n">
        <v>0</v>
      </c>
      <c r="Y281" s="9" t="n">
        <v>0</v>
      </c>
      <c r="Z281" s="9" t="n">
        <v>0</v>
      </c>
      <c r="AA281" s="9" t="n">
        <v>0</v>
      </c>
      <c r="AB281" s="9" t="n">
        <v>0</v>
      </c>
      <c r="AC281" s="9" t="n">
        <v>0</v>
      </c>
      <c r="AD281" s="9" t="n">
        <v>0</v>
      </c>
      <c r="AE281" s="9" t="n">
        <v>0</v>
      </c>
      <c r="AF281" s="9" t="n">
        <v>0</v>
      </c>
      <c r="AG281" s="9" t="n">
        <v>0</v>
      </c>
      <c r="AH281" s="9" t="n">
        <v>0</v>
      </c>
      <c r="AI281" s="9" t="n">
        <v>0</v>
      </c>
      <c r="AJ281" s="9" t="n">
        <v>0</v>
      </c>
      <c r="AK281" s="9" t="n">
        <v>0</v>
      </c>
      <c r="AL281" s="9" t="n">
        <v>0</v>
      </c>
      <c r="AM281" s="9" t="n">
        <v>0</v>
      </c>
      <c r="AN281" s="9" t="n">
        <v>0</v>
      </c>
      <c r="AO281" s="9" t="n">
        <v>0</v>
      </c>
      <c r="AP281" s="9" t="n">
        <v>0</v>
      </c>
      <c r="AQ281" s="9" t="n">
        <v>0</v>
      </c>
      <c r="AR281" s="9" t="n">
        <v>0</v>
      </c>
      <c r="AS281" s="9" t="n">
        <v>0</v>
      </c>
      <c r="AT281" s="9" t="n">
        <v>0</v>
      </c>
      <c r="AU281" s="9" t="n">
        <v>0</v>
      </c>
      <c r="AV281" s="9" t="n">
        <v>0</v>
      </c>
      <c r="AW281" s="9" t="n">
        <v>0</v>
      </c>
      <c r="AX281" s="9" t="n">
        <v>0</v>
      </c>
      <c r="AY281" s="9" t="n">
        <v>0</v>
      </c>
    </row>
    <row r="282">
      <c r="A282" s="9" t="n">
        <v>288</v>
      </c>
      <c r="B282" s="9" t="inlineStr">
        <is>
          <t>ББ208</t>
        </is>
      </c>
      <c r="C282" s="9" t="inlineStr"/>
      <c r="D282" s="9" t="inlineStr">
        <is>
          <t>КОНФЕТЫ В КОРОБКАХ</t>
        </is>
      </c>
      <c r="E282" s="9" t="inlineStr">
        <is>
          <t>Федеральный</t>
        </is>
      </c>
      <c r="F282" s="9" t="n">
        <v>5904.300000000001</v>
      </c>
      <c r="G282" s="9" t="n">
        <v>0</v>
      </c>
      <c r="H282" s="9" t="n">
        <v>4657.515</v>
      </c>
      <c r="I282" s="9" t="n">
        <v>3398.25</v>
      </c>
      <c r="J282" s="9" t="n">
        <v>2912.08</v>
      </c>
      <c r="K282" s="9" t="n">
        <v>0</v>
      </c>
      <c r="L282" s="9" t="n">
        <v>345</v>
      </c>
      <c r="M282" s="9" t="n">
        <v>59.00437423904033</v>
      </c>
      <c r="N282" s="9" t="n">
        <v>724.1853665225362</v>
      </c>
      <c r="O282" s="9" t="n">
        <v>55.22</v>
      </c>
      <c r="P282" s="9" t="n">
        <v>0</v>
      </c>
      <c r="Q282" s="9" t="n">
        <v>1.119965701854831</v>
      </c>
      <c r="R282" s="9" t="n">
        <v>16.97159714545834</v>
      </c>
      <c r="S282" s="9" t="n">
        <v>0</v>
      </c>
      <c r="T282" s="9" t="n">
        <v>147</v>
      </c>
      <c r="U282" s="9" t="n">
        <v>149.5137497737383</v>
      </c>
      <c r="V282" s="9" t="n">
        <v>2065.034514625739</v>
      </c>
      <c r="W282" s="9" t="n">
        <v>59.72</v>
      </c>
      <c r="X282" s="9" t="n">
        <v>0</v>
      </c>
      <c r="Y282" s="9" t="n">
        <v>2.474772503234887</v>
      </c>
      <c r="Z282" s="9" t="n">
        <v>58.37867565663178</v>
      </c>
      <c r="AA282" s="9" t="n">
        <v>0</v>
      </c>
      <c r="AB282" s="9" t="n">
        <v>26</v>
      </c>
      <c r="AC282" s="9" t="n">
        <v>134.5138604843725</v>
      </c>
      <c r="AD282" s="9" t="n">
        <v>2764.030860330257</v>
      </c>
      <c r="AE282" s="9" t="n">
        <v>67.31999999999999</v>
      </c>
      <c r="AF282" s="9" t="n">
        <v>0</v>
      </c>
      <c r="AG282" s="9" t="n">
        <v>3.685561408213169</v>
      </c>
      <c r="AH282" s="9" t="n">
        <v>50.60380517242407</v>
      </c>
      <c r="AI282" s="9" t="n">
        <v>0</v>
      </c>
      <c r="AJ282" s="9" t="n">
        <v>11</v>
      </c>
      <c r="AK282" s="9" t="n">
        <v>143.6407161344738</v>
      </c>
      <c r="AL282" s="9" t="n">
        <v>2740.786202203731</v>
      </c>
      <c r="AM282" s="9" t="n">
        <v>58.77</v>
      </c>
      <c r="AN282" s="9" t="n">
        <v>0</v>
      </c>
      <c r="AO282" s="9" t="n">
        <v>3.31906875150517</v>
      </c>
      <c r="AP282" s="9" t="n">
        <v>32.8334871049673</v>
      </c>
      <c r="AQ282" s="9" t="n">
        <v>0</v>
      </c>
      <c r="AR282" s="9" t="n">
        <v>98</v>
      </c>
      <c r="AS282" s="9" t="n">
        <v>133.9859208389334</v>
      </c>
      <c r="AT282" s="9" t="n">
        <v>2396.184656351486</v>
      </c>
      <c r="AU282" s="9" t="n">
        <v>53.07</v>
      </c>
      <c r="AV282" s="9" t="n">
        <v>0</v>
      </c>
      <c r="AW282" s="9" t="n">
        <v>0.5599828509274164</v>
      </c>
      <c r="AX282" s="9" t="n">
        <v>10.35857322562513</v>
      </c>
      <c r="AY282" s="9" t="n">
        <v>0</v>
      </c>
    </row>
    <row r="283">
      <c r="A283" s="9" t="n">
        <v>289</v>
      </c>
      <c r="B283" s="9" t="inlineStr">
        <is>
          <t>КО097</t>
        </is>
      </c>
      <c r="C283" s="9" t="inlineStr"/>
      <c r="D283" s="9" t="inlineStr">
        <is>
          <t>КОНФЕТЫ В КОРОБКАХ</t>
        </is>
      </c>
      <c r="E283" s="9" t="inlineStr">
        <is>
          <t>Федеральный</t>
        </is>
      </c>
      <c r="F283" s="9" t="n">
        <v>7818.48</v>
      </c>
      <c r="G283" s="9" t="n">
        <v>0</v>
      </c>
      <c r="H283" s="9" t="n">
        <v>0</v>
      </c>
      <c r="I283" s="9" t="n">
        <v>0</v>
      </c>
      <c r="J283" s="9" t="n">
        <v>0</v>
      </c>
      <c r="K283" s="9" t="n">
        <v>163.1</v>
      </c>
      <c r="L283" s="9" t="n">
        <v>0</v>
      </c>
      <c r="M283" s="9" t="n">
        <v>4.276120195284967</v>
      </c>
      <c r="N283" s="9" t="n">
        <v>78.08129261170902</v>
      </c>
      <c r="O283" s="9" t="n">
        <v>13.104</v>
      </c>
      <c r="P283" s="9" t="n">
        <v>0</v>
      </c>
      <c r="Q283" s="9" t="n">
        <v>0</v>
      </c>
      <c r="R283" s="9" t="n">
        <v>3.500170903935465</v>
      </c>
      <c r="S283" s="9" t="n">
        <v>0</v>
      </c>
      <c r="T283" s="9" t="n">
        <v>0</v>
      </c>
      <c r="U283" s="9" t="n">
        <v>10.83544691602281</v>
      </c>
      <c r="V283" s="9" t="n">
        <v>210.5101593991261</v>
      </c>
      <c r="W283" s="9" t="n">
        <v>13.104</v>
      </c>
      <c r="X283" s="9" t="n">
        <v>0</v>
      </c>
      <c r="Y283" s="9" t="n">
        <v>0</v>
      </c>
      <c r="Z283" s="9" t="n">
        <v>49.45930737528248</v>
      </c>
      <c r="AA283" s="9" t="n">
        <v>0</v>
      </c>
      <c r="AB283" s="9" t="n">
        <v>0</v>
      </c>
      <c r="AC283" s="9" t="n">
        <v>9.748386332049082</v>
      </c>
      <c r="AD283" s="9" t="n">
        <v>307.5373982646026</v>
      </c>
      <c r="AE283" s="9" t="n">
        <v>13.104</v>
      </c>
      <c r="AF283" s="9" t="n">
        <v>0</v>
      </c>
      <c r="AG283" s="9" t="n">
        <v>0</v>
      </c>
      <c r="AH283" s="9" t="n">
        <v>10.65711659549729</v>
      </c>
      <c r="AI283" s="9" t="n">
        <v>0</v>
      </c>
      <c r="AJ283" s="9" t="n">
        <v>0</v>
      </c>
      <c r="AK283" s="9" t="n">
        <v>10.40982088276119</v>
      </c>
      <c r="AL283" s="9" t="n">
        <v>486.1721419918759</v>
      </c>
      <c r="AM283" s="9" t="n">
        <v>13.104</v>
      </c>
      <c r="AN283" s="9" t="n">
        <v>0</v>
      </c>
      <c r="AO283" s="9" t="n">
        <v>0</v>
      </c>
      <c r="AP283" s="9" t="n">
        <v>7.676680278383011</v>
      </c>
      <c r="AQ283" s="9" t="n">
        <v>0</v>
      </c>
      <c r="AR283" s="9" t="n">
        <v>45</v>
      </c>
      <c r="AS283" s="9" t="n">
        <v>9.710125891041638</v>
      </c>
      <c r="AT283" s="9" t="n">
        <v>309.9960347721522</v>
      </c>
      <c r="AU283" s="9" t="n">
        <v>13.104</v>
      </c>
      <c r="AV283" s="9" t="n">
        <v>0</v>
      </c>
      <c r="AW283" s="9" t="n">
        <v>0</v>
      </c>
      <c r="AX283" s="9" t="n">
        <v>2.301739973343708</v>
      </c>
      <c r="AY283" s="9" t="n">
        <v>0</v>
      </c>
    </row>
    <row r="284">
      <c r="A284" s="9" t="n">
        <v>290</v>
      </c>
      <c r="B284" s="9" t="inlineStr">
        <is>
          <t>ББ207</t>
        </is>
      </c>
      <c r="C284" s="9" t="inlineStr"/>
      <c r="D284" s="9" t="inlineStr">
        <is>
          <t>КОНФЕТЫ В КОРОБКАХ</t>
        </is>
      </c>
      <c r="E284" s="9" t="inlineStr">
        <is>
          <t>Федеральный</t>
        </is>
      </c>
      <c r="F284" s="9" t="n">
        <v>0.75</v>
      </c>
      <c r="G284" s="9" t="n">
        <v>0</v>
      </c>
      <c r="H284" s="9" t="n">
        <v>0</v>
      </c>
      <c r="I284" s="9" t="n">
        <v>0</v>
      </c>
      <c r="J284" s="9" t="n">
        <v>0</v>
      </c>
      <c r="K284" s="9" t="n">
        <v>0</v>
      </c>
      <c r="L284" s="9" t="n">
        <v>0</v>
      </c>
      <c r="M284" s="9" t="n">
        <v>0</v>
      </c>
      <c r="N284" s="9" t="n">
        <v>0</v>
      </c>
      <c r="O284" s="9" t="n">
        <v>0</v>
      </c>
      <c r="P284" s="9" t="n">
        <v>0</v>
      </c>
      <c r="Q284" s="9" t="n">
        <v>0</v>
      </c>
      <c r="R284" s="9" t="n">
        <v>0</v>
      </c>
      <c r="S284" s="9" t="n">
        <v>0</v>
      </c>
      <c r="T284" s="9" t="n">
        <v>0</v>
      </c>
      <c r="U284" s="9" t="n">
        <v>0</v>
      </c>
      <c r="V284" s="9" t="n">
        <v>0</v>
      </c>
      <c r="W284" s="9" t="n">
        <v>0</v>
      </c>
      <c r="X284" s="9" t="n">
        <v>0</v>
      </c>
      <c r="Y284" s="9" t="n">
        <v>0</v>
      </c>
      <c r="Z284" s="9" t="n">
        <v>0</v>
      </c>
      <c r="AA284" s="9" t="n">
        <v>0</v>
      </c>
      <c r="AB284" s="9" t="n">
        <v>0</v>
      </c>
      <c r="AC284" s="9" t="n">
        <v>0</v>
      </c>
      <c r="AD284" s="9" t="n">
        <v>0</v>
      </c>
      <c r="AE284" s="9" t="n">
        <v>0</v>
      </c>
      <c r="AF284" s="9" t="n">
        <v>0</v>
      </c>
      <c r="AG284" s="9" t="n">
        <v>0</v>
      </c>
      <c r="AH284" s="9" t="n">
        <v>0</v>
      </c>
      <c r="AI284" s="9" t="n">
        <v>0</v>
      </c>
      <c r="AJ284" s="9" t="n">
        <v>0</v>
      </c>
      <c r="AK284" s="9" t="n">
        <v>0</v>
      </c>
      <c r="AL284" s="9" t="n">
        <v>0</v>
      </c>
      <c r="AM284" s="9" t="n">
        <v>0</v>
      </c>
      <c r="AN284" s="9" t="n">
        <v>0</v>
      </c>
      <c r="AO284" s="9" t="n">
        <v>0</v>
      </c>
      <c r="AP284" s="9" t="n">
        <v>0</v>
      </c>
      <c r="AQ284" s="9" t="n">
        <v>0</v>
      </c>
      <c r="AR284" s="9" t="n">
        <v>0</v>
      </c>
      <c r="AS284" s="9" t="n">
        <v>0</v>
      </c>
      <c r="AT284" s="9" t="n">
        <v>0</v>
      </c>
      <c r="AU284" s="9" t="n">
        <v>0</v>
      </c>
      <c r="AV284" s="9" t="n">
        <v>0</v>
      </c>
      <c r="AW284" s="9" t="n">
        <v>0</v>
      </c>
      <c r="AX284" s="9" t="n">
        <v>0</v>
      </c>
      <c r="AY284" s="9" t="n">
        <v>0</v>
      </c>
    </row>
    <row r="285">
      <c r="A285" s="9" t="n">
        <v>291</v>
      </c>
      <c r="B285" s="9" t="inlineStr">
        <is>
          <t>ББ213</t>
        </is>
      </c>
      <c r="C285" s="9" t="inlineStr"/>
      <c r="D285" s="9" t="inlineStr">
        <is>
          <t>КОНФЕТЫ В КОРОБКАХ</t>
        </is>
      </c>
      <c r="E285" s="9" t="inlineStr">
        <is>
          <t>Федеральный</t>
        </is>
      </c>
      <c r="F285" s="9" t="n">
        <v>119.7</v>
      </c>
      <c r="G285" s="9" t="n">
        <v>0</v>
      </c>
      <c r="H285" s="9" t="n">
        <v>0</v>
      </c>
      <c r="I285" s="9" t="n">
        <v>0</v>
      </c>
      <c r="J285" s="9" t="n">
        <v>0</v>
      </c>
      <c r="K285" s="9" t="n">
        <v>0</v>
      </c>
      <c r="L285" s="9" t="n">
        <v>0</v>
      </c>
      <c r="M285" s="9" t="n">
        <v>0</v>
      </c>
      <c r="N285" s="9" t="n">
        <v>0</v>
      </c>
      <c r="O285" s="9" t="n">
        <v>0</v>
      </c>
      <c r="P285" s="9" t="n">
        <v>0</v>
      </c>
      <c r="Q285" s="9" t="n">
        <v>0</v>
      </c>
      <c r="R285" s="9" t="n">
        <v>0</v>
      </c>
      <c r="S285" s="9" t="n">
        <v>0</v>
      </c>
      <c r="T285" s="9" t="n">
        <v>0</v>
      </c>
      <c r="U285" s="9" t="n">
        <v>0</v>
      </c>
      <c r="V285" s="9" t="n">
        <v>0</v>
      </c>
      <c r="W285" s="9" t="n">
        <v>0</v>
      </c>
      <c r="X285" s="9" t="n">
        <v>0</v>
      </c>
      <c r="Y285" s="9" t="n">
        <v>0</v>
      </c>
      <c r="Z285" s="9" t="n">
        <v>0</v>
      </c>
      <c r="AA285" s="9" t="n">
        <v>0</v>
      </c>
      <c r="AB285" s="9" t="n">
        <v>0</v>
      </c>
      <c r="AC285" s="9" t="n">
        <v>0</v>
      </c>
      <c r="AD285" s="9" t="n">
        <v>0</v>
      </c>
      <c r="AE285" s="9" t="n">
        <v>0</v>
      </c>
      <c r="AF285" s="9" t="n">
        <v>0</v>
      </c>
      <c r="AG285" s="9" t="n">
        <v>0</v>
      </c>
      <c r="AH285" s="9" t="n">
        <v>0</v>
      </c>
      <c r="AI285" s="9" t="n">
        <v>0</v>
      </c>
      <c r="AJ285" s="9" t="n">
        <v>0</v>
      </c>
      <c r="AK285" s="9" t="n">
        <v>0</v>
      </c>
      <c r="AL285" s="9" t="n">
        <v>0</v>
      </c>
      <c r="AM285" s="9" t="n">
        <v>0</v>
      </c>
      <c r="AN285" s="9" t="n">
        <v>0</v>
      </c>
      <c r="AO285" s="9" t="n">
        <v>0</v>
      </c>
      <c r="AP285" s="9" t="n">
        <v>0</v>
      </c>
      <c r="AQ285" s="9" t="n">
        <v>0</v>
      </c>
      <c r="AR285" s="9" t="n">
        <v>0</v>
      </c>
      <c r="AS285" s="9" t="n">
        <v>0</v>
      </c>
      <c r="AT285" s="9" t="n">
        <v>0</v>
      </c>
      <c r="AU285" s="9" t="n">
        <v>0</v>
      </c>
      <c r="AV285" s="9" t="n">
        <v>0</v>
      </c>
      <c r="AW285" s="9" t="n">
        <v>0</v>
      </c>
      <c r="AX285" s="9" t="n">
        <v>0</v>
      </c>
      <c r="AY285" s="9" t="n">
        <v>0</v>
      </c>
    </row>
    <row r="286">
      <c r="A286" s="9" t="n">
        <v>292</v>
      </c>
      <c r="B286" s="9" t="inlineStr">
        <is>
          <t>КО097</t>
        </is>
      </c>
      <c r="C286" s="9" t="inlineStr"/>
      <c r="D286" s="9" t="inlineStr">
        <is>
          <t>КОНФЕТЫ В КОРОБКАХ</t>
        </is>
      </c>
      <c r="E286" s="9" t="inlineStr">
        <is>
          <t>Федеральный</t>
        </is>
      </c>
      <c r="F286" s="9" t="n">
        <v>612</v>
      </c>
      <c r="G286" s="9" t="n">
        <v>0</v>
      </c>
      <c r="H286" s="9" t="n">
        <v>0</v>
      </c>
      <c r="I286" s="9" t="n">
        <v>0</v>
      </c>
      <c r="J286" s="9" t="n">
        <v>0</v>
      </c>
      <c r="K286" s="9" t="n">
        <v>0</v>
      </c>
      <c r="L286" s="9" t="n">
        <v>33</v>
      </c>
      <c r="M286" s="9" t="n">
        <v>0</v>
      </c>
      <c r="N286" s="9" t="n">
        <v>0</v>
      </c>
      <c r="O286" s="9" t="n">
        <v>0</v>
      </c>
      <c r="P286" s="9" t="n">
        <v>0</v>
      </c>
      <c r="Q286" s="9" t="n">
        <v>0</v>
      </c>
      <c r="R286" s="9" t="n">
        <v>0</v>
      </c>
      <c r="S286" s="9" t="n">
        <v>0</v>
      </c>
      <c r="T286" s="9" t="n">
        <v>57</v>
      </c>
      <c r="U286" s="9" t="n">
        <v>0</v>
      </c>
      <c r="V286" s="9" t="n">
        <v>0</v>
      </c>
      <c r="W286" s="9" t="n">
        <v>0</v>
      </c>
      <c r="X286" s="9" t="n">
        <v>0</v>
      </c>
      <c r="Y286" s="9" t="n">
        <v>0</v>
      </c>
      <c r="Z286" s="9" t="n">
        <v>0</v>
      </c>
      <c r="AA286" s="9" t="n">
        <v>0</v>
      </c>
      <c r="AB286" s="9" t="n">
        <v>67</v>
      </c>
      <c r="AC286" s="9" t="n">
        <v>0</v>
      </c>
      <c r="AD286" s="9" t="n">
        <v>0</v>
      </c>
      <c r="AE286" s="9" t="n">
        <v>0</v>
      </c>
      <c r="AF286" s="9" t="n">
        <v>0</v>
      </c>
      <c r="AG286" s="9" t="n">
        <v>0</v>
      </c>
      <c r="AH286" s="9" t="n">
        <v>0</v>
      </c>
      <c r="AI286" s="9" t="n">
        <v>0</v>
      </c>
      <c r="AJ286" s="9" t="n">
        <v>74</v>
      </c>
      <c r="AK286" s="9" t="n">
        <v>0</v>
      </c>
      <c r="AL286" s="9" t="n">
        <v>0</v>
      </c>
      <c r="AM286" s="9" t="n">
        <v>0</v>
      </c>
      <c r="AN286" s="9" t="n">
        <v>0</v>
      </c>
      <c r="AO286" s="9" t="n">
        <v>0</v>
      </c>
      <c r="AP286" s="9" t="n">
        <v>0</v>
      </c>
      <c r="AQ286" s="9" t="n">
        <v>0</v>
      </c>
      <c r="AR286" s="9" t="n">
        <v>64</v>
      </c>
      <c r="AS286" s="9" t="n">
        <v>0</v>
      </c>
      <c r="AT286" s="9" t="n">
        <v>0</v>
      </c>
      <c r="AU286" s="9" t="n">
        <v>0</v>
      </c>
      <c r="AV286" s="9" t="n">
        <v>0</v>
      </c>
      <c r="AW286" s="9" t="n">
        <v>0</v>
      </c>
      <c r="AX286" s="9" t="n">
        <v>0</v>
      </c>
      <c r="AY286" s="9" t="n">
        <v>0</v>
      </c>
    </row>
    <row r="287">
      <c r="A287" s="9" t="n">
        <v>293</v>
      </c>
      <c r="B287" s="9" t="inlineStr">
        <is>
          <t>КО191</t>
        </is>
      </c>
      <c r="C287" s="9" t="inlineStr"/>
      <c r="D287" s="9" t="inlineStr">
        <is>
          <t>КОНФЕТЫ В КОРОБКАХ</t>
        </is>
      </c>
      <c r="E287" s="9" t="inlineStr">
        <is>
          <t>Федеральный</t>
        </is>
      </c>
      <c r="F287" s="9" t="n">
        <v>1026.72</v>
      </c>
      <c r="G287" s="9" t="n">
        <v>0</v>
      </c>
      <c r="H287" s="9" t="n">
        <v>0</v>
      </c>
      <c r="I287" s="9" t="n">
        <v>0</v>
      </c>
      <c r="J287" s="9" t="n">
        <v>0</v>
      </c>
      <c r="K287" s="9" t="n">
        <v>0</v>
      </c>
      <c r="L287" s="9" t="n">
        <v>73</v>
      </c>
      <c r="M287" s="9" t="n">
        <v>0</v>
      </c>
      <c r="N287" s="9" t="n">
        <v>19.78315975434928</v>
      </c>
      <c r="O287" s="9" t="n">
        <v>0</v>
      </c>
      <c r="P287" s="9" t="n">
        <v>0</v>
      </c>
      <c r="Q287" s="9" t="n">
        <v>0</v>
      </c>
      <c r="R287" s="9" t="n">
        <v>28.74727820150927</v>
      </c>
      <c r="S287" s="9" t="n">
        <v>0</v>
      </c>
      <c r="T287" s="9" t="n">
        <v>129</v>
      </c>
      <c r="U287" s="9" t="n">
        <v>0</v>
      </c>
      <c r="V287" s="9" t="n">
        <v>54.56102513735873</v>
      </c>
      <c r="W287" s="9" t="n">
        <v>0</v>
      </c>
      <c r="X287" s="9" t="n">
        <v>0</v>
      </c>
      <c r="Y287" s="9" t="n">
        <v>0</v>
      </c>
      <c r="Z287" s="9" t="n">
        <v>56.1237328128586</v>
      </c>
      <c r="AA287" s="9" t="n">
        <v>0</v>
      </c>
      <c r="AB287" s="9" t="n">
        <v>57</v>
      </c>
      <c r="AC287" s="9" t="n">
        <v>0</v>
      </c>
      <c r="AD287" s="9" t="n">
        <v>78.91236540890279</v>
      </c>
      <c r="AE287" s="9" t="n">
        <v>0</v>
      </c>
      <c r="AF287" s="9" t="n">
        <v>0</v>
      </c>
      <c r="AG287" s="9" t="n">
        <v>0</v>
      </c>
      <c r="AH287" s="9" t="n">
        <v>66.54419374314135</v>
      </c>
      <c r="AI287" s="9" t="n">
        <v>0</v>
      </c>
      <c r="AJ287" s="9" t="n">
        <v>0</v>
      </c>
      <c r="AK287" s="9" t="n">
        <v>0</v>
      </c>
      <c r="AL287" s="9" t="n">
        <v>79.51642560161692</v>
      </c>
      <c r="AM287" s="9" t="n">
        <v>0</v>
      </c>
      <c r="AN287" s="9" t="n">
        <v>0</v>
      </c>
      <c r="AO287" s="9" t="n">
        <v>0</v>
      </c>
      <c r="AP287" s="9" t="n">
        <v>0</v>
      </c>
      <c r="AQ287" s="9" t="n">
        <v>0</v>
      </c>
      <c r="AR287" s="9" t="n">
        <v>20</v>
      </c>
      <c r="AS287" s="9" t="n">
        <v>0</v>
      </c>
      <c r="AT287" s="9" t="n">
        <v>79.38428277849791</v>
      </c>
      <c r="AU287" s="9" t="n">
        <v>0</v>
      </c>
      <c r="AV287" s="9" t="n">
        <v>0</v>
      </c>
      <c r="AW287" s="9" t="n">
        <v>0</v>
      </c>
      <c r="AX287" s="9" t="n">
        <v>0</v>
      </c>
      <c r="AY287" s="9" t="n">
        <v>0</v>
      </c>
    </row>
    <row r="288">
      <c r="A288" s="9" t="n">
        <v>294</v>
      </c>
      <c r="B288" s="9" t="inlineStr">
        <is>
          <t>КО111</t>
        </is>
      </c>
      <c r="C288" s="9" t="inlineStr"/>
      <c r="D288" s="9" t="inlineStr">
        <is>
          <t>КОНФЕТЫ В КОРОБКАХ</t>
        </is>
      </c>
      <c r="E288" s="9" t="inlineStr">
        <is>
          <t>Федеральный</t>
        </is>
      </c>
      <c r="F288" s="9" t="n">
        <v>3470.04</v>
      </c>
      <c r="G288" s="9" t="n">
        <v>0</v>
      </c>
      <c r="H288" s="9" t="n">
        <v>851.21</v>
      </c>
      <c r="I288" s="9" t="n">
        <v>1294.85</v>
      </c>
      <c r="J288" s="9" t="n">
        <v>1276.07</v>
      </c>
      <c r="K288" s="9" t="n">
        <v>458.03</v>
      </c>
      <c r="L288" s="9" t="n">
        <v>621</v>
      </c>
      <c r="M288" s="9" t="n">
        <v>3.712964600413768</v>
      </c>
      <c r="N288" s="9" t="n">
        <v>98.84405340694248</v>
      </c>
      <c r="O288" s="9" t="n">
        <v>6.8</v>
      </c>
      <c r="P288" s="9" t="n">
        <v>0</v>
      </c>
      <c r="Q288" s="9" t="n">
        <v>2.595058209101617</v>
      </c>
      <c r="R288" s="9" t="n">
        <v>1.214345007487815</v>
      </c>
      <c r="S288" s="9" t="n">
        <v>0</v>
      </c>
      <c r="T288" s="9" t="n">
        <v>985</v>
      </c>
      <c r="U288" s="9" t="n">
        <v>9.408442464553817</v>
      </c>
      <c r="V288" s="9" t="n">
        <v>402.3258400784353</v>
      </c>
      <c r="W288" s="9" t="n">
        <v>6.8</v>
      </c>
      <c r="X288" s="9" t="n">
        <v>0</v>
      </c>
      <c r="Y288" s="9" t="n">
        <v>5.734263727489657</v>
      </c>
      <c r="Z288" s="9" t="n">
        <v>3.657644097916647</v>
      </c>
      <c r="AA288" s="9" t="n">
        <v>0</v>
      </c>
      <c r="AB288" s="9" t="n">
        <v>951</v>
      </c>
      <c r="AC288" s="9" t="n">
        <v>8.464545360994828</v>
      </c>
      <c r="AD288" s="9" t="n">
        <v>297.0182557032573</v>
      </c>
      <c r="AE288" s="9" t="n">
        <v>6.8</v>
      </c>
      <c r="AF288" s="9" t="n">
        <v>0</v>
      </c>
      <c r="AG288" s="9" t="n">
        <v>8.5397672193817</v>
      </c>
      <c r="AH288" s="9" t="n">
        <v>3.697366982111303</v>
      </c>
      <c r="AI288" s="9" t="n">
        <v>0</v>
      </c>
      <c r="AJ288" s="9" t="n">
        <v>529</v>
      </c>
      <c r="AK288" s="9" t="n">
        <v>11.95795797714807</v>
      </c>
      <c r="AL288" s="9" t="n">
        <v>296.485004311126</v>
      </c>
      <c r="AM288" s="9" t="n">
        <v>6.8</v>
      </c>
      <c r="AN288" s="9" t="n">
        <v>0</v>
      </c>
      <c r="AO288" s="9" t="n">
        <v>7.690571770101029</v>
      </c>
      <c r="AP288" s="9" t="n">
        <v>2.663338055765534</v>
      </c>
      <c r="AQ288" s="9" t="n">
        <v>0</v>
      </c>
      <c r="AR288" s="9" t="n">
        <v>573</v>
      </c>
      <c r="AS288" s="9" t="n">
        <v>11.15420511703314</v>
      </c>
      <c r="AT288" s="9" t="n">
        <v>300.3280748659568</v>
      </c>
      <c r="AU288" s="9" t="n">
        <v>6.8</v>
      </c>
      <c r="AV288" s="9" t="n">
        <v>0</v>
      </c>
      <c r="AW288" s="9" t="n">
        <v>1.297529104550811</v>
      </c>
      <c r="AX288" s="9" t="n">
        <v>0.7985628478947558</v>
      </c>
      <c r="AY288" s="9" t="n">
        <v>0</v>
      </c>
    </row>
    <row r="289">
      <c r="A289" s="9" t="n">
        <v>295</v>
      </c>
      <c r="B289" s="9" t="inlineStr">
        <is>
          <t>КО131</t>
        </is>
      </c>
      <c r="C289" s="9" t="inlineStr"/>
      <c r="D289" s="9" t="inlineStr">
        <is>
          <t>КОНФЕТЫ В КОРОБКАХ</t>
        </is>
      </c>
      <c r="E289" s="9" t="inlineStr">
        <is>
          <t>Федеральный</t>
        </is>
      </c>
      <c r="F289" s="9" t="n">
        <v>0.17</v>
      </c>
      <c r="G289" s="9" t="n">
        <v>0</v>
      </c>
      <c r="H289" s="9" t="n">
        <v>0</v>
      </c>
      <c r="I289" s="9" t="n">
        <v>0</v>
      </c>
      <c r="J289" s="9" t="n">
        <v>0</v>
      </c>
      <c r="K289" s="9" t="n">
        <v>0</v>
      </c>
      <c r="L289" s="9" t="n">
        <v>0</v>
      </c>
      <c r="M289" s="9" t="n">
        <v>0</v>
      </c>
      <c r="N289" s="9" t="n">
        <v>0</v>
      </c>
      <c r="O289" s="9" t="n">
        <v>0</v>
      </c>
      <c r="P289" s="9" t="n">
        <v>0</v>
      </c>
      <c r="Q289" s="9" t="n">
        <v>0</v>
      </c>
      <c r="R289" s="9" t="n">
        <v>0</v>
      </c>
      <c r="S289" s="9" t="n">
        <v>0</v>
      </c>
      <c r="T289" s="9" t="n">
        <v>0</v>
      </c>
      <c r="U289" s="9" t="n">
        <v>0</v>
      </c>
      <c r="V289" s="9" t="n">
        <v>0</v>
      </c>
      <c r="W289" s="9" t="n">
        <v>0</v>
      </c>
      <c r="X289" s="9" t="n">
        <v>0</v>
      </c>
      <c r="Y289" s="9" t="n">
        <v>0</v>
      </c>
      <c r="Z289" s="9" t="n">
        <v>0</v>
      </c>
      <c r="AA289" s="9" t="n">
        <v>0</v>
      </c>
      <c r="AB289" s="9" t="n">
        <v>0</v>
      </c>
      <c r="AC289" s="9" t="n">
        <v>0</v>
      </c>
      <c r="AD289" s="9" t="n">
        <v>0</v>
      </c>
      <c r="AE289" s="9" t="n">
        <v>0</v>
      </c>
      <c r="AF289" s="9" t="n">
        <v>0</v>
      </c>
      <c r="AG289" s="9" t="n">
        <v>0</v>
      </c>
      <c r="AH289" s="9" t="n">
        <v>0</v>
      </c>
      <c r="AI289" s="9" t="n">
        <v>0</v>
      </c>
      <c r="AJ289" s="9" t="n">
        <v>0</v>
      </c>
      <c r="AK289" s="9" t="n">
        <v>0</v>
      </c>
      <c r="AL289" s="9" t="n">
        <v>0</v>
      </c>
      <c r="AM289" s="9" t="n">
        <v>0</v>
      </c>
      <c r="AN289" s="9" t="n">
        <v>0</v>
      </c>
      <c r="AO289" s="9" t="n">
        <v>0</v>
      </c>
      <c r="AP289" s="9" t="n">
        <v>0</v>
      </c>
      <c r="AQ289" s="9" t="n">
        <v>0</v>
      </c>
      <c r="AR289" s="9" t="n">
        <v>0</v>
      </c>
      <c r="AS289" s="9" t="n">
        <v>0</v>
      </c>
      <c r="AT289" s="9" t="n">
        <v>0</v>
      </c>
      <c r="AU289" s="9" t="n">
        <v>0</v>
      </c>
      <c r="AV289" s="9" t="n">
        <v>0</v>
      </c>
      <c r="AW289" s="9" t="n">
        <v>0</v>
      </c>
      <c r="AX289" s="9" t="n">
        <v>0</v>
      </c>
      <c r="AY289" s="9" t="n">
        <v>0</v>
      </c>
    </row>
    <row r="290">
      <c r="A290" s="9" t="n">
        <v>296</v>
      </c>
      <c r="B290" s="9" t="inlineStr">
        <is>
          <t>РФ196</t>
        </is>
      </c>
      <c r="C290" s="9" t="inlineStr"/>
      <c r="D290" s="9" t="inlineStr">
        <is>
          <t>КОНФЕТЫ В КОРОБКАХ</t>
        </is>
      </c>
      <c r="E290" s="9" t="inlineStr">
        <is>
          <t>Федеральный</t>
        </is>
      </c>
      <c r="F290" s="9" t="n">
        <v>2166.25</v>
      </c>
      <c r="G290" s="9" t="n">
        <v>0</v>
      </c>
      <c r="H290" s="9" t="n">
        <v>1227</v>
      </c>
      <c r="I290" s="9" t="n">
        <v>686.72</v>
      </c>
      <c r="J290" s="9" t="n">
        <v>150.5</v>
      </c>
      <c r="K290" s="9" t="n">
        <v>0</v>
      </c>
      <c r="L290" s="9" t="n">
        <v>0</v>
      </c>
      <c r="M290" s="9" t="n">
        <v>0</v>
      </c>
      <c r="N290" s="9" t="n">
        <v>27.22306030391175</v>
      </c>
      <c r="O290" s="9" t="n">
        <v>312.8</v>
      </c>
      <c r="P290" s="9" t="n">
        <v>0</v>
      </c>
      <c r="Q290" s="9" t="n">
        <v>0</v>
      </c>
      <c r="R290" s="9" t="n">
        <v>241.469101315263</v>
      </c>
      <c r="S290" s="9" t="n">
        <v>0</v>
      </c>
      <c r="T290" s="9" t="n">
        <v>0</v>
      </c>
      <c r="U290" s="9" t="n">
        <v>0</v>
      </c>
      <c r="V290" s="9" t="n">
        <v>73.89927799393242</v>
      </c>
      <c r="W290" s="9" t="n">
        <v>317.3</v>
      </c>
      <c r="X290" s="9" t="n">
        <v>0</v>
      </c>
      <c r="Y290" s="9" t="n">
        <v>0</v>
      </c>
      <c r="Z290" s="9" t="n">
        <v>579.6388099836948</v>
      </c>
      <c r="AA290" s="9" t="n">
        <v>0</v>
      </c>
      <c r="AB290" s="9" t="n">
        <v>0</v>
      </c>
      <c r="AC290" s="9" t="n">
        <v>0</v>
      </c>
      <c r="AD290" s="9" t="n">
        <v>104.3763207599536</v>
      </c>
      <c r="AE290" s="9" t="n">
        <v>324.9</v>
      </c>
      <c r="AF290" s="9" t="n">
        <v>0</v>
      </c>
      <c r="AG290" s="9" t="n">
        <v>0</v>
      </c>
      <c r="AH290" s="9" t="n">
        <v>558.9526266894192</v>
      </c>
      <c r="AI290" s="9" t="n">
        <v>0</v>
      </c>
      <c r="AJ290" s="9" t="n">
        <v>0</v>
      </c>
      <c r="AK290" s="9" t="n">
        <v>0</v>
      </c>
      <c r="AL290" s="9" t="n">
        <v>103.3579127222506</v>
      </c>
      <c r="AM290" s="9" t="n">
        <v>316.35</v>
      </c>
      <c r="AN290" s="9" t="n">
        <v>0</v>
      </c>
      <c r="AO290" s="9" t="n">
        <v>0</v>
      </c>
      <c r="AP290" s="9" t="n">
        <v>54.63663685436732</v>
      </c>
      <c r="AQ290" s="9" t="n">
        <v>0</v>
      </c>
      <c r="AR290" s="9" t="n">
        <v>0</v>
      </c>
      <c r="AS290" s="9" t="n">
        <v>0</v>
      </c>
      <c r="AT290" s="9" t="n">
        <v>107.3760706984435</v>
      </c>
      <c r="AU290" s="9" t="n">
        <v>310.65</v>
      </c>
      <c r="AV290" s="9" t="n">
        <v>0</v>
      </c>
      <c r="AW290" s="9" t="n">
        <v>0</v>
      </c>
      <c r="AX290" s="9" t="n">
        <v>8.606814476854233</v>
      </c>
      <c r="AY290" s="9" t="n">
        <v>0</v>
      </c>
    </row>
    <row r="291">
      <c r="A291" s="9" t="n">
        <v>297</v>
      </c>
      <c r="B291" s="9" t="inlineStr">
        <is>
          <t>КО196</t>
        </is>
      </c>
      <c r="C291" s="9" t="inlineStr"/>
      <c r="D291" s="9" t="inlineStr">
        <is>
          <t>КОНФЕТЫ В КОРОБКАХ</t>
        </is>
      </c>
      <c r="E291" s="9" t="inlineStr">
        <is>
          <t>Федеральный</t>
        </is>
      </c>
      <c r="F291" s="9" t="n">
        <v>13501.8</v>
      </c>
      <c r="G291" s="9" t="n">
        <v>0</v>
      </c>
      <c r="H291" s="9" t="n">
        <v>14950.065</v>
      </c>
      <c r="I291" s="9" t="n">
        <v>7647.3</v>
      </c>
      <c r="J291" s="9" t="n">
        <v>6486.97</v>
      </c>
      <c r="K291" s="9" t="n">
        <v>1720.22</v>
      </c>
      <c r="L291" s="9" t="n">
        <v>956</v>
      </c>
      <c r="M291" s="9" t="n">
        <v>150.9666742313848</v>
      </c>
      <c r="N291" s="9" t="n">
        <v>707.2689573215692</v>
      </c>
      <c r="O291" s="9" t="n">
        <v>554.88</v>
      </c>
      <c r="P291" s="9" t="n">
        <v>0</v>
      </c>
      <c r="Q291" s="9" t="n">
        <v>42.899014557002</v>
      </c>
      <c r="R291" s="9" t="n">
        <v>251.429372258331</v>
      </c>
      <c r="S291" s="9" t="n">
        <v>0</v>
      </c>
      <c r="T291" s="9" t="n">
        <v>2150</v>
      </c>
      <c r="U291" s="9" t="n">
        <v>352.0112826728512</v>
      </c>
      <c r="V291" s="9" t="n">
        <v>1978.441415878134</v>
      </c>
      <c r="W291" s="9" t="n">
        <v>626.88</v>
      </c>
      <c r="X291" s="9" t="n">
        <v>0</v>
      </c>
      <c r="Y291" s="9" t="n">
        <v>94.79335078361426</v>
      </c>
      <c r="Z291" s="9" t="n">
        <v>879.3186616070616</v>
      </c>
      <c r="AA291" s="9" t="n">
        <v>0</v>
      </c>
      <c r="AB291" s="9" t="n">
        <v>2322</v>
      </c>
      <c r="AC291" s="9" t="n">
        <v>338.2403704772352</v>
      </c>
      <c r="AD291" s="9" t="n">
        <v>2775.689491134686</v>
      </c>
      <c r="AE291" s="9" t="n">
        <v>748.48</v>
      </c>
      <c r="AF291" s="9" t="n">
        <v>0</v>
      </c>
      <c r="AG291" s="9" t="n">
        <v>141.1712450120685</v>
      </c>
      <c r="AH291" s="9" t="n">
        <v>741.0624374938711</v>
      </c>
      <c r="AI291" s="9" t="n">
        <v>0</v>
      </c>
      <c r="AJ291" s="9" t="n">
        <v>1613</v>
      </c>
      <c r="AK291" s="9" t="n">
        <v>381.2242629449629</v>
      </c>
      <c r="AL291" s="9" t="n">
        <v>2780.643616199292</v>
      </c>
      <c r="AM291" s="9" t="n">
        <v>611.6800000000001</v>
      </c>
      <c r="AN291" s="9" t="n">
        <v>0</v>
      </c>
      <c r="AO291" s="9" t="n">
        <v>127.1331599268623</v>
      </c>
      <c r="AP291" s="9" t="n">
        <v>487.6867867934671</v>
      </c>
      <c r="AQ291" s="9" t="n">
        <v>0</v>
      </c>
      <c r="AR291" s="9" t="n">
        <v>1431</v>
      </c>
      <c r="AS291" s="9" t="n">
        <v>306.6765101587991</v>
      </c>
      <c r="AT291" s="9" t="n">
        <v>2647.20137037424</v>
      </c>
      <c r="AU291" s="9" t="n">
        <v>520.48</v>
      </c>
      <c r="AV291" s="9" t="n">
        <v>0</v>
      </c>
      <c r="AW291" s="9" t="n">
        <v>21.44950727850104</v>
      </c>
      <c r="AX291" s="9" t="n">
        <v>138.7397675842648</v>
      </c>
      <c r="AY291" s="9" t="n">
        <v>0</v>
      </c>
    </row>
    <row r="292">
      <c r="A292" s="9" t="n">
        <v>298</v>
      </c>
      <c r="B292" s="9" t="inlineStr">
        <is>
          <t>РФ026</t>
        </is>
      </c>
      <c r="C292" s="9" t="inlineStr"/>
      <c r="D292" s="9" t="inlineStr">
        <is>
          <t>КОНФЕТЫ В КОРОБКАХ</t>
        </is>
      </c>
      <c r="E292" s="9" t="inlineStr">
        <is>
          <t>Федеральный</t>
        </is>
      </c>
      <c r="F292" s="9" t="n">
        <v>49.5</v>
      </c>
      <c r="G292" s="9" t="n">
        <v>0</v>
      </c>
      <c r="H292" s="9" t="n">
        <v>413.015</v>
      </c>
      <c r="I292" s="9" t="n">
        <v>232.95</v>
      </c>
      <c r="J292" s="9" t="n">
        <v>238.45</v>
      </c>
      <c r="K292" s="9" t="n">
        <v>156.2</v>
      </c>
      <c r="L292" s="9" t="n">
        <v>0</v>
      </c>
      <c r="M292" s="9" t="n">
        <v>0</v>
      </c>
      <c r="N292" s="9" t="n">
        <v>8.349322806974181</v>
      </c>
      <c r="O292" s="9" t="n">
        <v>234.68</v>
      </c>
      <c r="P292" s="9" t="n">
        <v>0</v>
      </c>
      <c r="Q292" s="9" t="n">
        <v>0.5800824006504735</v>
      </c>
      <c r="R292" s="9" t="n">
        <v>0</v>
      </c>
      <c r="S292" s="9" t="n">
        <v>0</v>
      </c>
      <c r="T292" s="9" t="n">
        <v>0</v>
      </c>
      <c r="U292" s="9" t="n">
        <v>0</v>
      </c>
      <c r="V292" s="9" t="n">
        <v>23.02829122933682</v>
      </c>
      <c r="W292" s="9" t="n">
        <v>239.18</v>
      </c>
      <c r="X292" s="9" t="n">
        <v>0</v>
      </c>
      <c r="Y292" s="9" t="n">
        <v>1.281799944732908</v>
      </c>
      <c r="Z292" s="9" t="n">
        <v>0</v>
      </c>
      <c r="AA292" s="9" t="n">
        <v>0</v>
      </c>
      <c r="AB292" s="9" t="n">
        <v>0</v>
      </c>
      <c r="AC292" s="9" t="n">
        <v>0</v>
      </c>
      <c r="AD292" s="9" t="n">
        <v>31.58448321878216</v>
      </c>
      <c r="AE292" s="9" t="n">
        <v>246.78</v>
      </c>
      <c r="AF292" s="9" t="n">
        <v>0</v>
      </c>
      <c r="AG292" s="9" t="n">
        <v>1.908923912473662</v>
      </c>
      <c r="AH292" s="9" t="n">
        <v>0</v>
      </c>
      <c r="AI292" s="9" t="n">
        <v>0</v>
      </c>
      <c r="AJ292" s="9" t="n">
        <v>0</v>
      </c>
      <c r="AK292" s="9" t="n">
        <v>0</v>
      </c>
      <c r="AL292" s="9" t="n">
        <v>31.8262568485682</v>
      </c>
      <c r="AM292" s="9" t="n">
        <v>238.23</v>
      </c>
      <c r="AN292" s="9" t="n">
        <v>0</v>
      </c>
      <c r="AO292" s="9" t="n">
        <v>1.719100295757672</v>
      </c>
      <c r="AP292" s="9" t="n">
        <v>0</v>
      </c>
      <c r="AQ292" s="9" t="n">
        <v>0</v>
      </c>
      <c r="AR292" s="9" t="n">
        <v>0</v>
      </c>
      <c r="AS292" s="9" t="n">
        <v>0</v>
      </c>
      <c r="AT292" s="9" t="n">
        <v>33.50531589633863</v>
      </c>
      <c r="AU292" s="9" t="n">
        <v>232.53</v>
      </c>
      <c r="AV292" s="9" t="n">
        <v>0</v>
      </c>
      <c r="AW292" s="9" t="n">
        <v>0.2900412003252372</v>
      </c>
      <c r="AX292" s="9" t="n">
        <v>0</v>
      </c>
      <c r="AY292" s="9" t="n">
        <v>0</v>
      </c>
    </row>
    <row r="293">
      <c r="A293" s="9" t="n">
        <v>299</v>
      </c>
      <c r="B293" s="9" t="inlineStr">
        <is>
          <t>НС082</t>
        </is>
      </c>
      <c r="C293" s="9" t="inlineStr"/>
      <c r="D293" s="9" t="inlineStr">
        <is>
          <t>КОНФЕТЫ В КОРОБКАХ</t>
        </is>
      </c>
      <c r="E293" s="9" t="inlineStr">
        <is>
          <t>Локальный</t>
        </is>
      </c>
      <c r="F293" s="9" t="n">
        <v>20970.3</v>
      </c>
      <c r="G293" s="9" t="n">
        <v>2700</v>
      </c>
      <c r="H293" s="9" t="n">
        <v>3000</v>
      </c>
      <c r="I293" s="9" t="n">
        <v>5000</v>
      </c>
      <c r="J293" s="9" t="n">
        <v>5000</v>
      </c>
      <c r="K293" s="9" t="n">
        <v>2500</v>
      </c>
      <c r="L293" s="9" t="n">
        <v>0</v>
      </c>
      <c r="M293" s="9" t="n">
        <v>0</v>
      </c>
      <c r="N293" s="9" t="n">
        <v>7.379755250885916</v>
      </c>
      <c r="O293" s="9" t="n">
        <v>106.64</v>
      </c>
      <c r="P293" s="9" t="n">
        <v>0</v>
      </c>
      <c r="Q293" s="9" t="n">
        <v>0</v>
      </c>
      <c r="R293" s="9" t="n">
        <v>0</v>
      </c>
      <c r="S293" s="9" t="n">
        <v>2863.380759930256</v>
      </c>
      <c r="T293" s="9" t="n">
        <v>0</v>
      </c>
      <c r="U293" s="9" t="n">
        <v>0</v>
      </c>
      <c r="V293" s="9" t="n">
        <v>20.35412416641444</v>
      </c>
      <c r="W293" s="9" t="n">
        <v>111.14</v>
      </c>
      <c r="X293" s="9" t="n">
        <v>0</v>
      </c>
      <c r="Y293" s="9" t="n">
        <v>0</v>
      </c>
      <c r="Z293" s="9" t="n">
        <v>0</v>
      </c>
      <c r="AA293" s="9" t="n">
        <v>6202.515795508625</v>
      </c>
      <c r="AB293" s="9" t="n">
        <v>0</v>
      </c>
      <c r="AC293" s="9" t="n">
        <v>0</v>
      </c>
      <c r="AD293" s="9" t="n">
        <v>27.91672585537469</v>
      </c>
      <c r="AE293" s="9" t="n">
        <v>118.74</v>
      </c>
      <c r="AF293" s="9" t="n">
        <v>0</v>
      </c>
      <c r="AG293" s="9" t="n">
        <v>0</v>
      </c>
      <c r="AH293" s="9" t="n">
        <v>0</v>
      </c>
      <c r="AI293" s="9" t="n">
        <v>6871.656257004048</v>
      </c>
      <c r="AJ293" s="9" t="n">
        <v>0</v>
      </c>
      <c r="AK293" s="9" t="n">
        <v>0</v>
      </c>
      <c r="AL293" s="9" t="n">
        <v>28.13042345159758</v>
      </c>
      <c r="AM293" s="9" t="n">
        <v>110.19</v>
      </c>
      <c r="AN293" s="9" t="n">
        <v>0</v>
      </c>
      <c r="AO293" s="9" t="n">
        <v>0</v>
      </c>
      <c r="AP293" s="9" t="n">
        <v>0</v>
      </c>
      <c r="AQ293" s="9" t="n">
        <v>12331.83040759194</v>
      </c>
      <c r="AR293" s="9" t="n">
        <v>0</v>
      </c>
      <c r="AS293" s="9" t="n">
        <v>0</v>
      </c>
      <c r="AT293" s="9" t="n">
        <v>29.61450127572735</v>
      </c>
      <c r="AU293" s="9" t="n">
        <v>104.49</v>
      </c>
      <c r="AV293" s="9" t="n">
        <v>0</v>
      </c>
      <c r="AW293" s="9" t="n">
        <v>0</v>
      </c>
      <c r="AX293" s="9" t="n">
        <v>0</v>
      </c>
      <c r="AY293" s="9" t="n">
        <v>1431.690379965128</v>
      </c>
    </row>
    <row r="294">
      <c r="A294" s="9" t="n">
        <v>300</v>
      </c>
      <c r="B294" s="9" t="inlineStr">
        <is>
          <t>КО047</t>
        </is>
      </c>
      <c r="C294" s="9" t="inlineStr"/>
      <c r="D294" s="9" t="inlineStr">
        <is>
          <t>КОНФЕТЫ В КОРОБКАХ</t>
        </is>
      </c>
      <c r="E294" s="9" t="inlineStr">
        <is>
          <t>Локальный</t>
        </is>
      </c>
      <c r="F294" s="9" t="n">
        <v>5443.6</v>
      </c>
      <c r="G294" s="9" t="n">
        <v>1600</v>
      </c>
      <c r="H294" s="9" t="n">
        <v>8000</v>
      </c>
      <c r="I294" s="9" t="n">
        <v>8000</v>
      </c>
      <c r="J294" s="9" t="n">
        <v>8000</v>
      </c>
      <c r="K294" s="9" t="n">
        <v>3000</v>
      </c>
      <c r="L294" s="9" t="n">
        <v>0</v>
      </c>
      <c r="M294" s="9" t="n">
        <v>0</v>
      </c>
      <c r="N294" s="9" t="n">
        <v>1.709967961443686</v>
      </c>
      <c r="O294" s="9" t="n">
        <v>357.08</v>
      </c>
      <c r="P294" s="9" t="n">
        <v>0</v>
      </c>
      <c r="Q294" s="9" t="n">
        <v>0</v>
      </c>
      <c r="R294" s="9" t="n">
        <v>0</v>
      </c>
      <c r="S294" s="9" t="n">
        <v>3158.671979017915</v>
      </c>
      <c r="T294" s="9" t="n">
        <v>0</v>
      </c>
      <c r="U294" s="9" t="n">
        <v>0</v>
      </c>
      <c r="V294" s="9" t="n">
        <v>4.452497085525319</v>
      </c>
      <c r="W294" s="9" t="n">
        <v>361.58</v>
      </c>
      <c r="X294" s="9" t="n">
        <v>0</v>
      </c>
      <c r="Y294" s="9" t="n">
        <v>0</v>
      </c>
      <c r="Z294" s="9" t="n">
        <v>0</v>
      </c>
      <c r="AA294" s="9" t="n">
        <v>6842.161237112698</v>
      </c>
      <c r="AB294" s="9" t="n">
        <v>0</v>
      </c>
      <c r="AC294" s="9" t="n">
        <v>0</v>
      </c>
      <c r="AD294" s="9" t="n">
        <v>6.340892399233269</v>
      </c>
      <c r="AE294" s="9" t="n">
        <v>369.18</v>
      </c>
      <c r="AF294" s="9" t="n">
        <v>0</v>
      </c>
      <c r="AG294" s="9" t="n">
        <v>0</v>
      </c>
      <c r="AH294" s="9" t="n">
        <v>0</v>
      </c>
      <c r="AI294" s="9" t="n">
        <v>7580.307995423735</v>
      </c>
      <c r="AJ294" s="9" t="n">
        <v>0</v>
      </c>
      <c r="AK294" s="9" t="n">
        <v>0</v>
      </c>
      <c r="AL294" s="9" t="n">
        <v>6.38661587906342</v>
      </c>
      <c r="AM294" s="9" t="n">
        <v>360.63</v>
      </c>
      <c r="AN294" s="9" t="n">
        <v>0</v>
      </c>
      <c r="AO294" s="9" t="n">
        <v>0</v>
      </c>
      <c r="AP294" s="9" t="n">
        <v>0</v>
      </c>
      <c r="AQ294" s="9" t="n">
        <v>13603.5722889367</v>
      </c>
      <c r="AR294" s="9" t="n">
        <v>0</v>
      </c>
      <c r="AS294" s="9" t="n">
        <v>0</v>
      </c>
      <c r="AT294" s="9" t="n">
        <v>6.445832568438034</v>
      </c>
      <c r="AU294" s="9" t="n">
        <v>354.93</v>
      </c>
      <c r="AV294" s="9" t="n">
        <v>0</v>
      </c>
      <c r="AW294" s="9" t="n">
        <v>0</v>
      </c>
      <c r="AX294" s="9" t="n">
        <v>0</v>
      </c>
      <c r="AY294" s="9" t="n">
        <v>1579.335989508957</v>
      </c>
    </row>
    <row r="295">
      <c r="A295" s="9" t="n">
        <v>301</v>
      </c>
      <c r="B295" s="9" t="inlineStr">
        <is>
          <t>ЗЕ220</t>
        </is>
      </c>
      <c r="C295" s="9" t="inlineStr"/>
      <c r="D295" s="9" t="inlineStr">
        <is>
          <t>КОНФЕТЫ В КОРОБКАХ</t>
        </is>
      </c>
      <c r="E295" s="9" t="inlineStr">
        <is>
          <t>Локальный</t>
        </is>
      </c>
      <c r="F295" s="9" t="n">
        <v>3090</v>
      </c>
      <c r="G295" s="9" t="n">
        <v>0</v>
      </c>
      <c r="H295" s="9" t="n">
        <v>3043.635</v>
      </c>
      <c r="I295" s="9" t="n">
        <v>1380</v>
      </c>
      <c r="J295" s="9" t="n">
        <v>2362</v>
      </c>
      <c r="K295" s="9" t="n">
        <v>0</v>
      </c>
      <c r="L295" s="9" t="n">
        <v>0</v>
      </c>
      <c r="M295" s="9" t="n">
        <v>0</v>
      </c>
      <c r="N295" s="9" t="n">
        <v>0</v>
      </c>
      <c r="O295" s="9" t="n">
        <v>0</v>
      </c>
      <c r="P295" s="9" t="n">
        <v>0</v>
      </c>
      <c r="Q295" s="9" t="n">
        <v>0</v>
      </c>
      <c r="R295" s="9" t="n">
        <v>0</v>
      </c>
      <c r="S295" s="9" t="n">
        <v>91</v>
      </c>
      <c r="T295" s="9" t="n">
        <v>0</v>
      </c>
      <c r="U295" s="9" t="n">
        <v>0</v>
      </c>
      <c r="V295" s="9" t="n">
        <v>0</v>
      </c>
      <c r="W295" s="9" t="n">
        <v>0</v>
      </c>
      <c r="X295" s="9" t="n">
        <v>0</v>
      </c>
      <c r="Y295" s="9" t="n">
        <v>0</v>
      </c>
      <c r="Z295" s="9" t="n">
        <v>0</v>
      </c>
      <c r="AA295" s="9" t="n">
        <v>760</v>
      </c>
      <c r="AB295" s="9" t="n">
        <v>0</v>
      </c>
      <c r="AC295" s="9" t="n">
        <v>0</v>
      </c>
      <c r="AD295" s="9" t="n">
        <v>0</v>
      </c>
      <c r="AE295" s="9" t="n">
        <v>0</v>
      </c>
      <c r="AF295" s="9" t="n">
        <v>0</v>
      </c>
      <c r="AG295" s="9" t="n">
        <v>0</v>
      </c>
      <c r="AH295" s="9" t="n">
        <v>0</v>
      </c>
      <c r="AI295" s="9" t="n">
        <v>1581</v>
      </c>
      <c r="AJ295" s="9" t="n">
        <v>0</v>
      </c>
      <c r="AK295" s="9" t="n">
        <v>0</v>
      </c>
      <c r="AL295" s="9" t="n">
        <v>0</v>
      </c>
      <c r="AM295" s="9" t="n">
        <v>0</v>
      </c>
      <c r="AN295" s="9" t="n">
        <v>0</v>
      </c>
      <c r="AO295" s="9" t="n">
        <v>0</v>
      </c>
      <c r="AP295" s="9" t="n">
        <v>0</v>
      </c>
      <c r="AQ295" s="9" t="n">
        <v>1338</v>
      </c>
      <c r="AR295" s="9" t="n">
        <v>0</v>
      </c>
      <c r="AS295" s="9" t="n">
        <v>0</v>
      </c>
      <c r="AT295" s="9" t="n">
        <v>0</v>
      </c>
      <c r="AU295" s="9" t="n">
        <v>0</v>
      </c>
      <c r="AV295" s="9" t="n">
        <v>0</v>
      </c>
      <c r="AW295" s="9" t="n">
        <v>0</v>
      </c>
      <c r="AX295" s="9" t="n">
        <v>0</v>
      </c>
      <c r="AY295" s="9" t="n">
        <v>2310</v>
      </c>
    </row>
    <row r="296">
      <c r="A296" s="9" t="n">
        <v>302</v>
      </c>
      <c r="B296" s="9" t="inlineStr">
        <is>
          <t>РФ026</t>
        </is>
      </c>
      <c r="C296" s="9" t="inlineStr"/>
      <c r="D296" s="9" t="inlineStr">
        <is>
          <t>КОНФЕТЫ В КОРОБКАХ</t>
        </is>
      </c>
      <c r="E296" s="9" t="inlineStr">
        <is>
          <t>Федеральный</t>
        </is>
      </c>
      <c r="F296" s="9" t="n">
        <v>1440.8</v>
      </c>
      <c r="G296" s="9" t="n">
        <v>1200</v>
      </c>
      <c r="H296" s="9" t="n">
        <v>955.8799999999999</v>
      </c>
      <c r="I296" s="9" t="n">
        <v>266.76</v>
      </c>
      <c r="J296" s="9" t="n">
        <v>221.02</v>
      </c>
      <c r="K296" s="9" t="n">
        <v>18.8</v>
      </c>
      <c r="L296" s="9" t="n">
        <v>0</v>
      </c>
      <c r="M296" s="9" t="n">
        <v>14.72005585509649</v>
      </c>
      <c r="N296" s="9" t="n">
        <v>26.38095323412016</v>
      </c>
      <c r="O296" s="9" t="n">
        <v>155.28</v>
      </c>
      <c r="P296" s="9" t="n">
        <v>0</v>
      </c>
      <c r="Q296" s="9" t="n">
        <v>4.667936996290853</v>
      </c>
      <c r="R296" s="9" t="n">
        <v>13.2816400938815</v>
      </c>
      <c r="S296" s="9" t="n">
        <v>0</v>
      </c>
      <c r="T296" s="9" t="n">
        <v>0</v>
      </c>
      <c r="U296" s="9" t="n">
        <v>37.29978965386861</v>
      </c>
      <c r="V296" s="9" t="n">
        <v>62.72499316296795</v>
      </c>
      <c r="W296" s="9" t="n">
        <v>182.28</v>
      </c>
      <c r="X296" s="9" t="n">
        <v>0</v>
      </c>
      <c r="Y296" s="9" t="n">
        <v>10.31467491024187</v>
      </c>
      <c r="Z296" s="9" t="n">
        <v>40.55594546713557</v>
      </c>
      <c r="AA296" s="9" t="n">
        <v>0</v>
      </c>
      <c r="AB296" s="9" t="n">
        <v>0</v>
      </c>
      <c r="AC296" s="9" t="n">
        <v>33.55770763016611</v>
      </c>
      <c r="AD296" s="9" t="n">
        <v>75.44470828298569</v>
      </c>
      <c r="AE296" s="9" t="n">
        <v>227.88</v>
      </c>
      <c r="AF296" s="9" t="n">
        <v>0</v>
      </c>
      <c r="AG296" s="9" t="n">
        <v>15.36115652560406</v>
      </c>
      <c r="AH296" s="9" t="n">
        <v>39.3637598042811</v>
      </c>
      <c r="AI296" s="9" t="n">
        <v>0</v>
      </c>
      <c r="AJ296" s="9" t="n">
        <v>33</v>
      </c>
      <c r="AK296" s="9" t="n">
        <v>3.591547061969128</v>
      </c>
      <c r="AL296" s="9" t="n">
        <v>75.01513402635892</v>
      </c>
      <c r="AM296" s="9" t="n">
        <v>176.58</v>
      </c>
      <c r="AN296" s="9" t="n">
        <v>0</v>
      </c>
      <c r="AO296" s="9" t="n">
        <v>13.83364132734137</v>
      </c>
      <c r="AP296" s="9" t="n">
        <v>28.35504292973628</v>
      </c>
      <c r="AQ296" s="9" t="n">
        <v>0</v>
      </c>
      <c r="AR296" s="9" t="n">
        <v>119</v>
      </c>
      <c r="AS296" s="9" t="n">
        <v>3.350141612241706</v>
      </c>
      <c r="AT296" s="9" t="n">
        <v>71.65343361490797</v>
      </c>
      <c r="AU296" s="9" t="n">
        <v>142.38</v>
      </c>
      <c r="AV296" s="9" t="n">
        <v>0</v>
      </c>
      <c r="AW296" s="9" t="n">
        <v>2.333968498145431</v>
      </c>
      <c r="AX296" s="9" t="n">
        <v>8.221007510067857</v>
      </c>
      <c r="AY296" s="9" t="n">
        <v>0</v>
      </c>
    </row>
    <row r="297">
      <c r="A297" s="9" t="n">
        <v>303</v>
      </c>
      <c r="B297" s="9" t="inlineStr">
        <is>
          <t>ЗЕ220</t>
        </is>
      </c>
      <c r="C297" s="9" t="inlineStr"/>
      <c r="D297" s="9" t="inlineStr">
        <is>
          <t>КОНФЕТЫ В КОРОБКАХ</t>
        </is>
      </c>
      <c r="E297" s="9" t="inlineStr">
        <is>
          <t>Локальный</t>
        </is>
      </c>
      <c r="F297" s="9" t="n">
        <v>763.2</v>
      </c>
      <c r="G297" s="9" t="n">
        <v>0</v>
      </c>
      <c r="H297" s="9" t="n">
        <v>849.28</v>
      </c>
      <c r="I297" s="9" t="n">
        <v>397</v>
      </c>
      <c r="J297" s="9" t="n">
        <v>680</v>
      </c>
      <c r="K297" s="9" t="n">
        <v>0</v>
      </c>
      <c r="L297" s="9" t="n">
        <v>0</v>
      </c>
      <c r="M297" s="9" t="n">
        <v>0</v>
      </c>
      <c r="N297" s="9" t="n">
        <v>0</v>
      </c>
      <c r="O297" s="9" t="n">
        <v>0</v>
      </c>
      <c r="P297" s="9" t="n">
        <v>0</v>
      </c>
      <c r="Q297" s="9" t="n">
        <v>0</v>
      </c>
      <c r="R297" s="9" t="n">
        <v>0</v>
      </c>
      <c r="S297" s="9" t="n">
        <v>26</v>
      </c>
      <c r="T297" s="9" t="n">
        <v>0</v>
      </c>
      <c r="U297" s="9" t="n">
        <v>0</v>
      </c>
      <c r="V297" s="9" t="n">
        <v>0</v>
      </c>
      <c r="W297" s="9" t="n">
        <v>0</v>
      </c>
      <c r="X297" s="9" t="n">
        <v>0</v>
      </c>
      <c r="Y297" s="9" t="n">
        <v>0</v>
      </c>
      <c r="Z297" s="9" t="n">
        <v>0</v>
      </c>
      <c r="AA297" s="9" t="n">
        <v>219</v>
      </c>
      <c r="AB297" s="9" t="n">
        <v>0</v>
      </c>
      <c r="AC297" s="9" t="n">
        <v>0</v>
      </c>
      <c r="AD297" s="9" t="n">
        <v>0</v>
      </c>
      <c r="AE297" s="9" t="n">
        <v>0</v>
      </c>
      <c r="AF297" s="9" t="n">
        <v>0</v>
      </c>
      <c r="AG297" s="9" t="n">
        <v>0</v>
      </c>
      <c r="AH297" s="9" t="n">
        <v>0</v>
      </c>
      <c r="AI297" s="9" t="n">
        <v>455</v>
      </c>
      <c r="AJ297" s="9" t="n">
        <v>0</v>
      </c>
      <c r="AK297" s="9" t="n">
        <v>0</v>
      </c>
      <c r="AL297" s="9" t="n">
        <v>0</v>
      </c>
      <c r="AM297" s="9" t="n">
        <v>0</v>
      </c>
      <c r="AN297" s="9" t="n">
        <v>0</v>
      </c>
      <c r="AO297" s="9" t="n">
        <v>0</v>
      </c>
      <c r="AP297" s="9" t="n">
        <v>0</v>
      </c>
      <c r="AQ297" s="9" t="n">
        <v>385</v>
      </c>
      <c r="AR297" s="9" t="n">
        <v>0</v>
      </c>
      <c r="AS297" s="9" t="n">
        <v>0</v>
      </c>
      <c r="AT297" s="9" t="n">
        <v>0</v>
      </c>
      <c r="AU297" s="9" t="n">
        <v>0</v>
      </c>
      <c r="AV297" s="9" t="n">
        <v>0</v>
      </c>
      <c r="AW297" s="9" t="n">
        <v>0</v>
      </c>
      <c r="AX297" s="9" t="n">
        <v>0</v>
      </c>
      <c r="AY297" s="9" t="n">
        <v>665</v>
      </c>
    </row>
    <row r="298">
      <c r="A298" s="9" t="n">
        <v>304</v>
      </c>
      <c r="B298" s="9" t="inlineStr">
        <is>
          <t>ВО005</t>
        </is>
      </c>
      <c r="C298" s="9" t="inlineStr"/>
      <c r="D298" s="9" t="inlineStr">
        <is>
          <t>КОНФЕТЫ В КОРОБКАХ</t>
        </is>
      </c>
      <c r="E298" s="9" t="inlineStr">
        <is>
          <t>Локальный</t>
        </is>
      </c>
      <c r="F298" s="9" t="n">
        <v>1537.5</v>
      </c>
      <c r="G298" s="9" t="n">
        <v>0</v>
      </c>
      <c r="H298" s="9" t="n">
        <v>893.72</v>
      </c>
      <c r="I298" s="9" t="n">
        <v>371.96</v>
      </c>
      <c r="J298" s="9" t="n">
        <v>316.67</v>
      </c>
      <c r="K298" s="9" t="n">
        <v>0</v>
      </c>
      <c r="L298" s="9" t="n">
        <v>0</v>
      </c>
      <c r="M298" s="9" t="n">
        <v>0</v>
      </c>
      <c r="N298" s="9" t="n">
        <v>0.2413964939076177</v>
      </c>
      <c r="O298" s="9" t="n">
        <v>352.92</v>
      </c>
      <c r="P298" s="9" t="n">
        <v>0</v>
      </c>
      <c r="Q298" s="9" t="n">
        <v>0</v>
      </c>
      <c r="R298" s="9" t="n">
        <v>0</v>
      </c>
      <c r="S298" s="9" t="n">
        <v>12.11448093427399</v>
      </c>
      <c r="T298" s="9" t="n">
        <v>0</v>
      </c>
      <c r="U298" s="9" t="n">
        <v>0</v>
      </c>
      <c r="V298" s="9" t="n">
        <v>0</v>
      </c>
      <c r="W298" s="9" t="n">
        <v>352.92</v>
      </c>
      <c r="X298" s="9" t="n">
        <v>0</v>
      </c>
      <c r="Y298" s="9" t="n">
        <v>0</v>
      </c>
      <c r="Z298" s="9" t="n">
        <v>0</v>
      </c>
      <c r="AA298" s="9" t="n">
        <v>300.228961868548</v>
      </c>
      <c r="AB298" s="9" t="n">
        <v>0</v>
      </c>
      <c r="AC298" s="9" t="n">
        <v>0</v>
      </c>
      <c r="AD298" s="9" t="n">
        <v>1.217564353962046</v>
      </c>
      <c r="AE298" s="9" t="n">
        <v>352.92</v>
      </c>
      <c r="AF298" s="9" t="n">
        <v>0</v>
      </c>
      <c r="AG298" s="9" t="n">
        <v>0</v>
      </c>
      <c r="AH298" s="9" t="n">
        <v>0</v>
      </c>
      <c r="AI298" s="9" t="n">
        <v>300.3663389896768</v>
      </c>
      <c r="AJ298" s="9" t="n">
        <v>0</v>
      </c>
      <c r="AK298" s="9" t="n">
        <v>0</v>
      </c>
      <c r="AL298" s="9" t="n">
        <v>1.226884593628987</v>
      </c>
      <c r="AM298" s="9" t="n">
        <v>352.92</v>
      </c>
      <c r="AN298" s="9" t="n">
        <v>0</v>
      </c>
      <c r="AO298" s="9" t="n">
        <v>0</v>
      </c>
      <c r="AP298" s="9" t="n">
        <v>0</v>
      </c>
      <c r="AQ298" s="9" t="n">
        <v>94.50849225939776</v>
      </c>
      <c r="AR298" s="9" t="n">
        <v>0</v>
      </c>
      <c r="AS298" s="9" t="n">
        <v>0</v>
      </c>
      <c r="AT298" s="9" t="n">
        <v>1.291611390980764</v>
      </c>
      <c r="AU298" s="9" t="n">
        <v>352.92</v>
      </c>
      <c r="AV298" s="9" t="n">
        <v>0</v>
      </c>
      <c r="AW298" s="9" t="n">
        <v>0</v>
      </c>
      <c r="AX298" s="9" t="n">
        <v>0</v>
      </c>
      <c r="AY298" s="9" t="n">
        <v>0.2289618685479733</v>
      </c>
    </row>
    <row r="299">
      <c r="A299" s="9" t="n">
        <v>305</v>
      </c>
      <c r="B299" s="9" t="inlineStr">
        <is>
          <t>ЮК035</t>
        </is>
      </c>
      <c r="C299" s="9" t="inlineStr"/>
      <c r="D299" s="9" t="inlineStr">
        <is>
          <t>КОНФЕТЫ В КОРОБКАХ</t>
        </is>
      </c>
      <c r="E299" s="9" t="inlineStr">
        <is>
          <t>Локальный</t>
        </is>
      </c>
      <c r="F299" s="9" t="n">
        <v>493.14</v>
      </c>
      <c r="G299" s="9" t="n">
        <v>39</v>
      </c>
      <c r="H299" s="9" t="n">
        <v>800</v>
      </c>
      <c r="I299" s="9" t="n">
        <v>900</v>
      </c>
      <c r="J299" s="9" t="n">
        <v>200</v>
      </c>
      <c r="K299" s="9" t="n">
        <v>0</v>
      </c>
      <c r="L299" s="9" t="n">
        <v>0</v>
      </c>
      <c r="M299" s="9" t="n">
        <v>0</v>
      </c>
      <c r="N299" s="9" t="n">
        <v>0.07567068216592224</v>
      </c>
      <c r="O299" s="9" t="n">
        <v>44.604</v>
      </c>
      <c r="P299" s="9" t="n">
        <v>0</v>
      </c>
      <c r="Q299" s="9" t="n">
        <v>0</v>
      </c>
      <c r="R299" s="9" t="n">
        <v>0</v>
      </c>
      <c r="S299" s="9" t="n">
        <v>230.7416663743379</v>
      </c>
      <c r="T299" s="9" t="n">
        <v>0</v>
      </c>
      <c r="U299" s="9" t="n">
        <v>0</v>
      </c>
      <c r="V299" s="9" t="n">
        <v>0.2087075259545453</v>
      </c>
      <c r="W299" s="9" t="n">
        <v>44.604</v>
      </c>
      <c r="X299" s="9" t="n">
        <v>0</v>
      </c>
      <c r="Y299" s="9" t="n">
        <v>0</v>
      </c>
      <c r="Z299" s="9" t="n">
        <v>0</v>
      </c>
      <c r="AA299" s="9" t="n">
        <v>499.8213476868062</v>
      </c>
      <c r="AB299" s="9" t="n">
        <v>0</v>
      </c>
      <c r="AC299" s="9" t="n">
        <v>0</v>
      </c>
      <c r="AD299" s="9" t="n">
        <v>0.286253082588565</v>
      </c>
      <c r="AE299" s="9" t="n">
        <v>44.604</v>
      </c>
      <c r="AF299" s="9" t="n">
        <v>0</v>
      </c>
      <c r="AG299" s="9" t="n">
        <v>0</v>
      </c>
      <c r="AH299" s="9" t="n">
        <v>0</v>
      </c>
      <c r="AI299" s="9" t="n">
        <v>553.7431268943014</v>
      </c>
      <c r="AJ299" s="9" t="n">
        <v>0</v>
      </c>
      <c r="AK299" s="9" t="n">
        <v>0</v>
      </c>
      <c r="AL299" s="9" t="n">
        <v>0.2884442992798587</v>
      </c>
      <c r="AM299" s="9" t="n">
        <v>44.604</v>
      </c>
      <c r="AN299" s="9" t="n">
        <v>0</v>
      </c>
      <c r="AO299" s="9" t="n">
        <v>0</v>
      </c>
      <c r="AP299" s="9" t="n">
        <v>0</v>
      </c>
      <c r="AQ299" s="9" t="n">
        <v>906.8574358751659</v>
      </c>
      <c r="AR299" s="9" t="n">
        <v>0</v>
      </c>
      <c r="AS299" s="9" t="n">
        <v>0</v>
      </c>
      <c r="AT299" s="9" t="n">
        <v>0.3036617661905311</v>
      </c>
      <c r="AU299" s="9" t="n">
        <v>44.604</v>
      </c>
      <c r="AV299" s="9" t="n">
        <v>0</v>
      </c>
      <c r="AW299" s="9" t="n">
        <v>0</v>
      </c>
      <c r="AX299" s="9" t="n">
        <v>0</v>
      </c>
      <c r="AY299" s="9" t="n">
        <v>115.370833187169</v>
      </c>
    </row>
    <row r="300">
      <c r="A300" s="9" t="n">
        <v>306</v>
      </c>
      <c r="B300" s="9" t="inlineStr">
        <is>
          <t>НС146</t>
        </is>
      </c>
      <c r="C300" s="9" t="inlineStr"/>
      <c r="D300" s="9" t="inlineStr">
        <is>
          <t>КОНФЕТЫ В КОРОБКАХ</t>
        </is>
      </c>
      <c r="E300" s="9" t="inlineStr">
        <is>
          <t>Локальный</t>
        </is>
      </c>
      <c r="F300" s="9" t="n">
        <v>74.59999999999999</v>
      </c>
      <c r="G300" s="9" t="n">
        <v>30</v>
      </c>
      <c r="H300" s="9" t="n">
        <v>0</v>
      </c>
      <c r="I300" s="9" t="n">
        <v>80</v>
      </c>
      <c r="J300" s="9" t="n">
        <v>80</v>
      </c>
      <c r="K300" s="9" t="n">
        <v>0</v>
      </c>
      <c r="L300" s="9" t="n">
        <v>0</v>
      </c>
      <c r="M300" s="9" t="n">
        <v>0</v>
      </c>
      <c r="N300" s="9" t="n">
        <v>0</v>
      </c>
      <c r="O300" s="9" t="n">
        <v>5</v>
      </c>
      <c r="P300" s="9" t="n">
        <v>0</v>
      </c>
      <c r="Q300" s="9" t="n">
        <v>0</v>
      </c>
      <c r="R300" s="9" t="n">
        <v>0</v>
      </c>
      <c r="S300" s="9" t="n">
        <v>151.0692075053715</v>
      </c>
      <c r="T300" s="9" t="n">
        <v>0</v>
      </c>
      <c r="U300" s="9" t="n">
        <v>0</v>
      </c>
      <c r="V300" s="9" t="n">
        <v>0</v>
      </c>
      <c r="W300" s="9" t="n">
        <v>9.5</v>
      </c>
      <c r="X300" s="9" t="n">
        <v>0</v>
      </c>
      <c r="Y300" s="9" t="n">
        <v>0</v>
      </c>
      <c r="Z300" s="9" t="n">
        <v>0</v>
      </c>
      <c r="AA300" s="9" t="n">
        <v>327.2387517857945</v>
      </c>
      <c r="AB300" s="9" t="n">
        <v>0</v>
      </c>
      <c r="AC300" s="9" t="n">
        <v>0</v>
      </c>
      <c r="AD300" s="9" t="n">
        <v>0</v>
      </c>
      <c r="AE300" s="9" t="n">
        <v>17.1</v>
      </c>
      <c r="AF300" s="9" t="n">
        <v>0</v>
      </c>
      <c r="AG300" s="9" t="n">
        <v>0</v>
      </c>
      <c r="AH300" s="9" t="n">
        <v>0</v>
      </c>
      <c r="AI300" s="9" t="n">
        <v>362.541957228285</v>
      </c>
      <c r="AJ300" s="9" t="n">
        <v>0</v>
      </c>
      <c r="AK300" s="9" t="n">
        <v>0</v>
      </c>
      <c r="AL300" s="9" t="n">
        <v>0</v>
      </c>
      <c r="AM300" s="9" t="n">
        <v>8.550000000000001</v>
      </c>
      <c r="AN300" s="9" t="n">
        <v>0</v>
      </c>
      <c r="AO300" s="9" t="n">
        <v>0</v>
      </c>
      <c r="AP300" s="9" t="n">
        <v>0</v>
      </c>
      <c r="AQ300" s="9" t="n">
        <v>650.6154797278633</v>
      </c>
      <c r="AR300" s="9" t="n">
        <v>0</v>
      </c>
      <c r="AS300" s="9" t="n">
        <v>0</v>
      </c>
      <c r="AT300" s="9" t="n">
        <v>0</v>
      </c>
      <c r="AU300" s="9" t="n">
        <v>2.85</v>
      </c>
      <c r="AV300" s="9" t="n">
        <v>0</v>
      </c>
      <c r="AW300" s="9" t="n">
        <v>0</v>
      </c>
      <c r="AX300" s="9" t="n">
        <v>0</v>
      </c>
      <c r="AY300" s="9" t="n">
        <v>75.53460375268575</v>
      </c>
    </row>
    <row r="301">
      <c r="A301" s="9" t="n">
        <v>307</v>
      </c>
      <c r="B301" s="9" t="inlineStr">
        <is>
          <t>НС202</t>
        </is>
      </c>
      <c r="C301" s="9" t="inlineStr"/>
      <c r="D301" s="9" t="inlineStr">
        <is>
          <t>КОНФЕТЫ В КОРОБКАХ</t>
        </is>
      </c>
      <c r="E301" s="9" t="inlineStr">
        <is>
          <t>Локальный</t>
        </is>
      </c>
      <c r="F301" s="9" t="n">
        <v>293</v>
      </c>
      <c r="G301" s="9" t="n">
        <v>50</v>
      </c>
      <c r="H301" s="9" t="n">
        <v>0</v>
      </c>
      <c r="I301" s="9" t="n">
        <v>0</v>
      </c>
      <c r="J301" s="9" t="n">
        <v>0</v>
      </c>
      <c r="K301" s="9" t="n">
        <v>0</v>
      </c>
      <c r="L301" s="9" t="n">
        <v>0</v>
      </c>
      <c r="M301" s="9" t="n">
        <v>0</v>
      </c>
      <c r="N301" s="9" t="n">
        <v>2.179995323757609</v>
      </c>
      <c r="O301" s="9" t="n">
        <v>75.59999999999999</v>
      </c>
      <c r="P301" s="9" t="n">
        <v>0</v>
      </c>
      <c r="Q301" s="9" t="n">
        <v>0</v>
      </c>
      <c r="R301" s="9" t="n">
        <v>0</v>
      </c>
      <c r="S301" s="9" t="n">
        <v>52.44521307142445</v>
      </c>
      <c r="T301" s="9" t="n">
        <v>0</v>
      </c>
      <c r="U301" s="9" t="n">
        <v>0</v>
      </c>
      <c r="V301" s="9" t="n">
        <v>3.305101577458862</v>
      </c>
      <c r="W301" s="9" t="n">
        <v>75.59999999999999</v>
      </c>
      <c r="X301" s="9" t="n">
        <v>0</v>
      </c>
      <c r="Y301" s="9" t="n">
        <v>0</v>
      </c>
      <c r="Z301" s="9" t="n">
        <v>0</v>
      </c>
      <c r="AA301" s="9" t="n">
        <v>113.6042635427391</v>
      </c>
      <c r="AB301" s="9" t="n">
        <v>0</v>
      </c>
      <c r="AC301" s="9" t="n">
        <v>0</v>
      </c>
      <c r="AD301" s="9" t="n">
        <v>7.234886971585016</v>
      </c>
      <c r="AE301" s="9" t="n">
        <v>75.59999999999999</v>
      </c>
      <c r="AF301" s="9" t="n">
        <v>0</v>
      </c>
      <c r="AG301" s="9" t="n">
        <v>0</v>
      </c>
      <c r="AH301" s="9" t="n">
        <v>0</v>
      </c>
      <c r="AI301" s="9" t="n">
        <v>125.860130652321</v>
      </c>
      <c r="AJ301" s="9" t="n">
        <v>0</v>
      </c>
      <c r="AK301" s="9" t="n">
        <v>0</v>
      </c>
      <c r="AL301" s="9" t="n">
        <v>7.290268751052337</v>
      </c>
      <c r="AM301" s="9" t="n">
        <v>75.59999999999999</v>
      </c>
      <c r="AN301" s="9" t="n">
        <v>0</v>
      </c>
      <c r="AO301" s="9" t="n">
        <v>0</v>
      </c>
      <c r="AP301" s="9" t="n">
        <v>0</v>
      </c>
      <c r="AQ301" s="9" t="n">
        <v>225.8677861978032</v>
      </c>
      <c r="AR301" s="9" t="n">
        <v>0</v>
      </c>
      <c r="AS301" s="9" t="n">
        <v>0</v>
      </c>
      <c r="AT301" s="9" t="n">
        <v>7.260887073941169</v>
      </c>
      <c r="AU301" s="9" t="n">
        <v>75.59999999999999</v>
      </c>
      <c r="AV301" s="9" t="n">
        <v>0</v>
      </c>
      <c r="AW301" s="9" t="n">
        <v>0</v>
      </c>
      <c r="AX301" s="9" t="n">
        <v>0</v>
      </c>
      <c r="AY301" s="9" t="n">
        <v>26.22260653571222</v>
      </c>
    </row>
    <row r="302">
      <c r="A302" s="9" t="n">
        <v>308</v>
      </c>
      <c r="B302" s="9" t="inlineStr">
        <is>
          <t>РФ097</t>
        </is>
      </c>
      <c r="C302" s="9" t="inlineStr"/>
      <c r="D302" s="9" t="inlineStr">
        <is>
          <t>КОНФЕТЫ В КОРОБКАХ</t>
        </is>
      </c>
      <c r="E302" s="9" t="inlineStr">
        <is>
          <t>Федеральный</t>
        </is>
      </c>
      <c r="F302" s="9" t="n">
        <v>43034.2</v>
      </c>
      <c r="G302" s="9" t="n">
        <v>2600</v>
      </c>
      <c r="H302" s="9" t="n">
        <v>8280</v>
      </c>
      <c r="I302" s="9" t="n">
        <v>8280</v>
      </c>
      <c r="J302" s="9" t="n">
        <v>8280</v>
      </c>
      <c r="K302" s="9" t="n">
        <v>5387</v>
      </c>
      <c r="L302" s="9" t="n">
        <v>2372.4</v>
      </c>
      <c r="M302" s="9" t="n">
        <v>201.3823533776523</v>
      </c>
      <c r="N302" s="9" t="n">
        <v>3271.133356269139</v>
      </c>
      <c r="O302" s="9" t="n">
        <v>220.68</v>
      </c>
      <c r="P302" s="9" t="n">
        <v>0</v>
      </c>
      <c r="Q302" s="9" t="n">
        <v>16.28973099313271</v>
      </c>
      <c r="R302" s="9" t="n">
        <v>204.1450436499428</v>
      </c>
      <c r="S302" s="9" t="n">
        <v>0.2064201269437807</v>
      </c>
      <c r="T302" s="9" t="n">
        <v>2810</v>
      </c>
      <c r="U302" s="9" t="n">
        <v>510.2915026227138</v>
      </c>
      <c r="V302" s="9" t="n">
        <v>5022.166054841071</v>
      </c>
      <c r="W302" s="9" t="n">
        <v>225.18</v>
      </c>
      <c r="X302" s="9" t="n">
        <v>0</v>
      </c>
      <c r="Y302" s="9" t="n">
        <v>35.99519010281563</v>
      </c>
      <c r="Z302" s="9" t="n">
        <v>732.055333461068</v>
      </c>
      <c r="AA302" s="9" t="n">
        <v>0.4128402538875617</v>
      </c>
      <c r="AB302" s="9" t="n">
        <v>3923</v>
      </c>
      <c r="AC302" s="9" t="n">
        <v>98.87036172808799</v>
      </c>
      <c r="AD302" s="9" t="n">
        <v>5579.860185689242</v>
      </c>
      <c r="AE302" s="9" t="n">
        <v>232.78</v>
      </c>
      <c r="AF302" s="9" t="n">
        <v>0</v>
      </c>
      <c r="AG302" s="9" t="n">
        <v>53.60593078791072</v>
      </c>
      <c r="AH302" s="9" t="n">
        <v>432.9705669929589</v>
      </c>
      <c r="AI302" s="9" t="n">
        <v>0.6605444062200994</v>
      </c>
      <c r="AJ302" s="9" t="n">
        <v>4381</v>
      </c>
      <c r="AK302" s="9" t="n">
        <v>105.5787820820663</v>
      </c>
      <c r="AL302" s="9" t="n">
        <v>5645.896213842118</v>
      </c>
      <c r="AM302" s="9" t="n">
        <v>224.23</v>
      </c>
      <c r="AN302" s="9" t="n">
        <v>0</v>
      </c>
      <c r="AO302" s="9" t="n">
        <v>48.27535077207227</v>
      </c>
      <c r="AP302" s="9" t="n">
        <v>90.07141219217017</v>
      </c>
      <c r="AQ302" s="9" t="n">
        <v>0.9168604134868982</v>
      </c>
      <c r="AR302" s="9" t="n">
        <v>2630</v>
      </c>
      <c r="AS302" s="9" t="n">
        <v>98.48231559271422</v>
      </c>
      <c r="AT302" s="9" t="n">
        <v>4738.757758154118</v>
      </c>
      <c r="AU302" s="9" t="n">
        <v>218.53</v>
      </c>
      <c r="AV302" s="9" t="n">
        <v>0</v>
      </c>
      <c r="AW302" s="9" t="n">
        <v>8.14486549656637</v>
      </c>
      <c r="AX302" s="9" t="n">
        <v>20.54590729367881</v>
      </c>
      <c r="AY302" s="9" t="n">
        <v>0.4128402538875621</v>
      </c>
    </row>
    <row r="303">
      <c r="A303" s="9" t="n">
        <v>309</v>
      </c>
      <c r="B303" s="9" t="inlineStr">
        <is>
          <t>КО018</t>
        </is>
      </c>
      <c r="C303" s="9" t="inlineStr"/>
      <c r="D303" s="9" t="inlineStr">
        <is>
          <t>КОНФЕТЫ В КОРОБКАХ</t>
        </is>
      </c>
      <c r="E303" s="9" t="inlineStr">
        <is>
          <t>Федеральный</t>
        </is>
      </c>
      <c r="F303" s="9" t="n">
        <v>37450.5</v>
      </c>
      <c r="G303" s="9" t="n">
        <v>5038</v>
      </c>
      <c r="H303" s="9" t="n">
        <v>23004</v>
      </c>
      <c r="I303" s="9" t="n">
        <v>18184</v>
      </c>
      <c r="J303" s="9" t="n">
        <v>13971.99</v>
      </c>
      <c r="K303" s="9" t="n">
        <v>14617.96</v>
      </c>
      <c r="L303" s="9" t="n">
        <v>8475</v>
      </c>
      <c r="M303" s="9" t="n">
        <v>807.474875881516</v>
      </c>
      <c r="N303" s="9" t="n">
        <v>273.0298292960596</v>
      </c>
      <c r="O303" s="9" t="n">
        <v>1039.4</v>
      </c>
      <c r="P303" s="9" t="n">
        <v>0</v>
      </c>
      <c r="Q303" s="9" t="n">
        <v>28.7236003502226</v>
      </c>
      <c r="R303" s="9" t="n">
        <v>250.199438128429</v>
      </c>
      <c r="S303" s="9" t="n">
        <v>0</v>
      </c>
      <c r="T303" s="9" t="n">
        <v>9361</v>
      </c>
      <c r="U303" s="9" t="n">
        <v>1319.547696901008</v>
      </c>
      <c r="V303" s="9" t="n">
        <v>751.659972585159</v>
      </c>
      <c r="W303" s="9" t="n">
        <v>1084.4</v>
      </c>
      <c r="X303" s="9" t="n">
        <v>0</v>
      </c>
      <c r="Y303" s="9" t="n">
        <v>63.47013682911226</v>
      </c>
      <c r="Z303" s="9" t="n">
        <v>582.9013406303498</v>
      </c>
      <c r="AA303" s="9" t="n">
        <v>0</v>
      </c>
      <c r="AB303" s="9" t="n">
        <v>9772</v>
      </c>
      <c r="AC303" s="9" t="n">
        <v>1859.641102266502</v>
      </c>
      <c r="AD303" s="9" t="n">
        <v>1035.971925324389</v>
      </c>
      <c r="AE303" s="9" t="n">
        <v>1160.4</v>
      </c>
      <c r="AF303" s="9" t="n">
        <v>0</v>
      </c>
      <c r="AG303" s="9" t="n">
        <v>94.52306689427576</v>
      </c>
      <c r="AH303" s="9" t="n">
        <v>589.607537649259</v>
      </c>
      <c r="AI303" s="9" t="n">
        <v>0</v>
      </c>
      <c r="AJ303" s="9" t="n">
        <v>10099</v>
      </c>
      <c r="AK303" s="9" t="n">
        <v>2210.579478024661</v>
      </c>
      <c r="AL303" s="9" t="n">
        <v>1040.985173304767</v>
      </c>
      <c r="AM303" s="9" t="n">
        <v>1074.9</v>
      </c>
      <c r="AN303" s="9" t="n">
        <v>0</v>
      </c>
      <c r="AO303" s="9" t="n">
        <v>85.12368208710031</v>
      </c>
      <c r="AP303" s="9" t="n">
        <v>270.6307426219684</v>
      </c>
      <c r="AQ303" s="9" t="n">
        <v>0</v>
      </c>
      <c r="AR303" s="9" t="n">
        <v>9759.5</v>
      </c>
      <c r="AS303" s="9" t="n">
        <v>1158.479948352079</v>
      </c>
      <c r="AT303" s="9" t="n">
        <v>1091.496217883189</v>
      </c>
      <c r="AU303" s="9" t="n">
        <v>1017.9</v>
      </c>
      <c r="AV303" s="9" t="n">
        <v>0</v>
      </c>
      <c r="AW303" s="9" t="n">
        <v>14.36180017511133</v>
      </c>
      <c r="AX303" s="9" t="n">
        <v>32.0445792525204</v>
      </c>
      <c r="AY303" s="9" t="n">
        <v>0</v>
      </c>
    </row>
    <row r="304">
      <c r="A304" s="9" t="n">
        <v>310</v>
      </c>
      <c r="B304" s="9" t="inlineStr">
        <is>
          <t>КО177</t>
        </is>
      </c>
      <c r="C304" s="9" t="inlineStr"/>
      <c r="D304" s="9" t="inlineStr">
        <is>
          <t>КОНФЕТЫ В КОРОБКАХ</t>
        </is>
      </c>
      <c r="E304" s="9" t="inlineStr">
        <is>
          <t>Федеральный</t>
        </is>
      </c>
      <c r="F304" s="9" t="n">
        <v>632.5000000000001</v>
      </c>
      <c r="G304" s="9" t="n">
        <v>0</v>
      </c>
      <c r="H304" s="9" t="n">
        <v>149</v>
      </c>
      <c r="I304" s="9" t="n">
        <v>93.09999999999999</v>
      </c>
      <c r="J304" s="9" t="n">
        <v>94.87</v>
      </c>
      <c r="K304" s="9" t="n">
        <v>92.84999999999999</v>
      </c>
      <c r="L304" s="9" t="n">
        <v>0</v>
      </c>
      <c r="M304" s="9" t="n">
        <v>0.4712822041969044</v>
      </c>
      <c r="N304" s="9" t="n">
        <v>2.654529062698486</v>
      </c>
      <c r="O304" s="9" t="n">
        <v>165.8</v>
      </c>
      <c r="P304" s="9" t="n">
        <v>0</v>
      </c>
      <c r="Q304" s="9" t="n">
        <v>2.113818916074933</v>
      </c>
      <c r="R304" s="9" t="n">
        <v>1.339351111199796</v>
      </c>
      <c r="S304" s="9" t="n">
        <v>0</v>
      </c>
      <c r="T304" s="9" t="n">
        <v>0</v>
      </c>
      <c r="U304" s="9" t="n">
        <v>0.6630633409992128</v>
      </c>
      <c r="V304" s="9" t="n">
        <v>7.321464236775945</v>
      </c>
      <c r="W304" s="9" t="n">
        <v>170.3</v>
      </c>
      <c r="X304" s="9" t="n">
        <v>0</v>
      </c>
      <c r="Y304" s="9" t="n">
        <v>4.670876011342429</v>
      </c>
      <c r="Z304" s="9" t="n">
        <v>4.034166284466889</v>
      </c>
      <c r="AA304" s="9" t="n">
        <v>0</v>
      </c>
      <c r="AB304" s="9" t="n">
        <v>0</v>
      </c>
      <c r="AC304" s="9" t="n">
        <v>0.9568028177833028</v>
      </c>
      <c r="AD304" s="9" t="n">
        <v>10.04176393378117</v>
      </c>
      <c r="AE304" s="9" t="n">
        <v>177.9</v>
      </c>
      <c r="AF304" s="9" t="n">
        <v>0</v>
      </c>
      <c r="AG304" s="9" t="n">
        <v>6.956114288262889</v>
      </c>
      <c r="AH304" s="9" t="n">
        <v>4.07797828909335</v>
      </c>
      <c r="AI304" s="9" t="n">
        <v>0</v>
      </c>
      <c r="AJ304" s="9" t="n">
        <v>0</v>
      </c>
      <c r="AK304" s="9" t="n">
        <v>1.17889193967262</v>
      </c>
      <c r="AL304" s="9" t="n">
        <v>10.1186318596835</v>
      </c>
      <c r="AM304" s="9" t="n">
        <v>169.35</v>
      </c>
      <c r="AN304" s="9" t="n">
        <v>0</v>
      </c>
      <c r="AO304" s="9" t="n">
        <v>6.264397471338132</v>
      </c>
      <c r="AP304" s="9" t="n">
        <v>2.937505208564928</v>
      </c>
      <c r="AQ304" s="9" t="n">
        <v>0</v>
      </c>
      <c r="AR304" s="9" t="n">
        <v>0</v>
      </c>
      <c r="AS304" s="9" t="n">
        <v>0.2356411020984524</v>
      </c>
      <c r="AT304" s="9" t="n">
        <v>10.6524609070609</v>
      </c>
      <c r="AU304" s="9" t="n">
        <v>163.65</v>
      </c>
      <c r="AV304" s="9" t="n">
        <v>0</v>
      </c>
      <c r="AW304" s="9" t="n">
        <v>1.056909458037468</v>
      </c>
      <c r="AX304" s="9" t="n">
        <v>0.8807678469427455</v>
      </c>
      <c r="AY304" s="9" t="n">
        <v>0</v>
      </c>
    </row>
    <row r="305">
      <c r="A305" s="9" t="n">
        <v>311</v>
      </c>
      <c r="B305" s="9" t="inlineStr">
        <is>
          <t>ЯП201</t>
        </is>
      </c>
      <c r="C305" s="9" t="inlineStr"/>
      <c r="D305" s="9" t="inlineStr">
        <is>
          <t>МУЧНЫЕ</t>
        </is>
      </c>
      <c r="E305" s="9" t="inlineStr">
        <is>
          <t>Федеральный</t>
        </is>
      </c>
      <c r="F305" s="9" t="n">
        <v>677.3199999999999</v>
      </c>
      <c r="G305" s="9" t="n">
        <v>0</v>
      </c>
      <c r="H305" s="9" t="n">
        <v>0</v>
      </c>
      <c r="I305" s="9" t="n">
        <v>0</v>
      </c>
      <c r="J305" s="9" t="n">
        <v>8863.09</v>
      </c>
      <c r="K305" s="9" t="n">
        <v>0</v>
      </c>
      <c r="L305" s="9" t="n">
        <v>539</v>
      </c>
      <c r="M305" s="9" t="n">
        <v>0</v>
      </c>
      <c r="N305" s="9" t="n">
        <v>1200.786678266219</v>
      </c>
      <c r="O305" s="9" t="n">
        <v>567.952</v>
      </c>
      <c r="P305" s="9" t="n">
        <v>0</v>
      </c>
      <c r="Q305" s="9" t="n">
        <v>3.923444950458454</v>
      </c>
      <c r="R305" s="9" t="n">
        <v>105.0319764884499</v>
      </c>
      <c r="S305" s="9" t="n">
        <v>0</v>
      </c>
      <c r="T305" s="9" t="n">
        <v>710</v>
      </c>
      <c r="U305" s="9" t="n">
        <v>0</v>
      </c>
      <c r="V305" s="9" t="n">
        <v>1553.22653029869</v>
      </c>
      <c r="W305" s="9" t="n">
        <v>567.952</v>
      </c>
      <c r="X305" s="9" t="n">
        <v>0</v>
      </c>
      <c r="Y305" s="9" t="n">
        <v>8.66958127848892</v>
      </c>
      <c r="Z305" s="9" t="n">
        <v>346.6581627468176</v>
      </c>
      <c r="AA305" s="9" t="n">
        <v>0</v>
      </c>
      <c r="AB305" s="9" t="n">
        <v>3081</v>
      </c>
      <c r="AC305" s="9" t="n">
        <v>0</v>
      </c>
      <c r="AD305" s="9" t="n">
        <v>2075.74559387922</v>
      </c>
      <c r="AE305" s="9" t="n">
        <v>567.952</v>
      </c>
      <c r="AF305" s="9" t="n">
        <v>0</v>
      </c>
      <c r="AG305" s="9" t="n">
        <v>12.91119654174268</v>
      </c>
      <c r="AH305" s="9" t="n">
        <v>274.6981514660948</v>
      </c>
      <c r="AI305" s="9" t="n">
        <v>0</v>
      </c>
      <c r="AJ305" s="9" t="n">
        <v>3486</v>
      </c>
      <c r="AK305" s="9" t="n">
        <v>0</v>
      </c>
      <c r="AL305" s="9" t="n">
        <v>2156.541878985767</v>
      </c>
      <c r="AM305" s="9" t="n">
        <v>567.952</v>
      </c>
      <c r="AN305" s="9" t="n">
        <v>0</v>
      </c>
      <c r="AO305" s="9" t="n">
        <v>11.62730565029868</v>
      </c>
      <c r="AP305" s="9" t="n">
        <v>113.7891326989874</v>
      </c>
      <c r="AQ305" s="9" t="n">
        <v>0</v>
      </c>
      <c r="AR305" s="9" t="n">
        <v>2426</v>
      </c>
      <c r="AS305" s="9" t="n">
        <v>0</v>
      </c>
      <c r="AT305" s="9" t="n">
        <v>1855.199990428696</v>
      </c>
      <c r="AU305" s="9" t="n">
        <v>567.952</v>
      </c>
      <c r="AV305" s="9" t="n">
        <v>0</v>
      </c>
      <c r="AW305" s="9" t="n">
        <v>1.96172247522923</v>
      </c>
      <c r="AX305" s="9" t="n">
        <v>32.67849810347811</v>
      </c>
      <c r="AY305" s="9" t="n">
        <v>0</v>
      </c>
    </row>
    <row r="306">
      <c r="A306" s="9" t="n">
        <v>312</v>
      </c>
      <c r="B306" s="9" t="inlineStr">
        <is>
          <t>ЯП223</t>
        </is>
      </c>
      <c r="C306" s="9" t="inlineStr"/>
      <c r="D306" s="9" t="inlineStr">
        <is>
          <t>МУЧНЫЕ</t>
        </is>
      </c>
      <c r="E306" s="9" t="inlineStr">
        <is>
          <t>Федеральный</t>
        </is>
      </c>
      <c r="F306" s="9" t="n">
        <v>0</v>
      </c>
      <c r="G306" s="9" t="n">
        <v>0</v>
      </c>
      <c r="H306" s="9" t="n">
        <v>0</v>
      </c>
      <c r="I306" s="9" t="n">
        <v>0</v>
      </c>
      <c r="J306" s="9" t="n">
        <v>0</v>
      </c>
      <c r="K306" s="9" t="n">
        <v>0</v>
      </c>
      <c r="L306" s="9" t="n">
        <v>0</v>
      </c>
      <c r="M306" s="9" t="n">
        <v>0</v>
      </c>
      <c r="N306" s="9" t="n">
        <v>0</v>
      </c>
      <c r="O306" s="9" t="n">
        <v>0</v>
      </c>
      <c r="P306" s="9" t="n">
        <v>0</v>
      </c>
      <c r="Q306" s="9" t="n">
        <v>0</v>
      </c>
      <c r="R306" s="9" t="n">
        <v>0</v>
      </c>
      <c r="S306" s="9" t="n">
        <v>0</v>
      </c>
      <c r="T306" s="9" t="n">
        <v>0</v>
      </c>
      <c r="U306" s="9" t="n">
        <v>0</v>
      </c>
      <c r="V306" s="9" t="n">
        <v>0</v>
      </c>
      <c r="W306" s="9" t="n">
        <v>0</v>
      </c>
      <c r="X306" s="9" t="n">
        <v>0</v>
      </c>
      <c r="Y306" s="9" t="n">
        <v>0</v>
      </c>
      <c r="Z306" s="9" t="n">
        <v>0</v>
      </c>
      <c r="AA306" s="9" t="n">
        <v>0</v>
      </c>
      <c r="AB306" s="9" t="n">
        <v>0</v>
      </c>
      <c r="AC306" s="9" t="n">
        <v>0</v>
      </c>
      <c r="AD306" s="9" t="n">
        <v>0</v>
      </c>
      <c r="AE306" s="9" t="n">
        <v>0</v>
      </c>
      <c r="AF306" s="9" t="n">
        <v>0</v>
      </c>
      <c r="AG306" s="9" t="n">
        <v>0</v>
      </c>
      <c r="AH306" s="9" t="n">
        <v>0</v>
      </c>
      <c r="AI306" s="9" t="n">
        <v>0</v>
      </c>
      <c r="AJ306" s="9" t="n">
        <v>0</v>
      </c>
      <c r="AK306" s="9" t="n">
        <v>0</v>
      </c>
      <c r="AL306" s="9" t="n">
        <v>0</v>
      </c>
      <c r="AM306" s="9" t="n">
        <v>0</v>
      </c>
      <c r="AN306" s="9" t="n">
        <v>0</v>
      </c>
      <c r="AO306" s="9" t="n">
        <v>0</v>
      </c>
      <c r="AP306" s="9" t="n">
        <v>0</v>
      </c>
      <c r="AQ306" s="9" t="n">
        <v>0</v>
      </c>
      <c r="AR306" s="9" t="n">
        <v>0</v>
      </c>
      <c r="AS306" s="9" t="n">
        <v>0</v>
      </c>
      <c r="AT306" s="9" t="n">
        <v>0</v>
      </c>
      <c r="AU306" s="9" t="n">
        <v>0</v>
      </c>
      <c r="AV306" s="9" t="n">
        <v>0</v>
      </c>
      <c r="AW306" s="9" t="n">
        <v>0</v>
      </c>
      <c r="AX306" s="9" t="n">
        <v>0</v>
      </c>
      <c r="AY306" s="9" t="n">
        <v>0</v>
      </c>
    </row>
    <row r="307">
      <c r="A307" s="9" t="n">
        <v>313</v>
      </c>
      <c r="B307" s="9" t="inlineStr">
        <is>
          <t>ЯП201</t>
        </is>
      </c>
      <c r="C307" s="9" t="inlineStr"/>
      <c r="D307" s="9" t="inlineStr">
        <is>
          <t>МУЧНЫЕ</t>
        </is>
      </c>
      <c r="E307" s="9" t="inlineStr">
        <is>
          <t>Федеральный</t>
        </is>
      </c>
      <c r="F307" s="9" t="n">
        <v>5843.18</v>
      </c>
      <c r="G307" s="9" t="n">
        <v>0</v>
      </c>
      <c r="H307" s="9" t="n">
        <v>4702.684999999999</v>
      </c>
      <c r="I307" s="9" t="n">
        <v>1394.56</v>
      </c>
      <c r="J307" s="9" t="n">
        <v>1289.6</v>
      </c>
      <c r="K307" s="9" t="n">
        <v>0</v>
      </c>
      <c r="L307" s="9" t="n">
        <v>516</v>
      </c>
      <c r="M307" s="9" t="n">
        <v>316.786623249752</v>
      </c>
      <c r="N307" s="9" t="n">
        <v>280.9958550719112</v>
      </c>
      <c r="O307" s="9" t="n">
        <v>78.232</v>
      </c>
      <c r="P307" s="9" t="n">
        <v>0</v>
      </c>
      <c r="Q307" s="9" t="n">
        <v>0.8582830466030537</v>
      </c>
      <c r="R307" s="9" t="n">
        <v>0</v>
      </c>
      <c r="S307" s="9" t="n">
        <v>0</v>
      </c>
      <c r="T307" s="9" t="n">
        <v>821</v>
      </c>
      <c r="U307" s="9" t="n">
        <v>802.7194005710259</v>
      </c>
      <c r="V307" s="9" t="n">
        <v>9841.348935524033</v>
      </c>
      <c r="W307" s="9" t="n">
        <v>78.232</v>
      </c>
      <c r="X307" s="9" t="n">
        <v>0</v>
      </c>
      <c r="Y307" s="9" t="n">
        <v>1.896536010172589</v>
      </c>
      <c r="Z307" s="9" t="n">
        <v>0</v>
      </c>
      <c r="AA307" s="9" t="n">
        <v>0</v>
      </c>
      <c r="AB307" s="9" t="n">
        <v>344</v>
      </c>
      <c r="AC307" s="9" t="n">
        <v>722.1869936371295</v>
      </c>
      <c r="AD307" s="9" t="n">
        <v>782.1948921988621</v>
      </c>
      <c r="AE307" s="9" t="n">
        <v>78.232</v>
      </c>
      <c r="AF307" s="9" t="n">
        <v>0</v>
      </c>
      <c r="AG307" s="9" t="n">
        <v>2.824421202046648</v>
      </c>
      <c r="AH307" s="9" t="n">
        <v>0</v>
      </c>
      <c r="AI307" s="9" t="n">
        <v>0</v>
      </c>
      <c r="AJ307" s="9" t="n">
        <v>370</v>
      </c>
      <c r="AK307" s="9" t="n">
        <v>771.1878655143622</v>
      </c>
      <c r="AL307" s="9" t="n">
        <v>786.7485780205657</v>
      </c>
      <c r="AM307" s="9" t="n">
        <v>78.232</v>
      </c>
      <c r="AN307" s="9" t="n">
        <v>0</v>
      </c>
      <c r="AO307" s="9" t="n">
        <v>2.543560427974693</v>
      </c>
      <c r="AP307" s="9" t="n">
        <v>0</v>
      </c>
      <c r="AQ307" s="9" t="n">
        <v>0</v>
      </c>
      <c r="AR307" s="9" t="n">
        <v>371</v>
      </c>
      <c r="AS307" s="9" t="n">
        <v>719.352556026101</v>
      </c>
      <c r="AT307" s="9" t="n">
        <v>706.9869887357183</v>
      </c>
      <c r="AU307" s="9" t="n">
        <v>78.232</v>
      </c>
      <c r="AV307" s="9" t="n">
        <v>0</v>
      </c>
      <c r="AW307" s="9" t="n">
        <v>0.4291415233015276</v>
      </c>
      <c r="AX307" s="9" t="n">
        <v>0</v>
      </c>
      <c r="AY307" s="9" t="n">
        <v>0</v>
      </c>
    </row>
    <row r="308">
      <c r="A308" s="9" t="n">
        <v>314</v>
      </c>
      <c r="B308" s="9" t="inlineStr">
        <is>
          <t>ЯП223</t>
        </is>
      </c>
      <c r="C308" s="9" t="inlineStr"/>
      <c r="D308" s="9" t="inlineStr">
        <is>
          <t>МУЧНЫЕ</t>
        </is>
      </c>
      <c r="E308" s="9" t="inlineStr">
        <is>
          <t>Федеральный</t>
        </is>
      </c>
      <c r="F308" s="9" t="n">
        <v>189.5599999999999</v>
      </c>
      <c r="G308" s="9" t="n">
        <v>0</v>
      </c>
      <c r="H308" s="9" t="n">
        <v>0</v>
      </c>
      <c r="I308" s="9" t="n">
        <v>0</v>
      </c>
      <c r="J308" s="9" t="n">
        <v>1</v>
      </c>
      <c r="K308" s="9" t="n">
        <v>0</v>
      </c>
      <c r="L308" s="9" t="n">
        <v>0</v>
      </c>
      <c r="M308" s="9" t="n">
        <v>0</v>
      </c>
      <c r="N308" s="9" t="n">
        <v>19.57526238185041</v>
      </c>
      <c r="O308" s="9" t="n">
        <v>0</v>
      </c>
      <c r="P308" s="9" t="n">
        <v>0</v>
      </c>
      <c r="Q308" s="9" t="n">
        <v>0</v>
      </c>
      <c r="R308" s="9" t="n">
        <v>0</v>
      </c>
      <c r="S308" s="9" t="n">
        <v>0</v>
      </c>
      <c r="T308" s="9" t="n">
        <v>0</v>
      </c>
      <c r="U308" s="9" t="n">
        <v>0</v>
      </c>
      <c r="V308" s="9" t="n">
        <v>49.79028359373276</v>
      </c>
      <c r="W308" s="9" t="n">
        <v>0</v>
      </c>
      <c r="X308" s="9" t="n">
        <v>0</v>
      </c>
      <c r="Y308" s="9" t="n">
        <v>0</v>
      </c>
      <c r="Z308" s="9" t="n">
        <v>0</v>
      </c>
      <c r="AA308" s="9" t="n">
        <v>0</v>
      </c>
      <c r="AB308" s="9" t="n">
        <v>0</v>
      </c>
      <c r="AC308" s="9" t="n">
        <v>0</v>
      </c>
      <c r="AD308" s="9" t="n">
        <v>75.99749644376924</v>
      </c>
      <c r="AE308" s="9" t="n">
        <v>0</v>
      </c>
      <c r="AF308" s="9" t="n">
        <v>0</v>
      </c>
      <c r="AG308" s="9" t="n">
        <v>0</v>
      </c>
      <c r="AH308" s="9" t="n">
        <v>0</v>
      </c>
      <c r="AI308" s="9" t="n">
        <v>0</v>
      </c>
      <c r="AJ308" s="9" t="n">
        <v>0</v>
      </c>
      <c r="AK308" s="9" t="n">
        <v>0</v>
      </c>
      <c r="AL308" s="9" t="n">
        <v>76.56169294076984</v>
      </c>
      <c r="AM308" s="9" t="n">
        <v>0</v>
      </c>
      <c r="AN308" s="9" t="n">
        <v>0</v>
      </c>
      <c r="AO308" s="9" t="n">
        <v>0</v>
      </c>
      <c r="AP308" s="9" t="n">
        <v>0</v>
      </c>
      <c r="AQ308" s="9" t="n">
        <v>0</v>
      </c>
      <c r="AR308" s="9" t="n">
        <v>0</v>
      </c>
      <c r="AS308" s="9" t="n">
        <v>0</v>
      </c>
      <c r="AT308" s="9" t="n">
        <v>80.5700528436292</v>
      </c>
      <c r="AU308" s="9" t="n">
        <v>0</v>
      </c>
      <c r="AV308" s="9" t="n">
        <v>0</v>
      </c>
      <c r="AW308" s="9" t="n">
        <v>0</v>
      </c>
      <c r="AX308" s="9" t="n">
        <v>0</v>
      </c>
      <c r="AY308" s="9" t="n">
        <v>0</v>
      </c>
    </row>
    <row r="309">
      <c r="A309" s="9" t="n">
        <v>315</v>
      </c>
      <c r="B309" s="9" t="inlineStr">
        <is>
          <t>ЯП212</t>
        </is>
      </c>
      <c r="C309" s="9" t="inlineStr"/>
      <c r="D309" s="9" t="inlineStr">
        <is>
          <t>МУЧНЫЕ</t>
        </is>
      </c>
      <c r="E309" s="9" t="inlineStr">
        <is>
          <t>Локальный</t>
        </is>
      </c>
      <c r="F309" s="9" t="n">
        <v>3607.94</v>
      </c>
      <c r="G309" s="9" t="n">
        <v>0</v>
      </c>
      <c r="H309" s="9" t="n">
        <v>5850.305</v>
      </c>
      <c r="I309" s="9" t="n">
        <v>6382.219999999999</v>
      </c>
      <c r="J309" s="9" t="n">
        <v>803.11</v>
      </c>
      <c r="K309" s="9" t="n">
        <v>0</v>
      </c>
      <c r="L309" s="9" t="n">
        <v>0</v>
      </c>
      <c r="M309" s="9" t="n">
        <v>0</v>
      </c>
      <c r="N309" s="9" t="n">
        <v>116.0840302474823</v>
      </c>
      <c r="O309" s="9" t="n">
        <v>296.52</v>
      </c>
      <c r="P309" s="9" t="n">
        <v>0</v>
      </c>
      <c r="Q309" s="9" t="n">
        <v>0</v>
      </c>
      <c r="R309" s="9" t="n">
        <v>17.25084231225336</v>
      </c>
      <c r="S309" s="9" t="n">
        <v>1068.681574260022</v>
      </c>
      <c r="T309" s="9" t="n">
        <v>0</v>
      </c>
      <c r="U309" s="9" t="n">
        <v>0</v>
      </c>
      <c r="V309" s="9" t="n">
        <v>297.6445370187145</v>
      </c>
      <c r="W309" s="9" t="n">
        <v>296.52</v>
      </c>
      <c r="X309" s="9" t="n">
        <v>0</v>
      </c>
      <c r="Y309" s="9" t="n">
        <v>0</v>
      </c>
      <c r="Z309" s="9" t="n">
        <v>51.96006174393357</v>
      </c>
      <c r="AA309" s="9" t="n">
        <v>2314.925921650133</v>
      </c>
      <c r="AB309" s="9" t="n">
        <v>0</v>
      </c>
      <c r="AC309" s="9" t="n">
        <v>0</v>
      </c>
      <c r="AD309" s="9" t="n">
        <v>404.921843182961</v>
      </c>
      <c r="AE309" s="9" t="n">
        <v>296.52</v>
      </c>
      <c r="AF309" s="9" t="n">
        <v>0</v>
      </c>
      <c r="AG309" s="9" t="n">
        <v>0</v>
      </c>
      <c r="AH309" s="9" t="n">
        <v>52.52436036352235</v>
      </c>
      <c r="AI309" s="9" t="n">
        <v>2564.665003437295</v>
      </c>
      <c r="AJ309" s="9" t="n">
        <v>0</v>
      </c>
      <c r="AK309" s="9" t="n">
        <v>0</v>
      </c>
      <c r="AL309" s="9" t="n">
        <v>406.882242570388</v>
      </c>
      <c r="AM309" s="9" t="n">
        <v>296.52</v>
      </c>
      <c r="AN309" s="9" t="n">
        <v>0</v>
      </c>
      <c r="AO309" s="9" t="n">
        <v>0</v>
      </c>
      <c r="AP309" s="9" t="n">
        <v>37.83506708631627</v>
      </c>
      <c r="AQ309" s="9" t="n">
        <v>4602.53142645757</v>
      </c>
      <c r="AR309" s="9" t="n">
        <v>0</v>
      </c>
      <c r="AS309" s="9" t="n">
        <v>0</v>
      </c>
      <c r="AT309" s="9" t="n">
        <v>427.9722920249365</v>
      </c>
      <c r="AU309" s="9" t="n">
        <v>296.52</v>
      </c>
      <c r="AV309" s="9" t="n">
        <v>0</v>
      </c>
      <c r="AW309" s="9" t="n">
        <v>0</v>
      </c>
      <c r="AX309" s="9" t="n">
        <v>11.34428986862256</v>
      </c>
      <c r="AY309" s="9" t="n">
        <v>534.3407871300109</v>
      </c>
    </row>
    <row r="310">
      <c r="A310" s="9" t="n">
        <v>316</v>
      </c>
      <c r="B310" s="9" t="inlineStr">
        <is>
          <t>ЯП223</t>
        </is>
      </c>
      <c r="C310" s="9" t="inlineStr"/>
      <c r="D310" s="9" t="inlineStr">
        <is>
          <t>МУЧНЫЕ</t>
        </is>
      </c>
      <c r="E310" s="9" t="inlineStr">
        <is>
          <t>Локальный</t>
        </is>
      </c>
      <c r="F310" s="9" t="n">
        <v>0</v>
      </c>
      <c r="G310" s="9" t="n">
        <v>0</v>
      </c>
      <c r="H310" s="9" t="n">
        <v>0</v>
      </c>
      <c r="I310" s="9" t="n">
        <v>0</v>
      </c>
      <c r="J310" s="9" t="n">
        <v>0</v>
      </c>
      <c r="K310" s="9" t="n">
        <v>0</v>
      </c>
      <c r="L310" s="9" t="n">
        <v>0</v>
      </c>
      <c r="M310" s="9" t="n">
        <v>0</v>
      </c>
      <c r="N310" s="9" t="n">
        <v>0</v>
      </c>
      <c r="O310" s="9" t="n">
        <v>0</v>
      </c>
      <c r="P310" s="9" t="n">
        <v>0</v>
      </c>
      <c r="Q310" s="9" t="n">
        <v>0</v>
      </c>
      <c r="R310" s="9" t="n">
        <v>0</v>
      </c>
      <c r="S310" s="9" t="n">
        <v>0</v>
      </c>
      <c r="T310" s="9" t="n">
        <v>0</v>
      </c>
      <c r="U310" s="9" t="n">
        <v>0</v>
      </c>
      <c r="V310" s="9" t="n">
        <v>0</v>
      </c>
      <c r="W310" s="9" t="n">
        <v>0</v>
      </c>
      <c r="X310" s="9" t="n">
        <v>0</v>
      </c>
      <c r="Y310" s="9" t="n">
        <v>0</v>
      </c>
      <c r="Z310" s="9" t="n">
        <v>0</v>
      </c>
      <c r="AA310" s="9" t="n">
        <v>0</v>
      </c>
      <c r="AB310" s="9" t="n">
        <v>0</v>
      </c>
      <c r="AC310" s="9" t="n">
        <v>0</v>
      </c>
      <c r="AD310" s="9" t="n">
        <v>0</v>
      </c>
      <c r="AE310" s="9" t="n">
        <v>0</v>
      </c>
      <c r="AF310" s="9" t="n">
        <v>0</v>
      </c>
      <c r="AG310" s="9" t="n">
        <v>0</v>
      </c>
      <c r="AH310" s="9" t="n">
        <v>0</v>
      </c>
      <c r="AI310" s="9" t="n">
        <v>0</v>
      </c>
      <c r="AJ310" s="9" t="n">
        <v>0</v>
      </c>
      <c r="AK310" s="9" t="n">
        <v>0</v>
      </c>
      <c r="AL310" s="9" t="n">
        <v>0</v>
      </c>
      <c r="AM310" s="9" t="n">
        <v>0</v>
      </c>
      <c r="AN310" s="9" t="n">
        <v>0</v>
      </c>
      <c r="AO310" s="9" t="n">
        <v>0</v>
      </c>
      <c r="AP310" s="9" t="n">
        <v>0</v>
      </c>
      <c r="AQ310" s="9" t="n">
        <v>0</v>
      </c>
      <c r="AR310" s="9" t="n">
        <v>0</v>
      </c>
      <c r="AS310" s="9" t="n">
        <v>0</v>
      </c>
      <c r="AT310" s="9" t="n">
        <v>0</v>
      </c>
      <c r="AU310" s="9" t="n">
        <v>0</v>
      </c>
      <c r="AV310" s="9" t="n">
        <v>0</v>
      </c>
      <c r="AW310" s="9" t="n">
        <v>0</v>
      </c>
      <c r="AX310" s="9" t="n">
        <v>0</v>
      </c>
      <c r="AY310" s="9" t="n">
        <v>0</v>
      </c>
    </row>
    <row r="311">
      <c r="A311" s="9" t="n">
        <v>317</v>
      </c>
      <c r="B311" s="9" t="inlineStr">
        <is>
          <t>ЯП212</t>
        </is>
      </c>
      <c r="C311" s="9" t="inlineStr"/>
      <c r="D311" s="9" t="inlineStr">
        <is>
          <t>МУЧНЫЕ</t>
        </is>
      </c>
      <c r="E311" s="9" t="inlineStr">
        <is>
          <t>Локальный</t>
        </is>
      </c>
      <c r="F311" s="9" t="n">
        <v>3001.32</v>
      </c>
      <c r="G311" s="9" t="n">
        <v>0</v>
      </c>
      <c r="H311" s="9" t="n">
        <v>1561.63</v>
      </c>
      <c r="I311" s="9" t="n">
        <v>3519.94</v>
      </c>
      <c r="J311" s="9" t="n">
        <v>350.19</v>
      </c>
      <c r="K311" s="9" t="n">
        <v>0</v>
      </c>
      <c r="L311" s="9" t="n">
        <v>0</v>
      </c>
      <c r="M311" s="9" t="n">
        <v>0</v>
      </c>
      <c r="N311" s="9" t="n">
        <v>73.83787264516354</v>
      </c>
      <c r="O311" s="9" t="n">
        <v>98.28</v>
      </c>
      <c r="P311" s="9" t="n">
        <v>0</v>
      </c>
      <c r="Q311" s="9" t="n">
        <v>0.5808359890758839</v>
      </c>
      <c r="R311" s="9" t="n">
        <v>0</v>
      </c>
      <c r="S311" s="9" t="n">
        <v>609.4318488328412</v>
      </c>
      <c r="T311" s="9" t="n">
        <v>0</v>
      </c>
      <c r="U311" s="9" t="n">
        <v>0</v>
      </c>
      <c r="V311" s="9" t="n">
        <v>190.8269374062673</v>
      </c>
      <c r="W311" s="9" t="n">
        <v>98.28</v>
      </c>
      <c r="X311" s="9" t="n">
        <v>0</v>
      </c>
      <c r="Y311" s="9" t="n">
        <v>1.283465138507033</v>
      </c>
      <c r="Z311" s="9" t="n">
        <v>0</v>
      </c>
      <c r="AA311" s="9" t="n">
        <v>1320.12155755485</v>
      </c>
      <c r="AB311" s="9" t="n">
        <v>0</v>
      </c>
      <c r="AC311" s="9" t="n">
        <v>0</v>
      </c>
      <c r="AD311" s="9" t="n">
        <v>228.745197675518</v>
      </c>
      <c r="AE311" s="9" t="n">
        <v>98.28</v>
      </c>
      <c r="AF311" s="9" t="n">
        <v>0</v>
      </c>
      <c r="AG311" s="9" t="n">
        <v>1.911403806647001</v>
      </c>
      <c r="AH311" s="9" t="n">
        <v>0</v>
      </c>
      <c r="AI311" s="9" t="n">
        <v>1462.539050290937</v>
      </c>
      <c r="AJ311" s="9" t="n">
        <v>0</v>
      </c>
      <c r="AK311" s="9" t="n">
        <v>0</v>
      </c>
      <c r="AL311" s="9" t="n">
        <v>230.4579275693235</v>
      </c>
      <c r="AM311" s="9" t="n">
        <v>98.28</v>
      </c>
      <c r="AN311" s="9" t="n">
        <v>0</v>
      </c>
      <c r="AO311" s="9" t="n">
        <v>1.721333588964896</v>
      </c>
      <c r="AP311" s="9" t="n">
        <v>0</v>
      </c>
      <c r="AQ311" s="9" t="n">
        <v>2624.663233741523</v>
      </c>
      <c r="AR311" s="9" t="n">
        <v>0</v>
      </c>
      <c r="AS311" s="9" t="n">
        <v>0</v>
      </c>
      <c r="AT311" s="9" t="n">
        <v>241.5959721616433</v>
      </c>
      <c r="AU311" s="9" t="n">
        <v>98.28</v>
      </c>
      <c r="AV311" s="9" t="n">
        <v>0</v>
      </c>
      <c r="AW311" s="9" t="n">
        <v>0.2904179945379425</v>
      </c>
      <c r="AX311" s="9" t="n">
        <v>0</v>
      </c>
      <c r="AY311" s="9" t="n">
        <v>304.7159244164205</v>
      </c>
    </row>
    <row r="312">
      <c r="A312" s="9" t="n">
        <v>318</v>
      </c>
      <c r="B312" s="9" t="inlineStr">
        <is>
          <t>ЯП223</t>
        </is>
      </c>
      <c r="C312" s="9" t="inlineStr"/>
      <c r="D312" s="9" t="inlineStr">
        <is>
          <t>МУЧНЫЕ</t>
        </is>
      </c>
      <c r="E312" s="9" t="inlineStr">
        <is>
          <t>Локальный</t>
        </is>
      </c>
      <c r="F312" s="9" t="n">
        <v>15.4</v>
      </c>
      <c r="G312" s="9" t="n">
        <v>0</v>
      </c>
      <c r="H312" s="9" t="n">
        <v>0</v>
      </c>
      <c r="I312" s="9" t="n">
        <v>0</v>
      </c>
      <c r="J312" s="9" t="n">
        <v>0</v>
      </c>
      <c r="K312" s="9" t="n">
        <v>0</v>
      </c>
      <c r="L312" s="9" t="n">
        <v>0</v>
      </c>
      <c r="M312" s="9" t="n">
        <v>0</v>
      </c>
      <c r="N312" s="9" t="n">
        <v>0</v>
      </c>
      <c r="O312" s="9" t="n">
        <v>0</v>
      </c>
      <c r="P312" s="9" t="n">
        <v>0</v>
      </c>
      <c r="Q312" s="9" t="n">
        <v>0</v>
      </c>
      <c r="R312" s="9" t="n">
        <v>0</v>
      </c>
      <c r="S312" s="9" t="n">
        <v>0</v>
      </c>
      <c r="T312" s="9" t="n">
        <v>0</v>
      </c>
      <c r="U312" s="9" t="n">
        <v>0</v>
      </c>
      <c r="V312" s="9" t="n">
        <v>0</v>
      </c>
      <c r="W312" s="9" t="n">
        <v>0</v>
      </c>
      <c r="X312" s="9" t="n">
        <v>0</v>
      </c>
      <c r="Y312" s="9" t="n">
        <v>0</v>
      </c>
      <c r="Z312" s="9" t="n">
        <v>0</v>
      </c>
      <c r="AA312" s="9" t="n">
        <v>0</v>
      </c>
      <c r="AB312" s="9" t="n">
        <v>0</v>
      </c>
      <c r="AC312" s="9" t="n">
        <v>0</v>
      </c>
      <c r="AD312" s="9" t="n">
        <v>0</v>
      </c>
      <c r="AE312" s="9" t="n">
        <v>0</v>
      </c>
      <c r="AF312" s="9" t="n">
        <v>0</v>
      </c>
      <c r="AG312" s="9" t="n">
        <v>0</v>
      </c>
      <c r="AH312" s="9" t="n">
        <v>0</v>
      </c>
      <c r="AI312" s="9" t="n">
        <v>0</v>
      </c>
      <c r="AJ312" s="9" t="n">
        <v>0</v>
      </c>
      <c r="AK312" s="9" t="n">
        <v>0</v>
      </c>
      <c r="AL312" s="9" t="n">
        <v>0</v>
      </c>
      <c r="AM312" s="9" t="n">
        <v>0</v>
      </c>
      <c r="AN312" s="9" t="n">
        <v>0</v>
      </c>
      <c r="AO312" s="9" t="n">
        <v>0</v>
      </c>
      <c r="AP312" s="9" t="n">
        <v>0</v>
      </c>
      <c r="AQ312" s="9" t="n">
        <v>0</v>
      </c>
      <c r="AR312" s="9" t="n">
        <v>0</v>
      </c>
      <c r="AS312" s="9" t="n">
        <v>0</v>
      </c>
      <c r="AT312" s="9" t="n">
        <v>0</v>
      </c>
      <c r="AU312" s="9" t="n">
        <v>0</v>
      </c>
      <c r="AV312" s="9" t="n">
        <v>0</v>
      </c>
      <c r="AW312" s="9" t="n">
        <v>0</v>
      </c>
      <c r="AX312" s="9" t="n">
        <v>0</v>
      </c>
      <c r="AY312" s="9" t="n">
        <v>0</v>
      </c>
    </row>
    <row r="313">
      <c r="A313" s="9" t="n">
        <v>319</v>
      </c>
      <c r="B313" s="9" t="inlineStr">
        <is>
          <t>ЯП121</t>
        </is>
      </c>
      <c r="C313" s="9" t="inlineStr"/>
      <c r="D313" s="9" t="inlineStr">
        <is>
          <t>МУЧНЫЕ</t>
        </is>
      </c>
      <c r="E313" s="9" t="inlineStr">
        <is>
          <t>Локальный</t>
        </is>
      </c>
      <c r="F313" s="9" t="n">
        <v>36683.64</v>
      </c>
      <c r="G313" s="9" t="n">
        <v>0</v>
      </c>
      <c r="H313" s="9" t="n">
        <v>8818.679999999998</v>
      </c>
      <c r="I313" s="9" t="n">
        <v>20585.5</v>
      </c>
      <c r="J313" s="9" t="n">
        <v>1151.9</v>
      </c>
      <c r="K313" s="9" t="n">
        <v>0</v>
      </c>
      <c r="L313" s="9" t="n">
        <v>0</v>
      </c>
      <c r="M313" s="9" t="n">
        <v>7000</v>
      </c>
      <c r="N313" s="9" t="n">
        <v>11.76071093569958</v>
      </c>
      <c r="O313" s="9" t="n">
        <v>351.528</v>
      </c>
      <c r="P313" s="9" t="n">
        <v>0</v>
      </c>
      <c r="Q313" s="9" t="n">
        <v>51.59615055298942</v>
      </c>
      <c r="R313" s="9" t="n">
        <v>0</v>
      </c>
      <c r="S313" s="9" t="n">
        <v>3855.892600196723</v>
      </c>
      <c r="T313" s="9" t="n">
        <v>0</v>
      </c>
      <c r="U313" s="9" t="n">
        <v>10000</v>
      </c>
      <c r="V313" s="9" t="n">
        <v>27.76598131178534</v>
      </c>
      <c r="W313" s="9" t="n">
        <v>356.028</v>
      </c>
      <c r="X313" s="9" t="n">
        <v>0</v>
      </c>
      <c r="Y313" s="9" t="n">
        <v>114.011290211686</v>
      </c>
      <c r="Z313" s="9" t="n">
        <v>0</v>
      </c>
      <c r="AA313" s="9" t="n">
        <v>8352.446553104424</v>
      </c>
      <c r="AB313" s="9" t="n">
        <v>0</v>
      </c>
      <c r="AC313" s="9" t="n">
        <v>10000</v>
      </c>
      <c r="AD313" s="9" t="n">
        <v>40.50919528129891</v>
      </c>
      <c r="AE313" s="9" t="n">
        <v>363.628</v>
      </c>
      <c r="AF313" s="9" t="n">
        <v>0</v>
      </c>
      <c r="AG313" s="9" t="n">
        <v>169.7916114533862</v>
      </c>
      <c r="AH313" s="9" t="n">
        <v>0</v>
      </c>
      <c r="AI313" s="9" t="n">
        <v>9253.526070742613</v>
      </c>
      <c r="AJ313" s="9" t="n">
        <v>0</v>
      </c>
      <c r="AK313" s="9" t="n">
        <v>10000</v>
      </c>
      <c r="AL313" s="9" t="n">
        <v>40.81928600258851</v>
      </c>
      <c r="AM313" s="9" t="n">
        <v>355.078</v>
      </c>
      <c r="AN313" s="9" t="n">
        <v>0</v>
      </c>
      <c r="AO313" s="9" t="n">
        <v>152.9075137879364</v>
      </c>
      <c r="AP313" s="9" t="n">
        <v>0</v>
      </c>
      <c r="AQ313" s="9" t="n">
        <v>16606.31875471319</v>
      </c>
      <c r="AR313" s="9" t="n">
        <v>0</v>
      </c>
      <c r="AS313" s="9" t="n">
        <v>5000</v>
      </c>
      <c r="AT313" s="9" t="n">
        <v>42.74865799877882</v>
      </c>
      <c r="AU313" s="9" t="n">
        <v>349.378</v>
      </c>
      <c r="AV313" s="9" t="n">
        <v>0</v>
      </c>
      <c r="AW313" s="9" t="n">
        <v>25.79807527649476</v>
      </c>
      <c r="AX313" s="9" t="n">
        <v>0</v>
      </c>
      <c r="AY313" s="9" t="n">
        <v>1927.946300098361</v>
      </c>
    </row>
    <row r="314">
      <c r="A314" s="9" t="n">
        <v>320</v>
      </c>
      <c r="B314" s="9" t="inlineStr">
        <is>
          <t>ЯП216</t>
        </is>
      </c>
      <c r="C314" s="9" t="inlineStr"/>
      <c r="D314" s="9" t="inlineStr">
        <is>
          <t>МУЧНЫЕ</t>
        </is>
      </c>
      <c r="E314" s="9" t="inlineStr">
        <is>
          <t>Локальный</t>
        </is>
      </c>
      <c r="F314" s="9" t="n">
        <v>5649</v>
      </c>
      <c r="G314" s="9" t="n">
        <v>0</v>
      </c>
      <c r="H314" s="9" t="n">
        <v>0</v>
      </c>
      <c r="I314" s="9" t="n">
        <v>1495.11</v>
      </c>
      <c r="J314" s="9" t="n">
        <v>0</v>
      </c>
      <c r="K314" s="9" t="n">
        <v>0</v>
      </c>
      <c r="L314" s="9" t="n">
        <v>0</v>
      </c>
      <c r="M314" s="9" t="n">
        <v>0</v>
      </c>
      <c r="N314" s="9" t="n">
        <v>0</v>
      </c>
      <c r="O314" s="9" t="n">
        <v>0</v>
      </c>
      <c r="P314" s="9" t="n">
        <v>0</v>
      </c>
      <c r="Q314" s="9" t="n">
        <v>0</v>
      </c>
      <c r="R314" s="9" t="n">
        <v>0</v>
      </c>
      <c r="S314" s="9" t="n">
        <v>569.0553251406814</v>
      </c>
      <c r="T314" s="9" t="n">
        <v>0</v>
      </c>
      <c r="U314" s="9" t="n">
        <v>0</v>
      </c>
      <c r="V314" s="9" t="n">
        <v>0</v>
      </c>
      <c r="W314" s="9" t="n">
        <v>0</v>
      </c>
      <c r="X314" s="9" t="n">
        <v>0</v>
      </c>
      <c r="Y314" s="9" t="n">
        <v>0</v>
      </c>
      <c r="Z314" s="9" t="n">
        <v>0</v>
      </c>
      <c r="AA314" s="9" t="n">
        <v>1232.659900525888</v>
      </c>
      <c r="AB314" s="9" t="n">
        <v>0</v>
      </c>
      <c r="AC314" s="9" t="n">
        <v>0</v>
      </c>
      <c r="AD314" s="9" t="n">
        <v>0</v>
      </c>
      <c r="AE314" s="9" t="n">
        <v>0</v>
      </c>
      <c r="AF314" s="9" t="n">
        <v>0</v>
      </c>
      <c r="AG314" s="9" t="n">
        <v>0</v>
      </c>
      <c r="AH314" s="9" t="n">
        <v>0</v>
      </c>
      <c r="AI314" s="9" t="n">
        <v>1365.64184557826</v>
      </c>
      <c r="AJ314" s="9" t="n">
        <v>0</v>
      </c>
      <c r="AK314" s="9" t="n">
        <v>0</v>
      </c>
      <c r="AL314" s="9" t="n">
        <v>0</v>
      </c>
      <c r="AM314" s="9" t="n">
        <v>0</v>
      </c>
      <c r="AN314" s="9" t="n">
        <v>0</v>
      </c>
      <c r="AO314" s="9" t="n">
        <v>0</v>
      </c>
      <c r="AP314" s="9" t="n">
        <v>0</v>
      </c>
      <c r="AQ314" s="9" t="n">
        <v>2450.772129356244</v>
      </c>
      <c r="AR314" s="9" t="n">
        <v>0</v>
      </c>
      <c r="AS314" s="9" t="n">
        <v>0</v>
      </c>
      <c r="AT314" s="9" t="n">
        <v>0</v>
      </c>
      <c r="AU314" s="9" t="n">
        <v>0</v>
      </c>
      <c r="AV314" s="9" t="n">
        <v>0</v>
      </c>
      <c r="AW314" s="9" t="n">
        <v>0</v>
      </c>
      <c r="AX314" s="9" t="n">
        <v>0</v>
      </c>
      <c r="AY314" s="9" t="n">
        <v>284.5276625703406</v>
      </c>
    </row>
    <row r="315">
      <c r="A315" s="9" t="n">
        <v>321</v>
      </c>
      <c r="B315" s="9" t="inlineStr">
        <is>
          <t>ЯП167</t>
        </is>
      </c>
      <c r="C315" s="9" t="inlineStr"/>
      <c r="D315" s="9" t="inlineStr">
        <is>
          <t>МУЧНЫЕ</t>
        </is>
      </c>
      <c r="E315" s="9" t="inlineStr">
        <is>
          <t>Локальный</t>
        </is>
      </c>
      <c r="F315" s="9" t="n">
        <v>0</v>
      </c>
      <c r="G315" s="9" t="n">
        <v>0</v>
      </c>
      <c r="H315" s="9" t="n">
        <v>2689.91</v>
      </c>
      <c r="I315" s="9" t="n">
        <v>2786.07</v>
      </c>
      <c r="J315" s="9" t="n">
        <v>0</v>
      </c>
      <c r="K315" s="9" t="n">
        <v>0</v>
      </c>
      <c r="L315" s="9" t="n">
        <v>0</v>
      </c>
      <c r="M315" s="9" t="n">
        <v>0</v>
      </c>
      <c r="N315" s="9" t="n">
        <v>0</v>
      </c>
      <c r="O315" s="9" t="n">
        <v>0</v>
      </c>
      <c r="P315" s="9" t="n">
        <v>0</v>
      </c>
      <c r="Q315" s="9" t="n">
        <v>0</v>
      </c>
      <c r="R315" s="9" t="n">
        <v>0</v>
      </c>
      <c r="S315" s="9" t="n">
        <v>539.2689849909235</v>
      </c>
      <c r="T315" s="9" t="n">
        <v>0</v>
      </c>
      <c r="U315" s="9" t="n">
        <v>0</v>
      </c>
      <c r="V315" s="9" t="n">
        <v>0</v>
      </c>
      <c r="W315" s="9" t="n">
        <v>0</v>
      </c>
      <c r="X315" s="9" t="n">
        <v>0</v>
      </c>
      <c r="Y315" s="9" t="n">
        <v>0</v>
      </c>
      <c r="Z315" s="9" t="n">
        <v>0</v>
      </c>
      <c r="AA315" s="9" t="n">
        <v>1168.138182752746</v>
      </c>
      <c r="AB315" s="9" t="n">
        <v>0</v>
      </c>
      <c r="AC315" s="9" t="n">
        <v>0</v>
      </c>
      <c r="AD315" s="9" t="n">
        <v>0</v>
      </c>
      <c r="AE315" s="9" t="n">
        <v>0</v>
      </c>
      <c r="AF315" s="9" t="n">
        <v>0</v>
      </c>
      <c r="AG315" s="9" t="n">
        <v>0</v>
      </c>
      <c r="AH315" s="9" t="n">
        <v>0</v>
      </c>
      <c r="AI315" s="9" t="n">
        <v>1294.159389061258</v>
      </c>
      <c r="AJ315" s="9" t="n">
        <v>0</v>
      </c>
      <c r="AK315" s="9" t="n">
        <v>0</v>
      </c>
      <c r="AL315" s="9" t="n">
        <v>0</v>
      </c>
      <c r="AM315" s="9" t="n">
        <v>0</v>
      </c>
      <c r="AN315" s="9" t="n">
        <v>0</v>
      </c>
      <c r="AO315" s="9" t="n">
        <v>0</v>
      </c>
      <c r="AP315" s="9" t="n">
        <v>0</v>
      </c>
      <c r="AQ315" s="9" t="n">
        <v>2322.490169677711</v>
      </c>
      <c r="AR315" s="9" t="n">
        <v>0</v>
      </c>
      <c r="AS315" s="9" t="n">
        <v>0</v>
      </c>
      <c r="AT315" s="9" t="n">
        <v>0</v>
      </c>
      <c r="AU315" s="9" t="n">
        <v>0</v>
      </c>
      <c r="AV315" s="9" t="n">
        <v>0</v>
      </c>
      <c r="AW315" s="9" t="n">
        <v>0</v>
      </c>
      <c r="AX315" s="9" t="n">
        <v>0</v>
      </c>
      <c r="AY315" s="9" t="n">
        <v>269.6344924954617</v>
      </c>
    </row>
    <row r="316">
      <c r="A316" s="9" t="n">
        <v>322</v>
      </c>
      <c r="B316" s="9" t="inlineStr">
        <is>
          <t>ЯП107</t>
        </is>
      </c>
      <c r="C316" s="9" t="inlineStr"/>
      <c r="D316" s="9" t="inlineStr">
        <is>
          <t>МУЧНЫЕ</t>
        </is>
      </c>
      <c r="E316" s="9" t="inlineStr">
        <is>
          <t>Локальный</t>
        </is>
      </c>
      <c r="F316" s="9" t="n">
        <v>1456</v>
      </c>
      <c r="G316" s="9" t="n">
        <v>0</v>
      </c>
      <c r="H316" s="9" t="n">
        <v>0</v>
      </c>
      <c r="I316" s="9" t="n">
        <v>1237.4</v>
      </c>
      <c r="J316" s="9" t="n">
        <v>0</v>
      </c>
      <c r="K316" s="9" t="n">
        <v>0</v>
      </c>
      <c r="L316" s="9" t="n">
        <v>0</v>
      </c>
      <c r="M316" s="9" t="n">
        <v>0</v>
      </c>
      <c r="N316" s="9" t="n">
        <v>0</v>
      </c>
      <c r="O316" s="9" t="n">
        <v>0</v>
      </c>
      <c r="P316" s="9" t="n">
        <v>0</v>
      </c>
      <c r="Q316" s="9" t="n">
        <v>0</v>
      </c>
      <c r="R316" s="9" t="n">
        <v>0</v>
      </c>
      <c r="S316" s="9" t="n">
        <v>301.6868756410059</v>
      </c>
      <c r="T316" s="9" t="n">
        <v>0</v>
      </c>
      <c r="U316" s="9" t="n">
        <v>0</v>
      </c>
      <c r="V316" s="9" t="n">
        <v>0</v>
      </c>
      <c r="W316" s="9" t="n">
        <v>0</v>
      </c>
      <c r="X316" s="9" t="n">
        <v>0</v>
      </c>
      <c r="Y316" s="9" t="n">
        <v>0</v>
      </c>
      <c r="Z316" s="9" t="n">
        <v>0</v>
      </c>
      <c r="AA316" s="9" t="n">
        <v>653.4994010040645</v>
      </c>
      <c r="AB316" s="9" t="n">
        <v>0</v>
      </c>
      <c r="AC316" s="9" t="n">
        <v>0</v>
      </c>
      <c r="AD316" s="9" t="n">
        <v>0</v>
      </c>
      <c r="AE316" s="9" t="n">
        <v>0</v>
      </c>
      <c r="AF316" s="9" t="n">
        <v>0</v>
      </c>
      <c r="AG316" s="9" t="n">
        <v>0</v>
      </c>
      <c r="AH316" s="9" t="n">
        <v>0</v>
      </c>
      <c r="AI316" s="9" t="n">
        <v>724.0002921249687</v>
      </c>
      <c r="AJ316" s="9" t="n">
        <v>0</v>
      </c>
      <c r="AK316" s="9" t="n">
        <v>0</v>
      </c>
      <c r="AL316" s="9" t="n">
        <v>0</v>
      </c>
      <c r="AM316" s="9" t="n">
        <v>0</v>
      </c>
      <c r="AN316" s="9" t="n">
        <v>0</v>
      </c>
      <c r="AO316" s="9" t="n">
        <v>0</v>
      </c>
      <c r="AP316" s="9" t="n">
        <v>0</v>
      </c>
      <c r="AQ316" s="9" t="n">
        <v>1299.286297743994</v>
      </c>
      <c r="AR316" s="9" t="n">
        <v>0</v>
      </c>
      <c r="AS316" s="9" t="n">
        <v>0</v>
      </c>
      <c r="AT316" s="9" t="n">
        <v>0</v>
      </c>
      <c r="AU316" s="9" t="n">
        <v>0</v>
      </c>
      <c r="AV316" s="9" t="n">
        <v>0</v>
      </c>
      <c r="AW316" s="9" t="n">
        <v>0</v>
      </c>
      <c r="AX316" s="9" t="n">
        <v>0</v>
      </c>
      <c r="AY316" s="9" t="n">
        <v>150.8434378205029</v>
      </c>
    </row>
    <row r="317">
      <c r="A317" s="9" t="n">
        <v>323</v>
      </c>
      <c r="B317" s="9" t="inlineStr">
        <is>
          <t>ЯП107</t>
        </is>
      </c>
      <c r="C317" s="9" t="inlineStr"/>
      <c r="D317" s="9" t="inlineStr">
        <is>
          <t>МУЧНЫЕ</t>
        </is>
      </c>
      <c r="E317" s="9" t="inlineStr">
        <is>
          <t>Локальный</t>
        </is>
      </c>
      <c r="F317" s="9" t="n">
        <v>0</v>
      </c>
      <c r="G317" s="9" t="n">
        <v>0</v>
      </c>
      <c r="H317" s="9" t="n">
        <v>586.905</v>
      </c>
      <c r="I317" s="9" t="n">
        <v>566.25</v>
      </c>
      <c r="J317" s="9" t="n">
        <v>2.78</v>
      </c>
      <c r="K317" s="9" t="n">
        <v>0</v>
      </c>
      <c r="L317" s="9" t="n">
        <v>0</v>
      </c>
      <c r="M317" s="9" t="n">
        <v>0</v>
      </c>
      <c r="N317" s="9" t="n">
        <v>0</v>
      </c>
      <c r="O317" s="9" t="n">
        <v>1.4</v>
      </c>
      <c r="P317" s="9" t="n">
        <v>0</v>
      </c>
      <c r="Q317" s="9" t="n">
        <v>0</v>
      </c>
      <c r="R317" s="9" t="n">
        <v>0</v>
      </c>
      <c r="S317" s="9" t="n">
        <v>109.0021257225285</v>
      </c>
      <c r="T317" s="9" t="n">
        <v>0</v>
      </c>
      <c r="U317" s="9" t="n">
        <v>0</v>
      </c>
      <c r="V317" s="9" t="n">
        <v>0</v>
      </c>
      <c r="W317" s="9" t="n">
        <v>1.4</v>
      </c>
      <c r="X317" s="9" t="n">
        <v>0</v>
      </c>
      <c r="Y317" s="9" t="n">
        <v>0</v>
      </c>
      <c r="Z317" s="9" t="n">
        <v>0</v>
      </c>
      <c r="AA317" s="9" t="n">
        <v>236.1150902454438</v>
      </c>
      <c r="AB317" s="9" t="n">
        <v>0</v>
      </c>
      <c r="AC317" s="9" t="n">
        <v>0</v>
      </c>
      <c r="AD317" s="9" t="n">
        <v>0</v>
      </c>
      <c r="AE317" s="9" t="n">
        <v>1.4</v>
      </c>
      <c r="AF317" s="9" t="n">
        <v>0</v>
      </c>
      <c r="AG317" s="9" t="n">
        <v>0</v>
      </c>
      <c r="AH317" s="9" t="n">
        <v>0</v>
      </c>
      <c r="AI317" s="9" t="n">
        <v>261.5876832483148</v>
      </c>
      <c r="AJ317" s="9" t="n">
        <v>0</v>
      </c>
      <c r="AK317" s="9" t="n">
        <v>0</v>
      </c>
      <c r="AL317" s="9" t="n">
        <v>0</v>
      </c>
      <c r="AM317" s="9" t="n">
        <v>1.4</v>
      </c>
      <c r="AN317" s="9" t="n">
        <v>0</v>
      </c>
      <c r="AO317" s="9" t="n">
        <v>0</v>
      </c>
      <c r="AP317" s="9" t="n">
        <v>0</v>
      </c>
      <c r="AQ317" s="9" t="n">
        <v>469.4435847609653</v>
      </c>
      <c r="AR317" s="9" t="n">
        <v>0</v>
      </c>
      <c r="AS317" s="9" t="n">
        <v>0</v>
      </c>
      <c r="AT317" s="9" t="n">
        <v>0</v>
      </c>
      <c r="AU317" s="9" t="n">
        <v>1.4</v>
      </c>
      <c r="AV317" s="9" t="n">
        <v>0</v>
      </c>
      <c r="AW317" s="9" t="n">
        <v>0</v>
      </c>
      <c r="AX317" s="9" t="n">
        <v>0</v>
      </c>
      <c r="AY317" s="9" t="n">
        <v>54.50106286126422</v>
      </c>
    </row>
    <row r="318">
      <c r="A318" s="9" t="n">
        <v>324</v>
      </c>
      <c r="B318" s="9" t="inlineStr">
        <is>
          <t>ЯП195</t>
        </is>
      </c>
      <c r="C318" s="9" t="inlineStr"/>
      <c r="D318" s="9" t="inlineStr">
        <is>
          <t>МУЧНЫЕ</t>
        </is>
      </c>
      <c r="E318" s="9" t="inlineStr">
        <is>
          <t>Локальный</t>
        </is>
      </c>
      <c r="F318" s="9" t="n">
        <v>180</v>
      </c>
      <c r="G318" s="9" t="n">
        <v>0</v>
      </c>
      <c r="H318" s="9" t="n">
        <v>237.48</v>
      </c>
      <c r="I318" s="9" t="n">
        <v>213.03</v>
      </c>
      <c r="J318" s="9" t="n">
        <v>77.81</v>
      </c>
      <c r="K318" s="9" t="n">
        <v>68.95999999999999</v>
      </c>
      <c r="L318" s="9" t="n">
        <v>0</v>
      </c>
      <c r="M318" s="9" t="n">
        <v>0</v>
      </c>
      <c r="N318" s="9" t="n">
        <v>0</v>
      </c>
      <c r="O318" s="9" t="n">
        <v>30.4</v>
      </c>
      <c r="P318" s="9" t="n">
        <v>0</v>
      </c>
      <c r="Q318" s="9" t="n">
        <v>0</v>
      </c>
      <c r="R318" s="9" t="n">
        <v>0</v>
      </c>
      <c r="S318" s="9" t="n">
        <v>50.99126396430287</v>
      </c>
      <c r="T318" s="9" t="n">
        <v>0</v>
      </c>
      <c r="U318" s="9" t="n">
        <v>0</v>
      </c>
      <c r="V318" s="9" t="n">
        <v>0</v>
      </c>
      <c r="W318" s="9" t="n">
        <v>30.4</v>
      </c>
      <c r="X318" s="9" t="n">
        <v>0</v>
      </c>
      <c r="Y318" s="9" t="n">
        <v>0</v>
      </c>
      <c r="Z318" s="9" t="n">
        <v>0</v>
      </c>
      <c r="AA318" s="9" t="n">
        <v>110.4547898754624</v>
      </c>
      <c r="AB318" s="9" t="n">
        <v>0</v>
      </c>
      <c r="AC318" s="9" t="n">
        <v>0</v>
      </c>
      <c r="AD318" s="9" t="n">
        <v>0</v>
      </c>
      <c r="AE318" s="9" t="n">
        <v>30.4</v>
      </c>
      <c r="AF318" s="9" t="n">
        <v>0</v>
      </c>
      <c r="AG318" s="9" t="n">
        <v>0</v>
      </c>
      <c r="AH318" s="9" t="n">
        <v>0</v>
      </c>
      <c r="AI318" s="9" t="n">
        <v>122.3708851355771</v>
      </c>
      <c r="AJ318" s="9" t="n">
        <v>0</v>
      </c>
      <c r="AK318" s="9" t="n">
        <v>0</v>
      </c>
      <c r="AL318" s="9" t="n">
        <v>0</v>
      </c>
      <c r="AM318" s="9" t="n">
        <v>30.4</v>
      </c>
      <c r="AN318" s="9" t="n">
        <v>0</v>
      </c>
      <c r="AO318" s="9" t="n">
        <v>0</v>
      </c>
      <c r="AP318" s="9" t="n">
        <v>0</v>
      </c>
      <c r="AQ318" s="9" t="n">
        <v>219.6060084904159</v>
      </c>
      <c r="AR318" s="9" t="n">
        <v>0</v>
      </c>
      <c r="AS318" s="9" t="n">
        <v>0</v>
      </c>
      <c r="AT318" s="9" t="n">
        <v>0</v>
      </c>
      <c r="AU318" s="9" t="n">
        <v>30.4</v>
      </c>
      <c r="AV318" s="9" t="n">
        <v>0</v>
      </c>
      <c r="AW318" s="9" t="n">
        <v>0</v>
      </c>
      <c r="AX318" s="9" t="n">
        <v>0</v>
      </c>
      <c r="AY318" s="9" t="n">
        <v>25.49563198215143</v>
      </c>
    </row>
    <row r="319">
      <c r="A319" s="9" t="n">
        <v>325</v>
      </c>
      <c r="B319" s="9" t="inlineStr">
        <is>
          <t>ЯП183</t>
        </is>
      </c>
      <c r="C319" s="9" t="inlineStr"/>
      <c r="D319" s="9" t="inlineStr">
        <is>
          <t>МУЧНЫЕ</t>
        </is>
      </c>
      <c r="E319" s="9" t="inlineStr">
        <is>
          <t>Локальный</t>
        </is>
      </c>
      <c r="F319" s="9" t="n">
        <v>0</v>
      </c>
      <c r="G319" s="9" t="n">
        <v>0</v>
      </c>
      <c r="H319" s="9" t="n">
        <v>0</v>
      </c>
      <c r="I319" s="9" t="n">
        <v>389.82</v>
      </c>
      <c r="J319" s="9" t="n">
        <v>0</v>
      </c>
      <c r="K319" s="9" t="n">
        <v>0</v>
      </c>
      <c r="L319" s="9" t="n">
        <v>0</v>
      </c>
      <c r="M319" s="9" t="n">
        <v>0</v>
      </c>
      <c r="N319" s="9" t="n">
        <v>0</v>
      </c>
      <c r="O319" s="9" t="n">
        <v>0</v>
      </c>
      <c r="P319" s="9" t="n">
        <v>0</v>
      </c>
      <c r="Q319" s="9" t="n">
        <v>0</v>
      </c>
      <c r="R319" s="9" t="n">
        <v>0</v>
      </c>
      <c r="S319" s="9" t="n">
        <v>539.134775594179</v>
      </c>
      <c r="T319" s="9" t="n">
        <v>0</v>
      </c>
      <c r="U319" s="9" t="n">
        <v>0</v>
      </c>
      <c r="V319" s="9" t="n">
        <v>0</v>
      </c>
      <c r="W319" s="9" t="n">
        <v>0</v>
      </c>
      <c r="X319" s="9" t="n">
        <v>0</v>
      </c>
      <c r="Y319" s="9" t="n">
        <v>0</v>
      </c>
      <c r="Z319" s="9" t="n">
        <v>0</v>
      </c>
      <c r="AA319" s="9" t="n">
        <v>1167.847464901015</v>
      </c>
      <c r="AB319" s="9" t="n">
        <v>0</v>
      </c>
      <c r="AC319" s="9" t="n">
        <v>0</v>
      </c>
      <c r="AD319" s="9" t="n">
        <v>0</v>
      </c>
      <c r="AE319" s="9" t="n">
        <v>0</v>
      </c>
      <c r="AF319" s="9" t="n">
        <v>0</v>
      </c>
      <c r="AG319" s="9" t="n">
        <v>0</v>
      </c>
      <c r="AH319" s="9" t="n">
        <v>0</v>
      </c>
      <c r="AI319" s="9" t="n">
        <v>1293.837307955666</v>
      </c>
      <c r="AJ319" s="9" t="n">
        <v>0</v>
      </c>
      <c r="AK319" s="9" t="n">
        <v>0</v>
      </c>
      <c r="AL319" s="9" t="n">
        <v>0</v>
      </c>
      <c r="AM319" s="9" t="n">
        <v>0</v>
      </c>
      <c r="AN319" s="9" t="n">
        <v>0</v>
      </c>
      <c r="AO319" s="9" t="n">
        <v>0</v>
      </c>
      <c r="AP319" s="9" t="n">
        <v>0</v>
      </c>
      <c r="AQ319" s="9" t="n">
        <v>2321.912164983777</v>
      </c>
      <c r="AR319" s="9" t="n">
        <v>0</v>
      </c>
      <c r="AS319" s="9" t="n">
        <v>0</v>
      </c>
      <c r="AT319" s="9" t="n">
        <v>0</v>
      </c>
      <c r="AU319" s="9" t="n">
        <v>0</v>
      </c>
      <c r="AV319" s="9" t="n">
        <v>0</v>
      </c>
      <c r="AW319" s="9" t="n">
        <v>0</v>
      </c>
      <c r="AX319" s="9" t="n">
        <v>0</v>
      </c>
      <c r="AY319" s="9" t="n">
        <v>269.5673877970895</v>
      </c>
    </row>
    <row r="320">
      <c r="A320" s="9" t="n">
        <v>326</v>
      </c>
      <c r="B320" s="9" t="inlineStr">
        <is>
          <t>ЯП223</t>
        </is>
      </c>
      <c r="C320" s="9" t="inlineStr"/>
      <c r="D320" s="9" t="inlineStr">
        <is>
          <t>МУЧНЫЕ</t>
        </is>
      </c>
      <c r="E320" s="9" t="inlineStr">
        <is>
          <t>Локальный</t>
        </is>
      </c>
      <c r="F320" s="9" t="n">
        <v>0</v>
      </c>
      <c r="G320" s="9" t="n">
        <v>0</v>
      </c>
      <c r="H320" s="9" t="n">
        <v>0</v>
      </c>
      <c r="I320" s="9" t="n">
        <v>0</v>
      </c>
      <c r="J320" s="9" t="n">
        <v>0</v>
      </c>
      <c r="K320" s="9" t="n">
        <v>0</v>
      </c>
      <c r="L320" s="9" t="n">
        <v>0</v>
      </c>
      <c r="M320" s="9" t="n">
        <v>0</v>
      </c>
      <c r="N320" s="9" t="n">
        <v>0</v>
      </c>
      <c r="O320" s="9" t="n">
        <v>0</v>
      </c>
      <c r="P320" s="9" t="n">
        <v>0</v>
      </c>
      <c r="Q320" s="9" t="n">
        <v>0</v>
      </c>
      <c r="R320" s="9" t="n">
        <v>0</v>
      </c>
      <c r="S320" s="9" t="n">
        <v>0</v>
      </c>
      <c r="T320" s="9" t="n">
        <v>0</v>
      </c>
      <c r="U320" s="9" t="n">
        <v>0</v>
      </c>
      <c r="V320" s="9" t="n">
        <v>0</v>
      </c>
      <c r="W320" s="9" t="n">
        <v>0</v>
      </c>
      <c r="X320" s="9" t="n">
        <v>0</v>
      </c>
      <c r="Y320" s="9" t="n">
        <v>0</v>
      </c>
      <c r="Z320" s="9" t="n">
        <v>0</v>
      </c>
      <c r="AA320" s="9" t="n">
        <v>0</v>
      </c>
      <c r="AB320" s="9" t="n">
        <v>0</v>
      </c>
      <c r="AC320" s="9" t="n">
        <v>0</v>
      </c>
      <c r="AD320" s="9" t="n">
        <v>0</v>
      </c>
      <c r="AE320" s="9" t="n">
        <v>0</v>
      </c>
      <c r="AF320" s="9" t="n">
        <v>0</v>
      </c>
      <c r="AG320" s="9" t="n">
        <v>0</v>
      </c>
      <c r="AH320" s="9" t="n">
        <v>0</v>
      </c>
      <c r="AI320" s="9" t="n">
        <v>0</v>
      </c>
      <c r="AJ320" s="9" t="n">
        <v>0</v>
      </c>
      <c r="AK320" s="9" t="n">
        <v>0</v>
      </c>
      <c r="AL320" s="9" t="n">
        <v>0</v>
      </c>
      <c r="AM320" s="9" t="n">
        <v>0</v>
      </c>
      <c r="AN320" s="9" t="n">
        <v>0</v>
      </c>
      <c r="AO320" s="9" t="n">
        <v>0</v>
      </c>
      <c r="AP320" s="9" t="n">
        <v>0</v>
      </c>
      <c r="AQ320" s="9" t="n">
        <v>0</v>
      </c>
      <c r="AR320" s="9" t="n">
        <v>0</v>
      </c>
      <c r="AS320" s="9" t="n">
        <v>0</v>
      </c>
      <c r="AT320" s="9" t="n">
        <v>0</v>
      </c>
      <c r="AU320" s="9" t="n">
        <v>0</v>
      </c>
      <c r="AV320" s="9" t="n">
        <v>0</v>
      </c>
      <c r="AW320" s="9" t="n">
        <v>0</v>
      </c>
      <c r="AX320" s="9" t="n">
        <v>0</v>
      </c>
      <c r="AY320" s="9" t="n">
        <v>0</v>
      </c>
    </row>
    <row r="321">
      <c r="A321" s="9" t="n">
        <v>327</v>
      </c>
      <c r="B321" s="9" t="inlineStr">
        <is>
          <t>ЯП060</t>
        </is>
      </c>
      <c r="C321" s="9" t="inlineStr"/>
      <c r="D321" s="9" t="inlineStr">
        <is>
          <t>МУЧНЫЕ</t>
        </is>
      </c>
      <c r="E321" s="9" t="inlineStr">
        <is>
          <t>Локальный</t>
        </is>
      </c>
      <c r="F321" s="9" t="n">
        <v>25145.54</v>
      </c>
      <c r="G321" s="9" t="n">
        <v>0</v>
      </c>
      <c r="H321" s="9" t="n">
        <v>15971.56</v>
      </c>
      <c r="I321" s="9" t="n">
        <v>19222.3</v>
      </c>
      <c r="J321" s="9" t="n">
        <v>1152.22</v>
      </c>
      <c r="K321" s="9" t="n">
        <v>0</v>
      </c>
      <c r="L321" s="9" t="n">
        <v>0</v>
      </c>
      <c r="M321" s="9" t="n">
        <v>7000</v>
      </c>
      <c r="N321" s="9" t="n">
        <v>127.4756509077677</v>
      </c>
      <c r="O321" s="9" t="n">
        <v>355.8960000000001</v>
      </c>
      <c r="P321" s="9" t="n">
        <v>0</v>
      </c>
      <c r="Q321" s="9" t="n">
        <v>37.3568449766386</v>
      </c>
      <c r="R321" s="9" t="n">
        <v>0</v>
      </c>
      <c r="S321" s="9" t="n">
        <v>1409.409936540546</v>
      </c>
      <c r="T321" s="9" t="n">
        <v>0</v>
      </c>
      <c r="U321" s="9" t="n">
        <v>10000</v>
      </c>
      <c r="V321" s="9" t="n">
        <v>1348.941135197686</v>
      </c>
      <c r="W321" s="9" t="n">
        <v>360.3960000000001</v>
      </c>
      <c r="X321" s="9" t="n">
        <v>0</v>
      </c>
      <c r="Y321" s="9" t="n">
        <v>82.54689639395474</v>
      </c>
      <c r="Z321" s="9" t="n">
        <v>0</v>
      </c>
      <c r="AA321" s="9" t="n">
        <v>3052.995087510636</v>
      </c>
      <c r="AB321" s="9" t="n">
        <v>0</v>
      </c>
      <c r="AC321" s="9" t="n">
        <v>10000</v>
      </c>
      <c r="AD321" s="9" t="n">
        <v>2493.259754914824</v>
      </c>
      <c r="AE321" s="9" t="n">
        <v>367.9960000000001</v>
      </c>
      <c r="AF321" s="9" t="n">
        <v>0</v>
      </c>
      <c r="AG321" s="9" t="n">
        <v>122.9331808558788</v>
      </c>
      <c r="AH321" s="9" t="n">
        <v>0</v>
      </c>
      <c r="AI321" s="9" t="n">
        <v>3382.358624686861</v>
      </c>
      <c r="AJ321" s="9" t="n">
        <v>0</v>
      </c>
      <c r="AK321" s="9" t="n">
        <v>10000</v>
      </c>
      <c r="AL321" s="9" t="n">
        <v>1497.035571050458</v>
      </c>
      <c r="AM321" s="9" t="n">
        <v>359.4460000000001</v>
      </c>
      <c r="AN321" s="9" t="n">
        <v>0</v>
      </c>
      <c r="AO321" s="9" t="n">
        <v>110.7086909995888</v>
      </c>
      <c r="AP321" s="9" t="n">
        <v>0</v>
      </c>
      <c r="AQ321" s="9" t="n">
        <v>6069.959173929868</v>
      </c>
      <c r="AR321" s="9" t="n">
        <v>0</v>
      </c>
      <c r="AS321" s="9" t="n">
        <v>5000</v>
      </c>
      <c r="AT321" s="9" t="n">
        <v>522.8094303824238</v>
      </c>
      <c r="AU321" s="9" t="n">
        <v>353.7460000000001</v>
      </c>
      <c r="AV321" s="9" t="n">
        <v>0</v>
      </c>
      <c r="AW321" s="9" t="n">
        <v>18.67842248831933</v>
      </c>
      <c r="AX321" s="9" t="n">
        <v>0</v>
      </c>
      <c r="AY321" s="9" t="n">
        <v>704.704968270273</v>
      </c>
    </row>
    <row r="322">
      <c r="A322" s="9" t="n">
        <v>328</v>
      </c>
      <c r="B322" s="9" t="inlineStr">
        <is>
          <t>ЯП235</t>
        </is>
      </c>
      <c r="C322" s="9" t="inlineStr"/>
      <c r="D322" s="9" t="inlineStr">
        <is>
          <t>МУЧНЫЕ</t>
        </is>
      </c>
      <c r="E322" s="9" t="inlineStr">
        <is>
          <t>Локальный</t>
        </is>
      </c>
      <c r="F322" s="9" t="n">
        <v>5329.8</v>
      </c>
      <c r="G322" s="9" t="n">
        <v>0</v>
      </c>
      <c r="H322" s="9" t="n">
        <v>391.82</v>
      </c>
      <c r="I322" s="9" t="n">
        <v>3508.92</v>
      </c>
      <c r="J322" s="9" t="n">
        <v>0</v>
      </c>
      <c r="K322" s="9" t="n">
        <v>0</v>
      </c>
      <c r="L322" s="9" t="n">
        <v>0</v>
      </c>
      <c r="M322" s="9" t="n">
        <v>0</v>
      </c>
      <c r="N322" s="9" t="n">
        <v>0</v>
      </c>
      <c r="O322" s="9" t="n">
        <v>0</v>
      </c>
      <c r="P322" s="9" t="n">
        <v>0</v>
      </c>
      <c r="Q322" s="9" t="n">
        <v>0</v>
      </c>
      <c r="R322" s="9" t="n">
        <v>0</v>
      </c>
      <c r="S322" s="9" t="n">
        <v>679.2612795322268</v>
      </c>
      <c r="T322" s="9" t="n">
        <v>0</v>
      </c>
      <c r="U322" s="9" t="n">
        <v>0</v>
      </c>
      <c r="V322" s="9" t="n">
        <v>0</v>
      </c>
      <c r="W322" s="9" t="n">
        <v>0</v>
      </c>
      <c r="X322" s="9" t="n">
        <v>0</v>
      </c>
      <c r="Y322" s="9" t="n">
        <v>0</v>
      </c>
      <c r="Z322" s="9" t="n">
        <v>0</v>
      </c>
      <c r="AA322" s="9" t="n">
        <v>1471.382665740429</v>
      </c>
      <c r="AB322" s="9" t="n">
        <v>0</v>
      </c>
      <c r="AC322" s="9" t="n">
        <v>0</v>
      </c>
      <c r="AD322" s="9" t="n">
        <v>0</v>
      </c>
      <c r="AE322" s="9" t="n">
        <v>0</v>
      </c>
      <c r="AF322" s="9" t="n">
        <v>0</v>
      </c>
      <c r="AG322" s="9" t="n">
        <v>0</v>
      </c>
      <c r="AH322" s="9" t="n">
        <v>0</v>
      </c>
      <c r="AI322" s="9" t="n">
        <v>1630.11852526099</v>
      </c>
      <c r="AJ322" s="9" t="n">
        <v>0</v>
      </c>
      <c r="AK322" s="9" t="n">
        <v>0</v>
      </c>
      <c r="AL322" s="9" t="n">
        <v>0</v>
      </c>
      <c r="AM322" s="9" t="n">
        <v>0</v>
      </c>
      <c r="AN322" s="9" t="n">
        <v>0</v>
      </c>
      <c r="AO322" s="9" t="n">
        <v>0</v>
      </c>
      <c r="AP322" s="9" t="n">
        <v>0</v>
      </c>
      <c r="AQ322" s="9" t="n">
        <v>2925.400288657158</v>
      </c>
      <c r="AR322" s="9" t="n">
        <v>0</v>
      </c>
      <c r="AS322" s="9" t="n">
        <v>0</v>
      </c>
      <c r="AT322" s="9" t="n">
        <v>0</v>
      </c>
      <c r="AU322" s="9" t="n">
        <v>0</v>
      </c>
      <c r="AV322" s="9" t="n">
        <v>0</v>
      </c>
      <c r="AW322" s="9" t="n">
        <v>0</v>
      </c>
      <c r="AX322" s="9" t="n">
        <v>0</v>
      </c>
      <c r="AY322" s="9" t="n">
        <v>339.6306397661133</v>
      </c>
    </row>
    <row r="323">
      <c r="A323" s="9" t="n">
        <v>329</v>
      </c>
      <c r="B323" s="9" t="inlineStr">
        <is>
          <t>ЯП183</t>
        </is>
      </c>
      <c r="C323" s="9" t="inlineStr"/>
      <c r="D323" s="9" t="inlineStr">
        <is>
          <t>МУЧНЫЕ</t>
        </is>
      </c>
      <c r="E323" s="9" t="inlineStr">
        <is>
          <t>Локальный</t>
        </is>
      </c>
      <c r="F323" s="9" t="n">
        <v>0</v>
      </c>
      <c r="G323" s="9" t="n">
        <v>0</v>
      </c>
      <c r="H323" s="9" t="n">
        <v>930.1</v>
      </c>
      <c r="I323" s="9" t="n">
        <v>5725.26</v>
      </c>
      <c r="J323" s="9" t="n">
        <v>0</v>
      </c>
      <c r="K323" s="9" t="n">
        <v>0</v>
      </c>
      <c r="L323" s="9" t="n">
        <v>0</v>
      </c>
      <c r="M323" s="9" t="n">
        <v>0</v>
      </c>
      <c r="N323" s="9" t="n">
        <v>0</v>
      </c>
      <c r="O323" s="9" t="n">
        <v>0</v>
      </c>
      <c r="P323" s="9" t="n">
        <v>0</v>
      </c>
      <c r="Q323" s="9" t="n">
        <v>0</v>
      </c>
      <c r="R323" s="9" t="n">
        <v>0</v>
      </c>
      <c r="S323" s="9" t="n">
        <v>1108.478449995232</v>
      </c>
      <c r="T323" s="9" t="n">
        <v>0</v>
      </c>
      <c r="U323" s="9" t="n">
        <v>0</v>
      </c>
      <c r="V323" s="9" t="n">
        <v>0</v>
      </c>
      <c r="W323" s="9" t="n">
        <v>0</v>
      </c>
      <c r="X323" s="9" t="n">
        <v>0</v>
      </c>
      <c r="Y323" s="9" t="n">
        <v>0</v>
      </c>
      <c r="Z323" s="9" t="n">
        <v>0</v>
      </c>
      <c r="AA323" s="9" t="n">
        <v>2401.131973535998</v>
      </c>
      <c r="AB323" s="9" t="n">
        <v>0</v>
      </c>
      <c r="AC323" s="9" t="n">
        <v>0</v>
      </c>
      <c r="AD323" s="9" t="n">
        <v>0</v>
      </c>
      <c r="AE323" s="9" t="n">
        <v>0</v>
      </c>
      <c r="AF323" s="9" t="n">
        <v>0</v>
      </c>
      <c r="AG323" s="9" t="n">
        <v>0</v>
      </c>
      <c r="AH323" s="9" t="n">
        <v>0</v>
      </c>
      <c r="AI323" s="9" t="n">
        <v>2660.171145680749</v>
      </c>
      <c r="AJ323" s="9" t="n">
        <v>0</v>
      </c>
      <c r="AK323" s="9" t="n">
        <v>0</v>
      </c>
      <c r="AL323" s="9" t="n">
        <v>0</v>
      </c>
      <c r="AM323" s="9" t="n">
        <v>0</v>
      </c>
      <c r="AN323" s="9" t="n">
        <v>0</v>
      </c>
      <c r="AO323" s="9" t="n">
        <v>0</v>
      </c>
      <c r="AP323" s="9" t="n">
        <v>0</v>
      </c>
      <c r="AQ323" s="9" t="n">
        <v>4773.926139024745</v>
      </c>
      <c r="AR323" s="9" t="n">
        <v>0</v>
      </c>
      <c r="AS323" s="9" t="n">
        <v>0</v>
      </c>
      <c r="AT323" s="9" t="n">
        <v>0</v>
      </c>
      <c r="AU323" s="9" t="n">
        <v>0</v>
      </c>
      <c r="AV323" s="9" t="n">
        <v>0</v>
      </c>
      <c r="AW323" s="9" t="n">
        <v>0</v>
      </c>
      <c r="AX323" s="9" t="n">
        <v>0</v>
      </c>
      <c r="AY323" s="9" t="n">
        <v>554.239224997616</v>
      </c>
    </row>
    <row r="324">
      <c r="A324" s="9" t="n">
        <v>330</v>
      </c>
      <c r="B324" s="9" t="inlineStr">
        <is>
          <t>ЯП167</t>
        </is>
      </c>
      <c r="C324" s="9" t="inlineStr"/>
      <c r="D324" s="9" t="inlineStr">
        <is>
          <t>МУЧНЫЕ</t>
        </is>
      </c>
      <c r="E324" s="9" t="inlineStr">
        <is>
          <t>Локальный</t>
        </is>
      </c>
      <c r="F324" s="9" t="n">
        <v>0</v>
      </c>
      <c r="G324" s="9" t="n">
        <v>0</v>
      </c>
      <c r="H324" s="9" t="n">
        <v>2551.225</v>
      </c>
      <c r="I324" s="9" t="n">
        <v>2630.94</v>
      </c>
      <c r="J324" s="9" t="n">
        <v>0</v>
      </c>
      <c r="K324" s="9" t="n">
        <v>0</v>
      </c>
      <c r="L324" s="9" t="n">
        <v>0</v>
      </c>
      <c r="M324" s="9" t="n">
        <v>0</v>
      </c>
      <c r="N324" s="9" t="n">
        <v>0</v>
      </c>
      <c r="O324" s="9" t="n">
        <v>0</v>
      </c>
      <c r="P324" s="9" t="n">
        <v>0</v>
      </c>
      <c r="Q324" s="9" t="n">
        <v>0</v>
      </c>
      <c r="R324" s="9" t="n">
        <v>0</v>
      </c>
      <c r="S324" s="9" t="n">
        <v>509.3295326026287</v>
      </c>
      <c r="T324" s="9" t="n">
        <v>0</v>
      </c>
      <c r="U324" s="9" t="n">
        <v>0</v>
      </c>
      <c r="V324" s="9" t="n">
        <v>0</v>
      </c>
      <c r="W324" s="9" t="n">
        <v>0</v>
      </c>
      <c r="X324" s="9" t="n">
        <v>0</v>
      </c>
      <c r="Y324" s="9" t="n">
        <v>0</v>
      </c>
      <c r="Z324" s="9" t="n">
        <v>0</v>
      </c>
      <c r="AA324" s="9" t="n">
        <v>1103.284800713607</v>
      </c>
      <c r="AB324" s="9" t="n">
        <v>0</v>
      </c>
      <c r="AC324" s="9" t="n">
        <v>0</v>
      </c>
      <c r="AD324" s="9" t="n">
        <v>0</v>
      </c>
      <c r="AE324" s="9" t="n">
        <v>0</v>
      </c>
      <c r="AF324" s="9" t="n">
        <v>0</v>
      </c>
      <c r="AG324" s="9" t="n">
        <v>0</v>
      </c>
      <c r="AH324" s="9" t="n">
        <v>0</v>
      </c>
      <c r="AI324" s="9" t="n">
        <v>1222.309487639027</v>
      </c>
      <c r="AJ324" s="9" t="n">
        <v>0</v>
      </c>
      <c r="AK324" s="9" t="n">
        <v>0</v>
      </c>
      <c r="AL324" s="9" t="n">
        <v>0</v>
      </c>
      <c r="AM324" s="9" t="n">
        <v>0</v>
      </c>
      <c r="AN324" s="9" t="n">
        <v>0</v>
      </c>
      <c r="AO324" s="9" t="n">
        <v>0</v>
      </c>
      <c r="AP324" s="9" t="n">
        <v>0</v>
      </c>
      <c r="AQ324" s="9" t="n">
        <v>2193.548795720299</v>
      </c>
      <c r="AR324" s="9" t="n">
        <v>0</v>
      </c>
      <c r="AS324" s="9" t="n">
        <v>0</v>
      </c>
      <c r="AT324" s="9" t="n">
        <v>0</v>
      </c>
      <c r="AU324" s="9" t="n">
        <v>0</v>
      </c>
      <c r="AV324" s="9" t="n">
        <v>0</v>
      </c>
      <c r="AW324" s="9" t="n">
        <v>0</v>
      </c>
      <c r="AX324" s="9" t="n">
        <v>0</v>
      </c>
      <c r="AY324" s="9" t="n">
        <v>254.6647663013143</v>
      </c>
    </row>
    <row r="325">
      <c r="A325" s="9" t="n">
        <v>331</v>
      </c>
      <c r="B325" s="9" t="inlineStr">
        <is>
          <t>ЯП107</t>
        </is>
      </c>
      <c r="C325" s="9" t="inlineStr"/>
      <c r="D325" s="9" t="inlineStr">
        <is>
          <t>МУЧНЫЕ</t>
        </is>
      </c>
      <c r="E325" s="9" t="inlineStr">
        <is>
          <t>Локальный</t>
        </is>
      </c>
      <c r="F325" s="9" t="n">
        <v>182</v>
      </c>
      <c r="G325" s="9" t="n">
        <v>0</v>
      </c>
      <c r="H325" s="9" t="n">
        <v>768.3199999999999</v>
      </c>
      <c r="I325" s="9" t="n">
        <v>1228.67</v>
      </c>
      <c r="J325" s="9" t="n">
        <v>0</v>
      </c>
      <c r="K325" s="9" t="n">
        <v>0</v>
      </c>
      <c r="L325" s="9" t="n">
        <v>0</v>
      </c>
      <c r="M325" s="9" t="n">
        <v>0</v>
      </c>
      <c r="N325" s="9" t="n">
        <v>0</v>
      </c>
      <c r="O325" s="9" t="n">
        <v>0</v>
      </c>
      <c r="P325" s="9" t="n">
        <v>0</v>
      </c>
      <c r="Q325" s="9" t="n">
        <v>0</v>
      </c>
      <c r="R325" s="9" t="n">
        <v>0</v>
      </c>
      <c r="S325" s="9" t="n">
        <v>237.9491694273276</v>
      </c>
      <c r="T325" s="9" t="n">
        <v>0</v>
      </c>
      <c r="U325" s="9" t="n">
        <v>0</v>
      </c>
      <c r="V325" s="9" t="n">
        <v>0</v>
      </c>
      <c r="W325" s="9" t="n">
        <v>0</v>
      </c>
      <c r="X325" s="9" t="n">
        <v>0</v>
      </c>
      <c r="Y325" s="9" t="n">
        <v>0</v>
      </c>
      <c r="Z325" s="9" t="n">
        <v>0</v>
      </c>
      <c r="AA325" s="9" t="n">
        <v>515.4338893920296</v>
      </c>
      <c r="AB325" s="9" t="n">
        <v>0</v>
      </c>
      <c r="AC325" s="9" t="n">
        <v>0</v>
      </c>
      <c r="AD325" s="9" t="n">
        <v>0</v>
      </c>
      <c r="AE325" s="9" t="n">
        <v>0</v>
      </c>
      <c r="AF325" s="9" t="n">
        <v>0</v>
      </c>
      <c r="AG325" s="9" t="n">
        <v>0</v>
      </c>
      <c r="AH325" s="9" t="n">
        <v>0</v>
      </c>
      <c r="AI325" s="9" t="n">
        <v>571.0399824660548</v>
      </c>
      <c r="AJ325" s="9" t="n">
        <v>0</v>
      </c>
      <c r="AK325" s="9" t="n">
        <v>0</v>
      </c>
      <c r="AL325" s="9" t="n">
        <v>0</v>
      </c>
      <c r="AM325" s="9" t="n">
        <v>0</v>
      </c>
      <c r="AN325" s="9" t="n">
        <v>0</v>
      </c>
      <c r="AO325" s="9" t="n">
        <v>0</v>
      </c>
      <c r="AP325" s="9" t="n">
        <v>0</v>
      </c>
      <c r="AQ325" s="9" t="n">
        <v>1024.784703476403</v>
      </c>
      <c r="AR325" s="9" t="n">
        <v>0</v>
      </c>
      <c r="AS325" s="9" t="n">
        <v>0</v>
      </c>
      <c r="AT325" s="9" t="n">
        <v>0</v>
      </c>
      <c r="AU325" s="9" t="n">
        <v>0</v>
      </c>
      <c r="AV325" s="9" t="n">
        <v>0</v>
      </c>
      <c r="AW325" s="9" t="n">
        <v>0</v>
      </c>
      <c r="AX325" s="9" t="n">
        <v>0</v>
      </c>
      <c r="AY325" s="9" t="n">
        <v>118.9745847136638</v>
      </c>
    </row>
    <row r="326">
      <c r="A326" s="9" t="n">
        <v>332</v>
      </c>
      <c r="B326" s="9" t="inlineStr">
        <is>
          <t>ЯП195</t>
        </is>
      </c>
      <c r="C326" s="9" t="inlineStr"/>
      <c r="D326" s="9" t="inlineStr">
        <is>
          <t>МУЧНЫЕ</t>
        </is>
      </c>
      <c r="E326" s="9" t="inlineStr">
        <is>
          <t>Локальный</t>
        </is>
      </c>
      <c r="F326" s="9" t="n">
        <v>40</v>
      </c>
      <c r="G326" s="9" t="n">
        <v>0</v>
      </c>
      <c r="H326" s="9" t="n">
        <v>581.46</v>
      </c>
      <c r="I326" s="9" t="n">
        <v>447.36</v>
      </c>
      <c r="J326" s="9" t="n">
        <v>156.94</v>
      </c>
      <c r="K326" s="9" t="n">
        <v>145.48</v>
      </c>
      <c r="L326" s="9" t="n">
        <v>0</v>
      </c>
      <c r="M326" s="9" t="n">
        <v>0</v>
      </c>
      <c r="N326" s="9" t="n">
        <v>0</v>
      </c>
      <c r="O326" s="9" t="n">
        <v>4</v>
      </c>
      <c r="P326" s="9" t="n">
        <v>0</v>
      </c>
      <c r="Q326" s="9" t="n">
        <v>43.32025202662054</v>
      </c>
      <c r="R326" s="9" t="n">
        <v>14.09161515736027</v>
      </c>
      <c r="S326" s="9" t="n">
        <v>80.53304786713993</v>
      </c>
      <c r="T326" s="9" t="n">
        <v>0</v>
      </c>
      <c r="U326" s="9" t="n">
        <v>0</v>
      </c>
      <c r="V326" s="9" t="n">
        <v>0</v>
      </c>
      <c r="W326" s="9" t="n">
        <v>4</v>
      </c>
      <c r="X326" s="9" t="n">
        <v>0</v>
      </c>
      <c r="Y326" s="9" t="n">
        <v>95.72415331213605</v>
      </c>
      <c r="Z326" s="9" t="n">
        <v>42.95345140532574</v>
      </c>
      <c r="AA326" s="9" t="n">
        <v>174.4467618300802</v>
      </c>
      <c r="AB326" s="9" t="n">
        <v>0</v>
      </c>
      <c r="AC326" s="9" t="n">
        <v>0</v>
      </c>
      <c r="AD326" s="9" t="n">
        <v>0</v>
      </c>
      <c r="AE326" s="9" t="n">
        <v>4</v>
      </c>
      <c r="AF326" s="9" t="n">
        <v>0</v>
      </c>
      <c r="AG326" s="9" t="n">
        <v>142.557445106543</v>
      </c>
      <c r="AH326" s="9" t="n">
        <v>43.41993609608786</v>
      </c>
      <c r="AI326" s="9" t="n">
        <v>193.2664457399363</v>
      </c>
      <c r="AJ326" s="9" t="n">
        <v>0</v>
      </c>
      <c r="AK326" s="9" t="n">
        <v>0</v>
      </c>
      <c r="AL326" s="9" t="n">
        <v>0</v>
      </c>
      <c r="AM326" s="9" t="n">
        <v>4</v>
      </c>
      <c r="AN326" s="9" t="n">
        <v>0</v>
      </c>
      <c r="AO326" s="9" t="n">
        <v>128.3815161221087</v>
      </c>
      <c r="AP326" s="9" t="n">
        <v>31.27684342482647</v>
      </c>
      <c r="AQ326" s="9" t="n">
        <v>346.8347285145001</v>
      </c>
      <c r="AR326" s="9" t="n">
        <v>0</v>
      </c>
      <c r="AS326" s="9" t="n">
        <v>0</v>
      </c>
      <c r="AT326" s="9" t="n">
        <v>0</v>
      </c>
      <c r="AU326" s="9" t="n">
        <v>4</v>
      </c>
      <c r="AV326" s="9" t="n">
        <v>0</v>
      </c>
      <c r="AW326" s="9" t="n">
        <v>21.66012601331031</v>
      </c>
      <c r="AX326" s="9" t="n">
        <v>10.07256216503079</v>
      </c>
      <c r="AY326" s="9" t="n">
        <v>40.26652393356996</v>
      </c>
    </row>
    <row r="327">
      <c r="A327" s="9" t="n">
        <v>333</v>
      </c>
      <c r="B327" s="9" t="inlineStr">
        <is>
          <t>ЯП223</t>
        </is>
      </c>
      <c r="C327" s="9" t="inlineStr"/>
      <c r="D327" s="9" t="inlineStr">
        <is>
          <t>МУЧНЫЕ</t>
        </is>
      </c>
      <c r="E327" s="9" t="inlineStr">
        <is>
          <t>Локальный</t>
        </is>
      </c>
      <c r="F327" s="9" t="n">
        <v>0</v>
      </c>
      <c r="G327" s="9" t="n">
        <v>0</v>
      </c>
      <c r="H327" s="9" t="n">
        <v>0</v>
      </c>
      <c r="I327" s="9" t="n">
        <v>0</v>
      </c>
      <c r="J327" s="9" t="n">
        <v>0</v>
      </c>
      <c r="K327" s="9" t="n">
        <v>0</v>
      </c>
      <c r="L327" s="9" t="n">
        <v>0</v>
      </c>
      <c r="M327" s="9" t="n">
        <v>0</v>
      </c>
      <c r="N327" s="9" t="n">
        <v>0</v>
      </c>
      <c r="O327" s="9" t="n">
        <v>0</v>
      </c>
      <c r="P327" s="9" t="n">
        <v>0</v>
      </c>
      <c r="Q327" s="9" t="n">
        <v>0</v>
      </c>
      <c r="R327" s="9" t="n">
        <v>0</v>
      </c>
      <c r="S327" s="9" t="n">
        <v>0</v>
      </c>
      <c r="T327" s="9" t="n">
        <v>0</v>
      </c>
      <c r="U327" s="9" t="n">
        <v>0</v>
      </c>
      <c r="V327" s="9" t="n">
        <v>0</v>
      </c>
      <c r="W327" s="9" t="n">
        <v>0</v>
      </c>
      <c r="X327" s="9" t="n">
        <v>0</v>
      </c>
      <c r="Y327" s="9" t="n">
        <v>0</v>
      </c>
      <c r="Z327" s="9" t="n">
        <v>0</v>
      </c>
      <c r="AA327" s="9" t="n">
        <v>0</v>
      </c>
      <c r="AB327" s="9" t="n">
        <v>0</v>
      </c>
      <c r="AC327" s="9" t="n">
        <v>0</v>
      </c>
      <c r="AD327" s="9" t="n">
        <v>0</v>
      </c>
      <c r="AE327" s="9" t="n">
        <v>0</v>
      </c>
      <c r="AF327" s="9" t="n">
        <v>0</v>
      </c>
      <c r="AG327" s="9" t="n">
        <v>0</v>
      </c>
      <c r="AH327" s="9" t="n">
        <v>0</v>
      </c>
      <c r="AI327" s="9" t="n">
        <v>0</v>
      </c>
      <c r="AJ327" s="9" t="n">
        <v>0</v>
      </c>
      <c r="AK327" s="9" t="n">
        <v>0</v>
      </c>
      <c r="AL327" s="9" t="n">
        <v>0</v>
      </c>
      <c r="AM327" s="9" t="n">
        <v>0</v>
      </c>
      <c r="AN327" s="9" t="n">
        <v>0</v>
      </c>
      <c r="AO327" s="9" t="n">
        <v>0</v>
      </c>
      <c r="AP327" s="9" t="n">
        <v>0</v>
      </c>
      <c r="AQ327" s="9" t="n">
        <v>0</v>
      </c>
      <c r="AR327" s="9" t="n">
        <v>0</v>
      </c>
      <c r="AS327" s="9" t="n">
        <v>0</v>
      </c>
      <c r="AT327" s="9" t="n">
        <v>0</v>
      </c>
      <c r="AU327" s="9" t="n">
        <v>0</v>
      </c>
      <c r="AV327" s="9" t="n">
        <v>0</v>
      </c>
      <c r="AW327" s="9" t="n">
        <v>0</v>
      </c>
      <c r="AX327" s="9" t="n">
        <v>0</v>
      </c>
      <c r="AY327" s="9" t="n">
        <v>0</v>
      </c>
    </row>
    <row r="328">
      <c r="A328" s="9" t="n">
        <v>334</v>
      </c>
      <c r="B328" s="9" t="inlineStr">
        <is>
          <t>ЯП212</t>
        </is>
      </c>
      <c r="C328" s="9" t="inlineStr"/>
      <c r="D328" s="9" t="inlineStr">
        <is>
          <t>МУЧНЫЕ</t>
        </is>
      </c>
      <c r="E328" s="9" t="inlineStr">
        <is>
          <t>Локальный</t>
        </is>
      </c>
      <c r="F328" s="9" t="n">
        <v>5115.880000000001</v>
      </c>
      <c r="G328" s="9" t="n">
        <v>0</v>
      </c>
      <c r="H328" s="9" t="n">
        <v>1912.175</v>
      </c>
      <c r="I328" s="9" t="n">
        <v>3737.48</v>
      </c>
      <c r="J328" s="9" t="n">
        <v>534.55</v>
      </c>
      <c r="K328" s="9" t="n">
        <v>0</v>
      </c>
      <c r="L328" s="9" t="n">
        <v>0</v>
      </c>
      <c r="M328" s="9" t="n">
        <v>0</v>
      </c>
      <c r="N328" s="9" t="n">
        <v>109.7472812728095</v>
      </c>
      <c r="O328" s="9" t="n">
        <v>115.92</v>
      </c>
      <c r="P328" s="9" t="n">
        <v>0</v>
      </c>
      <c r="Q328" s="9" t="n">
        <v>0.2589612626286312</v>
      </c>
      <c r="R328" s="9" t="n">
        <v>0</v>
      </c>
      <c r="S328" s="9" t="n">
        <v>616.3209489650462</v>
      </c>
      <c r="T328" s="9" t="n">
        <v>0</v>
      </c>
      <c r="U328" s="9" t="n">
        <v>0</v>
      </c>
      <c r="V328" s="9" t="n">
        <v>280.8132631458617</v>
      </c>
      <c r="W328" s="9" t="n">
        <v>115.92</v>
      </c>
      <c r="X328" s="9" t="n">
        <v>0</v>
      </c>
      <c r="Y328" s="9" t="n">
        <v>0.5722230699520063</v>
      </c>
      <c r="Z328" s="9" t="n">
        <v>0</v>
      </c>
      <c r="AA328" s="9" t="n">
        <v>1335.044390377085</v>
      </c>
      <c r="AB328" s="9" t="n">
        <v>0</v>
      </c>
      <c r="AC328" s="9" t="n">
        <v>0</v>
      </c>
      <c r="AD328" s="9" t="n">
        <v>382.397986923005</v>
      </c>
      <c r="AE328" s="9" t="n">
        <v>115.92</v>
      </c>
      <c r="AF328" s="9" t="n">
        <v>0</v>
      </c>
      <c r="AG328" s="9" t="n">
        <v>0.8521847001078515</v>
      </c>
      <c r="AH328" s="9" t="n">
        <v>0</v>
      </c>
      <c r="AI328" s="9" t="n">
        <v>1479.071789733436</v>
      </c>
      <c r="AJ328" s="9" t="n">
        <v>0</v>
      </c>
      <c r="AK328" s="9" t="n">
        <v>0</v>
      </c>
      <c r="AL328" s="9" t="n">
        <v>385.2869017277931</v>
      </c>
      <c r="AM328" s="9" t="n">
        <v>115.92</v>
      </c>
      <c r="AN328" s="9" t="n">
        <v>0</v>
      </c>
      <c r="AO328" s="9" t="n">
        <v>0.7674433540398031</v>
      </c>
      <c r="AP328" s="9" t="n">
        <v>0</v>
      </c>
      <c r="AQ328" s="9" t="n">
        <v>2654.332782297595</v>
      </c>
      <c r="AR328" s="9" t="n">
        <v>0</v>
      </c>
      <c r="AS328" s="9" t="n">
        <v>0</v>
      </c>
      <c r="AT328" s="9" t="n">
        <v>405.3123558389538</v>
      </c>
      <c r="AU328" s="9" t="n">
        <v>115.92</v>
      </c>
      <c r="AV328" s="9" t="n">
        <v>0</v>
      </c>
      <c r="AW328" s="9" t="n">
        <v>0.1294806313143158</v>
      </c>
      <c r="AX328" s="9" t="n">
        <v>0</v>
      </c>
      <c r="AY328" s="9" t="n">
        <v>308.1604744825231</v>
      </c>
    </row>
    <row r="329">
      <c r="A329" s="9" t="n">
        <v>335</v>
      </c>
      <c r="B329" s="9" t="inlineStr">
        <is>
          <t>ЯП223</t>
        </is>
      </c>
      <c r="C329" s="9" t="inlineStr"/>
      <c r="D329" s="9" t="inlineStr">
        <is>
          <t>МУЧНЫЕ</t>
        </is>
      </c>
      <c r="E329" s="9" t="inlineStr">
        <is>
          <t>Локальный</t>
        </is>
      </c>
      <c r="F329" s="9" t="n">
        <v>0</v>
      </c>
      <c r="G329" s="9" t="n">
        <v>0</v>
      </c>
      <c r="H329" s="9" t="n">
        <v>0</v>
      </c>
      <c r="I329" s="9" t="n">
        <v>0</v>
      </c>
      <c r="J329" s="9" t="n">
        <v>0</v>
      </c>
      <c r="K329" s="9" t="n">
        <v>0</v>
      </c>
      <c r="L329" s="9" t="n">
        <v>0</v>
      </c>
      <c r="M329" s="9" t="n">
        <v>0</v>
      </c>
      <c r="N329" s="9" t="n">
        <v>0</v>
      </c>
      <c r="O329" s="9" t="n">
        <v>0</v>
      </c>
      <c r="P329" s="9" t="n">
        <v>0</v>
      </c>
      <c r="Q329" s="9" t="n">
        <v>0</v>
      </c>
      <c r="R329" s="9" t="n">
        <v>0</v>
      </c>
      <c r="S329" s="9" t="n">
        <v>0</v>
      </c>
      <c r="T329" s="9" t="n">
        <v>0</v>
      </c>
      <c r="U329" s="9" t="n">
        <v>0</v>
      </c>
      <c r="V329" s="9" t="n">
        <v>0</v>
      </c>
      <c r="W329" s="9" t="n">
        <v>0</v>
      </c>
      <c r="X329" s="9" t="n">
        <v>0</v>
      </c>
      <c r="Y329" s="9" t="n">
        <v>0</v>
      </c>
      <c r="Z329" s="9" t="n">
        <v>0</v>
      </c>
      <c r="AA329" s="9" t="n">
        <v>0</v>
      </c>
      <c r="AB329" s="9" t="n">
        <v>0</v>
      </c>
      <c r="AC329" s="9" t="n">
        <v>0</v>
      </c>
      <c r="AD329" s="9" t="n">
        <v>0</v>
      </c>
      <c r="AE329" s="9" t="n">
        <v>0</v>
      </c>
      <c r="AF329" s="9" t="n">
        <v>0</v>
      </c>
      <c r="AG329" s="9" t="n">
        <v>0</v>
      </c>
      <c r="AH329" s="9" t="n">
        <v>0</v>
      </c>
      <c r="AI329" s="9" t="n">
        <v>0</v>
      </c>
      <c r="AJ329" s="9" t="n">
        <v>0</v>
      </c>
      <c r="AK329" s="9" t="n">
        <v>0</v>
      </c>
      <c r="AL329" s="9" t="n">
        <v>0</v>
      </c>
      <c r="AM329" s="9" t="n">
        <v>0</v>
      </c>
      <c r="AN329" s="9" t="n">
        <v>0</v>
      </c>
      <c r="AO329" s="9" t="n">
        <v>0</v>
      </c>
      <c r="AP329" s="9" t="n">
        <v>0</v>
      </c>
      <c r="AQ329" s="9" t="n">
        <v>0</v>
      </c>
      <c r="AR329" s="9" t="n">
        <v>0</v>
      </c>
      <c r="AS329" s="9" t="n">
        <v>0</v>
      </c>
      <c r="AT329" s="9" t="n">
        <v>0</v>
      </c>
      <c r="AU329" s="9" t="n">
        <v>0</v>
      </c>
      <c r="AV329" s="9" t="n">
        <v>0</v>
      </c>
      <c r="AW329" s="9" t="n">
        <v>0</v>
      </c>
      <c r="AX329" s="9" t="n">
        <v>0</v>
      </c>
      <c r="AY329" s="9" t="n">
        <v>0</v>
      </c>
    </row>
    <row r="330">
      <c r="A330" s="9" t="n">
        <v>336</v>
      </c>
      <c r="B330" s="9" t="inlineStr">
        <is>
          <t>ЯП224</t>
        </is>
      </c>
      <c r="C330" s="9" t="inlineStr"/>
      <c r="D330" s="9" t="inlineStr">
        <is>
          <t>МУЧНЫЕ</t>
        </is>
      </c>
      <c r="E330" s="9" t="inlineStr">
        <is>
          <t>Федеральный</t>
        </is>
      </c>
      <c r="F330" s="9" t="n">
        <v>725.6199999999999</v>
      </c>
      <c r="G330" s="9" t="n">
        <v>0</v>
      </c>
      <c r="H330" s="9" t="n">
        <v>0</v>
      </c>
      <c r="I330" s="9" t="n">
        <v>0</v>
      </c>
      <c r="J330" s="9" t="n">
        <v>0</v>
      </c>
      <c r="K330" s="9" t="n">
        <v>0</v>
      </c>
      <c r="L330" s="9" t="n">
        <v>0</v>
      </c>
      <c r="M330" s="9" t="n">
        <v>0</v>
      </c>
      <c r="N330" s="9" t="n">
        <v>286.0307781117451</v>
      </c>
      <c r="O330" s="9" t="n">
        <v>119.504</v>
      </c>
      <c r="P330" s="9" t="n">
        <v>0</v>
      </c>
      <c r="Q330" s="9" t="n">
        <v>1.225788735053014</v>
      </c>
      <c r="R330" s="9" t="n">
        <v>0</v>
      </c>
      <c r="S330" s="9" t="n">
        <v>0</v>
      </c>
      <c r="T330" s="9" t="n">
        <v>0</v>
      </c>
      <c r="U330" s="9" t="n">
        <v>0</v>
      </c>
      <c r="V330" s="9" t="n">
        <v>735.4288077254744</v>
      </c>
      <c r="W330" s="9" t="n">
        <v>119.504</v>
      </c>
      <c r="X330" s="9" t="n">
        <v>0</v>
      </c>
      <c r="Y330" s="9" t="n">
        <v>2.708608175464895</v>
      </c>
      <c r="Z330" s="9" t="n">
        <v>0</v>
      </c>
      <c r="AA330" s="9" t="n">
        <v>0</v>
      </c>
      <c r="AB330" s="9" t="n">
        <v>0</v>
      </c>
      <c r="AC330" s="9" t="n">
        <v>0</v>
      </c>
      <c r="AD330" s="9" t="n">
        <v>1006.509090870817</v>
      </c>
      <c r="AE330" s="9" t="n">
        <v>119.504</v>
      </c>
      <c r="AF330" s="9" t="n">
        <v>0</v>
      </c>
      <c r="AG330" s="9" t="n">
        <v>4.033801793261889</v>
      </c>
      <c r="AH330" s="9" t="n">
        <v>0</v>
      </c>
      <c r="AI330" s="9" t="n">
        <v>0</v>
      </c>
      <c r="AJ330" s="9" t="n">
        <v>0</v>
      </c>
      <c r="AK330" s="9" t="n">
        <v>0</v>
      </c>
      <c r="AL330" s="9" t="n">
        <v>1011.860259966717</v>
      </c>
      <c r="AM330" s="9" t="n">
        <v>119.504</v>
      </c>
      <c r="AN330" s="9" t="n">
        <v>0</v>
      </c>
      <c r="AO330" s="9" t="n">
        <v>3.632680072008903</v>
      </c>
      <c r="AP330" s="9" t="n">
        <v>0</v>
      </c>
      <c r="AQ330" s="9" t="n">
        <v>0</v>
      </c>
      <c r="AR330" s="9" t="n">
        <v>199</v>
      </c>
      <c r="AS330" s="9" t="n">
        <v>0</v>
      </c>
      <c r="AT330" s="9" t="n">
        <v>961.4542235228733</v>
      </c>
      <c r="AU330" s="9" t="n">
        <v>119.504</v>
      </c>
      <c r="AV330" s="9" t="n">
        <v>0</v>
      </c>
      <c r="AW330" s="9" t="n">
        <v>0.6128943675265082</v>
      </c>
      <c r="AX330" s="9" t="n">
        <v>0</v>
      </c>
      <c r="AY330" s="9" t="n">
        <v>0</v>
      </c>
    </row>
    <row r="331">
      <c r="A331" s="9" t="n">
        <v>337</v>
      </c>
      <c r="B331" s="9" t="inlineStr">
        <is>
          <t>ЯП224</t>
        </is>
      </c>
      <c r="C331" s="9" t="inlineStr"/>
      <c r="D331" s="9" t="inlineStr">
        <is>
          <t>МУЧНЫЕ</t>
        </is>
      </c>
      <c r="E331" s="9" t="inlineStr">
        <is>
          <t>Федеральный</t>
        </is>
      </c>
      <c r="F331" s="9" t="n">
        <v>78.68000000000001</v>
      </c>
      <c r="G331" s="9" t="n">
        <v>0</v>
      </c>
      <c r="H331" s="9" t="n">
        <v>0</v>
      </c>
      <c r="I331" s="9" t="n">
        <v>0</v>
      </c>
      <c r="J331" s="9" t="n">
        <v>0</v>
      </c>
      <c r="K331" s="9" t="n">
        <v>0</v>
      </c>
      <c r="L331" s="9" t="n">
        <v>0</v>
      </c>
      <c r="M331" s="9" t="n">
        <v>0</v>
      </c>
      <c r="N331" s="9" t="n">
        <v>4.783836203462433</v>
      </c>
      <c r="O331" s="9" t="n">
        <v>0</v>
      </c>
      <c r="P331" s="9" t="n">
        <v>0</v>
      </c>
      <c r="Q331" s="9" t="n">
        <v>0</v>
      </c>
      <c r="R331" s="9" t="n">
        <v>0</v>
      </c>
      <c r="S331" s="9" t="n">
        <v>0</v>
      </c>
      <c r="T331" s="9" t="n">
        <v>0</v>
      </c>
      <c r="U331" s="9" t="n">
        <v>0</v>
      </c>
      <c r="V331" s="9" t="n">
        <v>26.56150013026939</v>
      </c>
      <c r="W331" s="9" t="n">
        <v>0</v>
      </c>
      <c r="X331" s="9" t="n">
        <v>0</v>
      </c>
      <c r="Y331" s="9" t="n">
        <v>0</v>
      </c>
      <c r="Z331" s="9" t="n">
        <v>0</v>
      </c>
      <c r="AA331" s="9" t="n">
        <v>0</v>
      </c>
      <c r="AB331" s="9" t="n">
        <v>0</v>
      </c>
      <c r="AC331" s="9" t="n">
        <v>0</v>
      </c>
      <c r="AD331" s="9" t="n">
        <v>1.580967798265146</v>
      </c>
      <c r="AE331" s="9" t="n">
        <v>0</v>
      </c>
      <c r="AF331" s="9" t="n">
        <v>0</v>
      </c>
      <c r="AG331" s="9" t="n">
        <v>0</v>
      </c>
      <c r="AH331" s="9" t="n">
        <v>0</v>
      </c>
      <c r="AI331" s="9" t="n">
        <v>0</v>
      </c>
      <c r="AJ331" s="9" t="n">
        <v>0</v>
      </c>
      <c r="AK331" s="9" t="n">
        <v>0</v>
      </c>
      <c r="AL331" s="9" t="n">
        <v>1.415160837605947</v>
      </c>
      <c r="AM331" s="9" t="n">
        <v>0</v>
      </c>
      <c r="AN331" s="9" t="n">
        <v>0</v>
      </c>
      <c r="AO331" s="9" t="n">
        <v>0</v>
      </c>
      <c r="AP331" s="9" t="n">
        <v>0</v>
      </c>
      <c r="AQ331" s="9" t="n">
        <v>0</v>
      </c>
      <c r="AR331" s="9" t="n">
        <v>0</v>
      </c>
      <c r="AS331" s="9" t="n">
        <v>0</v>
      </c>
      <c r="AT331" s="9" t="n">
        <v>1.332257357276347</v>
      </c>
      <c r="AU331" s="9" t="n">
        <v>0</v>
      </c>
      <c r="AV331" s="9" t="n">
        <v>0</v>
      </c>
      <c r="AW331" s="9" t="n">
        <v>0</v>
      </c>
      <c r="AX331" s="9" t="n">
        <v>0</v>
      </c>
      <c r="AY331" s="9" t="n">
        <v>0</v>
      </c>
    </row>
    <row r="332">
      <c r="A332" s="9" t="n">
        <v>338</v>
      </c>
      <c r="B332" s="9" t="inlineStr">
        <is>
          <t>ЯП059</t>
        </is>
      </c>
      <c r="C332" s="9" t="inlineStr"/>
      <c r="D332" s="9" t="inlineStr">
        <is>
          <t>МУЧНЫЕ</t>
        </is>
      </c>
      <c r="E332" s="9" t="inlineStr">
        <is>
          <t>Федеральный</t>
        </is>
      </c>
      <c r="F332" s="9" t="n">
        <v>228783.7999999999</v>
      </c>
      <c r="G332" s="9" t="n">
        <v>0</v>
      </c>
      <c r="H332" s="9" t="n">
        <v>103995.065</v>
      </c>
      <c r="I332" s="9" t="n">
        <v>53514.98</v>
      </c>
      <c r="J332" s="9" t="n">
        <v>101482.7</v>
      </c>
      <c r="K332" s="9" t="n">
        <v>113360.78</v>
      </c>
      <c r="L332" s="9" t="n">
        <v>65888.63999999998</v>
      </c>
      <c r="M332" s="9" t="n">
        <v>518.9415742266856</v>
      </c>
      <c r="N332" s="9" t="n">
        <v>17657.05784516202</v>
      </c>
      <c r="O332" s="9" t="n">
        <v>257.56</v>
      </c>
      <c r="P332" s="9" t="n">
        <v>0</v>
      </c>
      <c r="Q332" s="9" t="n">
        <v>63.24560095222338</v>
      </c>
      <c r="R332" s="9" t="n">
        <v>401.5517139934649</v>
      </c>
      <c r="S332" s="9" t="n">
        <v>0.4232570627695711</v>
      </c>
      <c r="T332" s="9" t="n">
        <v>34113.04</v>
      </c>
      <c r="U332" s="9" t="n">
        <v>1314.968621848068</v>
      </c>
      <c r="V332" s="9" t="n">
        <v>24990.23042578108</v>
      </c>
      <c r="W332" s="9" t="n">
        <v>262.06</v>
      </c>
      <c r="X332" s="9" t="n">
        <v>0</v>
      </c>
      <c r="Y332" s="9" t="n">
        <v>139.7529173687289</v>
      </c>
      <c r="Z332" s="9" t="n">
        <v>1028.11398018961</v>
      </c>
      <c r="AA332" s="9" t="n">
        <v>0.846514125539143</v>
      </c>
      <c r="AB332" s="9" t="n">
        <v>46276.23999999999</v>
      </c>
      <c r="AC332" s="9" t="n">
        <v>1237.876930709857</v>
      </c>
      <c r="AD332" s="9" t="n">
        <v>18133.44605296747</v>
      </c>
      <c r="AE332" s="9" t="n">
        <v>269.66</v>
      </c>
      <c r="AF332" s="9" t="n">
        <v>0</v>
      </c>
      <c r="AG332" s="9" t="n">
        <v>208.1273968682464</v>
      </c>
      <c r="AH332" s="9" t="n">
        <v>896.3647879773501</v>
      </c>
      <c r="AI332" s="9" t="n">
        <v>1.35442260086263</v>
      </c>
      <c r="AJ332" s="9" t="n">
        <v>47341.95999999999</v>
      </c>
      <c r="AK332" s="9" t="n">
        <v>1391.717176271117</v>
      </c>
      <c r="AL332" s="9" t="n">
        <v>18464.59238327359</v>
      </c>
      <c r="AM332" s="9" t="n">
        <v>261.11</v>
      </c>
      <c r="AN332" s="9" t="n">
        <v>0</v>
      </c>
      <c r="AO332" s="9" t="n">
        <v>187.4311842255858</v>
      </c>
      <c r="AP332" s="9" t="n">
        <v>215.4109881042405</v>
      </c>
      <c r="AQ332" s="9" t="n">
        <v>1.879989375686464</v>
      </c>
      <c r="AR332" s="9" t="n">
        <v>33327.96</v>
      </c>
      <c r="AS332" s="9" t="n">
        <v>1182.83096400904</v>
      </c>
      <c r="AT332" s="9" t="n">
        <v>16456.39985094522</v>
      </c>
      <c r="AU332" s="9" t="n">
        <v>255.41</v>
      </c>
      <c r="AV332" s="9" t="n">
        <v>0</v>
      </c>
      <c r="AW332" s="9" t="n">
        <v>31.62280047611175</v>
      </c>
      <c r="AX332" s="9" t="n">
        <v>37.01716871016851</v>
      </c>
      <c r="AY332" s="9" t="n">
        <v>0.8465141255391437</v>
      </c>
    </row>
    <row r="333">
      <c r="A333" s="9" t="n">
        <v>339</v>
      </c>
      <c r="B333" s="9" t="inlineStr">
        <is>
          <t>ЯП223</t>
        </is>
      </c>
      <c r="C333" s="9" t="inlineStr"/>
      <c r="D333" s="9" t="inlineStr">
        <is>
          <t>МУЧНЫЕ</t>
        </is>
      </c>
      <c r="E333" s="9" t="inlineStr">
        <is>
          <t>Федеральный</t>
        </is>
      </c>
      <c r="F333" s="9" t="n">
        <v>209.44</v>
      </c>
      <c r="G333" s="9" t="n">
        <v>0</v>
      </c>
      <c r="H333" s="9" t="n">
        <v>0</v>
      </c>
      <c r="I333" s="9" t="n">
        <v>0</v>
      </c>
      <c r="J333" s="9" t="n">
        <v>0</v>
      </c>
      <c r="K333" s="9" t="n">
        <v>0</v>
      </c>
      <c r="L333" s="9" t="n">
        <v>0</v>
      </c>
      <c r="M333" s="9" t="n">
        <v>0</v>
      </c>
      <c r="N333" s="9" t="n">
        <v>0</v>
      </c>
      <c r="O333" s="9" t="n">
        <v>0</v>
      </c>
      <c r="P333" s="9" t="n">
        <v>0</v>
      </c>
      <c r="Q333" s="9" t="n">
        <v>0</v>
      </c>
      <c r="R333" s="9" t="n">
        <v>0</v>
      </c>
      <c r="S333" s="9" t="n">
        <v>0</v>
      </c>
      <c r="T333" s="9" t="n">
        <v>0</v>
      </c>
      <c r="U333" s="9" t="n">
        <v>0</v>
      </c>
      <c r="V333" s="9" t="n">
        <v>0</v>
      </c>
      <c r="W333" s="9" t="n">
        <v>0</v>
      </c>
      <c r="X333" s="9" t="n">
        <v>0</v>
      </c>
      <c r="Y333" s="9" t="n">
        <v>0</v>
      </c>
      <c r="Z333" s="9" t="n">
        <v>0</v>
      </c>
      <c r="AA333" s="9" t="n">
        <v>0</v>
      </c>
      <c r="AB333" s="9" t="n">
        <v>0</v>
      </c>
      <c r="AC333" s="9" t="n">
        <v>0</v>
      </c>
      <c r="AD333" s="9" t="n">
        <v>0</v>
      </c>
      <c r="AE333" s="9" t="n">
        <v>0</v>
      </c>
      <c r="AF333" s="9" t="n">
        <v>0</v>
      </c>
      <c r="AG333" s="9" t="n">
        <v>0</v>
      </c>
      <c r="AH333" s="9" t="n">
        <v>0</v>
      </c>
      <c r="AI333" s="9" t="n">
        <v>0</v>
      </c>
      <c r="AJ333" s="9" t="n">
        <v>0</v>
      </c>
      <c r="AK333" s="9" t="n">
        <v>0</v>
      </c>
      <c r="AL333" s="9" t="n">
        <v>0</v>
      </c>
      <c r="AM333" s="9" t="n">
        <v>0</v>
      </c>
      <c r="AN333" s="9" t="n">
        <v>0</v>
      </c>
      <c r="AO333" s="9" t="n">
        <v>0</v>
      </c>
      <c r="AP333" s="9" t="n">
        <v>0</v>
      </c>
      <c r="AQ333" s="9" t="n">
        <v>0</v>
      </c>
      <c r="AR333" s="9" t="n">
        <v>0</v>
      </c>
      <c r="AS333" s="9" t="n">
        <v>0</v>
      </c>
      <c r="AT333" s="9" t="n">
        <v>0</v>
      </c>
      <c r="AU333" s="9" t="n">
        <v>0</v>
      </c>
      <c r="AV333" s="9" t="n">
        <v>0</v>
      </c>
      <c r="AW333" s="9" t="n">
        <v>0</v>
      </c>
      <c r="AX333" s="9" t="n">
        <v>0</v>
      </c>
      <c r="AY333" s="9" t="n">
        <v>0</v>
      </c>
    </row>
    <row r="334">
      <c r="A334" s="9" t="n">
        <v>340</v>
      </c>
      <c r="B334" s="9" t="inlineStr">
        <is>
          <t>ЯП059</t>
        </is>
      </c>
      <c r="C334" s="9" t="inlineStr"/>
      <c r="D334" s="9" t="inlineStr">
        <is>
          <t>МУЧНЫЕ</t>
        </is>
      </c>
      <c r="E334" s="9" t="inlineStr">
        <is>
          <t>Федеральный</t>
        </is>
      </c>
      <c r="F334" s="9" t="n">
        <v>177570.26</v>
      </c>
      <c r="G334" s="9" t="n">
        <v>0</v>
      </c>
      <c r="H334" s="9" t="n">
        <v>60208.57999999999</v>
      </c>
      <c r="I334" s="9" t="n">
        <v>56346.81</v>
      </c>
      <c r="J334" s="9" t="n">
        <v>90143.59</v>
      </c>
      <c r="K334" s="9" t="n">
        <v>108114.78</v>
      </c>
      <c r="L334" s="9" t="n">
        <v>58671.03999999999</v>
      </c>
      <c r="M334" s="9" t="n">
        <v>736.7568877364023</v>
      </c>
      <c r="N334" s="9" t="n">
        <v>4258.029723243842</v>
      </c>
      <c r="O334" s="9" t="n">
        <v>307.456</v>
      </c>
      <c r="P334" s="9" t="n">
        <v>0</v>
      </c>
      <c r="Q334" s="9" t="n">
        <v>47.24602052959807</v>
      </c>
      <c r="R334" s="9" t="n">
        <v>628.181441518904</v>
      </c>
      <c r="S334" s="9" t="n">
        <v>0.5307127606453418</v>
      </c>
      <c r="T334" s="9" t="n">
        <v>46547.52</v>
      </c>
      <c r="U334" s="9" t="n">
        <v>1866.900316760147</v>
      </c>
      <c r="V334" s="9" t="n">
        <v>11434.97998689758</v>
      </c>
      <c r="W334" s="9" t="n">
        <v>311.956</v>
      </c>
      <c r="X334" s="9" t="n">
        <v>0</v>
      </c>
      <c r="Y334" s="9" t="n">
        <v>104.3988689120373</v>
      </c>
      <c r="Z334" s="9" t="n">
        <v>1656.040268775521</v>
      </c>
      <c r="AA334" s="9" t="n">
        <v>1.061425521290684</v>
      </c>
      <c r="AB334" s="9" t="n">
        <v>39372.35999999999</v>
      </c>
      <c r="AC334" s="9" t="n">
        <v>1708.13021153734</v>
      </c>
      <c r="AD334" s="9" t="n">
        <v>14423.97837377321</v>
      </c>
      <c r="AE334" s="9" t="n">
        <v>319.556</v>
      </c>
      <c r="AF334" s="9" t="n">
        <v>0</v>
      </c>
      <c r="AG334" s="9" t="n">
        <v>155.4762879498467</v>
      </c>
      <c r="AH334" s="9" t="n">
        <v>1549.161466937836</v>
      </c>
      <c r="AI334" s="9" t="n">
        <v>1.698280834065097</v>
      </c>
      <c r="AJ334" s="9" t="n">
        <v>40873.08</v>
      </c>
      <c r="AK334" s="9" t="n">
        <v>1928.830237833983</v>
      </c>
      <c r="AL334" s="9" t="n">
        <v>14404.37089997046</v>
      </c>
      <c r="AM334" s="9" t="n">
        <v>311.006</v>
      </c>
      <c r="AN334" s="9" t="n">
        <v>0</v>
      </c>
      <c r="AO334" s="9" t="n">
        <v>140.0157077248484</v>
      </c>
      <c r="AP334" s="9" t="n">
        <v>723.5292019763631</v>
      </c>
      <c r="AQ334" s="9" t="n">
        <v>2.357277501823191</v>
      </c>
      <c r="AR334" s="9" t="n">
        <v>31273.88</v>
      </c>
      <c r="AS334" s="9" t="n">
        <v>1671.08740920965</v>
      </c>
      <c r="AT334" s="9" t="n">
        <v>12889.54877006007</v>
      </c>
      <c r="AU334" s="9" t="n">
        <v>305.306</v>
      </c>
      <c r="AV334" s="9" t="n">
        <v>0</v>
      </c>
      <c r="AW334" s="9" t="n">
        <v>23.62301026479908</v>
      </c>
      <c r="AX334" s="9" t="n">
        <v>142.8377002611955</v>
      </c>
      <c r="AY334" s="9" t="n">
        <v>1.061425521290686</v>
      </c>
    </row>
    <row r="335">
      <c r="A335" s="9" t="n">
        <v>341</v>
      </c>
      <c r="B335" s="9" t="inlineStr">
        <is>
          <t>ЯП223</t>
        </is>
      </c>
      <c r="C335" s="9" t="inlineStr"/>
      <c r="D335" s="9" t="inlineStr">
        <is>
          <t>МУЧНЫЕ</t>
        </is>
      </c>
      <c r="E335" s="9" t="inlineStr">
        <is>
          <t>Федеральный</t>
        </is>
      </c>
      <c r="F335" s="9" t="n">
        <v>0</v>
      </c>
      <c r="G335" s="9" t="n">
        <v>0</v>
      </c>
      <c r="H335" s="9" t="n">
        <v>0</v>
      </c>
      <c r="I335" s="9" t="n">
        <v>0</v>
      </c>
      <c r="J335" s="9" t="n">
        <v>0</v>
      </c>
      <c r="K335" s="9" t="n">
        <v>0</v>
      </c>
      <c r="L335" s="9" t="n">
        <v>0</v>
      </c>
      <c r="M335" s="9" t="n">
        <v>0</v>
      </c>
      <c r="N335" s="9" t="n">
        <v>0</v>
      </c>
      <c r="O335" s="9" t="n">
        <v>0</v>
      </c>
      <c r="P335" s="9" t="n">
        <v>0</v>
      </c>
      <c r="Q335" s="9" t="n">
        <v>0</v>
      </c>
      <c r="R335" s="9" t="n">
        <v>0</v>
      </c>
      <c r="S335" s="9" t="n">
        <v>0</v>
      </c>
      <c r="T335" s="9" t="n">
        <v>0</v>
      </c>
      <c r="U335" s="9" t="n">
        <v>0</v>
      </c>
      <c r="V335" s="9" t="n">
        <v>0</v>
      </c>
      <c r="W335" s="9" t="n">
        <v>0</v>
      </c>
      <c r="X335" s="9" t="n">
        <v>0</v>
      </c>
      <c r="Y335" s="9" t="n">
        <v>0</v>
      </c>
      <c r="Z335" s="9" t="n">
        <v>0</v>
      </c>
      <c r="AA335" s="9" t="n">
        <v>0</v>
      </c>
      <c r="AB335" s="9" t="n">
        <v>0</v>
      </c>
      <c r="AC335" s="9" t="n">
        <v>0</v>
      </c>
      <c r="AD335" s="9" t="n">
        <v>0</v>
      </c>
      <c r="AE335" s="9" t="n">
        <v>0</v>
      </c>
      <c r="AF335" s="9" t="n">
        <v>0</v>
      </c>
      <c r="AG335" s="9" t="n">
        <v>0</v>
      </c>
      <c r="AH335" s="9" t="n">
        <v>0</v>
      </c>
      <c r="AI335" s="9" t="n">
        <v>0</v>
      </c>
      <c r="AJ335" s="9" t="n">
        <v>0</v>
      </c>
      <c r="AK335" s="9" t="n">
        <v>0</v>
      </c>
      <c r="AL335" s="9" t="n">
        <v>0</v>
      </c>
      <c r="AM335" s="9" t="n">
        <v>0</v>
      </c>
      <c r="AN335" s="9" t="n">
        <v>0</v>
      </c>
      <c r="AO335" s="9" t="n">
        <v>0</v>
      </c>
      <c r="AP335" s="9" t="n">
        <v>0</v>
      </c>
      <c r="AQ335" s="9" t="n">
        <v>0</v>
      </c>
      <c r="AR335" s="9" t="n">
        <v>0</v>
      </c>
      <c r="AS335" s="9" t="n">
        <v>0</v>
      </c>
      <c r="AT335" s="9" t="n">
        <v>0</v>
      </c>
      <c r="AU335" s="9" t="n">
        <v>0</v>
      </c>
      <c r="AV335" s="9" t="n">
        <v>0</v>
      </c>
      <c r="AW335" s="9" t="n">
        <v>0</v>
      </c>
      <c r="AX335" s="9" t="n">
        <v>0</v>
      </c>
      <c r="AY335" s="9" t="n">
        <v>0</v>
      </c>
    </row>
    <row r="336">
      <c r="A336" s="9" t="n">
        <v>342</v>
      </c>
      <c r="B336" s="9" t="inlineStr">
        <is>
          <t>ЯП201</t>
        </is>
      </c>
      <c r="C336" s="9" t="inlineStr"/>
      <c r="D336" s="9" t="inlineStr">
        <is>
          <t>МУЧНЫЕ</t>
        </is>
      </c>
      <c r="E336" s="9" t="inlineStr">
        <is>
          <t>Федеральный</t>
        </is>
      </c>
      <c r="F336" s="9" t="n">
        <v>35513.38</v>
      </c>
      <c r="G336" s="9" t="n">
        <v>0</v>
      </c>
      <c r="H336" s="9" t="n">
        <v>13187.2</v>
      </c>
      <c r="I336" s="9" t="n">
        <v>12499.37</v>
      </c>
      <c r="J336" s="9" t="n">
        <v>22554.14</v>
      </c>
      <c r="K336" s="9" t="n">
        <v>0</v>
      </c>
      <c r="L336" s="9" t="n">
        <v>3130</v>
      </c>
      <c r="M336" s="9" t="n">
        <v>0</v>
      </c>
      <c r="N336" s="9" t="n">
        <v>2142.700253615142</v>
      </c>
      <c r="O336" s="9" t="n">
        <v>189.184</v>
      </c>
      <c r="P336" s="9" t="n">
        <v>0</v>
      </c>
      <c r="Q336" s="9" t="n">
        <v>2.783753876198962</v>
      </c>
      <c r="R336" s="9" t="n">
        <v>123.5968436052279</v>
      </c>
      <c r="S336" s="9" t="n">
        <v>0</v>
      </c>
      <c r="T336" s="9" t="n">
        <v>988</v>
      </c>
      <c r="U336" s="9" t="n">
        <v>0</v>
      </c>
      <c r="V336" s="9" t="n">
        <v>5623.633092175226</v>
      </c>
      <c r="W336" s="9" t="n">
        <v>193.684</v>
      </c>
      <c r="X336" s="9" t="n">
        <v>0</v>
      </c>
      <c r="Y336" s="9" t="n">
        <v>6.151221896510982</v>
      </c>
      <c r="Z336" s="9" t="n">
        <v>336.1555636529405</v>
      </c>
      <c r="AA336" s="9" t="n">
        <v>0</v>
      </c>
      <c r="AB336" s="9" t="n">
        <v>6708</v>
      </c>
      <c r="AC336" s="9" t="n">
        <v>0</v>
      </c>
      <c r="AD336" s="9" t="n">
        <v>8022.602761031543</v>
      </c>
      <c r="AE336" s="9" t="n">
        <v>201.284</v>
      </c>
      <c r="AF336" s="9" t="n">
        <v>0</v>
      </c>
      <c r="AG336" s="9" t="n">
        <v>9.160723260624072</v>
      </c>
      <c r="AH336" s="9" t="n">
        <v>320.3858434973122</v>
      </c>
      <c r="AI336" s="9" t="n">
        <v>0</v>
      </c>
      <c r="AJ336" s="9" t="n">
        <v>7683</v>
      </c>
      <c r="AK336" s="9" t="n">
        <v>106.1401695274166</v>
      </c>
      <c r="AL336" s="9" t="n">
        <v>8042.59229665433</v>
      </c>
      <c r="AM336" s="9" t="n">
        <v>192.734</v>
      </c>
      <c r="AN336" s="9" t="n">
        <v>0</v>
      </c>
      <c r="AO336" s="9" t="n">
        <v>8.249779870108005</v>
      </c>
      <c r="AP336" s="9" t="n">
        <v>122.3052682274326</v>
      </c>
      <c r="AQ336" s="9" t="n">
        <v>0</v>
      </c>
      <c r="AR336" s="9" t="n">
        <v>4367</v>
      </c>
      <c r="AS336" s="9" t="n">
        <v>17.77261919551321</v>
      </c>
      <c r="AT336" s="9" t="n">
        <v>7660.885220529625</v>
      </c>
      <c r="AU336" s="9" t="n">
        <v>187.034</v>
      </c>
      <c r="AV336" s="9" t="n">
        <v>0</v>
      </c>
      <c r="AW336" s="9" t="n">
        <v>1.391876938099484</v>
      </c>
      <c r="AX336" s="9" t="n">
        <v>35.09851895914267</v>
      </c>
      <c r="AY336" s="9" t="n">
        <v>0</v>
      </c>
    </row>
    <row r="337">
      <c r="A337" s="9" t="n">
        <v>343</v>
      </c>
      <c r="B337" s="9" t="inlineStr">
        <is>
          <t>ЯП223</t>
        </is>
      </c>
      <c r="C337" s="9" t="inlineStr"/>
      <c r="D337" s="9" t="inlineStr">
        <is>
          <t>МУЧНЫЕ</t>
        </is>
      </c>
      <c r="E337" s="9" t="inlineStr">
        <is>
          <t>Федеральный</t>
        </is>
      </c>
      <c r="F337" s="9" t="n">
        <v>0</v>
      </c>
      <c r="G337" s="9" t="n">
        <v>0</v>
      </c>
      <c r="H337" s="9" t="n">
        <v>0</v>
      </c>
      <c r="I337" s="9" t="n">
        <v>0</v>
      </c>
      <c r="J337" s="9" t="n">
        <v>0</v>
      </c>
      <c r="K337" s="9" t="n">
        <v>0</v>
      </c>
      <c r="L337" s="9" t="n">
        <v>0</v>
      </c>
      <c r="M337" s="9" t="n">
        <v>0</v>
      </c>
      <c r="N337" s="9" t="n">
        <v>0</v>
      </c>
      <c r="O337" s="9" t="n">
        <v>0</v>
      </c>
      <c r="P337" s="9" t="n">
        <v>0</v>
      </c>
      <c r="Q337" s="9" t="n">
        <v>0</v>
      </c>
      <c r="R337" s="9" t="n">
        <v>0</v>
      </c>
      <c r="S337" s="9" t="n">
        <v>0</v>
      </c>
      <c r="T337" s="9" t="n">
        <v>0</v>
      </c>
      <c r="U337" s="9" t="n">
        <v>0</v>
      </c>
      <c r="V337" s="9" t="n">
        <v>0</v>
      </c>
      <c r="W337" s="9" t="n">
        <v>0</v>
      </c>
      <c r="X337" s="9" t="n">
        <v>0</v>
      </c>
      <c r="Y337" s="9" t="n">
        <v>0</v>
      </c>
      <c r="Z337" s="9" t="n">
        <v>0</v>
      </c>
      <c r="AA337" s="9" t="n">
        <v>0</v>
      </c>
      <c r="AB337" s="9" t="n">
        <v>0</v>
      </c>
      <c r="AC337" s="9" t="n">
        <v>0</v>
      </c>
      <c r="AD337" s="9" t="n">
        <v>0</v>
      </c>
      <c r="AE337" s="9" t="n">
        <v>0</v>
      </c>
      <c r="AF337" s="9" t="n">
        <v>0</v>
      </c>
      <c r="AG337" s="9" t="n">
        <v>0</v>
      </c>
      <c r="AH337" s="9" t="n">
        <v>0</v>
      </c>
      <c r="AI337" s="9" t="n">
        <v>0</v>
      </c>
      <c r="AJ337" s="9" t="n">
        <v>0</v>
      </c>
      <c r="AK337" s="9" t="n">
        <v>0</v>
      </c>
      <c r="AL337" s="9" t="n">
        <v>0</v>
      </c>
      <c r="AM337" s="9" t="n">
        <v>0</v>
      </c>
      <c r="AN337" s="9" t="n">
        <v>0</v>
      </c>
      <c r="AO337" s="9" t="n">
        <v>0</v>
      </c>
      <c r="AP337" s="9" t="n">
        <v>0</v>
      </c>
      <c r="AQ337" s="9" t="n">
        <v>0</v>
      </c>
      <c r="AR337" s="9" t="n">
        <v>0</v>
      </c>
      <c r="AS337" s="9" t="n">
        <v>0</v>
      </c>
      <c r="AT337" s="9" t="n">
        <v>0</v>
      </c>
      <c r="AU337" s="9" t="n">
        <v>0</v>
      </c>
      <c r="AV337" s="9" t="n">
        <v>0</v>
      </c>
      <c r="AW337" s="9" t="n">
        <v>0</v>
      </c>
      <c r="AX337" s="9" t="n">
        <v>0</v>
      </c>
      <c r="AY337" s="9" t="n">
        <v>0</v>
      </c>
    </row>
    <row r="338">
      <c r="A338" s="9" t="n">
        <v>344</v>
      </c>
      <c r="B338" s="9" t="inlineStr">
        <is>
          <t>ЯП224</t>
        </is>
      </c>
      <c r="C338" s="9" t="inlineStr"/>
      <c r="D338" s="9" t="inlineStr">
        <is>
          <t>МУЧНЫЕ</t>
        </is>
      </c>
      <c r="E338" s="9" t="inlineStr">
        <is>
          <t>Федеральный</t>
        </is>
      </c>
      <c r="F338" s="9" t="n">
        <v>6710.9</v>
      </c>
      <c r="G338" s="9" t="n">
        <v>0</v>
      </c>
      <c r="H338" s="9" t="n">
        <v>1238.84</v>
      </c>
      <c r="I338" s="9" t="n">
        <v>1848.03</v>
      </c>
      <c r="J338" s="9" t="n">
        <v>6526.22</v>
      </c>
      <c r="K338" s="9" t="n">
        <v>0</v>
      </c>
      <c r="L338" s="9" t="n">
        <v>395</v>
      </c>
      <c r="M338" s="9" t="n">
        <v>0</v>
      </c>
      <c r="N338" s="9" t="n">
        <v>621.9992381840974</v>
      </c>
      <c r="O338" s="9" t="n">
        <v>153.528</v>
      </c>
      <c r="P338" s="9" t="n">
        <v>0</v>
      </c>
      <c r="Q338" s="9" t="n">
        <v>1.494690799520391</v>
      </c>
      <c r="R338" s="9" t="n">
        <v>0</v>
      </c>
      <c r="S338" s="9" t="n">
        <v>0</v>
      </c>
      <c r="T338" s="9" t="n">
        <v>296</v>
      </c>
      <c r="U338" s="9" t="n">
        <v>0</v>
      </c>
      <c r="V338" s="9" t="n">
        <v>1317.027077840829</v>
      </c>
      <c r="W338" s="9" t="n">
        <v>162.528</v>
      </c>
      <c r="X338" s="9" t="n">
        <v>0</v>
      </c>
      <c r="Y338" s="9" t="n">
        <v>3.302797295814597</v>
      </c>
      <c r="Z338" s="9" t="n">
        <v>0</v>
      </c>
      <c r="AA338" s="9" t="n">
        <v>0</v>
      </c>
      <c r="AB338" s="9" t="n">
        <v>2391</v>
      </c>
      <c r="AC338" s="9" t="n">
        <v>0</v>
      </c>
      <c r="AD338" s="9" t="n">
        <v>1273.3478665386</v>
      </c>
      <c r="AE338" s="9" t="n">
        <v>177.728</v>
      </c>
      <c r="AF338" s="9" t="n">
        <v>0</v>
      </c>
      <c r="AG338" s="9" t="n">
        <v>4.918699491243602</v>
      </c>
      <c r="AH338" s="9" t="n">
        <v>0</v>
      </c>
      <c r="AI338" s="9" t="n">
        <v>0</v>
      </c>
      <c r="AJ338" s="9" t="n">
        <v>2790</v>
      </c>
      <c r="AK338" s="9" t="n">
        <v>0</v>
      </c>
      <c r="AL338" s="9" t="n">
        <v>1420.272322227245</v>
      </c>
      <c r="AM338" s="9" t="n">
        <v>160.628</v>
      </c>
      <c r="AN338" s="9" t="n">
        <v>0</v>
      </c>
      <c r="AO338" s="9" t="n">
        <v>4.429583439594873</v>
      </c>
      <c r="AP338" s="9" t="n">
        <v>0</v>
      </c>
      <c r="AQ338" s="9" t="n">
        <v>0</v>
      </c>
      <c r="AR338" s="9" t="n">
        <v>1297</v>
      </c>
      <c r="AS338" s="9" t="n">
        <v>0</v>
      </c>
      <c r="AT338" s="9" t="n">
        <v>1027.124873550465</v>
      </c>
      <c r="AU338" s="9" t="n">
        <v>149.228</v>
      </c>
      <c r="AV338" s="9" t="n">
        <v>0</v>
      </c>
      <c r="AW338" s="9" t="n">
        <v>0.7473453997601968</v>
      </c>
      <c r="AX338" s="9" t="n">
        <v>0</v>
      </c>
      <c r="AY338" s="9" t="n">
        <v>0</v>
      </c>
    </row>
    <row r="339">
      <c r="A339" s="9" t="n">
        <v>345</v>
      </c>
      <c r="B339" s="9" t="inlineStr">
        <is>
          <t>ЯП224</t>
        </is>
      </c>
      <c r="C339" s="9" t="inlineStr"/>
      <c r="D339" s="9" t="inlineStr">
        <is>
          <t>МУЧНЫЕ</t>
        </is>
      </c>
      <c r="E339" s="9" t="inlineStr">
        <is>
          <t>Федеральный</t>
        </is>
      </c>
      <c r="F339" s="9" t="n">
        <v>6.16</v>
      </c>
      <c r="G339" s="9" t="n">
        <v>0</v>
      </c>
      <c r="H339" s="9" t="n">
        <v>363.19</v>
      </c>
      <c r="I339" s="9" t="n">
        <v>195</v>
      </c>
      <c r="J339" s="9" t="n">
        <v>185.23</v>
      </c>
      <c r="K339" s="9" t="n">
        <v>0</v>
      </c>
      <c r="L339" s="9" t="n">
        <v>0</v>
      </c>
      <c r="M339" s="9" t="n">
        <v>81.68983133900154</v>
      </c>
      <c r="N339" s="9" t="n">
        <v>0</v>
      </c>
      <c r="O339" s="9" t="n">
        <v>0</v>
      </c>
      <c r="P339" s="9" t="n">
        <v>0</v>
      </c>
      <c r="Q339" s="9" t="n">
        <v>0</v>
      </c>
      <c r="R339" s="9" t="n">
        <v>0</v>
      </c>
      <c r="S339" s="9" t="n">
        <v>0</v>
      </c>
      <c r="T339" s="9" t="n">
        <v>0</v>
      </c>
      <c r="U339" s="9" t="n">
        <v>206.9974160288122</v>
      </c>
      <c r="V339" s="9" t="n">
        <v>0</v>
      </c>
      <c r="W339" s="9" t="n">
        <v>0</v>
      </c>
      <c r="X339" s="9" t="n">
        <v>0</v>
      </c>
      <c r="Y339" s="9" t="n">
        <v>0</v>
      </c>
      <c r="Z339" s="9" t="n">
        <v>0</v>
      </c>
      <c r="AA339" s="9" t="n">
        <v>0</v>
      </c>
      <c r="AB339" s="9" t="n">
        <v>0</v>
      </c>
      <c r="AC339" s="9" t="n">
        <v>186.2305077791313</v>
      </c>
      <c r="AD339" s="9" t="n">
        <v>0</v>
      </c>
      <c r="AE339" s="9" t="n">
        <v>0</v>
      </c>
      <c r="AF339" s="9" t="n">
        <v>0</v>
      </c>
      <c r="AG339" s="9" t="n">
        <v>0</v>
      </c>
      <c r="AH339" s="9" t="n">
        <v>0</v>
      </c>
      <c r="AI339" s="9" t="n">
        <v>0</v>
      </c>
      <c r="AJ339" s="9" t="n">
        <v>0</v>
      </c>
      <c r="AK339" s="9" t="n">
        <v>198.8663726336878</v>
      </c>
      <c r="AL339" s="9" t="n">
        <v>0</v>
      </c>
      <c r="AM339" s="9" t="n">
        <v>0</v>
      </c>
      <c r="AN339" s="9" t="n">
        <v>0</v>
      </c>
      <c r="AO339" s="9" t="n">
        <v>0</v>
      </c>
      <c r="AP339" s="9" t="n">
        <v>0</v>
      </c>
      <c r="AQ339" s="9" t="n">
        <v>0</v>
      </c>
      <c r="AR339" s="9" t="n">
        <v>0</v>
      </c>
      <c r="AS339" s="9" t="n">
        <v>185.4995907725654</v>
      </c>
      <c r="AT339" s="9" t="n">
        <v>0</v>
      </c>
      <c r="AU339" s="9" t="n">
        <v>0</v>
      </c>
      <c r="AV339" s="9" t="n">
        <v>0</v>
      </c>
      <c r="AW339" s="9" t="n">
        <v>0</v>
      </c>
      <c r="AX339" s="9" t="n">
        <v>0</v>
      </c>
      <c r="AY339" s="9" t="n">
        <v>0</v>
      </c>
    </row>
    <row r="340">
      <c r="A340" s="9" t="n">
        <v>346</v>
      </c>
      <c r="B340" s="9" t="inlineStr">
        <is>
          <t>РФ101</t>
        </is>
      </c>
      <c r="C340" s="9" t="inlineStr"/>
      <c r="D340" s="9" t="inlineStr">
        <is>
          <t>САХАРИСТЫЕ</t>
        </is>
      </c>
      <c r="E340" s="9" t="inlineStr">
        <is>
          <t>Федеральный</t>
        </is>
      </c>
      <c r="F340" s="9" t="n">
        <v>37740.50000000001</v>
      </c>
      <c r="G340" s="9" t="n">
        <v>0</v>
      </c>
      <c r="H340" s="9" t="n">
        <v>41571</v>
      </c>
      <c r="I340" s="9" t="n">
        <v>13428</v>
      </c>
      <c r="J340" s="9" t="n">
        <v>14167</v>
      </c>
      <c r="K340" s="9" t="n">
        <v>6317</v>
      </c>
      <c r="L340" s="9" t="n">
        <v>12327</v>
      </c>
      <c r="M340" s="9" t="n">
        <v>845.0035968742618</v>
      </c>
      <c r="N340" s="9" t="n">
        <v>3386.094217454271</v>
      </c>
      <c r="O340" s="9" t="n">
        <v>10</v>
      </c>
      <c r="P340" s="9" t="n">
        <v>0</v>
      </c>
      <c r="Q340" s="9" t="n">
        <v>22.17748925067894</v>
      </c>
      <c r="R340" s="9" t="n">
        <v>731.7621118909262</v>
      </c>
      <c r="S340" s="9" t="n">
        <v>0</v>
      </c>
      <c r="T340" s="9" t="n">
        <v>4558</v>
      </c>
      <c r="U340" s="9" t="n">
        <v>1320.984219503328</v>
      </c>
      <c r="V340" s="9" t="n">
        <v>3267.23977547408</v>
      </c>
      <c r="W340" s="9" t="n">
        <v>19</v>
      </c>
      <c r="X340" s="9" t="n">
        <v>0</v>
      </c>
      <c r="Y340" s="9" t="n">
        <v>49.00528694536895</v>
      </c>
      <c r="Z340" s="9" t="n">
        <v>1984.987250485573</v>
      </c>
      <c r="AA340" s="9" t="n">
        <v>0</v>
      </c>
      <c r="AB340" s="9" t="n">
        <v>9243</v>
      </c>
      <c r="AC340" s="9" t="n">
        <v>1827.888062365389</v>
      </c>
      <c r="AD340" s="9" t="n">
        <v>4282.399789791391</v>
      </c>
      <c r="AE340" s="9" t="n">
        <v>34.2</v>
      </c>
      <c r="AF340" s="9" t="n">
        <v>0</v>
      </c>
      <c r="AG340" s="9" t="n">
        <v>72.98125145975169</v>
      </c>
      <c r="AH340" s="9" t="n">
        <v>1909.936862531065</v>
      </c>
      <c r="AI340" s="9" t="n">
        <v>0</v>
      </c>
      <c r="AJ340" s="9" t="n">
        <v>11284</v>
      </c>
      <c r="AK340" s="9" t="n">
        <v>2016.995153166556</v>
      </c>
      <c r="AL340" s="9" t="n">
        <v>4271.444594545278</v>
      </c>
      <c r="AM340" s="9" t="n">
        <v>17.1</v>
      </c>
      <c r="AN340" s="9" t="n">
        <v>0</v>
      </c>
      <c r="AO340" s="9" t="n">
        <v>65.72398729431035</v>
      </c>
      <c r="AP340" s="9" t="n">
        <v>1057.461635884803</v>
      </c>
      <c r="AQ340" s="9" t="n">
        <v>0</v>
      </c>
      <c r="AR340" s="9" t="n">
        <v>15771.55</v>
      </c>
      <c r="AS340" s="9" t="n">
        <v>1157.76793601548</v>
      </c>
      <c r="AT340" s="9" t="n">
        <v>4194.923327814612</v>
      </c>
      <c r="AU340" s="9" t="n">
        <v>5.7</v>
      </c>
      <c r="AV340" s="9" t="n">
        <v>0</v>
      </c>
      <c r="AW340" s="9" t="n">
        <v>11.08874462533949</v>
      </c>
      <c r="AX340" s="9" t="n">
        <v>176.6778456912032</v>
      </c>
      <c r="AY340" s="9" t="n">
        <v>0</v>
      </c>
    </row>
    <row r="341">
      <c r="A341" s="9" t="n">
        <v>347</v>
      </c>
      <c r="B341" s="9" t="inlineStr">
        <is>
          <t>РФ236</t>
        </is>
      </c>
      <c r="C341" s="9" t="inlineStr"/>
      <c r="D341" s="9" t="inlineStr">
        <is>
          <t>САХАРИСТЫЕ</t>
        </is>
      </c>
      <c r="E341" s="9" t="inlineStr">
        <is>
          <t>Федеральный</t>
        </is>
      </c>
      <c r="F341" s="9" t="n">
        <v>35911.92000000001</v>
      </c>
      <c r="G341" s="9" t="n">
        <v>0</v>
      </c>
      <c r="H341" s="9" t="n">
        <v>12155</v>
      </c>
      <c r="I341" s="9" t="n">
        <v>6712</v>
      </c>
      <c r="J341" s="9" t="n">
        <v>3222</v>
      </c>
      <c r="K341" s="9" t="n">
        <v>0</v>
      </c>
      <c r="L341" s="9" t="n">
        <v>0</v>
      </c>
      <c r="M341" s="9" t="n">
        <v>363.6080112425224</v>
      </c>
      <c r="N341" s="9" t="n">
        <v>2387.609764930293</v>
      </c>
      <c r="O341" s="9" t="n">
        <v>117.744</v>
      </c>
      <c r="P341" s="9" t="n">
        <v>0</v>
      </c>
      <c r="Q341" s="9" t="n">
        <v>0</v>
      </c>
      <c r="R341" s="9" t="n">
        <v>758.90071012648</v>
      </c>
      <c r="S341" s="9" t="n">
        <v>0</v>
      </c>
      <c r="T341" s="9" t="n">
        <v>0</v>
      </c>
      <c r="U341" s="9" t="n">
        <v>608.5337600768382</v>
      </c>
      <c r="V341" s="9" t="n">
        <v>2754.667660528301</v>
      </c>
      <c r="W341" s="9" t="n">
        <v>117.744</v>
      </c>
      <c r="X341" s="9" t="n">
        <v>0</v>
      </c>
      <c r="Y341" s="9" t="n">
        <v>0</v>
      </c>
      <c r="Z341" s="9" t="n">
        <v>993.7464374906491</v>
      </c>
      <c r="AA341" s="9" t="n">
        <v>0</v>
      </c>
      <c r="AB341" s="9" t="n">
        <v>450</v>
      </c>
      <c r="AC341" s="9" t="n">
        <v>759.6681166478938</v>
      </c>
      <c r="AD341" s="9" t="n">
        <v>4391.46149795947</v>
      </c>
      <c r="AE341" s="9" t="n">
        <v>117.744</v>
      </c>
      <c r="AF341" s="9" t="n">
        <v>0</v>
      </c>
      <c r="AG341" s="9" t="n">
        <v>0</v>
      </c>
      <c r="AH341" s="9" t="n">
        <v>1498.085624156945</v>
      </c>
      <c r="AI341" s="9" t="n">
        <v>0</v>
      </c>
      <c r="AJ341" s="9" t="n">
        <v>895</v>
      </c>
      <c r="AK341" s="9" t="n">
        <v>903.7811742206343</v>
      </c>
      <c r="AL341" s="9" t="n">
        <v>3768.421626275114</v>
      </c>
      <c r="AM341" s="9" t="n">
        <v>117.744</v>
      </c>
      <c r="AN341" s="9" t="n">
        <v>0</v>
      </c>
      <c r="AO341" s="9" t="n">
        <v>0</v>
      </c>
      <c r="AP341" s="9" t="n">
        <v>1174.316545803175</v>
      </c>
      <c r="AQ341" s="9" t="n">
        <v>0</v>
      </c>
      <c r="AR341" s="9" t="n">
        <v>1738</v>
      </c>
      <c r="AS341" s="9" t="n">
        <v>334.1511288791143</v>
      </c>
      <c r="AT341" s="9" t="n">
        <v>2780.422181057344</v>
      </c>
      <c r="AU341" s="9" t="n">
        <v>117.744</v>
      </c>
      <c r="AV341" s="9" t="n">
        <v>0</v>
      </c>
      <c r="AW341" s="9" t="n">
        <v>0</v>
      </c>
      <c r="AX341" s="9" t="n">
        <v>1009.394421298061</v>
      </c>
      <c r="AY341" s="9" t="n">
        <v>0</v>
      </c>
    </row>
    <row r="342">
      <c r="A342" s="9" t="n">
        <v>348</v>
      </c>
      <c r="B342" s="9" t="inlineStr">
        <is>
          <t>РФ101</t>
        </is>
      </c>
      <c r="C342" s="9" t="inlineStr"/>
      <c r="D342" s="9" t="inlineStr">
        <is>
          <t>САХАРИСТЫЕ</t>
        </is>
      </c>
      <c r="E342" s="9" t="inlineStr">
        <is>
          <t>Федеральный</t>
        </is>
      </c>
      <c r="F342" s="9" t="n">
        <v>9928</v>
      </c>
      <c r="G342" s="9" t="n">
        <v>0</v>
      </c>
      <c r="H342" s="9" t="n">
        <v>0</v>
      </c>
      <c r="I342" s="9" t="n">
        <v>0</v>
      </c>
      <c r="J342" s="9" t="n">
        <v>0</v>
      </c>
      <c r="K342" s="9" t="n">
        <v>0</v>
      </c>
      <c r="L342" s="9" t="n">
        <v>0</v>
      </c>
      <c r="M342" s="9" t="n">
        <v>0</v>
      </c>
      <c r="N342" s="9" t="n">
        <v>399.3498048474532</v>
      </c>
      <c r="O342" s="9" t="n">
        <v>152.8</v>
      </c>
      <c r="P342" s="9" t="n">
        <v>0</v>
      </c>
      <c r="Q342" s="9" t="n">
        <v>50.53417813534922</v>
      </c>
      <c r="R342" s="9" t="n">
        <v>0</v>
      </c>
      <c r="S342" s="9" t="n">
        <v>0</v>
      </c>
      <c r="T342" s="9" t="n">
        <v>0</v>
      </c>
      <c r="U342" s="9" t="n">
        <v>0</v>
      </c>
      <c r="V342" s="9" t="n">
        <v>1073.237714733548</v>
      </c>
      <c r="W342" s="9" t="n">
        <v>152.8</v>
      </c>
      <c r="X342" s="9" t="n">
        <v>0</v>
      </c>
      <c r="Y342" s="9" t="n">
        <v>111.6646646551915</v>
      </c>
      <c r="Z342" s="9" t="n">
        <v>0</v>
      </c>
      <c r="AA342" s="9" t="n">
        <v>0</v>
      </c>
      <c r="AB342" s="9" t="n">
        <v>0</v>
      </c>
      <c r="AC342" s="9" t="n">
        <v>0</v>
      </c>
      <c r="AD342" s="9" t="n">
        <v>1406.612817112628</v>
      </c>
      <c r="AE342" s="9" t="n">
        <v>152.8</v>
      </c>
      <c r="AF342" s="9" t="n">
        <v>0</v>
      </c>
      <c r="AG342" s="9" t="n">
        <v>166.2968932199979</v>
      </c>
      <c r="AH342" s="9" t="n">
        <v>0</v>
      </c>
      <c r="AI342" s="9" t="n">
        <v>0</v>
      </c>
      <c r="AJ342" s="9" t="n">
        <v>0</v>
      </c>
      <c r="AK342" s="9" t="n">
        <v>0</v>
      </c>
      <c r="AL342" s="9" t="n">
        <v>1416.764231120513</v>
      </c>
      <c r="AM342" s="9" t="n">
        <v>152.8</v>
      </c>
      <c r="AN342" s="9" t="n">
        <v>0</v>
      </c>
      <c r="AO342" s="9" t="n">
        <v>149.7603107436713</v>
      </c>
      <c r="AP342" s="9" t="n">
        <v>0</v>
      </c>
      <c r="AQ342" s="9" t="n">
        <v>0</v>
      </c>
      <c r="AR342" s="9" t="n">
        <v>0</v>
      </c>
      <c r="AS342" s="9" t="n">
        <v>0</v>
      </c>
      <c r="AT342" s="9" t="n">
        <v>1394.026863062367</v>
      </c>
      <c r="AU342" s="9" t="n">
        <v>152.8</v>
      </c>
      <c r="AV342" s="9" t="n">
        <v>0</v>
      </c>
      <c r="AW342" s="9" t="n">
        <v>25.26708906767465</v>
      </c>
      <c r="AX342" s="9" t="n">
        <v>0</v>
      </c>
      <c r="AY342" s="9" t="n">
        <v>0</v>
      </c>
    </row>
    <row r="343">
      <c r="A343" s="9" t="n">
        <v>349</v>
      </c>
      <c r="B343" s="9" t="inlineStr">
        <is>
          <t>РФ106</t>
        </is>
      </c>
      <c r="C343" s="9" t="inlineStr"/>
      <c r="D343" s="9" t="inlineStr">
        <is>
          <t>САХАРИСТЫЕ</t>
        </is>
      </c>
      <c r="E343" s="9" t="inlineStr">
        <is>
          <t>Федеральный</t>
        </is>
      </c>
      <c r="F343" s="9" t="n">
        <v>2792.5</v>
      </c>
      <c r="G343" s="9" t="n">
        <v>0</v>
      </c>
      <c r="H343" s="9" t="n">
        <v>1290</v>
      </c>
      <c r="I343" s="9" t="n">
        <v>1855</v>
      </c>
      <c r="J343" s="9" t="n">
        <v>1604</v>
      </c>
      <c r="K343" s="9" t="n">
        <v>2046</v>
      </c>
      <c r="L343" s="9" t="n">
        <v>0</v>
      </c>
      <c r="M343" s="9" t="n">
        <v>158.9833360201063</v>
      </c>
      <c r="N343" s="9" t="n">
        <v>98.06933795334366</v>
      </c>
      <c r="O343" s="9" t="n">
        <v>770.8</v>
      </c>
      <c r="P343" s="9" t="n">
        <v>0</v>
      </c>
      <c r="Q343" s="9" t="n">
        <v>17.05444214996892</v>
      </c>
      <c r="R343" s="9" t="n">
        <v>20.37629578554795</v>
      </c>
      <c r="S343" s="9" t="n">
        <v>0</v>
      </c>
      <c r="T343" s="9" t="n">
        <v>0</v>
      </c>
      <c r="U343" s="9" t="n">
        <v>402.85478875864</v>
      </c>
      <c r="V343" s="9" t="n">
        <v>315.1860646293653</v>
      </c>
      <c r="W343" s="9" t="n">
        <v>820.3</v>
      </c>
      <c r="X343" s="9" t="n">
        <v>0</v>
      </c>
      <c r="Y343" s="9" t="n">
        <v>37.6849616205692</v>
      </c>
      <c r="Z343" s="9" t="n">
        <v>62.88847031723658</v>
      </c>
      <c r="AA343" s="9" t="n">
        <v>0</v>
      </c>
      <c r="AB343" s="9" t="n">
        <v>0</v>
      </c>
      <c r="AC343" s="9" t="n">
        <v>362.4385913171667</v>
      </c>
      <c r="AD343" s="9" t="n">
        <v>419.3893652798332</v>
      </c>
      <c r="AE343" s="9" t="n">
        <v>903.9</v>
      </c>
      <c r="AF343" s="9" t="n">
        <v>0</v>
      </c>
      <c r="AG343" s="9" t="n">
        <v>56.12242743008279</v>
      </c>
      <c r="AH343" s="9" t="n">
        <v>59.31896819084752</v>
      </c>
      <c r="AI343" s="9" t="n">
        <v>0</v>
      </c>
      <c r="AJ343" s="9" t="n">
        <v>519</v>
      </c>
      <c r="AK343" s="9" t="n">
        <v>333.4943016303797</v>
      </c>
      <c r="AL343" s="9" t="n">
        <v>419.4336746849781</v>
      </c>
      <c r="AM343" s="9" t="n">
        <v>809.8499999999999</v>
      </c>
      <c r="AN343" s="9" t="n">
        <v>0</v>
      </c>
      <c r="AO343" s="9" t="n">
        <v>50.54160669435534</v>
      </c>
      <c r="AP343" s="9" t="n">
        <v>42.72945211438402</v>
      </c>
      <c r="AQ343" s="9" t="n">
        <v>0</v>
      </c>
      <c r="AR343" s="9" t="n">
        <v>1004.75</v>
      </c>
      <c r="AS343" s="9" t="n">
        <v>311.0785179924299</v>
      </c>
      <c r="AT343" s="9" t="n">
        <v>402.9274789130176</v>
      </c>
      <c r="AU343" s="9" t="n">
        <v>747.15</v>
      </c>
      <c r="AV343" s="9" t="n">
        <v>0</v>
      </c>
      <c r="AW343" s="9" t="n">
        <v>8.527221074984475</v>
      </c>
      <c r="AX343" s="9" t="n">
        <v>12.46737757935621</v>
      </c>
      <c r="AY343" s="9" t="n">
        <v>0</v>
      </c>
    </row>
    <row r="344">
      <c r="A344" s="9" t="n">
        <v>350</v>
      </c>
      <c r="B344" s="9" t="inlineStr">
        <is>
          <t>РФ176</t>
        </is>
      </c>
      <c r="C344" s="9" t="inlineStr"/>
      <c r="D344" s="9" t="inlineStr">
        <is>
          <t>САХАРИСТЫЕ</t>
        </is>
      </c>
      <c r="E344" s="9" t="inlineStr">
        <is>
          <t>Федеральный</t>
        </is>
      </c>
      <c r="F344" s="9" t="n">
        <v>105025.65</v>
      </c>
      <c r="G344" s="9" t="n">
        <v>33408</v>
      </c>
      <c r="H344" s="9" t="n">
        <v>61438</v>
      </c>
      <c r="I344" s="9" t="n">
        <v>68664</v>
      </c>
      <c r="J344" s="9" t="n">
        <v>60260</v>
      </c>
      <c r="K344" s="9" t="n">
        <v>26816</v>
      </c>
      <c r="L344" s="9" t="n">
        <v>17756</v>
      </c>
      <c r="M344" s="9" t="n">
        <v>571.6209989490013</v>
      </c>
      <c r="N344" s="9" t="n">
        <v>15025.56941524263</v>
      </c>
      <c r="O344" s="9" t="n">
        <v>3905.4</v>
      </c>
      <c r="P344" s="9" t="n">
        <v>0</v>
      </c>
      <c r="Q344" s="9" t="n">
        <v>294.5609046700838</v>
      </c>
      <c r="R344" s="9" t="n">
        <v>0</v>
      </c>
      <c r="S344" s="9" t="n">
        <v>0.8032246355692825</v>
      </c>
      <c r="T344" s="9" t="n">
        <v>49669</v>
      </c>
      <c r="U344" s="9" t="n">
        <v>834.877912420978</v>
      </c>
      <c r="V344" s="9" t="n">
        <v>19623.04920617484</v>
      </c>
      <c r="W344" s="9" t="n">
        <v>3945.9</v>
      </c>
      <c r="X344" s="9" t="n">
        <v>0</v>
      </c>
      <c r="Y344" s="9" t="n">
        <v>650.8870996658476</v>
      </c>
      <c r="Z344" s="9" t="n">
        <v>0</v>
      </c>
      <c r="AA344" s="9" t="n">
        <v>1.606449271138566</v>
      </c>
      <c r="AB344" s="9" t="n">
        <v>23582</v>
      </c>
      <c r="AC344" s="9" t="n">
        <v>891.2490117307289</v>
      </c>
      <c r="AD344" s="9" t="n">
        <v>18579.63160067647</v>
      </c>
      <c r="AE344" s="9" t="n">
        <v>4014.3</v>
      </c>
      <c r="AF344" s="9" t="n">
        <v>0</v>
      </c>
      <c r="AG344" s="9" t="n">
        <v>969.3353116282633</v>
      </c>
      <c r="AH344" s="9" t="n">
        <v>0</v>
      </c>
      <c r="AI344" s="9" t="n">
        <v>2.570318833821709</v>
      </c>
      <c r="AJ344" s="9" t="n">
        <v>23152</v>
      </c>
      <c r="AK344" s="9" t="n">
        <v>917.7955195809443</v>
      </c>
      <c r="AL344" s="9" t="n">
        <v>19418.94146410532</v>
      </c>
      <c r="AM344" s="9" t="n">
        <v>3937.35</v>
      </c>
      <c r="AN344" s="9" t="n">
        <v>0</v>
      </c>
      <c r="AO344" s="9" t="n">
        <v>872.9444950737367</v>
      </c>
      <c r="AP344" s="9" t="n">
        <v>0</v>
      </c>
      <c r="AQ344" s="9" t="n">
        <v>3.567698956466048</v>
      </c>
      <c r="AR344" s="9" t="n">
        <v>28499</v>
      </c>
      <c r="AS344" s="9" t="n">
        <v>789.7134386396904</v>
      </c>
      <c r="AT344" s="9" t="n">
        <v>19323.91922316964</v>
      </c>
      <c r="AU344" s="9" t="n">
        <v>3886.05</v>
      </c>
      <c r="AV344" s="9" t="n">
        <v>0</v>
      </c>
      <c r="AW344" s="9" t="n">
        <v>147.2804523350422</v>
      </c>
      <c r="AX344" s="9" t="n">
        <v>0</v>
      </c>
      <c r="AY344" s="9" t="n">
        <v>1.606449271138568</v>
      </c>
    </row>
    <row r="345">
      <c r="A345" s="9" t="n">
        <v>351</v>
      </c>
      <c r="B345" s="9" t="inlineStr">
        <is>
          <t>РФ073</t>
        </is>
      </c>
      <c r="C345" s="9" t="inlineStr"/>
      <c r="D345" s="9" t="inlineStr">
        <is>
          <t>САХАРИСТЫЕ</t>
        </is>
      </c>
      <c r="E345" s="9" t="inlineStr">
        <is>
          <t>Федеральный</t>
        </is>
      </c>
      <c r="F345" s="9" t="n">
        <v>25175.6</v>
      </c>
      <c r="G345" s="9" t="n">
        <v>0</v>
      </c>
      <c r="H345" s="9" t="n">
        <v>0</v>
      </c>
      <c r="I345" s="9" t="n">
        <v>31542</v>
      </c>
      <c r="J345" s="9" t="n">
        <v>31803</v>
      </c>
      <c r="K345" s="9" t="n">
        <v>30119</v>
      </c>
      <c r="L345" s="9" t="n">
        <v>8048</v>
      </c>
      <c r="M345" s="9" t="n">
        <v>729.3606430960754</v>
      </c>
      <c r="N345" s="9" t="n">
        <v>2957.079226119586</v>
      </c>
      <c r="O345" s="9" t="n">
        <v>95</v>
      </c>
      <c r="P345" s="9" t="n">
        <v>0</v>
      </c>
      <c r="Q345" s="9" t="n">
        <v>28.09106648401595</v>
      </c>
      <c r="R345" s="9" t="n">
        <v>1212.995875446592</v>
      </c>
      <c r="S345" s="9" t="n">
        <v>0</v>
      </c>
      <c r="T345" s="9" t="n">
        <v>13936</v>
      </c>
      <c r="U345" s="9" t="n">
        <v>1725.443171915579</v>
      </c>
      <c r="V345" s="9" t="n">
        <v>4706.165259321763</v>
      </c>
      <c r="W345" s="9" t="n">
        <v>180.5</v>
      </c>
      <c r="X345" s="9" t="n">
        <v>0</v>
      </c>
      <c r="Y345" s="9" t="n">
        <v>62.0724356166014</v>
      </c>
      <c r="Z345" s="9" t="n">
        <v>3383.271209119542</v>
      </c>
      <c r="AA345" s="9" t="n">
        <v>0</v>
      </c>
      <c r="AB345" s="9" t="n">
        <v>7570</v>
      </c>
      <c r="AC345" s="9" t="n">
        <v>1780.364940328</v>
      </c>
      <c r="AD345" s="9" t="n">
        <v>5606.796918017432</v>
      </c>
      <c r="AE345" s="9" t="n">
        <v>324.9</v>
      </c>
      <c r="AF345" s="9" t="n">
        <v>0</v>
      </c>
      <c r="AG345" s="9" t="n">
        <v>92.44153671632637</v>
      </c>
      <c r="AH345" s="9" t="n">
        <v>3031.955566547409</v>
      </c>
      <c r="AI345" s="9" t="n">
        <v>0</v>
      </c>
      <c r="AJ345" s="9" t="n">
        <v>16758</v>
      </c>
      <c r="AK345" s="9" t="n">
        <v>1780.808694385703</v>
      </c>
      <c r="AL345" s="9" t="n">
        <v>5587.097555458678</v>
      </c>
      <c r="AM345" s="9" t="n">
        <v>162.45</v>
      </c>
      <c r="AN345" s="9" t="n">
        <v>0</v>
      </c>
      <c r="AO345" s="9" t="n">
        <v>83.24913951305693</v>
      </c>
      <c r="AP345" s="9" t="n">
        <v>1546.788859289874</v>
      </c>
      <c r="AQ345" s="9" t="n">
        <v>0</v>
      </c>
      <c r="AR345" s="9" t="n">
        <v>45283.99999999999</v>
      </c>
      <c r="AS345" s="9" t="n">
        <v>1474.554807908166</v>
      </c>
      <c r="AT345" s="9" t="n">
        <v>5183.557580880355</v>
      </c>
      <c r="AU345" s="9" t="n">
        <v>54.15000000000001</v>
      </c>
      <c r="AV345" s="9" t="n">
        <v>0</v>
      </c>
      <c r="AW345" s="9" t="n">
        <v>14.045533242008</v>
      </c>
      <c r="AX345" s="9" t="n">
        <v>244.3849897337126</v>
      </c>
      <c r="AY345" s="9" t="n">
        <v>0</v>
      </c>
    </row>
    <row r="346">
      <c r="A346" s="9" t="n">
        <v>352</v>
      </c>
      <c r="B346" s="9" t="inlineStr">
        <is>
          <t>РФ026</t>
        </is>
      </c>
      <c r="C346" s="9" t="inlineStr"/>
      <c r="D346" s="9" t="inlineStr">
        <is>
          <t>САХАРИСТЫЕ</t>
        </is>
      </c>
      <c r="E346" s="9" t="inlineStr">
        <is>
          <t>Федеральный</t>
        </is>
      </c>
      <c r="F346" s="9" t="n">
        <v>61167</v>
      </c>
      <c r="G346" s="9" t="n">
        <v>38432</v>
      </c>
      <c r="H346" s="9" t="n">
        <v>17482</v>
      </c>
      <c r="I346" s="9" t="n">
        <v>0</v>
      </c>
      <c r="J346" s="9" t="n">
        <v>0</v>
      </c>
      <c r="K346" s="9" t="n">
        <v>0</v>
      </c>
      <c r="L346" s="9" t="n">
        <v>0</v>
      </c>
      <c r="M346" s="9" t="n">
        <v>0</v>
      </c>
      <c r="N346" s="9" t="n">
        <v>0</v>
      </c>
      <c r="O346" s="9" t="n">
        <v>0</v>
      </c>
      <c r="P346" s="9" t="n">
        <v>0</v>
      </c>
      <c r="Q346" s="9" t="n">
        <v>0</v>
      </c>
      <c r="R346" s="9" t="n">
        <v>0</v>
      </c>
      <c r="S346" s="9" t="n">
        <v>0</v>
      </c>
      <c r="T346" s="9" t="n">
        <v>0</v>
      </c>
      <c r="U346" s="9" t="n">
        <v>0</v>
      </c>
      <c r="V346" s="9" t="n">
        <v>0</v>
      </c>
      <c r="W346" s="9" t="n">
        <v>0</v>
      </c>
      <c r="X346" s="9" t="n">
        <v>0</v>
      </c>
      <c r="Y346" s="9" t="n">
        <v>0</v>
      </c>
      <c r="Z346" s="9" t="n">
        <v>0</v>
      </c>
      <c r="AA346" s="9" t="n">
        <v>0</v>
      </c>
      <c r="AB346" s="9" t="n">
        <v>0</v>
      </c>
      <c r="AC346" s="9" t="n">
        <v>0</v>
      </c>
      <c r="AD346" s="9" t="n">
        <v>0</v>
      </c>
      <c r="AE346" s="9" t="n">
        <v>0</v>
      </c>
      <c r="AF346" s="9" t="n">
        <v>0</v>
      </c>
      <c r="AG346" s="9" t="n">
        <v>0</v>
      </c>
      <c r="AH346" s="9" t="n">
        <v>0</v>
      </c>
      <c r="AI346" s="9" t="n">
        <v>0</v>
      </c>
      <c r="AJ346" s="9" t="n">
        <v>0</v>
      </c>
      <c r="AK346" s="9" t="n">
        <v>0</v>
      </c>
      <c r="AL346" s="9" t="n">
        <v>0</v>
      </c>
      <c r="AM346" s="9" t="n">
        <v>0</v>
      </c>
      <c r="AN346" s="9" t="n">
        <v>0</v>
      </c>
      <c r="AO346" s="9" t="n">
        <v>0</v>
      </c>
      <c r="AP346" s="9" t="n">
        <v>0</v>
      </c>
      <c r="AQ346" s="9" t="n">
        <v>0</v>
      </c>
      <c r="AR346" s="9" t="n">
        <v>0</v>
      </c>
      <c r="AS346" s="9" t="n">
        <v>0</v>
      </c>
      <c r="AT346" s="9" t="n">
        <v>0</v>
      </c>
      <c r="AU346" s="9" t="n">
        <v>0</v>
      </c>
      <c r="AV346" s="9" t="n">
        <v>0</v>
      </c>
      <c r="AW346" s="9" t="n">
        <v>0</v>
      </c>
      <c r="AX346" s="9" t="n">
        <v>0</v>
      </c>
      <c r="AY346" s="9" t="n">
        <v>0</v>
      </c>
    </row>
    <row r="347">
      <c r="A347" s="9" t="n">
        <v>353</v>
      </c>
      <c r="B347" s="9" t="inlineStr">
        <is>
          <t>РФ236</t>
        </is>
      </c>
      <c r="C347" s="9" t="inlineStr"/>
      <c r="D347" s="9" t="inlineStr">
        <is>
          <t>САХАРИСТЫЕ</t>
        </is>
      </c>
      <c r="E347" s="9" t="inlineStr">
        <is>
          <t>Федеральный</t>
        </is>
      </c>
      <c r="F347" s="9" t="n">
        <v>11144.03</v>
      </c>
      <c r="G347" s="9" t="n">
        <v>0</v>
      </c>
      <c r="H347" s="9" t="n">
        <v>16220</v>
      </c>
      <c r="I347" s="9" t="n">
        <v>9246</v>
      </c>
      <c r="J347" s="9" t="n">
        <v>6001</v>
      </c>
      <c r="K347" s="9" t="n">
        <v>456</v>
      </c>
      <c r="L347" s="9" t="n">
        <v>0</v>
      </c>
      <c r="M347" s="9" t="n">
        <v>845.3319609664936</v>
      </c>
      <c r="N347" s="9" t="n">
        <v>3104.690675995434</v>
      </c>
      <c r="O347" s="9" t="n">
        <v>84.65599999999999</v>
      </c>
      <c r="P347" s="9" t="n">
        <v>0</v>
      </c>
      <c r="Q347" s="9" t="n">
        <v>0</v>
      </c>
      <c r="R347" s="9" t="n">
        <v>1771.428571428572</v>
      </c>
      <c r="S347" s="9" t="n">
        <v>0</v>
      </c>
      <c r="T347" s="9" t="n">
        <v>10482</v>
      </c>
      <c r="U347" s="9" t="n">
        <v>1189.32696651893</v>
      </c>
      <c r="V347" s="9" t="n">
        <v>3576.810015595582</v>
      </c>
      <c r="W347" s="9" t="n">
        <v>84.65599999999999</v>
      </c>
      <c r="X347" s="9" t="n">
        <v>0</v>
      </c>
      <c r="Y347" s="9" t="n">
        <v>0</v>
      </c>
      <c r="Z347" s="9" t="n">
        <v>2987.788227449248</v>
      </c>
      <c r="AA347" s="9" t="n">
        <v>0</v>
      </c>
      <c r="AB347" s="9" t="n">
        <v>17471</v>
      </c>
      <c r="AC347" s="9" t="n">
        <v>1716.203147524531</v>
      </c>
      <c r="AD347" s="9" t="n">
        <v>4735.275986857794</v>
      </c>
      <c r="AE347" s="9" t="n">
        <v>84.65599999999999</v>
      </c>
      <c r="AF347" s="9" t="n">
        <v>0</v>
      </c>
      <c r="AG347" s="9" t="n">
        <v>0</v>
      </c>
      <c r="AH347" s="9" t="n">
        <v>4537.211177953202</v>
      </c>
      <c r="AI347" s="9" t="n">
        <v>0</v>
      </c>
      <c r="AJ347" s="9" t="n">
        <v>2907</v>
      </c>
      <c r="AK347" s="9" t="n">
        <v>2114.561140345293</v>
      </c>
      <c r="AL347" s="9" t="n">
        <v>4927.49379287222</v>
      </c>
      <c r="AM347" s="9" t="n">
        <v>84.65599999999999</v>
      </c>
      <c r="AN347" s="9" t="n">
        <v>0</v>
      </c>
      <c r="AO347" s="9" t="n">
        <v>0</v>
      </c>
      <c r="AP347" s="9" t="n">
        <v>2581.451655488229</v>
      </c>
      <c r="AQ347" s="9" t="n">
        <v>0</v>
      </c>
      <c r="AR347" s="9" t="n">
        <v>1736</v>
      </c>
      <c r="AS347" s="9" t="n">
        <v>422.6659804832471</v>
      </c>
      <c r="AT347" s="9" t="n">
        <v>3629.317371054022</v>
      </c>
      <c r="AU347" s="9" t="n">
        <v>84.65599999999999</v>
      </c>
      <c r="AV347" s="9" t="n">
        <v>0</v>
      </c>
      <c r="AW347" s="9" t="n">
        <v>0</v>
      </c>
      <c r="AX347" s="9" t="n">
        <v>2322.592786479865</v>
      </c>
      <c r="AY347" s="9" t="n">
        <v>0</v>
      </c>
    </row>
    <row r="348">
      <c r="A348" s="9" t="n">
        <v>354</v>
      </c>
      <c r="B348" s="9" t="inlineStr">
        <is>
          <t>РФ143</t>
        </is>
      </c>
      <c r="C348" s="9" t="inlineStr"/>
      <c r="D348" s="9" t="inlineStr">
        <is>
          <t>САХАРИСТЫЕ</t>
        </is>
      </c>
      <c r="E348" s="9" t="inlineStr">
        <is>
          <t>Федеральный</t>
        </is>
      </c>
      <c r="F348" s="9" t="n">
        <v>6180</v>
      </c>
      <c r="G348" s="9" t="n">
        <v>0</v>
      </c>
      <c r="H348" s="9" t="n">
        <v>0</v>
      </c>
      <c r="I348" s="9" t="n">
        <v>0</v>
      </c>
      <c r="J348" s="9" t="n">
        <v>0</v>
      </c>
      <c r="K348" s="9" t="n">
        <v>0</v>
      </c>
      <c r="L348" s="9" t="n">
        <v>0</v>
      </c>
      <c r="M348" s="9" t="n">
        <v>0</v>
      </c>
      <c r="N348" s="9" t="n">
        <v>91.03273632920529</v>
      </c>
      <c r="O348" s="9" t="n">
        <v>0</v>
      </c>
      <c r="P348" s="9" t="n">
        <v>0</v>
      </c>
      <c r="Q348" s="9" t="n">
        <v>2.695442571649612</v>
      </c>
      <c r="R348" s="9" t="n">
        <v>0</v>
      </c>
      <c r="S348" s="9" t="n">
        <v>0</v>
      </c>
      <c r="T348" s="9" t="n">
        <v>0</v>
      </c>
      <c r="U348" s="9" t="n">
        <v>0</v>
      </c>
      <c r="V348" s="9" t="n">
        <v>2096.816759882777</v>
      </c>
      <c r="W348" s="9" t="n">
        <v>0</v>
      </c>
      <c r="X348" s="9" t="n">
        <v>0</v>
      </c>
      <c r="Y348" s="9" t="n">
        <v>5.956081645464383</v>
      </c>
      <c r="Z348" s="9" t="n">
        <v>0</v>
      </c>
      <c r="AA348" s="9" t="n">
        <v>0</v>
      </c>
      <c r="AB348" s="9" t="n">
        <v>0</v>
      </c>
      <c r="AC348" s="9" t="n">
        <v>0</v>
      </c>
      <c r="AD348" s="9" t="n">
        <v>833.0713460929601</v>
      </c>
      <c r="AE348" s="9" t="n">
        <v>0</v>
      </c>
      <c r="AF348" s="9" t="n">
        <v>0</v>
      </c>
      <c r="AG348" s="9" t="n">
        <v>8.870110132546129</v>
      </c>
      <c r="AH348" s="9" t="n">
        <v>0</v>
      </c>
      <c r="AI348" s="9" t="n">
        <v>0</v>
      </c>
      <c r="AJ348" s="9" t="n">
        <v>0</v>
      </c>
      <c r="AK348" s="9" t="n">
        <v>0</v>
      </c>
      <c r="AL348" s="9" t="n">
        <v>839.365625711805</v>
      </c>
      <c r="AM348" s="9" t="n">
        <v>0</v>
      </c>
      <c r="AN348" s="9" t="n">
        <v>0</v>
      </c>
      <c r="AO348" s="9" t="n">
        <v>7.98806534541411</v>
      </c>
      <c r="AP348" s="9" t="n">
        <v>0</v>
      </c>
      <c r="AQ348" s="9" t="n">
        <v>0</v>
      </c>
      <c r="AR348" s="9" t="n">
        <v>0</v>
      </c>
      <c r="AS348" s="9" t="n">
        <v>0</v>
      </c>
      <c r="AT348" s="9" t="n">
        <v>878.2864195545674</v>
      </c>
      <c r="AU348" s="9" t="n">
        <v>0</v>
      </c>
      <c r="AV348" s="9" t="n">
        <v>0</v>
      </c>
      <c r="AW348" s="9" t="n">
        <v>1.347721285824809</v>
      </c>
      <c r="AX348" s="9" t="n">
        <v>0</v>
      </c>
      <c r="AY348" s="9" t="n">
        <v>0</v>
      </c>
    </row>
    <row r="349">
      <c r="A349" s="9" t="n">
        <v>355</v>
      </c>
      <c r="B349" s="9" t="inlineStr">
        <is>
          <t>РФ222</t>
        </is>
      </c>
      <c r="C349" s="9" t="inlineStr"/>
      <c r="D349" s="9" t="inlineStr">
        <is>
          <t>САХАРИСТЫЕ</t>
        </is>
      </c>
      <c r="E349" s="9" t="inlineStr">
        <is>
          <t>Федеральный</t>
        </is>
      </c>
      <c r="F349" s="9" t="n">
        <v>3006.96</v>
      </c>
      <c r="G349" s="9" t="n">
        <v>0</v>
      </c>
      <c r="H349" s="9" t="n">
        <v>0</v>
      </c>
      <c r="I349" s="9" t="n">
        <v>0</v>
      </c>
      <c r="J349" s="9" t="n">
        <v>0</v>
      </c>
      <c r="K349" s="9" t="n">
        <v>0</v>
      </c>
      <c r="L349" s="9" t="n">
        <v>0</v>
      </c>
      <c r="M349" s="9" t="n">
        <v>0</v>
      </c>
      <c r="N349" s="9" t="n">
        <v>0</v>
      </c>
      <c r="O349" s="9" t="n">
        <v>0</v>
      </c>
      <c r="P349" s="9" t="n">
        <v>0</v>
      </c>
      <c r="Q349" s="9" t="n">
        <v>0</v>
      </c>
      <c r="R349" s="9" t="n">
        <v>0</v>
      </c>
      <c r="S349" s="9" t="n">
        <v>0</v>
      </c>
      <c r="T349" s="9" t="n">
        <v>0</v>
      </c>
      <c r="U349" s="9" t="n">
        <v>0</v>
      </c>
      <c r="V349" s="9" t="n">
        <v>0</v>
      </c>
      <c r="W349" s="9" t="n">
        <v>0</v>
      </c>
      <c r="X349" s="9" t="n">
        <v>0</v>
      </c>
      <c r="Y349" s="9" t="n">
        <v>0</v>
      </c>
      <c r="Z349" s="9" t="n">
        <v>0</v>
      </c>
      <c r="AA349" s="9" t="n">
        <v>0</v>
      </c>
      <c r="AB349" s="9" t="n">
        <v>0</v>
      </c>
      <c r="AC349" s="9" t="n">
        <v>0</v>
      </c>
      <c r="AD349" s="9" t="n">
        <v>0</v>
      </c>
      <c r="AE349" s="9" t="n">
        <v>0</v>
      </c>
      <c r="AF349" s="9" t="n">
        <v>0</v>
      </c>
      <c r="AG349" s="9" t="n">
        <v>0</v>
      </c>
      <c r="AH349" s="9" t="n">
        <v>0</v>
      </c>
      <c r="AI349" s="9" t="n">
        <v>0</v>
      </c>
      <c r="AJ349" s="9" t="n">
        <v>0</v>
      </c>
      <c r="AK349" s="9" t="n">
        <v>0</v>
      </c>
      <c r="AL349" s="9" t="n">
        <v>0</v>
      </c>
      <c r="AM349" s="9" t="n">
        <v>0</v>
      </c>
      <c r="AN349" s="9" t="n">
        <v>0</v>
      </c>
      <c r="AO349" s="9" t="n">
        <v>0</v>
      </c>
      <c r="AP349" s="9" t="n">
        <v>0</v>
      </c>
      <c r="AQ349" s="9" t="n">
        <v>0</v>
      </c>
      <c r="AR349" s="9" t="n">
        <v>0</v>
      </c>
      <c r="AS349" s="9" t="n">
        <v>0</v>
      </c>
      <c r="AT349" s="9" t="n">
        <v>0</v>
      </c>
      <c r="AU349" s="9" t="n">
        <v>0</v>
      </c>
      <c r="AV349" s="9" t="n">
        <v>0</v>
      </c>
      <c r="AW349" s="9" t="n">
        <v>0</v>
      </c>
      <c r="AX349" s="9" t="n">
        <v>0</v>
      </c>
      <c r="AY349" s="9" t="n">
        <v>0</v>
      </c>
    </row>
    <row r="350">
      <c r="A350" s="9" t="n">
        <v>356</v>
      </c>
      <c r="B350" s="9" t="inlineStr">
        <is>
          <t>КО077</t>
        </is>
      </c>
      <c r="C350" s="9" t="inlineStr"/>
      <c r="D350" s="9" t="inlineStr">
        <is>
          <t>ШОКОЛАД</t>
        </is>
      </c>
      <c r="E350" s="9" t="inlineStr">
        <is>
          <t>Федеральный</t>
        </is>
      </c>
      <c r="F350" s="9" t="n">
        <v>119361.34</v>
      </c>
      <c r="G350" s="9" t="n">
        <v>25000</v>
      </c>
      <c r="H350" s="9" t="n">
        <v>70248.785</v>
      </c>
      <c r="I350" s="9" t="n">
        <v>62285.27</v>
      </c>
      <c r="J350" s="9" t="n">
        <v>66017.04000000001</v>
      </c>
      <c r="K350" s="9" t="n">
        <v>50558.01</v>
      </c>
      <c r="L350" s="9" t="n">
        <v>8070</v>
      </c>
      <c r="M350" s="9" t="n">
        <v>479.831180974405</v>
      </c>
      <c r="N350" s="9" t="n">
        <v>16374.57018795179</v>
      </c>
      <c r="O350" s="9" t="n">
        <v>198.462</v>
      </c>
      <c r="P350" s="9" t="n">
        <v>0</v>
      </c>
      <c r="Q350" s="9" t="n">
        <v>77.54751084484758</v>
      </c>
      <c r="R350" s="9" t="n">
        <v>80.89191232146912</v>
      </c>
      <c r="S350" s="9" t="n">
        <v>0.3312859521794963</v>
      </c>
      <c r="T350" s="9" t="n">
        <v>5216</v>
      </c>
      <c r="U350" s="9" t="n">
        <v>1215.865095614839</v>
      </c>
      <c r="V350" s="9" t="n">
        <v>56836.53149937035</v>
      </c>
      <c r="W350" s="9" t="n">
        <v>225.462</v>
      </c>
      <c r="X350" s="9" t="n">
        <v>0</v>
      </c>
      <c r="Y350" s="9" t="n">
        <v>171.3556470660684</v>
      </c>
      <c r="Z350" s="9" t="n">
        <v>560.9840959216898</v>
      </c>
      <c r="AA350" s="9" t="n">
        <v>0.6625719043589933</v>
      </c>
      <c r="AB350" s="9" t="n">
        <v>6904</v>
      </c>
      <c r="AC350" s="9" t="n">
        <v>1093.884061411454</v>
      </c>
      <c r="AD350" s="9" t="n">
        <v>58258.73539810428</v>
      </c>
      <c r="AE350" s="9" t="n">
        <v>271.062</v>
      </c>
      <c r="AF350" s="9" t="n">
        <v>0</v>
      </c>
      <c r="AG350" s="9" t="n">
        <v>255.1918445354396</v>
      </c>
      <c r="AH350" s="9" t="n">
        <v>234.1168783420992</v>
      </c>
      <c r="AI350" s="9" t="n">
        <v>1.06011504697439</v>
      </c>
      <c r="AJ350" s="9" t="n">
        <v>9323</v>
      </c>
      <c r="AK350" s="9" t="n">
        <v>1217.789791710378</v>
      </c>
      <c r="AL350" s="9" t="n">
        <v>56704.33696520324</v>
      </c>
      <c r="AM350" s="9" t="n">
        <v>219.762</v>
      </c>
      <c r="AN350" s="9" t="n">
        <v>0</v>
      </c>
      <c r="AO350" s="9" t="n">
        <v>229.8155377221579</v>
      </c>
      <c r="AP350" s="9" t="n">
        <v>168.6422783030014</v>
      </c>
      <c r="AQ350" s="9" t="n">
        <v>1.47147945113133</v>
      </c>
      <c r="AR350" s="9" t="n">
        <v>8114</v>
      </c>
      <c r="AS350" s="9" t="n">
        <v>1135.936181756531</v>
      </c>
      <c r="AT350" s="9" t="n">
        <v>54377.72784321426</v>
      </c>
      <c r="AU350" s="9" t="n">
        <v>185.562</v>
      </c>
      <c r="AV350" s="9" t="n">
        <v>0</v>
      </c>
      <c r="AW350" s="9" t="n">
        <v>38.77375542242386</v>
      </c>
      <c r="AX350" s="9" t="n">
        <v>32.94172417932497</v>
      </c>
      <c r="AY350" s="9" t="n">
        <v>0.6625719043589939</v>
      </c>
    </row>
    <row r="351">
      <c r="A351" s="9" t="n">
        <v>357</v>
      </c>
      <c r="B351" s="9" t="inlineStr">
        <is>
          <t>КО090</t>
        </is>
      </c>
      <c r="C351" s="9" t="inlineStr"/>
      <c r="D351" s="9" t="inlineStr">
        <is>
          <t>ШОКОЛАД</t>
        </is>
      </c>
      <c r="E351" s="9" t="inlineStr">
        <is>
          <t>Федеральный</t>
        </is>
      </c>
      <c r="F351" s="9" t="n">
        <v>1741.32</v>
      </c>
      <c r="G351" s="9" t="n">
        <v>0</v>
      </c>
      <c r="H351" s="9" t="n">
        <v>947.0699999999999</v>
      </c>
      <c r="I351" s="9" t="n">
        <v>457.22</v>
      </c>
      <c r="J351" s="9" t="n">
        <v>600.9400000000001</v>
      </c>
      <c r="K351" s="9" t="n">
        <v>293.62</v>
      </c>
      <c r="L351" s="9" t="n">
        <v>40.70000000000002</v>
      </c>
      <c r="M351" s="9" t="n">
        <v>16.56300167737045</v>
      </c>
      <c r="N351" s="9" t="n">
        <v>36.7721870096906</v>
      </c>
      <c r="O351" s="9" t="n">
        <v>75.18000000000001</v>
      </c>
      <c r="P351" s="9" t="n">
        <v>0</v>
      </c>
      <c r="Q351" s="9" t="n">
        <v>5.202907605389342</v>
      </c>
      <c r="R351" s="9" t="n">
        <v>44.41943312590856</v>
      </c>
      <c r="S351" s="9" t="n">
        <v>0</v>
      </c>
      <c r="T351" s="9" t="n">
        <v>100</v>
      </c>
      <c r="U351" s="9" t="n">
        <v>41.96971021605821</v>
      </c>
      <c r="V351" s="9" t="n">
        <v>186.1954794487165</v>
      </c>
      <c r="W351" s="9" t="n">
        <v>75.18000000000001</v>
      </c>
      <c r="X351" s="9" t="n">
        <v>0</v>
      </c>
      <c r="Y351" s="9" t="n">
        <v>11.49679196190081</v>
      </c>
      <c r="Z351" s="9" t="n">
        <v>121.3353707095779</v>
      </c>
      <c r="AA351" s="9" t="n">
        <v>0</v>
      </c>
      <c r="AB351" s="9" t="n">
        <v>167</v>
      </c>
      <c r="AC351" s="9" t="n">
        <v>37.75912083748713</v>
      </c>
      <c r="AD351" s="9" t="n">
        <v>299.2827555743407</v>
      </c>
      <c r="AE351" s="9" t="n">
        <v>75.18000000000001</v>
      </c>
      <c r="AF351" s="9" t="n">
        <v>0</v>
      </c>
      <c r="AG351" s="9" t="n">
        <v>17.12162742945077</v>
      </c>
      <c r="AH351" s="9" t="n">
        <v>120.4574919517468</v>
      </c>
      <c r="AI351" s="9" t="n">
        <v>0</v>
      </c>
      <c r="AJ351" s="9" t="n">
        <v>33</v>
      </c>
      <c r="AK351" s="9" t="n">
        <v>40.32110251073272</v>
      </c>
      <c r="AL351" s="9" t="n">
        <v>215.8876221813774</v>
      </c>
      <c r="AM351" s="9" t="n">
        <v>75.18000000000001</v>
      </c>
      <c r="AN351" s="9" t="n">
        <v>0</v>
      </c>
      <c r="AO351" s="9" t="n">
        <v>15.41905079898128</v>
      </c>
      <c r="AP351" s="9" t="n">
        <v>68.30216931237744</v>
      </c>
      <c r="AQ351" s="9" t="n">
        <v>0</v>
      </c>
      <c r="AR351" s="9" t="n">
        <v>0</v>
      </c>
      <c r="AS351" s="9" t="n">
        <v>37.61092393944811</v>
      </c>
      <c r="AT351" s="9" t="n">
        <v>145.1300528191981</v>
      </c>
      <c r="AU351" s="9" t="n">
        <v>75.18000000000001</v>
      </c>
      <c r="AV351" s="9" t="n">
        <v>0</v>
      </c>
      <c r="AW351" s="9" t="n">
        <v>2.601453802694675</v>
      </c>
      <c r="AX351" s="9" t="n">
        <v>6.539735413593367</v>
      </c>
      <c r="AY351" s="9" t="n">
        <v>0</v>
      </c>
    </row>
    <row r="352">
      <c r="A352" s="9" t="n">
        <v>358</v>
      </c>
      <c r="B352" s="9" t="inlineStr">
        <is>
          <t>КО207</t>
        </is>
      </c>
      <c r="C352" s="9" t="inlineStr"/>
      <c r="D352" s="9" t="inlineStr">
        <is>
          <t>ШОКОЛАД</t>
        </is>
      </c>
      <c r="E352" s="9" t="inlineStr">
        <is>
          <t>Федеральный</t>
        </is>
      </c>
      <c r="F352" s="9" t="n">
        <v>189.63</v>
      </c>
      <c r="G352" s="9" t="n">
        <v>0</v>
      </c>
      <c r="H352" s="9" t="n">
        <v>0</v>
      </c>
      <c r="I352" s="9" t="n">
        <v>0</v>
      </c>
      <c r="J352" s="9" t="n">
        <v>0</v>
      </c>
      <c r="K352" s="9" t="n">
        <v>0</v>
      </c>
      <c r="L352" s="9" t="n">
        <v>0</v>
      </c>
      <c r="M352" s="9" t="n">
        <v>0</v>
      </c>
      <c r="N352" s="9" t="n">
        <v>0</v>
      </c>
      <c r="O352" s="9" t="n">
        <v>0</v>
      </c>
      <c r="P352" s="9" t="n">
        <v>0</v>
      </c>
      <c r="Q352" s="9" t="n">
        <v>0</v>
      </c>
      <c r="R352" s="9" t="n">
        <v>0</v>
      </c>
      <c r="S352" s="9" t="n">
        <v>0</v>
      </c>
      <c r="T352" s="9" t="n">
        <v>0</v>
      </c>
      <c r="U352" s="9" t="n">
        <v>0</v>
      </c>
      <c r="V352" s="9" t="n">
        <v>0</v>
      </c>
      <c r="W352" s="9" t="n">
        <v>0</v>
      </c>
      <c r="X352" s="9" t="n">
        <v>0</v>
      </c>
      <c r="Y352" s="9" t="n">
        <v>0</v>
      </c>
      <c r="Z352" s="9" t="n">
        <v>0</v>
      </c>
      <c r="AA352" s="9" t="n">
        <v>0</v>
      </c>
      <c r="AB352" s="9" t="n">
        <v>0</v>
      </c>
      <c r="AC352" s="9" t="n">
        <v>0</v>
      </c>
      <c r="AD352" s="9" t="n">
        <v>0</v>
      </c>
      <c r="AE352" s="9" t="n">
        <v>0</v>
      </c>
      <c r="AF352" s="9" t="n">
        <v>0</v>
      </c>
      <c r="AG352" s="9" t="n">
        <v>0</v>
      </c>
      <c r="AH352" s="9" t="n">
        <v>0</v>
      </c>
      <c r="AI352" s="9" t="n">
        <v>0</v>
      </c>
      <c r="AJ352" s="9" t="n">
        <v>0</v>
      </c>
      <c r="AK352" s="9" t="n">
        <v>0</v>
      </c>
      <c r="AL352" s="9" t="n">
        <v>0</v>
      </c>
      <c r="AM352" s="9" t="n">
        <v>0</v>
      </c>
      <c r="AN352" s="9" t="n">
        <v>0</v>
      </c>
      <c r="AO352" s="9" t="n">
        <v>0</v>
      </c>
      <c r="AP352" s="9" t="n">
        <v>0</v>
      </c>
      <c r="AQ352" s="9" t="n">
        <v>0</v>
      </c>
      <c r="AR352" s="9" t="n">
        <v>0</v>
      </c>
      <c r="AS352" s="9" t="n">
        <v>0</v>
      </c>
      <c r="AT352" s="9" t="n">
        <v>0</v>
      </c>
      <c r="AU352" s="9" t="n">
        <v>0</v>
      </c>
      <c r="AV352" s="9" t="n">
        <v>0</v>
      </c>
      <c r="AW352" s="9" t="n">
        <v>0</v>
      </c>
      <c r="AX352" s="9" t="n">
        <v>0</v>
      </c>
      <c r="AY352" s="9" t="n">
        <v>0</v>
      </c>
    </row>
    <row r="353">
      <c r="A353" s="9" t="n">
        <v>359</v>
      </c>
      <c r="B353" s="9" t="inlineStr">
        <is>
          <t>КО210</t>
        </is>
      </c>
      <c r="C353" s="9" t="inlineStr"/>
      <c r="D353" s="9" t="inlineStr">
        <is>
          <t>ШОКОЛАД</t>
        </is>
      </c>
      <c r="E353" s="9" t="inlineStr">
        <is>
          <t>Федеральный</t>
        </is>
      </c>
      <c r="F353" s="9" t="n">
        <v>0</v>
      </c>
      <c r="G353" s="9" t="n">
        <v>0</v>
      </c>
      <c r="H353" s="9" t="n">
        <v>0</v>
      </c>
      <c r="I353" s="9" t="n">
        <v>0</v>
      </c>
      <c r="J353" s="9" t="n">
        <v>0</v>
      </c>
      <c r="K353" s="9" t="n">
        <v>0</v>
      </c>
      <c r="L353" s="9" t="n">
        <v>0</v>
      </c>
      <c r="M353" s="9" t="n">
        <v>0</v>
      </c>
      <c r="N353" s="9" t="n">
        <v>0</v>
      </c>
      <c r="O353" s="9" t="n">
        <v>0</v>
      </c>
      <c r="P353" s="9" t="n">
        <v>0</v>
      </c>
      <c r="Q353" s="9" t="n">
        <v>0</v>
      </c>
      <c r="R353" s="9" t="n">
        <v>0</v>
      </c>
      <c r="S353" s="9" t="n">
        <v>0</v>
      </c>
      <c r="T353" s="9" t="n">
        <v>0</v>
      </c>
      <c r="U353" s="9" t="n">
        <v>0</v>
      </c>
      <c r="V353" s="9" t="n">
        <v>0</v>
      </c>
      <c r="W353" s="9" t="n">
        <v>0</v>
      </c>
      <c r="X353" s="9" t="n">
        <v>0</v>
      </c>
      <c r="Y353" s="9" t="n">
        <v>0</v>
      </c>
      <c r="Z353" s="9" t="n">
        <v>0</v>
      </c>
      <c r="AA353" s="9" t="n">
        <v>0</v>
      </c>
      <c r="AB353" s="9" t="n">
        <v>0</v>
      </c>
      <c r="AC353" s="9" t="n">
        <v>0</v>
      </c>
      <c r="AD353" s="9" t="n">
        <v>0</v>
      </c>
      <c r="AE353" s="9" t="n">
        <v>0</v>
      </c>
      <c r="AF353" s="9" t="n">
        <v>0</v>
      </c>
      <c r="AG353" s="9" t="n">
        <v>0</v>
      </c>
      <c r="AH353" s="9" t="n">
        <v>0</v>
      </c>
      <c r="AI353" s="9" t="n">
        <v>0</v>
      </c>
      <c r="AJ353" s="9" t="n">
        <v>0</v>
      </c>
      <c r="AK353" s="9" t="n">
        <v>0</v>
      </c>
      <c r="AL353" s="9" t="n">
        <v>0</v>
      </c>
      <c r="AM353" s="9" t="n">
        <v>0</v>
      </c>
      <c r="AN353" s="9" t="n">
        <v>0</v>
      </c>
      <c r="AO353" s="9" t="n">
        <v>0</v>
      </c>
      <c r="AP353" s="9" t="n">
        <v>0</v>
      </c>
      <c r="AQ353" s="9" t="n">
        <v>0</v>
      </c>
      <c r="AR353" s="9" t="n">
        <v>0</v>
      </c>
      <c r="AS353" s="9" t="n">
        <v>0</v>
      </c>
      <c r="AT353" s="9" t="n">
        <v>0</v>
      </c>
      <c r="AU353" s="9" t="n">
        <v>0</v>
      </c>
      <c r="AV353" s="9" t="n">
        <v>0</v>
      </c>
      <c r="AW353" s="9" t="n">
        <v>0</v>
      </c>
      <c r="AX353" s="9" t="n">
        <v>0</v>
      </c>
      <c r="AY353" s="9" t="n">
        <v>0</v>
      </c>
    </row>
    <row r="354">
      <c r="A354" s="9" t="n">
        <v>360</v>
      </c>
      <c r="B354" s="9" t="inlineStr">
        <is>
          <t>КО160</t>
        </is>
      </c>
      <c r="C354" s="9" t="inlineStr"/>
      <c r="D354" s="9" t="inlineStr">
        <is>
          <t>ШОКОЛАД</t>
        </is>
      </c>
      <c r="E354" s="9" t="inlineStr">
        <is>
          <t>Федеральный</t>
        </is>
      </c>
      <c r="F354" s="9" t="n">
        <v>79124.91800000003</v>
      </c>
      <c r="G354" s="9" t="n">
        <v>0</v>
      </c>
      <c r="H354" s="9" t="n">
        <v>39099.12</v>
      </c>
      <c r="I354" s="9" t="n">
        <v>22654.74</v>
      </c>
      <c r="J354" s="9" t="n">
        <v>20167.74</v>
      </c>
      <c r="K354" s="9" t="n">
        <v>0</v>
      </c>
      <c r="L354" s="9" t="n">
        <v>2655</v>
      </c>
      <c r="M354" s="9" t="n">
        <v>583.4294608749176</v>
      </c>
      <c r="N354" s="9" t="n">
        <v>4787.534961332506</v>
      </c>
      <c r="O354" s="9" t="n">
        <v>177.456</v>
      </c>
      <c r="P354" s="9" t="n">
        <v>0</v>
      </c>
      <c r="Q354" s="9" t="n">
        <v>73.15933644466836</v>
      </c>
      <c r="R354" s="9" t="n">
        <v>37.25250341763107</v>
      </c>
      <c r="S354" s="9" t="n">
        <v>0.06246657689233354</v>
      </c>
      <c r="T354" s="9" t="n">
        <v>3883</v>
      </c>
      <c r="U354" s="9" t="n">
        <v>1478.377282173821</v>
      </c>
      <c r="V354" s="9" t="n">
        <v>12834.6473265921</v>
      </c>
      <c r="W354" s="9" t="n">
        <v>204.456</v>
      </c>
      <c r="X354" s="9" t="n">
        <v>0</v>
      </c>
      <c r="Y354" s="9" t="n">
        <v>161.6591596406254</v>
      </c>
      <c r="Z354" s="9" t="n">
        <v>114.1039854863458</v>
      </c>
      <c r="AA354" s="9" t="n">
        <v>0.1249331537846672</v>
      </c>
      <c r="AB354" s="9" t="n">
        <v>1924</v>
      </c>
      <c r="AC354" s="9" t="n">
        <v>1330.059849201407</v>
      </c>
      <c r="AD354" s="9" t="n">
        <v>16514.31166089598</v>
      </c>
      <c r="AE354" s="9" t="n">
        <v>250.056</v>
      </c>
      <c r="AF354" s="9" t="n">
        <v>0</v>
      </c>
      <c r="AG354" s="9" t="n">
        <v>240.7513253346955</v>
      </c>
      <c r="AH354" s="9" t="n">
        <v>110.6869302662128</v>
      </c>
      <c r="AI354" s="9" t="n">
        <v>0.1998930460554677</v>
      </c>
      <c r="AJ354" s="9" t="n">
        <v>2728</v>
      </c>
      <c r="AK354" s="9" t="n">
        <v>1420.305302019014</v>
      </c>
      <c r="AL354" s="9" t="n">
        <v>16535.24807026955</v>
      </c>
      <c r="AM354" s="9" t="n">
        <v>198.756</v>
      </c>
      <c r="AN354" s="9" t="n">
        <v>0</v>
      </c>
      <c r="AO354" s="9" t="n">
        <v>216.8109854366115</v>
      </c>
      <c r="AP354" s="9" t="n">
        <v>79.73152653771277</v>
      </c>
      <c r="AQ354" s="9" t="n">
        <v>0.2774590461046205</v>
      </c>
      <c r="AR354" s="9" t="n">
        <v>4098.5</v>
      </c>
      <c r="AS354" s="9" t="n">
        <v>1324.839633807456</v>
      </c>
      <c r="AT354" s="9" t="n">
        <v>16657.97812491911</v>
      </c>
      <c r="AU354" s="9" t="n">
        <v>164.556</v>
      </c>
      <c r="AV354" s="9" t="n">
        <v>0</v>
      </c>
      <c r="AW354" s="9" t="n">
        <v>36.57966822233424</v>
      </c>
      <c r="AX354" s="9" t="n">
        <v>23.85679136909162</v>
      </c>
      <c r="AY354" s="9" t="n">
        <v>0.1249331537846673</v>
      </c>
    </row>
    <row r="355">
      <c r="A355" s="9" t="n">
        <v>361</v>
      </c>
      <c r="B355" s="9" t="inlineStr">
        <is>
          <t>КО119</t>
        </is>
      </c>
      <c r="C355" s="9" t="inlineStr"/>
      <c r="D355" s="9" t="inlineStr">
        <is>
          <t>ШОКОЛАД</t>
        </is>
      </c>
      <c r="E355" s="9" t="inlineStr">
        <is>
          <t>Федеральный</t>
        </is>
      </c>
      <c r="F355" s="9" t="n">
        <v>0</v>
      </c>
      <c r="G355" s="9" t="n">
        <v>0</v>
      </c>
      <c r="H355" s="9" t="n">
        <v>97.545</v>
      </c>
      <c r="I355" s="9" t="n">
        <v>44.98</v>
      </c>
      <c r="J355" s="9" t="n">
        <v>0</v>
      </c>
      <c r="K355" s="9" t="n">
        <v>0</v>
      </c>
      <c r="L355" s="9" t="n">
        <v>0</v>
      </c>
      <c r="M355" s="9" t="n">
        <v>0</v>
      </c>
      <c r="N355" s="9" t="n">
        <v>0</v>
      </c>
      <c r="O355" s="9" t="n">
        <v>0</v>
      </c>
      <c r="P355" s="9" t="n">
        <v>0</v>
      </c>
      <c r="Q355" s="9" t="n">
        <v>11.75602508226538</v>
      </c>
      <c r="R355" s="9" t="n">
        <v>0</v>
      </c>
      <c r="S355" s="9" t="n">
        <v>0</v>
      </c>
      <c r="T355" s="9" t="n">
        <v>0</v>
      </c>
      <c r="U355" s="9" t="n">
        <v>0</v>
      </c>
      <c r="V355" s="9" t="n">
        <v>0</v>
      </c>
      <c r="W355" s="9" t="n">
        <v>0</v>
      </c>
      <c r="X355" s="9" t="n">
        <v>0</v>
      </c>
      <c r="Y355" s="9" t="n">
        <v>25.97712373936706</v>
      </c>
      <c r="Z355" s="9" t="n">
        <v>0</v>
      </c>
      <c r="AA355" s="9" t="n">
        <v>0</v>
      </c>
      <c r="AB355" s="9" t="n">
        <v>0</v>
      </c>
      <c r="AC355" s="9" t="n">
        <v>0</v>
      </c>
      <c r="AD355" s="9" t="n">
        <v>0</v>
      </c>
      <c r="AE355" s="9" t="n">
        <v>0</v>
      </c>
      <c r="AF355" s="9" t="n">
        <v>0</v>
      </c>
      <c r="AG355" s="9" t="n">
        <v>38.68649931460082</v>
      </c>
      <c r="AH355" s="9" t="n">
        <v>0</v>
      </c>
      <c r="AI355" s="9" t="n">
        <v>0</v>
      </c>
      <c r="AJ355" s="9" t="n">
        <v>0</v>
      </c>
      <c r="AK355" s="9" t="n">
        <v>0</v>
      </c>
      <c r="AL355" s="9" t="n">
        <v>0</v>
      </c>
      <c r="AM355" s="9" t="n">
        <v>0</v>
      </c>
      <c r="AN355" s="9" t="n">
        <v>0</v>
      </c>
      <c r="AO355" s="9" t="n">
        <v>34.83950930625521</v>
      </c>
      <c r="AP355" s="9" t="n">
        <v>0</v>
      </c>
      <c r="AQ355" s="9" t="n">
        <v>0</v>
      </c>
      <c r="AR355" s="9" t="n">
        <v>0</v>
      </c>
      <c r="AS355" s="9" t="n">
        <v>0</v>
      </c>
      <c r="AT355" s="9" t="n">
        <v>0</v>
      </c>
      <c r="AU355" s="9" t="n">
        <v>0</v>
      </c>
      <c r="AV355" s="9" t="n">
        <v>0</v>
      </c>
      <c r="AW355" s="9" t="n">
        <v>5.878012541132701</v>
      </c>
      <c r="AX355" s="9" t="n">
        <v>0</v>
      </c>
      <c r="AY355" s="9" t="n">
        <v>0</v>
      </c>
    </row>
    <row r="356">
      <c r="A356" s="9" t="n">
        <v>362</v>
      </c>
      <c r="B356" s="9" t="inlineStr">
        <is>
          <t>КО160</t>
        </is>
      </c>
      <c r="C356" s="9" t="inlineStr"/>
      <c r="D356" s="9" t="inlineStr">
        <is>
          <t>ШОКОЛАД</t>
        </is>
      </c>
      <c r="E356" s="9" t="inlineStr">
        <is>
          <t>Федеральный</t>
        </is>
      </c>
      <c r="F356" s="9" t="n">
        <v>409.6</v>
      </c>
      <c r="G356" s="9" t="n">
        <v>0</v>
      </c>
      <c r="H356" s="9" t="n">
        <v>0</v>
      </c>
      <c r="I356" s="9" t="n">
        <v>0</v>
      </c>
      <c r="J356" s="9" t="n">
        <v>0</v>
      </c>
      <c r="K356" s="9" t="n">
        <v>0</v>
      </c>
      <c r="L356" s="9" t="n">
        <v>0</v>
      </c>
      <c r="M356" s="9" t="n">
        <v>0</v>
      </c>
      <c r="N356" s="9" t="n">
        <v>0</v>
      </c>
      <c r="O356" s="9" t="n">
        <v>0</v>
      </c>
      <c r="P356" s="9" t="n">
        <v>0</v>
      </c>
      <c r="Q356" s="9" t="n">
        <v>0</v>
      </c>
      <c r="R356" s="9" t="n">
        <v>0</v>
      </c>
      <c r="S356" s="9" t="n">
        <v>0</v>
      </c>
      <c r="T356" s="9" t="n">
        <v>0</v>
      </c>
      <c r="U356" s="9" t="n">
        <v>0</v>
      </c>
      <c r="V356" s="9" t="n">
        <v>0</v>
      </c>
      <c r="W356" s="9" t="n">
        <v>0</v>
      </c>
      <c r="X356" s="9" t="n">
        <v>0</v>
      </c>
      <c r="Y356" s="9" t="n">
        <v>0</v>
      </c>
      <c r="Z356" s="9" t="n">
        <v>0</v>
      </c>
      <c r="AA356" s="9" t="n">
        <v>0</v>
      </c>
      <c r="AB356" s="9" t="n">
        <v>0</v>
      </c>
      <c r="AC356" s="9" t="n">
        <v>0</v>
      </c>
      <c r="AD356" s="9" t="n">
        <v>0</v>
      </c>
      <c r="AE356" s="9" t="n">
        <v>0</v>
      </c>
      <c r="AF356" s="9" t="n">
        <v>0</v>
      </c>
      <c r="AG356" s="9" t="n">
        <v>0</v>
      </c>
      <c r="AH356" s="9" t="n">
        <v>0</v>
      </c>
      <c r="AI356" s="9" t="n">
        <v>0</v>
      </c>
      <c r="AJ356" s="9" t="n">
        <v>0</v>
      </c>
      <c r="AK356" s="9" t="n">
        <v>0</v>
      </c>
      <c r="AL356" s="9" t="n">
        <v>0</v>
      </c>
      <c r="AM356" s="9" t="n">
        <v>0</v>
      </c>
      <c r="AN356" s="9" t="n">
        <v>0</v>
      </c>
      <c r="AO356" s="9" t="n">
        <v>0</v>
      </c>
      <c r="AP356" s="9" t="n">
        <v>0</v>
      </c>
      <c r="AQ356" s="9" t="n">
        <v>0</v>
      </c>
      <c r="AR356" s="9" t="n">
        <v>0</v>
      </c>
      <c r="AS356" s="9" t="n">
        <v>0</v>
      </c>
      <c r="AT356" s="9" t="n">
        <v>0</v>
      </c>
      <c r="AU356" s="9" t="n">
        <v>0</v>
      </c>
      <c r="AV356" s="9" t="n">
        <v>0</v>
      </c>
      <c r="AW356" s="9" t="n">
        <v>0</v>
      </c>
      <c r="AX356" s="9" t="n">
        <v>0</v>
      </c>
      <c r="AY356" s="9" t="n">
        <v>0</v>
      </c>
    </row>
    <row r="357">
      <c r="A357" s="9" t="n">
        <v>363</v>
      </c>
      <c r="B357" s="9" t="inlineStr">
        <is>
          <t>КО091</t>
        </is>
      </c>
      <c r="C357" s="9" t="inlineStr"/>
      <c r="D357" s="9" t="inlineStr">
        <is>
          <t>ШОКОЛАД</t>
        </is>
      </c>
      <c r="E357" s="9" t="inlineStr">
        <is>
          <t>Федеральный</t>
        </is>
      </c>
      <c r="F357" s="9" t="n">
        <v>258371.40036</v>
      </c>
      <c r="G357" s="9" t="n">
        <v>75655</v>
      </c>
      <c r="H357" s="9" t="n">
        <v>142728.36</v>
      </c>
      <c r="I357" s="9" t="n">
        <v>150666.68</v>
      </c>
      <c r="J357" s="9" t="n">
        <v>150668</v>
      </c>
      <c r="K357" s="9" t="n">
        <v>0</v>
      </c>
      <c r="L357" s="9" t="n">
        <v>105472</v>
      </c>
      <c r="M357" s="9" t="n">
        <v>905.4983844586861</v>
      </c>
      <c r="N357" s="9" t="n">
        <v>22799.75037657067</v>
      </c>
      <c r="O357" s="9" t="n">
        <v>412.52</v>
      </c>
      <c r="P357" s="9" t="n">
        <v>0</v>
      </c>
      <c r="Q357" s="9" t="n">
        <v>19.02064146307953</v>
      </c>
      <c r="R357" s="9" t="n">
        <v>54.13970283233228</v>
      </c>
      <c r="S357" s="9" t="n">
        <v>0.0892758660273039</v>
      </c>
      <c r="T357" s="9" t="n">
        <v>74600</v>
      </c>
      <c r="U357" s="9" t="n">
        <v>2294.481733269581</v>
      </c>
      <c r="V357" s="9" t="n">
        <v>50045.05300348066</v>
      </c>
      <c r="W357" s="9" t="n">
        <v>417.02</v>
      </c>
      <c r="X357" s="9" t="n">
        <v>0</v>
      </c>
      <c r="Y357" s="9" t="n">
        <v>42.02964466568997</v>
      </c>
      <c r="Z357" s="9" t="n">
        <v>248.2934142367852</v>
      </c>
      <c r="AA357" s="9" t="n">
        <v>0.178551732054608</v>
      </c>
      <c r="AB357" s="9" t="n">
        <v>56921</v>
      </c>
      <c r="AC357" s="9" t="n">
        <v>2117.402913748395</v>
      </c>
      <c r="AD357" s="9" t="n">
        <v>64232.33749891311</v>
      </c>
      <c r="AE357" s="9" t="n">
        <v>424.62</v>
      </c>
      <c r="AF357" s="9" t="n">
        <v>0</v>
      </c>
      <c r="AG357" s="9" t="n">
        <v>62.59275799221906</v>
      </c>
      <c r="AH357" s="9" t="n">
        <v>152.3964649228508</v>
      </c>
      <c r="AI357" s="9" t="n">
        <v>0.2856827712873731</v>
      </c>
      <c r="AJ357" s="9" t="n">
        <v>78338</v>
      </c>
      <c r="AK357" s="9" t="n">
        <v>2255.260924701501</v>
      </c>
      <c r="AL357" s="9" t="n">
        <v>64437.15026294838</v>
      </c>
      <c r="AM357" s="9" t="n">
        <v>416.07</v>
      </c>
      <c r="AN357" s="9" t="n">
        <v>0</v>
      </c>
      <c r="AO357" s="9" t="n">
        <v>56.36852683000629</v>
      </c>
      <c r="AP357" s="9" t="n">
        <v>91.40957818832332</v>
      </c>
      <c r="AQ357" s="9" t="n">
        <v>0.3965384027812748</v>
      </c>
      <c r="AR357" s="9" t="n">
        <v>68596.25</v>
      </c>
      <c r="AS357" s="9" t="n">
        <v>2103.673804057799</v>
      </c>
      <c r="AT357" s="9" t="n">
        <v>57457.75828406576</v>
      </c>
      <c r="AU357" s="9" t="n">
        <v>410.37</v>
      </c>
      <c r="AV357" s="9" t="n">
        <v>0</v>
      </c>
      <c r="AW357" s="9" t="n">
        <v>9.510320731539784</v>
      </c>
      <c r="AX357" s="9" t="n">
        <v>23.09009451550203</v>
      </c>
      <c r="AY357" s="9" t="n">
        <v>0.1785517320546082</v>
      </c>
    </row>
    <row r="358">
      <c r="A358" s="9" t="n">
        <v>364</v>
      </c>
      <c r="B358" s="9" t="inlineStr">
        <is>
          <t>КО138</t>
        </is>
      </c>
      <c r="C358" s="9" t="inlineStr"/>
      <c r="D358" s="9" t="inlineStr">
        <is>
          <t>ШОКОЛАД</t>
        </is>
      </c>
      <c r="E358" s="9" t="inlineStr">
        <is>
          <t>Федеральный</t>
        </is>
      </c>
      <c r="F358" s="9" t="n">
        <v>0</v>
      </c>
      <c r="G358" s="9" t="n">
        <v>0</v>
      </c>
      <c r="H358" s="9" t="n">
        <v>0</v>
      </c>
      <c r="I358" s="9" t="n">
        <v>0</v>
      </c>
      <c r="J358" s="9" t="n">
        <v>0</v>
      </c>
      <c r="K358" s="9" t="n">
        <v>0</v>
      </c>
      <c r="L358" s="9" t="n">
        <v>0</v>
      </c>
      <c r="M358" s="9" t="n">
        <v>0</v>
      </c>
      <c r="N358" s="9" t="n">
        <v>0</v>
      </c>
      <c r="O358" s="9" t="n">
        <v>0</v>
      </c>
      <c r="P358" s="9" t="n">
        <v>0</v>
      </c>
      <c r="Q358" s="9" t="n">
        <v>0</v>
      </c>
      <c r="R358" s="9" t="n">
        <v>0</v>
      </c>
      <c r="S358" s="9" t="n">
        <v>0</v>
      </c>
      <c r="T358" s="9" t="n">
        <v>0</v>
      </c>
      <c r="U358" s="9" t="n">
        <v>0</v>
      </c>
      <c r="V358" s="9" t="n">
        <v>0</v>
      </c>
      <c r="W358" s="9" t="n">
        <v>0</v>
      </c>
      <c r="X358" s="9" t="n">
        <v>0</v>
      </c>
      <c r="Y358" s="9" t="n">
        <v>0</v>
      </c>
      <c r="Z358" s="9" t="n">
        <v>0</v>
      </c>
      <c r="AA358" s="9" t="n">
        <v>0</v>
      </c>
      <c r="AB358" s="9" t="n">
        <v>0</v>
      </c>
      <c r="AC358" s="9" t="n">
        <v>0</v>
      </c>
      <c r="AD358" s="9" t="n">
        <v>0</v>
      </c>
      <c r="AE358" s="9" t="n">
        <v>0</v>
      </c>
      <c r="AF358" s="9" t="n">
        <v>0</v>
      </c>
      <c r="AG358" s="9" t="n">
        <v>0</v>
      </c>
      <c r="AH358" s="9" t="n">
        <v>0</v>
      </c>
      <c r="AI358" s="9" t="n">
        <v>0</v>
      </c>
      <c r="AJ358" s="9" t="n">
        <v>0</v>
      </c>
      <c r="AK358" s="9" t="n">
        <v>0</v>
      </c>
      <c r="AL358" s="9" t="n">
        <v>0</v>
      </c>
      <c r="AM358" s="9" t="n">
        <v>0</v>
      </c>
      <c r="AN358" s="9" t="n">
        <v>0</v>
      </c>
      <c r="AO358" s="9" t="n">
        <v>0</v>
      </c>
      <c r="AP358" s="9" t="n">
        <v>0</v>
      </c>
      <c r="AQ358" s="9" t="n">
        <v>0</v>
      </c>
      <c r="AR358" s="9" t="n">
        <v>0</v>
      </c>
      <c r="AS358" s="9" t="n">
        <v>0</v>
      </c>
      <c r="AT358" s="9" t="n">
        <v>0</v>
      </c>
      <c r="AU358" s="9" t="n">
        <v>0</v>
      </c>
      <c r="AV358" s="9" t="n">
        <v>0</v>
      </c>
      <c r="AW358" s="9" t="n">
        <v>0</v>
      </c>
      <c r="AX358" s="9" t="n">
        <v>0</v>
      </c>
      <c r="AY358" s="9" t="n">
        <v>0</v>
      </c>
    </row>
    <row r="359">
      <c r="A359" s="9" t="n">
        <v>365</v>
      </c>
      <c r="B359" s="9" t="inlineStr">
        <is>
          <t>КО204</t>
        </is>
      </c>
      <c r="C359" s="9" t="inlineStr"/>
      <c r="D359" s="9" t="inlineStr">
        <is>
          <t>ШОКОЛАД</t>
        </is>
      </c>
      <c r="E359" s="9" t="inlineStr">
        <is>
          <t>Федеральный</t>
        </is>
      </c>
      <c r="F359" s="9" t="n">
        <v>2369.79</v>
      </c>
      <c r="G359" s="9" t="n">
        <v>0</v>
      </c>
      <c r="H359" s="9" t="n">
        <v>2469.805</v>
      </c>
      <c r="I359" s="9" t="n">
        <v>2342.99</v>
      </c>
      <c r="J359" s="9" t="n">
        <v>1317.17</v>
      </c>
      <c r="K359" s="9" t="n">
        <v>1109.73</v>
      </c>
      <c r="L359" s="9" t="n">
        <v>0</v>
      </c>
      <c r="M359" s="9" t="n">
        <v>42.96126397320399</v>
      </c>
      <c r="N359" s="9" t="n">
        <v>406.3005781353272</v>
      </c>
      <c r="O359" s="9" t="n">
        <v>19.656</v>
      </c>
      <c r="P359" s="9" t="n">
        <v>0</v>
      </c>
      <c r="Q359" s="9" t="n">
        <v>5.053709870164205</v>
      </c>
      <c r="R359" s="9" t="n">
        <v>15.8378509614818</v>
      </c>
      <c r="S359" s="9" t="n">
        <v>0</v>
      </c>
      <c r="T359" s="9" t="n">
        <v>0</v>
      </c>
      <c r="U359" s="9" t="n">
        <v>108.8614150135865</v>
      </c>
      <c r="V359" s="9" t="n">
        <v>908.1018562701547</v>
      </c>
      <c r="W359" s="9" t="n">
        <v>19.656</v>
      </c>
      <c r="X359" s="9" t="n">
        <v>0</v>
      </c>
      <c r="Y359" s="9" t="n">
        <v>11.16711181895662</v>
      </c>
      <c r="Z359" s="9" t="n">
        <v>45.33087616873747</v>
      </c>
      <c r="AA359" s="9" t="n">
        <v>0</v>
      </c>
      <c r="AB359" s="9" t="n">
        <v>0</v>
      </c>
      <c r="AC359" s="9" t="n">
        <v>97.93995009441612</v>
      </c>
      <c r="AD359" s="9" t="n">
        <v>1284.81064257542</v>
      </c>
      <c r="AE359" s="9" t="n">
        <v>19.656</v>
      </c>
      <c r="AF359" s="9" t="n">
        <v>0</v>
      </c>
      <c r="AG359" s="9" t="n">
        <v>16.63065041629055</v>
      </c>
      <c r="AH359" s="9" t="n">
        <v>45.82318025745915</v>
      </c>
      <c r="AI359" s="9" t="n">
        <v>0</v>
      </c>
      <c r="AJ359" s="9" t="n">
        <v>0</v>
      </c>
      <c r="AK359" s="9" t="n">
        <v>104.585241395038</v>
      </c>
      <c r="AL359" s="9" t="n">
        <v>1294.126834700587</v>
      </c>
      <c r="AM359" s="9" t="n">
        <v>19.656</v>
      </c>
      <c r="AN359" s="9" t="n">
        <v>0</v>
      </c>
      <c r="AO359" s="9" t="n">
        <v>14.97689659732941</v>
      </c>
      <c r="AP359" s="9" t="n">
        <v>29.40783392213327</v>
      </c>
      <c r="AQ359" s="9" t="n">
        <v>0</v>
      </c>
      <c r="AR359" s="9" t="n">
        <v>0</v>
      </c>
      <c r="AS359" s="9" t="n">
        <v>97.5555556361723</v>
      </c>
      <c r="AT359" s="9" t="n">
        <v>1319.154147737766</v>
      </c>
      <c r="AU359" s="9" t="n">
        <v>19.656</v>
      </c>
      <c r="AV359" s="9" t="n">
        <v>0</v>
      </c>
      <c r="AW359" s="9" t="n">
        <v>2.526854935082107</v>
      </c>
      <c r="AX359" s="9" t="n">
        <v>6.658604922887156</v>
      </c>
      <c r="AY359" s="9" t="n">
        <v>0</v>
      </c>
    </row>
    <row r="360">
      <c r="A360" s="9" t="n">
        <v>366</v>
      </c>
      <c r="B360" s="9" t="inlineStr">
        <is>
          <t>КО078</t>
        </is>
      </c>
      <c r="C360" s="9" t="inlineStr"/>
      <c r="D360" s="9" t="inlineStr">
        <is>
          <t>ШОКОЛАД</t>
        </is>
      </c>
      <c r="E360" s="9" t="inlineStr">
        <is>
          <t>Федеральный</t>
        </is>
      </c>
      <c r="F360" s="9" t="n">
        <v>15139.5</v>
      </c>
      <c r="G360" s="9" t="n">
        <v>0</v>
      </c>
      <c r="H360" s="9" t="n">
        <v>2472</v>
      </c>
      <c r="I360" s="9" t="n">
        <v>0</v>
      </c>
      <c r="J360" s="9" t="n">
        <v>0</v>
      </c>
      <c r="K360" s="9" t="n">
        <v>0</v>
      </c>
      <c r="L360" s="9" t="n">
        <v>632</v>
      </c>
      <c r="M360" s="9" t="n">
        <v>12.07057193422653</v>
      </c>
      <c r="N360" s="9" t="n">
        <v>3945.43893012814</v>
      </c>
      <c r="O360" s="9" t="n">
        <v>73.92</v>
      </c>
      <c r="P360" s="9" t="n">
        <v>0</v>
      </c>
      <c r="Q360" s="9" t="n">
        <v>6.999471394190092</v>
      </c>
      <c r="R360" s="9" t="n">
        <v>25.91540095003786</v>
      </c>
      <c r="S360" s="9" t="n">
        <v>0</v>
      </c>
      <c r="T360" s="9" t="n">
        <v>272</v>
      </c>
      <c r="U360" s="9" t="n">
        <v>30.58614713018616</v>
      </c>
      <c r="V360" s="9" t="n">
        <v>1898.571732274615</v>
      </c>
      <c r="W360" s="9" t="n">
        <v>82.92</v>
      </c>
      <c r="X360" s="9" t="n">
        <v>0</v>
      </c>
      <c r="Y360" s="9" t="n">
        <v>15.46663376818844</v>
      </c>
      <c r="Z360" s="9" t="n">
        <v>72.12446597183666</v>
      </c>
      <c r="AA360" s="9" t="n">
        <v>0</v>
      </c>
      <c r="AB360" s="9" t="n">
        <v>217</v>
      </c>
      <c r="AC360" s="9" t="n">
        <v>27.51760780564017</v>
      </c>
      <c r="AD360" s="9" t="n">
        <v>2015.029639909329</v>
      </c>
      <c r="AE360" s="9" t="n">
        <v>98.12</v>
      </c>
      <c r="AF360" s="9" t="n">
        <v>0</v>
      </c>
      <c r="AG360" s="9" t="n">
        <v>23.03372469852904</v>
      </c>
      <c r="AH360" s="9" t="n">
        <v>70.03657287109023</v>
      </c>
      <c r="AI360" s="9" t="n">
        <v>0</v>
      </c>
      <c r="AJ360" s="9" t="n">
        <v>183.6</v>
      </c>
      <c r="AK360" s="9" t="n">
        <v>48.46739175404224</v>
      </c>
      <c r="AL360" s="9" t="n">
        <v>1581.605235452152</v>
      </c>
      <c r="AM360" s="9" t="n">
        <v>81.02000000000001</v>
      </c>
      <c r="AN360" s="9" t="n">
        <v>0</v>
      </c>
      <c r="AO360" s="9" t="n">
        <v>20.74324842540753</v>
      </c>
      <c r="AP360" s="9" t="n">
        <v>39.65561164695612</v>
      </c>
      <c r="AQ360" s="9" t="n">
        <v>0</v>
      </c>
      <c r="AR360" s="9" t="n">
        <v>0</v>
      </c>
      <c r="AS360" s="9" t="n">
        <v>45.20966122688472</v>
      </c>
      <c r="AT360" s="9" t="n">
        <v>1435.549226961316</v>
      </c>
      <c r="AU360" s="9" t="n">
        <v>69.62</v>
      </c>
      <c r="AV360" s="9" t="n">
        <v>0</v>
      </c>
      <c r="AW360" s="9" t="n">
        <v>3.499735697095052</v>
      </c>
      <c r="AX360" s="9" t="n">
        <v>5.402245221280494</v>
      </c>
      <c r="AY360" s="9" t="n">
        <v>0</v>
      </c>
    </row>
    <row r="361">
      <c r="A361" s="9" t="n">
        <v>367</v>
      </c>
      <c r="B361" s="9" t="inlineStr">
        <is>
          <t>КО078</t>
        </is>
      </c>
      <c r="C361" s="9" t="inlineStr"/>
      <c r="D361" s="9" t="inlineStr">
        <is>
          <t>ШОКОЛАД</t>
        </is>
      </c>
      <c r="E361" s="9" t="inlineStr">
        <is>
          <t>Федеральный</t>
        </is>
      </c>
      <c r="F361" s="9" t="n">
        <v>4002.10204</v>
      </c>
      <c r="G361" s="9" t="n">
        <v>0</v>
      </c>
      <c r="H361" s="9" t="n">
        <v>6856</v>
      </c>
      <c r="I361" s="9" t="n">
        <v>0</v>
      </c>
      <c r="J361" s="9" t="n">
        <v>0</v>
      </c>
      <c r="K361" s="9" t="n">
        <v>0</v>
      </c>
      <c r="L361" s="9" t="n">
        <v>0</v>
      </c>
      <c r="M361" s="9" t="n">
        <v>0.7335178845297078</v>
      </c>
      <c r="N361" s="9" t="n">
        <v>422.4693560436689</v>
      </c>
      <c r="O361" s="9" t="n">
        <v>15.88</v>
      </c>
      <c r="P361" s="9" t="n">
        <v>0</v>
      </c>
      <c r="Q361" s="9" t="n">
        <v>2.681464601495612</v>
      </c>
      <c r="R361" s="9" t="n">
        <v>11.48050111269395</v>
      </c>
      <c r="S361" s="9" t="n">
        <v>0</v>
      </c>
      <c r="T361" s="9" t="n">
        <v>0</v>
      </c>
      <c r="U361" s="9" t="n">
        <v>1.032011849519646</v>
      </c>
      <c r="V361" s="9" t="n">
        <v>1149.137591667885</v>
      </c>
      <c r="W361" s="9" t="n">
        <v>20.38</v>
      </c>
      <c r="X361" s="9" t="n">
        <v>0</v>
      </c>
      <c r="Y361" s="9" t="n">
        <v>5.925194720864042</v>
      </c>
      <c r="Z361" s="9" t="n">
        <v>31.70357280152942</v>
      </c>
      <c r="AA361" s="9" t="n">
        <v>0</v>
      </c>
      <c r="AB361" s="9" t="n">
        <v>0</v>
      </c>
      <c r="AC361" s="9" t="n">
        <v>1.489196860315231</v>
      </c>
      <c r="AD361" s="9" t="n">
        <v>1346.043785489841</v>
      </c>
      <c r="AE361" s="9" t="n">
        <v>27.98</v>
      </c>
      <c r="AF361" s="9" t="n">
        <v>0</v>
      </c>
      <c r="AG361" s="9" t="n">
        <v>8.824111699487492</v>
      </c>
      <c r="AH361" s="9" t="n">
        <v>30.13375984188789</v>
      </c>
      <c r="AI361" s="9" t="n">
        <v>0</v>
      </c>
      <c r="AJ361" s="9" t="n">
        <v>0</v>
      </c>
      <c r="AK361" s="9" t="n">
        <v>1.834863090473265</v>
      </c>
      <c r="AL361" s="9" t="n">
        <v>1356.059573149354</v>
      </c>
      <c r="AM361" s="9" t="n">
        <v>19.43</v>
      </c>
      <c r="AN361" s="9" t="n">
        <v>0</v>
      </c>
      <c r="AO361" s="9" t="n">
        <v>7.946641001908964</v>
      </c>
      <c r="AP361" s="9" t="n">
        <v>16.30931668668767</v>
      </c>
      <c r="AQ361" s="9" t="n">
        <v>0</v>
      </c>
      <c r="AR361" s="9" t="n">
        <v>0</v>
      </c>
      <c r="AS361" s="9" t="n">
        <v>0.3667589422648542</v>
      </c>
      <c r="AT361" s="9" t="n">
        <v>1408.322262933356</v>
      </c>
      <c r="AU361" s="9" t="n">
        <v>13.73</v>
      </c>
      <c r="AV361" s="9" t="n">
        <v>0</v>
      </c>
      <c r="AW361" s="9" t="n">
        <v>1.340732300747808</v>
      </c>
      <c r="AX361" s="9" t="n">
        <v>1.498628572715656</v>
      </c>
      <c r="AY361" s="9" t="n">
        <v>0</v>
      </c>
    </row>
    <row r="362">
      <c r="A362" s="9" t="n">
        <v>368</v>
      </c>
      <c r="B362" s="9" t="inlineStr">
        <is>
          <t>КО078</t>
        </is>
      </c>
      <c r="C362" s="9" t="inlineStr"/>
      <c r="D362" s="9" t="inlineStr">
        <is>
          <t>ШОКОЛАД</t>
        </is>
      </c>
      <c r="E362" s="9" t="inlineStr">
        <is>
          <t>Федеральный</t>
        </is>
      </c>
      <c r="F362" s="9" t="n">
        <v>14010.30476</v>
      </c>
      <c r="G362" s="9" t="n">
        <v>0</v>
      </c>
      <c r="H362" s="9" t="n">
        <v>6649</v>
      </c>
      <c r="I362" s="9" t="n">
        <v>5034.01</v>
      </c>
      <c r="J362" s="9" t="n">
        <v>3752.59</v>
      </c>
      <c r="K362" s="9" t="n">
        <v>0</v>
      </c>
      <c r="L362" s="9" t="n">
        <v>476</v>
      </c>
      <c r="M362" s="9" t="n">
        <v>3029.870718906825</v>
      </c>
      <c r="N362" s="9" t="n">
        <v>247.4311572566396</v>
      </c>
      <c r="O362" s="9" t="n">
        <v>53.04</v>
      </c>
      <c r="P362" s="9" t="n">
        <v>0</v>
      </c>
      <c r="Q362" s="9" t="n">
        <v>4.398408912863629</v>
      </c>
      <c r="R362" s="9" t="n">
        <v>2.917003622941496</v>
      </c>
      <c r="S362" s="9" t="n">
        <v>0</v>
      </c>
      <c r="T362" s="9" t="n">
        <v>0</v>
      </c>
      <c r="U362" s="9" t="n">
        <v>3061.303525444884</v>
      </c>
      <c r="V362" s="9" t="n">
        <v>502.8876036141337</v>
      </c>
      <c r="W362" s="9" t="n">
        <v>53.04</v>
      </c>
      <c r="X362" s="9" t="n">
        <v>0</v>
      </c>
      <c r="Y362" s="9" t="n">
        <v>9.719102484576867</v>
      </c>
      <c r="Z362" s="9" t="n">
        <v>9.467784089990413</v>
      </c>
      <c r="AA362" s="9" t="n">
        <v>0</v>
      </c>
      <c r="AB362" s="9" t="n">
        <v>27.2</v>
      </c>
      <c r="AC362" s="9" t="n">
        <v>3064.911820715196</v>
      </c>
      <c r="AD362" s="9" t="n">
        <v>611.7211312031636</v>
      </c>
      <c r="AE362" s="9" t="n">
        <v>53.04</v>
      </c>
      <c r="AF362" s="9" t="n">
        <v>0</v>
      </c>
      <c r="AG362" s="9" t="n">
        <v>14.47419873657188</v>
      </c>
      <c r="AH362" s="9" t="n">
        <v>7.656485180289295</v>
      </c>
      <c r="AI362" s="9" t="n">
        <v>0</v>
      </c>
      <c r="AJ362" s="9" t="n">
        <v>179.8</v>
      </c>
      <c r="AK362" s="9" t="n">
        <v>3073.573444917263</v>
      </c>
      <c r="AL362" s="9" t="n">
        <v>612.2644226171292</v>
      </c>
      <c r="AM362" s="9" t="n">
        <v>53.04</v>
      </c>
      <c r="AN362" s="9" t="n">
        <v>0</v>
      </c>
      <c r="AO362" s="9" t="n">
        <v>13.0348827243995</v>
      </c>
      <c r="AP362" s="9" t="n">
        <v>5.515224334703449</v>
      </c>
      <c r="AQ362" s="9" t="n">
        <v>0</v>
      </c>
      <c r="AR362" s="9" t="n">
        <v>320.6</v>
      </c>
      <c r="AS362" s="9" t="n">
        <v>3045.224365655906</v>
      </c>
      <c r="AT362" s="9" t="n">
        <v>586.1100374733878</v>
      </c>
      <c r="AU362" s="9" t="n">
        <v>53.04</v>
      </c>
      <c r="AV362" s="9" t="n">
        <v>0</v>
      </c>
      <c r="AW362" s="9" t="n">
        <v>2.199204456431818</v>
      </c>
      <c r="AX362" s="9" t="n">
        <v>1.498628572715656</v>
      </c>
      <c r="AY362" s="9" t="n">
        <v>0</v>
      </c>
    </row>
    <row r="363">
      <c r="A363" s="9" t="n">
        <v>369</v>
      </c>
      <c r="B363" s="9" t="inlineStr">
        <is>
          <t>КО223</t>
        </is>
      </c>
      <c r="C363" s="9" t="inlineStr"/>
      <c r="D363" s="9" t="inlineStr">
        <is>
          <t>ШОКОЛАД</t>
        </is>
      </c>
      <c r="E363" s="9" t="inlineStr">
        <is>
          <t>Федеральный</t>
        </is>
      </c>
      <c r="F363" s="9" t="n">
        <v>123770.25</v>
      </c>
      <c r="G363" s="9" t="n">
        <v>45531</v>
      </c>
      <c r="H363" s="9" t="n">
        <v>100203</v>
      </c>
      <c r="I363" s="9" t="n">
        <v>102638.11</v>
      </c>
      <c r="J363" s="9" t="n">
        <v>68600</v>
      </c>
      <c r="K363" s="9" t="n">
        <v>56291</v>
      </c>
      <c r="L363" s="9" t="n">
        <v>48228.10000000001</v>
      </c>
      <c r="M363" s="9" t="n">
        <v>25041.27410467806</v>
      </c>
      <c r="N363" s="9" t="n">
        <v>5096.708387675631</v>
      </c>
      <c r="O363" s="9" t="n">
        <v>188.34</v>
      </c>
      <c r="P363" s="9" t="n">
        <v>0</v>
      </c>
      <c r="Q363" s="9" t="n">
        <v>20.19471710641744</v>
      </c>
      <c r="R363" s="9" t="n">
        <v>156.1247974576848</v>
      </c>
      <c r="S363" s="9" t="n">
        <v>0.09010039674614287</v>
      </c>
      <c r="T363" s="9" t="n">
        <v>29100</v>
      </c>
      <c r="U363" s="9" t="n">
        <v>25104.58624870709</v>
      </c>
      <c r="V363" s="9" t="n">
        <v>40584.08361440825</v>
      </c>
      <c r="W363" s="9" t="n">
        <v>201.84</v>
      </c>
      <c r="X363" s="9" t="n">
        <v>0</v>
      </c>
      <c r="Y363" s="9" t="n">
        <v>44.62398314769743</v>
      </c>
      <c r="Z363" s="9" t="n">
        <v>576.4624462269603</v>
      </c>
      <c r="AA363" s="9" t="n">
        <v>0.1802007934922859</v>
      </c>
      <c r="AB363" s="9" t="n">
        <v>31644.8</v>
      </c>
      <c r="AC363" s="9" t="n">
        <v>20094.09368762712</v>
      </c>
      <c r="AD363" s="9" t="n">
        <v>13307.94426182474</v>
      </c>
      <c r="AE363" s="9" t="n">
        <v>224.64</v>
      </c>
      <c r="AF363" s="9" t="n">
        <v>0</v>
      </c>
      <c r="AG363" s="9" t="n">
        <v>66.45638334631954</v>
      </c>
      <c r="AH363" s="9" t="n">
        <v>438.3489595458271</v>
      </c>
      <c r="AI363" s="9" t="n">
        <v>0.2883212695876577</v>
      </c>
      <c r="AJ363" s="9" t="n">
        <v>42042</v>
      </c>
      <c r="AK363" s="9" t="n">
        <v>20100.47800743971</v>
      </c>
      <c r="AL363" s="9" t="n">
        <v>11857.22648751754</v>
      </c>
      <c r="AM363" s="9" t="n">
        <v>198.99</v>
      </c>
      <c r="AN363" s="9" t="n">
        <v>0</v>
      </c>
      <c r="AO363" s="9" t="n">
        <v>59.84795282783144</v>
      </c>
      <c r="AP363" s="9" t="n">
        <v>301.7799067435739</v>
      </c>
      <c r="AQ363" s="9" t="n">
        <v>0.4002007373946686</v>
      </c>
      <c r="AR363" s="9" t="n">
        <v>25251.5</v>
      </c>
      <c r="AS363" s="9" t="n">
        <v>10093.72438896968</v>
      </c>
      <c r="AT363" s="9" t="n">
        <v>9884.555839245138</v>
      </c>
      <c r="AU363" s="9" t="n">
        <v>181.89</v>
      </c>
      <c r="AV363" s="9" t="n">
        <v>0</v>
      </c>
      <c r="AW363" s="9" t="n">
        <v>10.09735855320874</v>
      </c>
      <c r="AX363" s="9" t="n">
        <v>37.8534741218024</v>
      </c>
      <c r="AY363" s="9" t="n">
        <v>0.1802007934922861</v>
      </c>
    </row>
    <row r="364">
      <c r="A364" s="9" t="n">
        <v>370</v>
      </c>
      <c r="B364" s="9" t="inlineStr">
        <is>
          <t>КО055</t>
        </is>
      </c>
      <c r="C364" s="9" t="inlineStr"/>
      <c r="D364" s="9" t="inlineStr">
        <is>
          <t>ШОКОЛАД</t>
        </is>
      </c>
      <c r="E364" s="9" t="inlineStr">
        <is>
          <t>Федеральный</t>
        </is>
      </c>
      <c r="F364" s="9" t="n">
        <v>0</v>
      </c>
      <c r="G364" s="9" t="n">
        <v>0</v>
      </c>
      <c r="H364" s="9" t="n">
        <v>0</v>
      </c>
      <c r="I364" s="9" t="n">
        <v>0</v>
      </c>
      <c r="J364" s="9" t="n">
        <v>0</v>
      </c>
      <c r="K364" s="9" t="n">
        <v>0</v>
      </c>
      <c r="L364" s="9" t="n">
        <v>0</v>
      </c>
      <c r="M364" s="9" t="n">
        <v>0</v>
      </c>
      <c r="N364" s="9" t="n">
        <v>0</v>
      </c>
      <c r="O364" s="9" t="n">
        <v>0</v>
      </c>
      <c r="P364" s="9" t="n">
        <v>0</v>
      </c>
      <c r="Q364" s="9" t="n">
        <v>0</v>
      </c>
      <c r="R364" s="9" t="n">
        <v>0</v>
      </c>
      <c r="S364" s="9" t="n">
        <v>0</v>
      </c>
      <c r="T364" s="9" t="n">
        <v>0</v>
      </c>
      <c r="U364" s="9" t="n">
        <v>0</v>
      </c>
      <c r="V364" s="9" t="n">
        <v>0</v>
      </c>
      <c r="W364" s="9" t="n">
        <v>0</v>
      </c>
      <c r="X364" s="9" t="n">
        <v>0</v>
      </c>
      <c r="Y364" s="9" t="n">
        <v>0</v>
      </c>
      <c r="Z364" s="9" t="n">
        <v>0</v>
      </c>
      <c r="AA364" s="9" t="n">
        <v>0</v>
      </c>
      <c r="AB364" s="9" t="n">
        <v>0</v>
      </c>
      <c r="AC364" s="9" t="n">
        <v>0</v>
      </c>
      <c r="AD364" s="9" t="n">
        <v>0</v>
      </c>
      <c r="AE364" s="9" t="n">
        <v>0</v>
      </c>
      <c r="AF364" s="9" t="n">
        <v>0</v>
      </c>
      <c r="AG364" s="9" t="n">
        <v>0</v>
      </c>
      <c r="AH364" s="9" t="n">
        <v>0</v>
      </c>
      <c r="AI364" s="9" t="n">
        <v>0</v>
      </c>
      <c r="AJ364" s="9" t="n">
        <v>0</v>
      </c>
      <c r="AK364" s="9" t="n">
        <v>0</v>
      </c>
      <c r="AL364" s="9" t="n">
        <v>0</v>
      </c>
      <c r="AM364" s="9" t="n">
        <v>0</v>
      </c>
      <c r="AN364" s="9" t="n">
        <v>0</v>
      </c>
      <c r="AO364" s="9" t="n">
        <v>0</v>
      </c>
      <c r="AP364" s="9" t="n">
        <v>0</v>
      </c>
      <c r="AQ364" s="9" t="n">
        <v>0</v>
      </c>
      <c r="AR364" s="9" t="n">
        <v>0</v>
      </c>
      <c r="AS364" s="9" t="n">
        <v>0</v>
      </c>
      <c r="AT364" s="9" t="n">
        <v>0</v>
      </c>
      <c r="AU364" s="9" t="n">
        <v>0</v>
      </c>
      <c r="AV364" s="9" t="n">
        <v>0</v>
      </c>
      <c r="AW364" s="9" t="n">
        <v>0</v>
      </c>
      <c r="AX364" s="9" t="n">
        <v>0</v>
      </c>
      <c r="AY364" s="9" t="n">
        <v>0</v>
      </c>
    </row>
    <row r="365">
      <c r="A365" s="9" t="n">
        <v>371</v>
      </c>
      <c r="B365" s="9" t="inlineStr">
        <is>
          <t>КО237</t>
        </is>
      </c>
      <c r="C365" s="9" t="inlineStr"/>
      <c r="D365" s="9" t="inlineStr">
        <is>
          <t>ШОКОЛАД</t>
        </is>
      </c>
      <c r="E365" s="9" t="inlineStr">
        <is>
          <t>Федеральный</t>
        </is>
      </c>
      <c r="F365" s="9" t="n">
        <v>28.504</v>
      </c>
      <c r="G365" s="9" t="n">
        <v>0</v>
      </c>
      <c r="H365" s="9" t="n">
        <v>0</v>
      </c>
      <c r="I365" s="9" t="n">
        <v>824.21</v>
      </c>
      <c r="J365" s="9" t="n">
        <v>831.4400000000001</v>
      </c>
      <c r="K365" s="9" t="n">
        <v>1471.33</v>
      </c>
      <c r="L365" s="9" t="n">
        <v>0</v>
      </c>
      <c r="M365" s="9" t="n">
        <v>0</v>
      </c>
      <c r="N365" s="9" t="n">
        <v>285.7502639256093</v>
      </c>
      <c r="O365" s="9" t="n">
        <v>37.044</v>
      </c>
      <c r="P365" s="9" t="n">
        <v>0</v>
      </c>
      <c r="Q365" s="9" t="n">
        <v>0</v>
      </c>
      <c r="R365" s="9" t="n">
        <v>7.871849344634595</v>
      </c>
      <c r="S365" s="9" t="n">
        <v>0</v>
      </c>
      <c r="T365" s="9" t="n">
        <v>0</v>
      </c>
      <c r="U365" s="9" t="n">
        <v>50</v>
      </c>
      <c r="V365" s="9" t="n">
        <v>478.1876843425687</v>
      </c>
      <c r="W365" s="9" t="n">
        <v>37.044</v>
      </c>
      <c r="X365" s="9" t="n">
        <v>0</v>
      </c>
      <c r="Y365" s="9" t="n">
        <v>0</v>
      </c>
      <c r="Z365" s="9" t="n">
        <v>9.638026540158867</v>
      </c>
      <c r="AA365" s="9" t="n">
        <v>0</v>
      </c>
      <c r="AB365" s="9" t="n">
        <v>0</v>
      </c>
      <c r="AC365" s="9" t="n">
        <v>50</v>
      </c>
      <c r="AD365" s="9" t="n">
        <v>800.0476277402412</v>
      </c>
      <c r="AE365" s="9" t="n">
        <v>37.044</v>
      </c>
      <c r="AF365" s="9" t="n">
        <v>0</v>
      </c>
      <c r="AG365" s="9" t="n">
        <v>0</v>
      </c>
      <c r="AH365" s="9" t="n">
        <v>14.63616509017162</v>
      </c>
      <c r="AI365" s="9" t="n">
        <v>0</v>
      </c>
      <c r="AJ365" s="9" t="n">
        <v>0</v>
      </c>
      <c r="AK365" s="9" t="n">
        <v>50</v>
      </c>
      <c r="AL365" s="9" t="n">
        <v>810.838785052299</v>
      </c>
      <c r="AM365" s="9" t="n">
        <v>37.044</v>
      </c>
      <c r="AN365" s="9" t="n">
        <v>0</v>
      </c>
      <c r="AO365" s="9" t="n">
        <v>0</v>
      </c>
      <c r="AP365" s="9" t="n">
        <v>7.744354966464688</v>
      </c>
      <c r="AQ365" s="9" t="n">
        <v>0</v>
      </c>
      <c r="AR365" s="9" t="n">
        <v>0</v>
      </c>
      <c r="AS365" s="9" t="n">
        <v>50</v>
      </c>
      <c r="AT365" s="9" t="n">
        <v>769.8601447462128</v>
      </c>
      <c r="AU365" s="9" t="n">
        <v>37.044</v>
      </c>
      <c r="AV365" s="9" t="n">
        <v>0</v>
      </c>
      <c r="AW365" s="9" t="n">
        <v>0</v>
      </c>
      <c r="AX365" s="9" t="n">
        <v>6.549711657873218</v>
      </c>
      <c r="AY365" s="9" t="n">
        <v>0</v>
      </c>
    </row>
    <row r="366">
      <c r="A366" s="9" t="n">
        <v>372</v>
      </c>
      <c r="B366" s="9" t="inlineStr">
        <is>
          <t>КО237</t>
        </is>
      </c>
      <c r="C366" s="9" t="inlineStr"/>
      <c r="D366" s="9" t="inlineStr">
        <is>
          <t>ШОКОЛАД</t>
        </is>
      </c>
      <c r="E366" s="9" t="inlineStr">
        <is>
          <t>Федеральный</t>
        </is>
      </c>
      <c r="F366" s="9" t="n">
        <v>384.706</v>
      </c>
      <c r="G366" s="9" t="n">
        <v>0</v>
      </c>
      <c r="H366" s="9" t="n">
        <v>0</v>
      </c>
      <c r="I366" s="9" t="n">
        <v>1300.75</v>
      </c>
      <c r="J366" s="9" t="n">
        <v>1363.56</v>
      </c>
      <c r="K366" s="9" t="n">
        <v>2428.35</v>
      </c>
      <c r="L366" s="9" t="n">
        <v>0</v>
      </c>
      <c r="M366" s="9" t="n">
        <v>0</v>
      </c>
      <c r="N366" s="9" t="n">
        <v>446.2689295161246</v>
      </c>
      <c r="O366" s="9" t="n">
        <v>27.16559999999999</v>
      </c>
      <c r="P366" s="9" t="n">
        <v>0</v>
      </c>
      <c r="Q366" s="9" t="n">
        <v>0</v>
      </c>
      <c r="R366" s="9" t="n">
        <v>7.871849344634595</v>
      </c>
      <c r="S366" s="9" t="n">
        <v>0</v>
      </c>
      <c r="T366" s="9" t="n">
        <v>0</v>
      </c>
      <c r="U366" s="9" t="n">
        <v>50</v>
      </c>
      <c r="V366" s="9" t="n">
        <v>937.9361937855664</v>
      </c>
      <c r="W366" s="9" t="n">
        <v>27.16559999999999</v>
      </c>
      <c r="X366" s="9" t="n">
        <v>0</v>
      </c>
      <c r="Y366" s="9" t="n">
        <v>0</v>
      </c>
      <c r="Z366" s="9" t="n">
        <v>9.638026540158867</v>
      </c>
      <c r="AA366" s="9" t="n">
        <v>0</v>
      </c>
      <c r="AB366" s="9" t="n">
        <v>0</v>
      </c>
      <c r="AC366" s="9" t="n">
        <v>50</v>
      </c>
      <c r="AD366" s="9" t="n">
        <v>1334.51643334556</v>
      </c>
      <c r="AE366" s="9" t="n">
        <v>27.16559999999999</v>
      </c>
      <c r="AF366" s="9" t="n">
        <v>0</v>
      </c>
      <c r="AG366" s="9" t="n">
        <v>0</v>
      </c>
      <c r="AH366" s="9" t="n">
        <v>14.63616509017162</v>
      </c>
      <c r="AI366" s="9" t="n">
        <v>0</v>
      </c>
      <c r="AJ366" s="9" t="n">
        <v>0</v>
      </c>
      <c r="AK366" s="9" t="n">
        <v>50</v>
      </c>
      <c r="AL366" s="9" t="n">
        <v>1349.265059172031</v>
      </c>
      <c r="AM366" s="9" t="n">
        <v>27.16559999999999</v>
      </c>
      <c r="AN366" s="9" t="n">
        <v>0</v>
      </c>
      <c r="AO366" s="9" t="n">
        <v>0</v>
      </c>
      <c r="AP366" s="9" t="n">
        <v>7.744354966464688</v>
      </c>
      <c r="AQ366" s="9" t="n">
        <v>0</v>
      </c>
      <c r="AR366" s="9" t="n">
        <v>0</v>
      </c>
      <c r="AS366" s="9" t="n">
        <v>50</v>
      </c>
      <c r="AT366" s="9" t="n">
        <v>1312.771700739426</v>
      </c>
      <c r="AU366" s="9" t="n">
        <v>27.16559999999999</v>
      </c>
      <c r="AV366" s="9" t="n">
        <v>0</v>
      </c>
      <c r="AW366" s="9" t="n">
        <v>0</v>
      </c>
      <c r="AX366" s="9" t="n">
        <v>6.549711657873218</v>
      </c>
      <c r="AY366" s="9" t="n">
        <v>0</v>
      </c>
    </row>
    <row r="367">
      <c r="A367" s="9" t="n">
        <v>373</v>
      </c>
      <c r="B367" s="9" t="inlineStr">
        <is>
          <t>КО218</t>
        </is>
      </c>
      <c r="C367" s="9" t="inlineStr"/>
      <c r="D367" s="9" t="inlineStr">
        <is>
          <t>ШОКОЛАД</t>
        </is>
      </c>
      <c r="E367" s="9" t="inlineStr">
        <is>
          <t>Федеральный</t>
        </is>
      </c>
      <c r="F367" s="9" t="n">
        <v>755.28</v>
      </c>
      <c r="G367" s="9" t="n">
        <v>0</v>
      </c>
      <c r="H367" s="9" t="n">
        <v>0</v>
      </c>
      <c r="I367" s="9" t="n">
        <v>0</v>
      </c>
      <c r="J367" s="9" t="n">
        <v>0</v>
      </c>
      <c r="K367" s="9" t="n">
        <v>0</v>
      </c>
      <c r="L367" s="9" t="n">
        <v>0</v>
      </c>
      <c r="M367" s="9" t="n">
        <v>0</v>
      </c>
      <c r="N367" s="9" t="n">
        <v>189.183817547592</v>
      </c>
      <c r="O367" s="9" t="n">
        <v>17.892</v>
      </c>
      <c r="P367" s="9" t="n">
        <v>0</v>
      </c>
      <c r="Q367" s="9" t="n">
        <v>1.331240640302748</v>
      </c>
      <c r="R367" s="9" t="n">
        <v>7.818108791965639</v>
      </c>
      <c r="S367" s="9" t="n">
        <v>0</v>
      </c>
      <c r="T367" s="9" t="n">
        <v>0</v>
      </c>
      <c r="U367" s="9" t="n">
        <v>0</v>
      </c>
      <c r="V367" s="9" t="n">
        <v>999.7781202226423</v>
      </c>
      <c r="W367" s="9" t="n">
        <v>17.892</v>
      </c>
      <c r="X367" s="9" t="n">
        <v>0</v>
      </c>
      <c r="Y367" s="9" t="n">
        <v>2.941623771472492</v>
      </c>
      <c r="Z367" s="9" t="n">
        <v>21.7025494154315</v>
      </c>
      <c r="AA367" s="9" t="n">
        <v>0</v>
      </c>
      <c r="AB367" s="9" t="n">
        <v>0</v>
      </c>
      <c r="AC367" s="9" t="n">
        <v>0</v>
      </c>
      <c r="AD367" s="9" t="n">
        <v>447.8269837307685</v>
      </c>
      <c r="AE367" s="9" t="n">
        <v>17.892</v>
      </c>
      <c r="AF367" s="9" t="n">
        <v>0</v>
      </c>
      <c r="AG367" s="9" t="n">
        <v>4.380820877656444</v>
      </c>
      <c r="AH367" s="9" t="n">
        <v>21.93824426000345</v>
      </c>
      <c r="AI367" s="9" t="n">
        <v>0</v>
      </c>
      <c r="AJ367" s="9" t="n">
        <v>0</v>
      </c>
      <c r="AK367" s="9" t="n">
        <v>0</v>
      </c>
      <c r="AL367" s="9" t="n">
        <v>394.9856254057317</v>
      </c>
      <c r="AM367" s="9" t="n">
        <v>17.892</v>
      </c>
      <c r="AN367" s="9" t="n">
        <v>0</v>
      </c>
      <c r="AO367" s="9" t="n">
        <v>3.945191538138106</v>
      </c>
      <c r="AP367" s="9" t="n">
        <v>13.00274221643661</v>
      </c>
      <c r="AQ367" s="9" t="n">
        <v>0</v>
      </c>
      <c r="AR367" s="9" t="n">
        <v>0</v>
      </c>
      <c r="AS367" s="9" t="n">
        <v>0</v>
      </c>
      <c r="AT367" s="9" t="n">
        <v>452.6870203191253</v>
      </c>
      <c r="AU367" s="9" t="n">
        <v>17.892</v>
      </c>
      <c r="AV367" s="9" t="n">
        <v>0</v>
      </c>
      <c r="AW367" s="9" t="n">
        <v>0.665620320151375</v>
      </c>
      <c r="AX367" s="9" t="n">
        <v>2.219534974295719</v>
      </c>
      <c r="AY367" s="9" t="n">
        <v>0</v>
      </c>
    </row>
    <row r="368">
      <c r="A368" s="9" t="n">
        <v>374</v>
      </c>
      <c r="B368" s="9" t="inlineStr">
        <is>
          <t>КО230</t>
        </is>
      </c>
      <c r="C368" s="9" t="inlineStr"/>
      <c r="D368" s="9" t="inlineStr">
        <is>
          <t>ШОКОЛАД</t>
        </is>
      </c>
      <c r="E368" s="9" t="inlineStr">
        <is>
          <t>Федеральный</t>
        </is>
      </c>
      <c r="F368" s="9" t="n">
        <v>13989.339</v>
      </c>
      <c r="G368" s="9" t="n">
        <v>0</v>
      </c>
      <c r="H368" s="9" t="n">
        <v>0</v>
      </c>
      <c r="I368" s="9" t="n">
        <v>11007</v>
      </c>
      <c r="J368" s="9" t="n">
        <v>0</v>
      </c>
      <c r="K368" s="9" t="n">
        <v>0</v>
      </c>
      <c r="L368" s="9" t="n">
        <v>861</v>
      </c>
      <c r="M368" s="9" t="n">
        <v>300</v>
      </c>
      <c r="N368" s="9" t="n">
        <v>718.8511772287163</v>
      </c>
      <c r="O368" s="9" t="n">
        <v>75.87791036538272</v>
      </c>
      <c r="P368" s="9" t="n">
        <v>0</v>
      </c>
      <c r="Q368" s="9" t="n">
        <v>0</v>
      </c>
      <c r="R368" s="9" t="n">
        <v>122.5243088668281</v>
      </c>
      <c r="S368" s="9" t="n">
        <v>0</v>
      </c>
      <c r="T368" s="9" t="n">
        <v>368</v>
      </c>
      <c r="U368" s="9" t="n">
        <v>980</v>
      </c>
      <c r="V368" s="9" t="n">
        <v>1156.192893073599</v>
      </c>
      <c r="W368" s="9" t="n">
        <v>108.0387216884165</v>
      </c>
      <c r="X368" s="9" t="n">
        <v>0</v>
      </c>
      <c r="Y368" s="9" t="n">
        <v>0</v>
      </c>
      <c r="Z368" s="9" t="n">
        <v>351.2226943969085</v>
      </c>
      <c r="AA368" s="9" t="n">
        <v>0</v>
      </c>
      <c r="AB368" s="9" t="n">
        <v>475</v>
      </c>
      <c r="AC368" s="9" t="n">
        <v>680</v>
      </c>
      <c r="AD368" s="9" t="n">
        <v>3102.988161099453</v>
      </c>
      <c r="AE368" s="9" t="n">
        <v>118.9464877459502</v>
      </c>
      <c r="AF368" s="9" t="n">
        <v>0</v>
      </c>
      <c r="AG368" s="9" t="n">
        <v>0</v>
      </c>
      <c r="AH368" s="9" t="n">
        <v>355.0285941539217</v>
      </c>
      <c r="AI368" s="9" t="n">
        <v>0</v>
      </c>
      <c r="AJ368" s="9" t="n">
        <v>465</v>
      </c>
      <c r="AK368" s="9" t="n">
        <v>763.8067081983102</v>
      </c>
      <c r="AL368" s="9" t="n">
        <v>3111.400479832222</v>
      </c>
      <c r="AM368" s="9" t="n">
        <v>123.3599812436365</v>
      </c>
      <c r="AN368" s="9" t="n">
        <v>0</v>
      </c>
      <c r="AO368" s="9" t="n">
        <v>0</v>
      </c>
      <c r="AP368" s="9" t="n">
        <v>248.961199792206</v>
      </c>
      <c r="AQ368" s="9" t="n">
        <v>0</v>
      </c>
      <c r="AR368" s="9" t="n">
        <v>552</v>
      </c>
      <c r="AS368" s="9" t="n">
        <v>521.452160063501</v>
      </c>
      <c r="AT368" s="9" t="n">
        <v>2981.257954834635</v>
      </c>
      <c r="AU368" s="9" t="n">
        <v>113.1935239875034</v>
      </c>
      <c r="AV368" s="9" t="n">
        <v>0</v>
      </c>
      <c r="AW368" s="9" t="n">
        <v>0</v>
      </c>
      <c r="AX368" s="9" t="n">
        <v>33.11710159813686</v>
      </c>
      <c r="AY368" s="9" t="n">
        <v>0</v>
      </c>
    </row>
    <row r="369">
      <c r="A369" s="9" t="n">
        <v>375</v>
      </c>
      <c r="B369" s="9" t="inlineStr">
        <is>
          <t>КО212</t>
        </is>
      </c>
      <c r="C369" s="9" t="inlineStr"/>
      <c r="D369" s="9" t="inlineStr">
        <is>
          <t>ШОКОЛАД</t>
        </is>
      </c>
      <c r="E369" s="9" t="inlineStr">
        <is>
          <t>Федеральный</t>
        </is>
      </c>
      <c r="F369" s="9" t="n">
        <v>20873.87999999999</v>
      </c>
      <c r="G369" s="9" t="n">
        <v>0</v>
      </c>
      <c r="H369" s="9" t="n">
        <v>11202</v>
      </c>
      <c r="I369" s="9" t="n">
        <v>17990.6</v>
      </c>
      <c r="J369" s="9" t="n">
        <v>7688.9</v>
      </c>
      <c r="K369" s="9" t="n">
        <v>6294.46</v>
      </c>
      <c r="L369" s="9" t="n">
        <v>1170</v>
      </c>
      <c r="M369" s="9" t="n">
        <v>77.96303331856126</v>
      </c>
      <c r="N369" s="9" t="n">
        <v>1999.617011520508</v>
      </c>
      <c r="O369" s="9" t="n">
        <v>93.95999999999999</v>
      </c>
      <c r="P369" s="9" t="n">
        <v>0</v>
      </c>
      <c r="Q369" s="9" t="n">
        <v>26.75235611168946</v>
      </c>
      <c r="R369" s="9" t="n">
        <v>29.01407510423467</v>
      </c>
      <c r="S369" s="9" t="n">
        <v>0</v>
      </c>
      <c r="T369" s="9" t="n">
        <v>1344</v>
      </c>
      <c r="U369" s="9" t="n">
        <v>197.5539204596872</v>
      </c>
      <c r="V369" s="9" t="n">
        <v>5045.640797879434</v>
      </c>
      <c r="W369" s="9" t="n">
        <v>93.95999999999999</v>
      </c>
      <c r="X369" s="9" t="n">
        <v>0</v>
      </c>
      <c r="Y369" s="9" t="n">
        <v>59.11430608304328</v>
      </c>
      <c r="Z369" s="9" t="n">
        <v>82.72855593018461</v>
      </c>
      <c r="AA369" s="9" t="n">
        <v>0</v>
      </c>
      <c r="AB369" s="9" t="n">
        <v>556</v>
      </c>
      <c r="AC369" s="9" t="n">
        <v>177.734425998075</v>
      </c>
      <c r="AD369" s="9" t="n">
        <v>6924.814425453324</v>
      </c>
      <c r="AE369" s="9" t="n">
        <v>93.95999999999999</v>
      </c>
      <c r="AF369" s="9" t="n">
        <v>0</v>
      </c>
      <c r="AG369" s="9" t="n">
        <v>88.03613458941311</v>
      </c>
      <c r="AH369" s="9" t="n">
        <v>83.6270077092075</v>
      </c>
      <c r="AI369" s="9" t="n">
        <v>0</v>
      </c>
      <c r="AJ369" s="9" t="n">
        <v>253</v>
      </c>
      <c r="AK369" s="9" t="n">
        <v>189.7938260056043</v>
      </c>
      <c r="AL369" s="9" t="n">
        <v>6947.071623573375</v>
      </c>
      <c r="AM369" s="9" t="n">
        <v>93.95999999999999</v>
      </c>
      <c r="AN369" s="9" t="n">
        <v>0</v>
      </c>
      <c r="AO369" s="9" t="n">
        <v>79.28181108795788</v>
      </c>
      <c r="AP369" s="9" t="n">
        <v>56.38205162470719</v>
      </c>
      <c r="AQ369" s="9" t="n">
        <v>0</v>
      </c>
      <c r="AR369" s="9" t="n">
        <v>224</v>
      </c>
      <c r="AS369" s="9" t="n">
        <v>177.0368543909122</v>
      </c>
      <c r="AT369" s="9" t="n">
        <v>6778.327057351737</v>
      </c>
      <c r="AU369" s="9" t="n">
        <v>93.95999999999999</v>
      </c>
      <c r="AV369" s="9" t="n">
        <v>0</v>
      </c>
      <c r="AW369" s="9" t="n">
        <v>13.37617805584476</v>
      </c>
      <c r="AX369" s="9" t="n">
        <v>9.369065733417855</v>
      </c>
      <c r="AY369" s="9" t="n">
        <v>0</v>
      </c>
    </row>
    <row r="370">
      <c r="A370" s="9" t="n">
        <v>376</v>
      </c>
      <c r="B370" s="9" t="inlineStr">
        <is>
          <t>КО047</t>
        </is>
      </c>
      <c r="C370" s="9" t="inlineStr"/>
      <c r="D370" s="9" t="inlineStr">
        <is>
          <t>ШОКОЛАД</t>
        </is>
      </c>
      <c r="E370" s="9" t="inlineStr">
        <is>
          <t>Федеральный</t>
        </is>
      </c>
      <c r="F370" s="9" t="n">
        <v>0.1</v>
      </c>
      <c r="G370" s="9" t="n">
        <v>0</v>
      </c>
      <c r="H370" s="9" t="n">
        <v>0</v>
      </c>
      <c r="I370" s="9" t="n">
        <v>0</v>
      </c>
      <c r="J370" s="9" t="n">
        <v>0</v>
      </c>
      <c r="K370" s="9" t="n">
        <v>0</v>
      </c>
      <c r="L370" s="9" t="n">
        <v>0</v>
      </c>
      <c r="M370" s="9" t="n">
        <v>0</v>
      </c>
      <c r="N370" s="9" t="n">
        <v>0</v>
      </c>
      <c r="O370" s="9" t="n">
        <v>0</v>
      </c>
      <c r="P370" s="9" t="n">
        <v>0</v>
      </c>
      <c r="Q370" s="9" t="n">
        <v>0</v>
      </c>
      <c r="R370" s="9" t="n">
        <v>0</v>
      </c>
      <c r="S370" s="9" t="n">
        <v>0</v>
      </c>
      <c r="T370" s="9" t="n">
        <v>0</v>
      </c>
      <c r="U370" s="9" t="n">
        <v>0</v>
      </c>
      <c r="V370" s="9" t="n">
        <v>0</v>
      </c>
      <c r="W370" s="9" t="n">
        <v>0</v>
      </c>
      <c r="X370" s="9" t="n">
        <v>0</v>
      </c>
      <c r="Y370" s="9" t="n">
        <v>0</v>
      </c>
      <c r="Z370" s="9" t="n">
        <v>0</v>
      </c>
      <c r="AA370" s="9" t="n">
        <v>0</v>
      </c>
      <c r="AB370" s="9" t="n">
        <v>0</v>
      </c>
      <c r="AC370" s="9" t="n">
        <v>0</v>
      </c>
      <c r="AD370" s="9" t="n">
        <v>0</v>
      </c>
      <c r="AE370" s="9" t="n">
        <v>0</v>
      </c>
      <c r="AF370" s="9" t="n">
        <v>0</v>
      </c>
      <c r="AG370" s="9" t="n">
        <v>0</v>
      </c>
      <c r="AH370" s="9" t="n">
        <v>0</v>
      </c>
      <c r="AI370" s="9" t="n">
        <v>0</v>
      </c>
      <c r="AJ370" s="9" t="n">
        <v>0</v>
      </c>
      <c r="AK370" s="9" t="n">
        <v>0</v>
      </c>
      <c r="AL370" s="9" t="n">
        <v>0</v>
      </c>
      <c r="AM370" s="9" t="n">
        <v>0</v>
      </c>
      <c r="AN370" s="9" t="n">
        <v>0</v>
      </c>
      <c r="AO370" s="9" t="n">
        <v>0</v>
      </c>
      <c r="AP370" s="9" t="n">
        <v>0</v>
      </c>
      <c r="AQ370" s="9" t="n">
        <v>0</v>
      </c>
      <c r="AR370" s="9" t="n">
        <v>0</v>
      </c>
      <c r="AS370" s="9" t="n">
        <v>0</v>
      </c>
      <c r="AT370" s="9" t="n">
        <v>0</v>
      </c>
      <c r="AU370" s="9" t="n">
        <v>0</v>
      </c>
      <c r="AV370" s="9" t="n">
        <v>0</v>
      </c>
      <c r="AW370" s="9" t="n">
        <v>0</v>
      </c>
      <c r="AX370" s="9" t="n">
        <v>0</v>
      </c>
      <c r="AY370" s="9" t="n">
        <v>0</v>
      </c>
    </row>
    <row r="371">
      <c r="A371" s="9" t="n">
        <v>377</v>
      </c>
      <c r="B371" s="9" t="inlineStr">
        <is>
          <t>КО229</t>
        </is>
      </c>
      <c r="C371" s="9" t="inlineStr"/>
      <c r="D371" s="9" t="inlineStr">
        <is>
          <t>ШОКОЛАД</t>
        </is>
      </c>
      <c r="E371" s="9" t="inlineStr">
        <is>
          <t>Федеральный</t>
        </is>
      </c>
      <c r="F371" s="9" t="n">
        <v>35514.096</v>
      </c>
      <c r="G371" s="9" t="n">
        <v>0</v>
      </c>
      <c r="H371" s="9" t="n">
        <v>0</v>
      </c>
      <c r="I371" s="9" t="n">
        <v>0</v>
      </c>
      <c r="J371" s="9" t="n">
        <v>32546</v>
      </c>
      <c r="K371" s="9" t="n">
        <v>0</v>
      </c>
      <c r="L371" s="9" t="n">
        <v>219</v>
      </c>
      <c r="M371" s="9" t="n">
        <v>2399.717163529803</v>
      </c>
      <c r="N371" s="9" t="n">
        <v>18289.95052496305</v>
      </c>
      <c r="O371" s="9" t="n">
        <v>172.4207441249847</v>
      </c>
      <c r="P371" s="9" t="n">
        <v>0</v>
      </c>
      <c r="Q371" s="9" t="n">
        <v>0.699565027792874</v>
      </c>
      <c r="R371" s="9" t="n">
        <v>162.8913064717013</v>
      </c>
      <c r="S371" s="9" t="n">
        <v>0</v>
      </c>
      <c r="T371" s="9" t="n">
        <v>196</v>
      </c>
      <c r="U371" s="9" t="n">
        <v>5646.278687573546</v>
      </c>
      <c r="V371" s="9" t="n">
        <v>10838.51744390558</v>
      </c>
      <c r="W371" s="9" t="n">
        <v>259.1037295284443</v>
      </c>
      <c r="X371" s="9" t="n">
        <v>0</v>
      </c>
      <c r="Y371" s="9" t="n">
        <v>1.545819030117906</v>
      </c>
      <c r="Z371" s="9" t="n">
        <v>464.9772009170341</v>
      </c>
      <c r="AA371" s="9" t="n">
        <v>0</v>
      </c>
      <c r="AB371" s="9" t="n">
        <v>280</v>
      </c>
      <c r="AC371" s="9" t="n">
        <v>4981.618255714568</v>
      </c>
      <c r="AD371" s="9" t="n">
        <v>3467.967029434103</v>
      </c>
      <c r="AE371" s="9" t="n">
        <v>294.5771799114767</v>
      </c>
      <c r="AF371" s="9" t="n">
        <v>0</v>
      </c>
      <c r="AG371" s="9" t="n">
        <v>2.302115024325259</v>
      </c>
      <c r="AH371" s="9" t="n">
        <v>470.0055122358008</v>
      </c>
      <c r="AI371" s="9" t="n">
        <v>0</v>
      </c>
      <c r="AJ371" s="9" t="n">
        <v>267</v>
      </c>
      <c r="AK371" s="9" t="n">
        <v>4876.80779470841</v>
      </c>
      <c r="AL371" s="9" t="n">
        <v>3706.80011714597</v>
      </c>
      <c r="AM371" s="9" t="n">
        <v>297.3053180173656</v>
      </c>
      <c r="AN371" s="9" t="n">
        <v>0</v>
      </c>
      <c r="AO371" s="9" t="n">
        <v>2.073192437543179</v>
      </c>
      <c r="AP371" s="9" t="n">
        <v>330.9425347844015</v>
      </c>
      <c r="AQ371" s="9" t="n">
        <v>0</v>
      </c>
      <c r="AR371" s="9" t="n">
        <v>152</v>
      </c>
      <c r="AS371" s="9" t="n">
        <v>2970.82282827264</v>
      </c>
      <c r="AT371" s="9" t="n">
        <v>2327.160252832324</v>
      </c>
      <c r="AU371" s="9" t="n">
        <v>265.6261908152082</v>
      </c>
      <c r="AV371" s="9" t="n">
        <v>0</v>
      </c>
      <c r="AW371" s="9" t="n">
        <v>0.3497825138964377</v>
      </c>
      <c r="AX371" s="9" t="n">
        <v>76.41330267518754</v>
      </c>
      <c r="AY371" s="9" t="n">
        <v>0</v>
      </c>
    </row>
    <row r="372">
      <c r="A372" s="9" t="n">
        <v>378</v>
      </c>
      <c r="B372" s="9" t="inlineStr">
        <is>
          <t>КО230</t>
        </is>
      </c>
      <c r="C372" s="9" t="inlineStr"/>
      <c r="D372" s="9" t="inlineStr">
        <is>
          <t>ШОКОЛАД</t>
        </is>
      </c>
      <c r="E372" s="9" t="inlineStr">
        <is>
          <t>Федеральный</t>
        </is>
      </c>
      <c r="F372" s="9" t="n">
        <v>4398.372</v>
      </c>
      <c r="G372" s="9" t="n">
        <v>0</v>
      </c>
      <c r="H372" s="9" t="n">
        <v>0</v>
      </c>
      <c r="I372" s="9" t="n">
        <v>0</v>
      </c>
      <c r="J372" s="9" t="n">
        <v>12864</v>
      </c>
      <c r="K372" s="9" t="n">
        <v>0</v>
      </c>
      <c r="L372" s="9" t="n">
        <v>544.73</v>
      </c>
      <c r="M372" s="9" t="n">
        <v>1219.051099809311</v>
      </c>
      <c r="N372" s="9" t="n">
        <v>1877.541441192399</v>
      </c>
      <c r="O372" s="9" t="n">
        <v>117.1429494085865</v>
      </c>
      <c r="P372" s="9" t="n">
        <v>0</v>
      </c>
      <c r="Q372" s="9" t="n">
        <v>2.062458766604065</v>
      </c>
      <c r="R372" s="9" t="n">
        <v>55.59474740500289</v>
      </c>
      <c r="S372" s="9" t="n">
        <v>0</v>
      </c>
      <c r="T372" s="9" t="n">
        <v>630</v>
      </c>
      <c r="U372" s="9" t="n">
        <v>2331.314479231142</v>
      </c>
      <c r="V372" s="9" t="n">
        <v>3028.521517288177</v>
      </c>
      <c r="W372" s="9" t="n">
        <v>176.1361322029594</v>
      </c>
      <c r="X372" s="9" t="n">
        <v>0</v>
      </c>
      <c r="Y372" s="9" t="n">
        <v>4.557386209411859</v>
      </c>
      <c r="Z372" s="9" t="n">
        <v>87.6770353727952</v>
      </c>
      <c r="AA372" s="9" t="n">
        <v>0</v>
      </c>
      <c r="AB372" s="9" t="n">
        <v>286</v>
      </c>
      <c r="AC372" s="9" t="n">
        <v>2171.814812800122</v>
      </c>
      <c r="AD372" s="9" t="n">
        <v>4067.6501263211</v>
      </c>
      <c r="AE372" s="9" t="n">
        <v>196.1444532134893</v>
      </c>
      <c r="AF372" s="9" t="n">
        <v>0</v>
      </c>
      <c r="AG372" s="9" t="n">
        <v>6.787099304592947</v>
      </c>
      <c r="AH372" s="9" t="n">
        <v>121.9680424180968</v>
      </c>
      <c r="AI372" s="9" t="n">
        <v>0</v>
      </c>
      <c r="AJ372" s="9" t="n">
        <v>217</v>
      </c>
      <c r="AK372" s="9" t="n">
        <v>2103.018071122174</v>
      </c>
      <c r="AL372" s="9" t="n">
        <v>4423.330008585421</v>
      </c>
      <c r="AM372" s="9" t="n">
        <v>204.2402075791232</v>
      </c>
      <c r="AN372" s="9" t="n">
        <v>0</v>
      </c>
      <c r="AO372" s="9" t="n">
        <v>6.112189357376185</v>
      </c>
      <c r="AP372" s="9" t="n">
        <v>64.53629138720574</v>
      </c>
      <c r="AQ372" s="9" t="n">
        <v>0</v>
      </c>
      <c r="AR372" s="9" t="n">
        <v>216</v>
      </c>
      <c r="AS372" s="9" t="n">
        <v>1731.478429112235</v>
      </c>
      <c r="AT372" s="9" t="n">
        <v>3239.803769011065</v>
      </c>
      <c r="AU372" s="9" t="n">
        <v>185.5916832848157</v>
      </c>
      <c r="AV372" s="9" t="n">
        <v>0</v>
      </c>
      <c r="AW372" s="9" t="n">
        <v>1.031229383302034</v>
      </c>
      <c r="AX372" s="9" t="n">
        <v>54.58093048227681</v>
      </c>
      <c r="AY372" s="9" t="n">
        <v>0</v>
      </c>
    </row>
    <row r="373">
      <c r="A373" s="9" t="n">
        <v>379</v>
      </c>
      <c r="B373" s="9" t="inlineStr">
        <is>
          <t>КО229</t>
        </is>
      </c>
      <c r="C373" s="9" t="inlineStr"/>
      <c r="D373" s="9" t="inlineStr">
        <is>
          <t>ШОКОЛАД</t>
        </is>
      </c>
      <c r="E373" s="9" t="inlineStr">
        <is>
          <t>Федеральный</t>
        </is>
      </c>
      <c r="F373" s="9" t="n">
        <v>11812.947</v>
      </c>
      <c r="G373" s="9" t="n">
        <v>0</v>
      </c>
      <c r="H373" s="9" t="n">
        <v>0</v>
      </c>
      <c r="I373" s="9" t="n">
        <v>0</v>
      </c>
      <c r="J373" s="9" t="n">
        <v>14902</v>
      </c>
      <c r="K373" s="9" t="n">
        <v>0</v>
      </c>
      <c r="L373" s="9" t="n">
        <v>633</v>
      </c>
      <c r="M373" s="9" t="n">
        <v>596.2768678324732</v>
      </c>
      <c r="N373" s="9" t="n">
        <v>18231.41008583147</v>
      </c>
      <c r="O373" s="9" t="n">
        <v>169.8293257361386</v>
      </c>
      <c r="P373" s="9" t="n">
        <v>0</v>
      </c>
      <c r="Q373" s="9" t="n">
        <v>2.295773033984996</v>
      </c>
      <c r="R373" s="9" t="n">
        <v>125.7205039693329</v>
      </c>
      <c r="S373" s="9" t="n">
        <v>0</v>
      </c>
      <c r="T373" s="9" t="n">
        <v>734</v>
      </c>
      <c r="U373" s="9" t="n">
        <v>1502.192812249875</v>
      </c>
      <c r="V373" s="9" t="n">
        <v>2312.546483727174</v>
      </c>
      <c r="W373" s="9" t="n">
        <v>188.4055644703462</v>
      </c>
      <c r="X373" s="9" t="n">
        <v>0</v>
      </c>
      <c r="Y373" s="9" t="n">
        <v>5.072937473678666</v>
      </c>
      <c r="Z373" s="9" t="n">
        <v>360.107353591421</v>
      </c>
      <c r="AA373" s="9" t="n">
        <v>0</v>
      </c>
      <c r="AB373" s="9" t="n">
        <v>298</v>
      </c>
      <c r="AC373" s="9" t="n">
        <v>1357.413635657161</v>
      </c>
      <c r="AD373" s="9" t="n">
        <v>2854.90428047321</v>
      </c>
      <c r="AE373" s="9" t="n">
        <v>194.7059424149944</v>
      </c>
      <c r="AF373" s="9" t="n">
        <v>0</v>
      </c>
      <c r="AG373" s="9" t="n">
        <v>7.554885370202432</v>
      </c>
      <c r="AH373" s="9" t="n">
        <v>363.7648479284533</v>
      </c>
      <c r="AI373" s="9" t="n">
        <v>0</v>
      </c>
      <c r="AJ373" s="9" t="n">
        <v>190</v>
      </c>
      <c r="AK373" s="9" t="n">
        <v>1452.101040827789</v>
      </c>
      <c r="AL373" s="9" t="n">
        <v>3068.260683174183</v>
      </c>
      <c r="AM373" s="9" t="n">
        <v>197.2551974086385</v>
      </c>
      <c r="AN373" s="9" t="n">
        <v>0</v>
      </c>
      <c r="AO373" s="9" t="n">
        <v>6.80362668698536</v>
      </c>
      <c r="AP373" s="9" t="n">
        <v>254.080360295313</v>
      </c>
      <c r="AQ373" s="9" t="n">
        <v>0</v>
      </c>
      <c r="AR373" s="9" t="n">
        <v>81</v>
      </c>
      <c r="AS373" s="9" t="n">
        <v>1340.282248234219</v>
      </c>
      <c r="AT373" s="9" t="n">
        <v>1995.086666065408</v>
      </c>
      <c r="AU373" s="9" t="n">
        <v>191.3830029800177</v>
      </c>
      <c r="AV373" s="9" t="n">
        <v>0</v>
      </c>
      <c r="AW373" s="9" t="n">
        <v>1.1478865169925</v>
      </c>
      <c r="AX373" s="9" t="n">
        <v>54.58093048227681</v>
      </c>
      <c r="AY373" s="9" t="n">
        <v>0</v>
      </c>
    </row>
    <row r="374">
      <c r="A374" s="9" t="n">
        <v>380</v>
      </c>
      <c r="B374" s="9" t="inlineStr">
        <is>
          <t>КО234</t>
        </is>
      </c>
      <c r="C374" s="9" t="inlineStr"/>
      <c r="D374" s="9" t="inlineStr">
        <is>
          <t>ШОКОЛАД</t>
        </is>
      </c>
      <c r="E374" s="9" t="inlineStr">
        <is>
          <t>Федеральный</t>
        </is>
      </c>
      <c r="F374" s="9" t="n">
        <v>15957.05</v>
      </c>
      <c r="G374" s="9" t="n">
        <v>0</v>
      </c>
      <c r="H374" s="9" t="n">
        <v>0</v>
      </c>
      <c r="I374" s="9" t="n">
        <v>27617</v>
      </c>
      <c r="J374" s="9" t="n">
        <v>0</v>
      </c>
      <c r="K374" s="9" t="n">
        <v>0</v>
      </c>
      <c r="L374" s="9" t="n">
        <v>698.5</v>
      </c>
      <c r="M374" s="9" t="n">
        <v>1100</v>
      </c>
      <c r="N374" s="9" t="n">
        <v>827.1709780681023</v>
      </c>
      <c r="O374" s="9" t="n">
        <v>36.79</v>
      </c>
      <c r="P374" s="9" t="n">
        <v>0</v>
      </c>
      <c r="Q374" s="9" t="n">
        <v>0</v>
      </c>
      <c r="R374" s="9" t="n">
        <v>100.3255155471674</v>
      </c>
      <c r="S374" s="9" t="n">
        <v>0</v>
      </c>
      <c r="T374" s="9" t="n">
        <v>3200</v>
      </c>
      <c r="U374" s="9" t="n">
        <v>1733.24221937818</v>
      </c>
      <c r="V374" s="9" t="n">
        <v>1175.232850358524</v>
      </c>
      <c r="W374" s="9" t="n">
        <v>41.29</v>
      </c>
      <c r="X374" s="9" t="n">
        <v>0</v>
      </c>
      <c r="Y374" s="9" t="n">
        <v>0</v>
      </c>
      <c r="Z374" s="9" t="n">
        <v>290.6987627684054</v>
      </c>
      <c r="AA374" s="9" t="n">
        <v>0</v>
      </c>
      <c r="AB374" s="9" t="n">
        <v>5333</v>
      </c>
      <c r="AC374" s="9" t="n">
        <v>1633.24221937818</v>
      </c>
      <c r="AD374" s="9" t="n">
        <v>1683.534217985817</v>
      </c>
      <c r="AE374" s="9" t="n">
        <v>48.89</v>
      </c>
      <c r="AF374" s="9" t="n">
        <v>0</v>
      </c>
      <c r="AG374" s="9" t="n">
        <v>0</v>
      </c>
      <c r="AH374" s="9" t="n">
        <v>293.8558204207769</v>
      </c>
      <c r="AI374" s="9" t="n">
        <v>0</v>
      </c>
      <c r="AJ374" s="9" t="n">
        <v>5133</v>
      </c>
      <c r="AK374" s="9" t="n">
        <v>1533.24221937818</v>
      </c>
      <c r="AL374" s="9" t="n">
        <v>1770.308523490027</v>
      </c>
      <c r="AM374" s="9" t="n">
        <v>40.34</v>
      </c>
      <c r="AN374" s="9" t="n">
        <v>0</v>
      </c>
      <c r="AO374" s="9" t="n">
        <v>0</v>
      </c>
      <c r="AP374" s="9" t="n">
        <v>210.1467096244509</v>
      </c>
      <c r="AQ374" s="9" t="n">
        <v>0</v>
      </c>
      <c r="AR374" s="9" t="n">
        <v>2334</v>
      </c>
      <c r="AS374" s="9" t="n">
        <v>1200</v>
      </c>
      <c r="AT374" s="9" t="n">
        <v>1525.650474270212</v>
      </c>
      <c r="AU374" s="9" t="n">
        <v>34.64</v>
      </c>
      <c r="AV374" s="9" t="n">
        <v>0</v>
      </c>
      <c r="AW374" s="9" t="n">
        <v>0</v>
      </c>
      <c r="AX374" s="9" t="n">
        <v>36.20688331038086</v>
      </c>
      <c r="AY374" s="9" t="n">
        <v>0</v>
      </c>
    </row>
    <row r="375">
      <c r="A375" s="9" t="n">
        <v>381</v>
      </c>
      <c r="B375" s="9" t="inlineStr">
        <is>
          <t>КО227</t>
        </is>
      </c>
      <c r="C375" s="9" t="inlineStr"/>
      <c r="D375" s="9" t="inlineStr">
        <is>
          <t>ШОКОЛАД</t>
        </is>
      </c>
      <c r="E375" s="9" t="inlineStr">
        <is>
          <t>Федеральный</t>
        </is>
      </c>
      <c r="F375" s="9" t="n">
        <v>43591.515</v>
      </c>
      <c r="G375" s="9" t="n">
        <v>0</v>
      </c>
      <c r="H375" s="9" t="n">
        <v>0</v>
      </c>
      <c r="I375" s="9" t="n">
        <v>20392</v>
      </c>
      <c r="J375" s="9" t="n">
        <v>0</v>
      </c>
      <c r="K375" s="9" t="n">
        <v>0</v>
      </c>
      <c r="L375" s="9" t="n">
        <v>62</v>
      </c>
      <c r="M375" s="9" t="n">
        <v>145.5809404949543</v>
      </c>
      <c r="N375" s="9" t="n">
        <v>2517.175732064942</v>
      </c>
      <c r="O375" s="9" t="n">
        <v>194.6645282210399</v>
      </c>
      <c r="P375" s="9" t="n">
        <v>0</v>
      </c>
      <c r="Q375" s="9" t="n">
        <v>0</v>
      </c>
      <c r="R375" s="9" t="n">
        <v>87.9820366984361</v>
      </c>
      <c r="S375" s="9" t="n">
        <v>0</v>
      </c>
      <c r="T375" s="9" t="n">
        <v>2118</v>
      </c>
      <c r="U375" s="9" t="n">
        <v>368.8938759151578</v>
      </c>
      <c r="V375" s="9" t="n">
        <v>4468.549107390079</v>
      </c>
      <c r="W375" s="9" t="n">
        <v>255.2614083784469</v>
      </c>
      <c r="X375" s="9" t="n">
        <v>0</v>
      </c>
      <c r="Y375" s="9" t="n">
        <v>0</v>
      </c>
      <c r="Z375" s="9" t="n">
        <v>132.1825716138819</v>
      </c>
      <c r="AA375" s="9" t="n">
        <v>0</v>
      </c>
      <c r="AB375" s="9" t="n">
        <v>3412</v>
      </c>
      <c r="AC375" s="9" t="n">
        <v>331.8847894155808</v>
      </c>
      <c r="AD375" s="9" t="n">
        <v>6658.983695380514</v>
      </c>
      <c r="AE375" s="9" t="n">
        <v>275.8136446368651</v>
      </c>
      <c r="AF375" s="9" t="n">
        <v>0</v>
      </c>
      <c r="AG375" s="9" t="n">
        <v>0</v>
      </c>
      <c r="AH375" s="9" t="n">
        <v>170.7552593853356</v>
      </c>
      <c r="AI375" s="9" t="n">
        <v>0</v>
      </c>
      <c r="AJ375" s="9" t="n">
        <v>3407</v>
      </c>
      <c r="AK375" s="9" t="n">
        <v>354.4033949671045</v>
      </c>
      <c r="AL375" s="9" t="n">
        <v>6793.987969870602</v>
      </c>
      <c r="AM375" s="9" t="n">
        <v>284.129477650793</v>
      </c>
      <c r="AN375" s="9" t="n">
        <v>0</v>
      </c>
      <c r="AO375" s="9" t="n">
        <v>0</v>
      </c>
      <c r="AP375" s="9" t="n">
        <v>90.35080794208804</v>
      </c>
      <c r="AQ375" s="9" t="n">
        <v>0</v>
      </c>
      <c r="AR375" s="9" t="n">
        <v>1852</v>
      </c>
      <c r="AS375" s="9" t="n">
        <v>330.582208867972</v>
      </c>
      <c r="AT375" s="9" t="n">
        <v>6490.353892243023</v>
      </c>
      <c r="AU375" s="9" t="n">
        <v>264.9740034375516</v>
      </c>
      <c r="AV375" s="9" t="n">
        <v>0</v>
      </c>
      <c r="AW375" s="9" t="n">
        <v>0</v>
      </c>
      <c r="AX375" s="9" t="n">
        <v>76.41330267518754</v>
      </c>
      <c r="AY375" s="9" t="n">
        <v>0</v>
      </c>
    </row>
    <row r="376">
      <c r="A376" s="9" t="n">
        <v>382</v>
      </c>
      <c r="B376" s="9" t="inlineStr">
        <is>
          <t>КО231</t>
        </is>
      </c>
      <c r="C376" s="9" t="inlineStr"/>
      <c r="D376" s="9" t="inlineStr">
        <is>
          <t>ШОКОЛАД</t>
        </is>
      </c>
      <c r="E376" s="9" t="inlineStr">
        <is>
          <t>Федеральный</t>
        </is>
      </c>
      <c r="F376" s="9" t="n">
        <v>0</v>
      </c>
      <c r="G376" s="9" t="n">
        <v>0</v>
      </c>
      <c r="H376" s="9" t="n">
        <v>0</v>
      </c>
      <c r="I376" s="9" t="n">
        <v>0</v>
      </c>
      <c r="J376" s="9" t="n">
        <v>0</v>
      </c>
      <c r="K376" s="9" t="n">
        <v>0</v>
      </c>
      <c r="L376" s="9" t="n">
        <v>0</v>
      </c>
      <c r="M376" s="9" t="n">
        <v>0</v>
      </c>
      <c r="N376" s="9" t="n">
        <v>0</v>
      </c>
      <c r="O376" s="9" t="n">
        <v>0</v>
      </c>
      <c r="P376" s="9" t="n">
        <v>0</v>
      </c>
      <c r="Q376" s="9" t="n">
        <v>0</v>
      </c>
      <c r="R376" s="9" t="n">
        <v>0</v>
      </c>
      <c r="S376" s="9" t="n">
        <v>0</v>
      </c>
      <c r="T376" s="9" t="n">
        <v>0</v>
      </c>
      <c r="U376" s="9" t="n">
        <v>0</v>
      </c>
      <c r="V376" s="9" t="n">
        <v>0</v>
      </c>
      <c r="W376" s="9" t="n">
        <v>0</v>
      </c>
      <c r="X376" s="9" t="n">
        <v>0</v>
      </c>
      <c r="Y376" s="9" t="n">
        <v>0</v>
      </c>
      <c r="Z376" s="9" t="n">
        <v>0</v>
      </c>
      <c r="AA376" s="9" t="n">
        <v>0</v>
      </c>
      <c r="AB376" s="9" t="n">
        <v>0</v>
      </c>
      <c r="AC376" s="9" t="n">
        <v>0</v>
      </c>
      <c r="AD376" s="9" t="n">
        <v>0</v>
      </c>
      <c r="AE376" s="9" t="n">
        <v>0</v>
      </c>
      <c r="AF376" s="9" t="n">
        <v>0</v>
      </c>
      <c r="AG376" s="9" t="n">
        <v>0</v>
      </c>
      <c r="AH376" s="9" t="n">
        <v>0</v>
      </c>
      <c r="AI376" s="9" t="n">
        <v>0</v>
      </c>
      <c r="AJ376" s="9" t="n">
        <v>0</v>
      </c>
      <c r="AK376" s="9" t="n">
        <v>0</v>
      </c>
      <c r="AL376" s="9" t="n">
        <v>0</v>
      </c>
      <c r="AM376" s="9" t="n">
        <v>0</v>
      </c>
      <c r="AN376" s="9" t="n">
        <v>0</v>
      </c>
      <c r="AO376" s="9" t="n">
        <v>0</v>
      </c>
      <c r="AP376" s="9" t="n">
        <v>0</v>
      </c>
      <c r="AQ376" s="9" t="n">
        <v>0</v>
      </c>
      <c r="AR376" s="9" t="n">
        <v>0</v>
      </c>
      <c r="AS376" s="9" t="n">
        <v>0</v>
      </c>
      <c r="AT376" s="9" t="n">
        <v>0</v>
      </c>
      <c r="AU376" s="9" t="n">
        <v>0</v>
      </c>
      <c r="AV376" s="9" t="n">
        <v>0</v>
      </c>
      <c r="AW376" s="9" t="n">
        <v>0</v>
      </c>
      <c r="AX376" s="9" t="n">
        <v>0</v>
      </c>
      <c r="AY376" s="9" t="n">
        <v>0</v>
      </c>
    </row>
    <row r="377">
      <c r="A377" s="9" t="n">
        <v>383</v>
      </c>
      <c r="B377" s="9" t="inlineStr">
        <is>
          <t>КО236</t>
        </is>
      </c>
      <c r="C377" s="9" t="inlineStr"/>
      <c r="D377" s="9" t="inlineStr">
        <is>
          <t>ШОКОЛАД</t>
        </is>
      </c>
      <c r="E377" s="9" t="inlineStr">
        <is>
          <t>Федеральный</t>
        </is>
      </c>
      <c r="F377" s="9" t="n">
        <v>9060.404999999999</v>
      </c>
      <c r="G377" s="9" t="n">
        <v>0</v>
      </c>
      <c r="H377" s="9" t="n">
        <v>0</v>
      </c>
      <c r="I377" s="9" t="n">
        <v>0</v>
      </c>
      <c r="J377" s="9" t="n">
        <v>0</v>
      </c>
      <c r="K377" s="9" t="n">
        <v>5881.72</v>
      </c>
      <c r="L377" s="9" t="n">
        <v>343</v>
      </c>
      <c r="M377" s="9" t="n">
        <v>20</v>
      </c>
      <c r="N377" s="9" t="n">
        <v>9815.123894523269</v>
      </c>
      <c r="O377" s="9" t="n">
        <v>74.0929108736984</v>
      </c>
      <c r="P377" s="9" t="n">
        <v>0</v>
      </c>
      <c r="Q377" s="9" t="n">
        <v>0</v>
      </c>
      <c r="R377" s="9" t="n">
        <v>273.2522307583318</v>
      </c>
      <c r="S377" s="9" t="n">
        <v>0</v>
      </c>
      <c r="T377" s="9" t="n">
        <v>7</v>
      </c>
      <c r="U377" s="9" t="n">
        <v>70</v>
      </c>
      <c r="V377" s="9" t="n">
        <v>7873.293618027205</v>
      </c>
      <c r="W377" s="9" t="n">
        <v>91.33868723037145</v>
      </c>
      <c r="X377" s="9" t="n">
        <v>0</v>
      </c>
      <c r="Y377" s="9" t="n">
        <v>0</v>
      </c>
      <c r="Z377" s="9" t="n">
        <v>792.9937411123161</v>
      </c>
      <c r="AA377" s="9" t="n">
        <v>0</v>
      </c>
      <c r="AB377" s="9" t="n">
        <v>0</v>
      </c>
      <c r="AC377" s="9" t="n">
        <v>70</v>
      </c>
      <c r="AD377" s="9" t="n">
        <v>9711.861527590605</v>
      </c>
      <c r="AE377" s="9" t="n">
        <v>97.18782119933971</v>
      </c>
      <c r="AF377" s="9" t="n">
        <v>0</v>
      </c>
      <c r="AG377" s="9" t="n">
        <v>0</v>
      </c>
      <c r="AH377" s="9" t="n">
        <v>801.6058416070673</v>
      </c>
      <c r="AI377" s="9" t="n">
        <v>0</v>
      </c>
      <c r="AJ377" s="9" t="n">
        <v>73</v>
      </c>
      <c r="AK377" s="9" t="n">
        <v>0</v>
      </c>
      <c r="AL377" s="9" t="n">
        <v>9687.157537216483</v>
      </c>
      <c r="AM377" s="9" t="n">
        <v>99.55449413704056</v>
      </c>
      <c r="AN377" s="9" t="n">
        <v>0</v>
      </c>
      <c r="AO377" s="9" t="n">
        <v>0</v>
      </c>
      <c r="AP377" s="9" t="n">
        <v>577.4237055735659</v>
      </c>
      <c r="AQ377" s="9" t="n">
        <v>0</v>
      </c>
      <c r="AR377" s="9" t="n">
        <v>264</v>
      </c>
      <c r="AS377" s="9" t="n">
        <v>0</v>
      </c>
      <c r="AT377" s="9" t="n">
        <v>8356.200754838239</v>
      </c>
      <c r="AU377" s="9" t="n">
        <v>94.10287643940572</v>
      </c>
      <c r="AV377" s="9" t="n">
        <v>0</v>
      </c>
      <c r="AW377" s="9" t="n">
        <v>0</v>
      </c>
      <c r="AX377" s="9" t="n">
        <v>99.09530548291619</v>
      </c>
      <c r="AY377" s="9" t="n">
        <v>0</v>
      </c>
    </row>
    <row r="378">
      <c r="A378" s="9" t="n">
        <v>384</v>
      </c>
      <c r="B378" s="9" t="inlineStr">
        <is>
          <t>КО149</t>
        </is>
      </c>
      <c r="C378" s="9" t="inlineStr"/>
      <c r="D378" s="9" t="inlineStr">
        <is>
          <t>ШОКОЛАД</t>
        </is>
      </c>
      <c r="E378" s="9" t="inlineStr">
        <is>
          <t>Федеральный</t>
        </is>
      </c>
      <c r="F378" s="9" t="n">
        <v>1723.6</v>
      </c>
      <c r="G378" s="9" t="n">
        <v>0</v>
      </c>
      <c r="H378" s="9" t="n">
        <v>5197</v>
      </c>
      <c r="I378" s="9" t="n">
        <v>0</v>
      </c>
      <c r="J378" s="9" t="n">
        <v>0</v>
      </c>
      <c r="K378" s="9" t="n">
        <v>0</v>
      </c>
      <c r="L378" s="9" t="n">
        <v>0</v>
      </c>
      <c r="M378" s="9" t="n">
        <v>0</v>
      </c>
      <c r="N378" s="9" t="n">
        <v>274.0684571056968</v>
      </c>
      <c r="O378" s="9" t="n">
        <v>95.2</v>
      </c>
      <c r="P378" s="9" t="n">
        <v>0</v>
      </c>
      <c r="Q378" s="9" t="n">
        <v>2.656617326505584</v>
      </c>
      <c r="R378" s="9" t="n">
        <v>1.458501811470748</v>
      </c>
      <c r="S378" s="9" t="n">
        <v>0</v>
      </c>
      <c r="T378" s="9" t="n">
        <v>0</v>
      </c>
      <c r="U378" s="9" t="n">
        <v>0</v>
      </c>
      <c r="V378" s="9" t="n">
        <v>630.2209534259176</v>
      </c>
      <c r="W378" s="9" t="n">
        <v>95.2</v>
      </c>
      <c r="X378" s="9" t="n">
        <v>0</v>
      </c>
      <c r="Y378" s="9" t="n">
        <v>5.87029004581569</v>
      </c>
      <c r="Z378" s="9" t="n">
        <v>4.733892044995207</v>
      </c>
      <c r="AA378" s="9" t="n">
        <v>0</v>
      </c>
      <c r="AB378" s="9" t="n">
        <v>0</v>
      </c>
      <c r="AC378" s="9" t="n">
        <v>0</v>
      </c>
      <c r="AD378" s="9" t="n">
        <v>906.8539475830527</v>
      </c>
      <c r="AE378" s="9" t="n">
        <v>95.2</v>
      </c>
      <c r="AF378" s="9" t="n">
        <v>0</v>
      </c>
      <c r="AG378" s="9" t="n">
        <v>8.742344768901273</v>
      </c>
      <c r="AH378" s="9" t="n">
        <v>3.828242590144648</v>
      </c>
      <c r="AI378" s="9" t="n">
        <v>0</v>
      </c>
      <c r="AJ378" s="9" t="n">
        <v>0</v>
      </c>
      <c r="AK378" s="9" t="n">
        <v>0</v>
      </c>
      <c r="AL378" s="9" t="n">
        <v>912.3587815828195</v>
      </c>
      <c r="AM378" s="9" t="n">
        <v>95.2</v>
      </c>
      <c r="AN378" s="9" t="n">
        <v>0</v>
      </c>
      <c r="AO378" s="9" t="n">
        <v>7.873004984446218</v>
      </c>
      <c r="AP378" s="9" t="n">
        <v>2.757612167351724</v>
      </c>
      <c r="AQ378" s="9" t="n">
        <v>0</v>
      </c>
      <c r="AR378" s="9" t="n">
        <v>0</v>
      </c>
      <c r="AS378" s="9" t="n">
        <v>0</v>
      </c>
      <c r="AT378" s="9" t="n">
        <v>909.4300537205181</v>
      </c>
      <c r="AU378" s="9" t="n">
        <v>95.2</v>
      </c>
      <c r="AV378" s="9" t="n">
        <v>0</v>
      </c>
      <c r="AW378" s="9" t="n">
        <v>1.328308663252794</v>
      </c>
      <c r="AX378" s="9" t="n">
        <v>0.7493142863578278</v>
      </c>
      <c r="AY378" s="9" t="n">
        <v>0</v>
      </c>
    </row>
    <row r="379">
      <c r="A379" s="9" t="n">
        <v>385</v>
      </c>
      <c r="B379" s="9" t="inlineStr">
        <is>
          <t>КО200</t>
        </is>
      </c>
      <c r="C379" s="9" t="inlineStr"/>
      <c r="D379" s="9" t="inlineStr">
        <is>
          <t>ШОКОЛАД</t>
        </is>
      </c>
      <c r="E379" s="9" t="inlineStr">
        <is>
          <t>Федеральный</t>
        </is>
      </c>
      <c r="F379" s="9" t="n">
        <v>48923.63999999999</v>
      </c>
      <c r="G379" s="9" t="n">
        <v>0</v>
      </c>
      <c r="H379" s="9" t="n">
        <v>44153.445</v>
      </c>
      <c r="I379" s="9" t="n">
        <v>33457.99</v>
      </c>
      <c r="J379" s="9" t="n">
        <v>25883.74</v>
      </c>
      <c r="K379" s="9" t="n">
        <v>19190.95</v>
      </c>
      <c r="L379" s="9" t="n">
        <v>28011</v>
      </c>
      <c r="M379" s="9" t="n">
        <v>935.2501953734811</v>
      </c>
      <c r="N379" s="9" t="n">
        <v>3090.861426220849</v>
      </c>
      <c r="O379" s="9" t="n">
        <v>171.72</v>
      </c>
      <c r="P379" s="9" t="n">
        <v>0</v>
      </c>
      <c r="Q379" s="9" t="n">
        <v>13.47614939600646</v>
      </c>
      <c r="R379" s="9" t="n">
        <v>40.19057257986401</v>
      </c>
      <c r="S379" s="9" t="n">
        <v>0</v>
      </c>
      <c r="T379" s="9" t="n">
        <v>15658.4</v>
      </c>
      <c r="U379" s="9" t="n">
        <v>2369.871140746544</v>
      </c>
      <c r="V379" s="9" t="n">
        <v>6850.880504862579</v>
      </c>
      <c r="W379" s="9" t="n">
        <v>171.72</v>
      </c>
      <c r="X379" s="9" t="n">
        <v>0</v>
      </c>
      <c r="Y379" s="9" t="n">
        <v>29.77805830972232</v>
      </c>
      <c r="Z379" s="9" t="n">
        <v>112.5903014696069</v>
      </c>
      <c r="AA379" s="9" t="n">
        <v>0</v>
      </c>
      <c r="AB379" s="9" t="n">
        <v>14309.1</v>
      </c>
      <c r="AC379" s="9" t="n">
        <v>2132.115049450217</v>
      </c>
      <c r="AD379" s="9" t="n">
        <v>7751.495843883254</v>
      </c>
      <c r="AE379" s="9" t="n">
        <v>171.72</v>
      </c>
      <c r="AF379" s="9" t="n">
        <v>0</v>
      </c>
      <c r="AG379" s="9" t="n">
        <v>44.34705104181347</v>
      </c>
      <c r="AH379" s="9" t="n">
        <v>111.5330026537156</v>
      </c>
      <c r="AI379" s="9" t="n">
        <v>0</v>
      </c>
      <c r="AJ379" s="9" t="n">
        <v>11980.1</v>
      </c>
      <c r="AK379" s="9" t="n">
        <v>2276.780485529954</v>
      </c>
      <c r="AL379" s="9" t="n">
        <v>7842.906910709905</v>
      </c>
      <c r="AM379" s="9" t="n">
        <v>171.72</v>
      </c>
      <c r="AN379" s="9" t="n">
        <v>0</v>
      </c>
      <c r="AO379" s="9" t="n">
        <v>39.93717510886594</v>
      </c>
      <c r="AP379" s="9" t="n">
        <v>64.33688366394134</v>
      </c>
      <c r="AQ379" s="9" t="n">
        <v>0</v>
      </c>
      <c r="AR379" s="9" t="n">
        <v>4750.900000000001</v>
      </c>
      <c r="AS379" s="9" t="n">
        <v>2123.74692991823</v>
      </c>
      <c r="AT379" s="9" t="n">
        <v>6377.673853383386</v>
      </c>
      <c r="AU379" s="9" t="n">
        <v>171.72</v>
      </c>
      <c r="AV379" s="9" t="n">
        <v>0</v>
      </c>
      <c r="AW379" s="9" t="n">
        <v>6.738074698003244</v>
      </c>
      <c r="AX379" s="9" t="n">
        <v>12.11465208105814</v>
      </c>
      <c r="AY379" s="9" t="n">
        <v>0</v>
      </c>
    </row>
    <row r="380">
      <c r="A380" s="9" t="n">
        <v>386</v>
      </c>
      <c r="B380" s="9" t="inlineStr">
        <is>
          <t>КО047</t>
        </is>
      </c>
      <c r="C380" s="9" t="inlineStr"/>
      <c r="D380" s="9" t="inlineStr">
        <is>
          <t>ШОКОЛАД</t>
        </is>
      </c>
      <c r="E380" s="9" t="inlineStr">
        <is>
          <t>Федеральный</t>
        </is>
      </c>
      <c r="F380" s="9" t="n">
        <v>1.3</v>
      </c>
      <c r="G380" s="9" t="n">
        <v>0</v>
      </c>
      <c r="H380" s="9" t="n">
        <v>0</v>
      </c>
      <c r="I380" s="9" t="n">
        <v>0</v>
      </c>
      <c r="J380" s="9" t="n">
        <v>0</v>
      </c>
      <c r="K380" s="9" t="n">
        <v>0</v>
      </c>
      <c r="L380" s="9" t="n">
        <v>0</v>
      </c>
      <c r="M380" s="9" t="n">
        <v>0</v>
      </c>
      <c r="N380" s="9" t="n">
        <v>0</v>
      </c>
      <c r="O380" s="9" t="n">
        <v>0</v>
      </c>
      <c r="P380" s="9" t="n">
        <v>0</v>
      </c>
      <c r="Q380" s="9" t="n">
        <v>0</v>
      </c>
      <c r="R380" s="9" t="n">
        <v>0</v>
      </c>
      <c r="S380" s="9" t="n">
        <v>0</v>
      </c>
      <c r="T380" s="9" t="n">
        <v>0</v>
      </c>
      <c r="U380" s="9" t="n">
        <v>0</v>
      </c>
      <c r="V380" s="9" t="n">
        <v>0</v>
      </c>
      <c r="W380" s="9" t="n">
        <v>0</v>
      </c>
      <c r="X380" s="9" t="n">
        <v>0</v>
      </c>
      <c r="Y380" s="9" t="n">
        <v>0</v>
      </c>
      <c r="Z380" s="9" t="n">
        <v>0</v>
      </c>
      <c r="AA380" s="9" t="n">
        <v>0</v>
      </c>
      <c r="AB380" s="9" t="n">
        <v>0</v>
      </c>
      <c r="AC380" s="9" t="n">
        <v>0</v>
      </c>
      <c r="AD380" s="9" t="n">
        <v>0</v>
      </c>
      <c r="AE380" s="9" t="n">
        <v>0</v>
      </c>
      <c r="AF380" s="9" t="n">
        <v>0</v>
      </c>
      <c r="AG380" s="9" t="n">
        <v>0</v>
      </c>
      <c r="AH380" s="9" t="n">
        <v>0</v>
      </c>
      <c r="AI380" s="9" t="n">
        <v>0</v>
      </c>
      <c r="AJ380" s="9" t="n">
        <v>0</v>
      </c>
      <c r="AK380" s="9" t="n">
        <v>0</v>
      </c>
      <c r="AL380" s="9" t="n">
        <v>0</v>
      </c>
      <c r="AM380" s="9" t="n">
        <v>0</v>
      </c>
      <c r="AN380" s="9" t="n">
        <v>0</v>
      </c>
      <c r="AO380" s="9" t="n">
        <v>0</v>
      </c>
      <c r="AP380" s="9" t="n">
        <v>0</v>
      </c>
      <c r="AQ380" s="9" t="n">
        <v>0</v>
      </c>
      <c r="AR380" s="9" t="n">
        <v>0</v>
      </c>
      <c r="AS380" s="9" t="n">
        <v>0</v>
      </c>
      <c r="AT380" s="9" t="n">
        <v>0</v>
      </c>
      <c r="AU380" s="9" t="n">
        <v>0</v>
      </c>
      <c r="AV380" s="9" t="n">
        <v>0</v>
      </c>
      <c r="AW380" s="9" t="n">
        <v>0</v>
      </c>
      <c r="AX380" s="9" t="n">
        <v>0</v>
      </c>
      <c r="AY380" s="9" t="n">
        <v>0</v>
      </c>
    </row>
    <row r="381">
      <c r="A381" s="9" t="n">
        <v>387</v>
      </c>
      <c r="B381" s="9" t="inlineStr">
        <is>
          <t>КО212</t>
        </is>
      </c>
      <c r="C381" s="9" t="inlineStr"/>
      <c r="D381" s="9" t="inlineStr">
        <is>
          <t>ШОКОЛАД</t>
        </is>
      </c>
      <c r="E381" s="9" t="inlineStr">
        <is>
          <t>Федеральный</t>
        </is>
      </c>
      <c r="F381" s="9" t="n">
        <v>41514.3</v>
      </c>
      <c r="G381" s="9" t="n">
        <v>0</v>
      </c>
      <c r="H381" s="9" t="n">
        <v>8174.755</v>
      </c>
      <c r="I381" s="9" t="n">
        <v>9772.879999999999</v>
      </c>
      <c r="J381" s="9" t="n">
        <v>7773.08</v>
      </c>
      <c r="K381" s="9" t="n">
        <v>6903.07</v>
      </c>
      <c r="L381" s="9" t="n">
        <v>4327</v>
      </c>
      <c r="M381" s="9" t="n">
        <v>369.7657356607641</v>
      </c>
      <c r="N381" s="9" t="n">
        <v>1887.420028492507</v>
      </c>
      <c r="O381" s="9" t="n">
        <v>162</v>
      </c>
      <c r="P381" s="9" t="n">
        <v>0</v>
      </c>
      <c r="Q381" s="9" t="n">
        <v>8.839888528058244</v>
      </c>
      <c r="R381" s="9" t="n">
        <v>38.4087569245855</v>
      </c>
      <c r="S381" s="9" t="n">
        <v>0</v>
      </c>
      <c r="T381" s="9" t="n">
        <v>3551</v>
      </c>
      <c r="U381" s="9" t="n">
        <v>936.9654773816123</v>
      </c>
      <c r="V381" s="9" t="n">
        <v>4770.585280635491</v>
      </c>
      <c r="W381" s="9" t="n">
        <v>162</v>
      </c>
      <c r="X381" s="9" t="n">
        <v>0</v>
      </c>
      <c r="Y381" s="9" t="n">
        <v>19.53337769600351</v>
      </c>
      <c r="Z381" s="9" t="n">
        <v>109.753353440608</v>
      </c>
      <c r="AA381" s="9" t="n">
        <v>0</v>
      </c>
      <c r="AB381" s="9" t="n">
        <v>2435.6</v>
      </c>
      <c r="AC381" s="9" t="n">
        <v>842.9649025184265</v>
      </c>
      <c r="AD381" s="9" t="n">
        <v>5723.26706542005</v>
      </c>
      <c r="AE381" s="9" t="n">
        <v>162</v>
      </c>
      <c r="AF381" s="9" t="n">
        <v>0</v>
      </c>
      <c r="AG381" s="9" t="n">
        <v>29.09013370495231</v>
      </c>
      <c r="AH381" s="9" t="n">
        <v>108.6652446948806</v>
      </c>
      <c r="AI381" s="9" t="n">
        <v>0</v>
      </c>
      <c r="AJ381" s="9" t="n">
        <v>2497.1</v>
      </c>
      <c r="AK381" s="9" t="n">
        <v>922.3653368362973</v>
      </c>
      <c r="AL381" s="9" t="n">
        <v>5739.61534342989</v>
      </c>
      <c r="AM381" s="9" t="n">
        <v>162</v>
      </c>
      <c r="AN381" s="9" t="n">
        <v>0</v>
      </c>
      <c r="AO381" s="9" t="n">
        <v>26.19740741316934</v>
      </c>
      <c r="AP381" s="9" t="n">
        <v>68.60961035283785</v>
      </c>
      <c r="AQ381" s="9" t="n">
        <v>0</v>
      </c>
      <c r="AR381" s="9" t="n">
        <v>1512</v>
      </c>
      <c r="AS381" s="9" t="n">
        <v>860.3686498626698</v>
      </c>
      <c r="AT381" s="9" t="n">
        <v>5462.590814369699</v>
      </c>
      <c r="AU381" s="9" t="n">
        <v>162</v>
      </c>
      <c r="AV381" s="9" t="n">
        <v>0</v>
      </c>
      <c r="AW381" s="9" t="n">
        <v>4.41994426402913</v>
      </c>
      <c r="AX381" s="9" t="n">
        <v>13.36279140694133</v>
      </c>
      <c r="AY381" s="9" t="n">
        <v>0</v>
      </c>
    </row>
    <row r="382">
      <c r="A382" s="9" t="n">
        <v>388</v>
      </c>
      <c r="B382" s="9" t="inlineStr">
        <is>
          <t>КО047</t>
        </is>
      </c>
      <c r="C382" s="9" t="inlineStr"/>
      <c r="D382" s="9" t="inlineStr">
        <is>
          <t>ШОКОЛАД</t>
        </is>
      </c>
      <c r="E382" s="9" t="inlineStr">
        <is>
          <t>Федеральный</t>
        </is>
      </c>
      <c r="F382" s="9" t="n">
        <v>0</v>
      </c>
      <c r="G382" s="9" t="n">
        <v>0</v>
      </c>
      <c r="H382" s="9" t="n">
        <v>0</v>
      </c>
      <c r="I382" s="9" t="n">
        <v>0</v>
      </c>
      <c r="J382" s="9" t="n">
        <v>0</v>
      </c>
      <c r="K382" s="9" t="n">
        <v>0</v>
      </c>
      <c r="L382" s="9" t="n">
        <v>0</v>
      </c>
      <c r="M382" s="9" t="n">
        <v>0</v>
      </c>
      <c r="N382" s="9" t="n">
        <v>0</v>
      </c>
      <c r="O382" s="9" t="n">
        <v>0</v>
      </c>
      <c r="P382" s="9" t="n">
        <v>0</v>
      </c>
      <c r="Q382" s="9" t="n">
        <v>0</v>
      </c>
      <c r="R382" s="9" t="n">
        <v>0</v>
      </c>
      <c r="S382" s="9" t="n">
        <v>0</v>
      </c>
      <c r="T382" s="9" t="n">
        <v>0</v>
      </c>
      <c r="U382" s="9" t="n">
        <v>0</v>
      </c>
      <c r="V382" s="9" t="n">
        <v>0</v>
      </c>
      <c r="W382" s="9" t="n">
        <v>0</v>
      </c>
      <c r="X382" s="9" t="n">
        <v>0</v>
      </c>
      <c r="Y382" s="9" t="n">
        <v>0</v>
      </c>
      <c r="Z382" s="9" t="n">
        <v>0</v>
      </c>
      <c r="AA382" s="9" t="n">
        <v>0</v>
      </c>
      <c r="AB382" s="9" t="n">
        <v>0</v>
      </c>
      <c r="AC382" s="9" t="n">
        <v>0</v>
      </c>
      <c r="AD382" s="9" t="n">
        <v>0</v>
      </c>
      <c r="AE382" s="9" t="n">
        <v>0</v>
      </c>
      <c r="AF382" s="9" t="n">
        <v>0</v>
      </c>
      <c r="AG382" s="9" t="n">
        <v>0</v>
      </c>
      <c r="AH382" s="9" t="n">
        <v>0</v>
      </c>
      <c r="AI382" s="9" t="n">
        <v>0</v>
      </c>
      <c r="AJ382" s="9" t="n">
        <v>0</v>
      </c>
      <c r="AK382" s="9" t="n">
        <v>0</v>
      </c>
      <c r="AL382" s="9" t="n">
        <v>0</v>
      </c>
      <c r="AM382" s="9" t="n">
        <v>0</v>
      </c>
      <c r="AN382" s="9" t="n">
        <v>0</v>
      </c>
      <c r="AO382" s="9" t="n">
        <v>0</v>
      </c>
      <c r="AP382" s="9" t="n">
        <v>0</v>
      </c>
      <c r="AQ382" s="9" t="n">
        <v>0</v>
      </c>
      <c r="AR382" s="9" t="n">
        <v>0</v>
      </c>
      <c r="AS382" s="9" t="n">
        <v>0</v>
      </c>
      <c r="AT382" s="9" t="n">
        <v>0</v>
      </c>
      <c r="AU382" s="9" t="n">
        <v>0</v>
      </c>
      <c r="AV382" s="9" t="n">
        <v>0</v>
      </c>
      <c r="AW382" s="9" t="n">
        <v>0</v>
      </c>
      <c r="AX382" s="9" t="n">
        <v>0</v>
      </c>
      <c r="AY382" s="9" t="n">
        <v>0</v>
      </c>
    </row>
    <row r="383">
      <c r="A383" s="9" t="n">
        <v>389</v>
      </c>
      <c r="B383" s="9" t="inlineStr">
        <is>
          <t>КО236</t>
        </is>
      </c>
      <c r="C383" s="9" t="inlineStr"/>
      <c r="D383" s="9" t="inlineStr">
        <is>
          <t>ШОКОЛАД</t>
        </is>
      </c>
      <c r="E383" s="9" t="inlineStr">
        <is>
          <t>Федеральный</t>
        </is>
      </c>
      <c r="F383" s="9" t="n">
        <v>5275.779999999998</v>
      </c>
      <c r="G383" s="9" t="n">
        <v>0</v>
      </c>
      <c r="H383" s="9" t="n">
        <v>0</v>
      </c>
      <c r="I383" s="9" t="n">
        <v>0</v>
      </c>
      <c r="J383" s="9" t="n">
        <v>30573.34</v>
      </c>
      <c r="K383" s="9" t="n">
        <v>6933.98</v>
      </c>
      <c r="L383" s="9" t="n">
        <v>0</v>
      </c>
      <c r="M383" s="9" t="n">
        <v>1800</v>
      </c>
      <c r="N383" s="9" t="n">
        <v>9449.950649995475</v>
      </c>
      <c r="O383" s="9" t="n">
        <v>52.57806817299311</v>
      </c>
      <c r="P383" s="9" t="n">
        <v>0</v>
      </c>
      <c r="Q383" s="9" t="n">
        <v>0</v>
      </c>
      <c r="R383" s="9" t="n">
        <v>296.291085434779</v>
      </c>
      <c r="S383" s="9" t="n">
        <v>0</v>
      </c>
      <c r="T383" s="9" t="n">
        <v>0</v>
      </c>
      <c r="U383" s="9" t="n">
        <v>2600</v>
      </c>
      <c r="V383" s="9" t="n">
        <v>7051.82300122175</v>
      </c>
      <c r="W383" s="9" t="n">
        <v>63.76910176739202</v>
      </c>
      <c r="X383" s="9" t="n">
        <v>0</v>
      </c>
      <c r="Y383" s="9" t="n">
        <v>0</v>
      </c>
      <c r="Z383" s="9" t="n">
        <v>859.853826792556</v>
      </c>
      <c r="AA383" s="9" t="n">
        <v>0</v>
      </c>
      <c r="AB383" s="9" t="n">
        <v>364</v>
      </c>
      <c r="AC383" s="9" t="n">
        <v>2600</v>
      </c>
      <c r="AD383" s="9" t="n">
        <v>8885.354175847373</v>
      </c>
      <c r="AE383" s="9" t="n">
        <v>67.56468935887412</v>
      </c>
      <c r="AF383" s="9" t="n">
        <v>0</v>
      </c>
      <c r="AG383" s="9" t="n">
        <v>0</v>
      </c>
      <c r="AH383" s="9" t="n">
        <v>869.1920437080478</v>
      </c>
      <c r="AI383" s="9" t="n">
        <v>0</v>
      </c>
      <c r="AJ383" s="9" t="n">
        <v>492</v>
      </c>
      <c r="AK383" s="9" t="n">
        <v>2300</v>
      </c>
      <c r="AL383" s="9" t="n">
        <v>8905.731833002486</v>
      </c>
      <c r="AM383" s="9" t="n">
        <v>69.10045764236555</v>
      </c>
      <c r="AN383" s="9" t="n">
        <v>0</v>
      </c>
      <c r="AO383" s="9" t="n">
        <v>0</v>
      </c>
      <c r="AP383" s="9" t="n">
        <v>626.108324917847</v>
      </c>
      <c r="AQ383" s="9" t="n">
        <v>0</v>
      </c>
      <c r="AR383" s="9" t="n">
        <v>406</v>
      </c>
      <c r="AS383" s="9" t="n">
        <v>1500</v>
      </c>
      <c r="AT383" s="9" t="n">
        <v>7754.464961542551</v>
      </c>
      <c r="AU383" s="9" t="n">
        <v>65.56282410611456</v>
      </c>
      <c r="AV383" s="9" t="n">
        <v>0</v>
      </c>
      <c r="AW383" s="9" t="n">
        <v>0</v>
      </c>
      <c r="AX383" s="9" t="n">
        <v>107.4503785075833</v>
      </c>
      <c r="AY383" s="9" t="n">
        <v>0</v>
      </c>
    </row>
    <row r="384">
      <c r="A384" s="9" t="n">
        <v>390</v>
      </c>
      <c r="B384" s="9" t="inlineStr">
        <is>
          <t>КО212</t>
        </is>
      </c>
      <c r="C384" s="9" t="inlineStr"/>
      <c r="D384" s="9" t="inlineStr">
        <is>
          <t>ШОКОЛАД</t>
        </is>
      </c>
      <c r="E384" s="9" t="inlineStr">
        <is>
          <t>Федеральный</t>
        </is>
      </c>
      <c r="F384" s="9" t="n">
        <v>5128.2</v>
      </c>
      <c r="G384" s="9" t="n">
        <v>0</v>
      </c>
      <c r="H384" s="9" t="n">
        <v>0</v>
      </c>
      <c r="I384" s="9" t="n">
        <v>0</v>
      </c>
      <c r="J384" s="9" t="n">
        <v>0</v>
      </c>
      <c r="K384" s="9" t="n">
        <v>0</v>
      </c>
      <c r="L384" s="9" t="n">
        <v>0</v>
      </c>
      <c r="M384" s="9" t="n">
        <v>56.28167102679998</v>
      </c>
      <c r="N384" s="9" t="n">
        <v>638.0611149407886</v>
      </c>
      <c r="O384" s="9" t="n">
        <v>81</v>
      </c>
      <c r="P384" s="9" t="n">
        <v>0</v>
      </c>
      <c r="Q384" s="9" t="n">
        <v>5.86585014555224</v>
      </c>
      <c r="R384" s="9" t="n">
        <v>58.53415923106053</v>
      </c>
      <c r="S384" s="9" t="n">
        <v>0</v>
      </c>
      <c r="T384" s="9" t="n">
        <v>0</v>
      </c>
      <c r="U384" s="9" t="n">
        <v>142.614573703607</v>
      </c>
      <c r="V384" s="9" t="n">
        <v>1693.558816525402</v>
      </c>
      <c r="W384" s="9" t="n">
        <v>81</v>
      </c>
      <c r="X384" s="9" t="n">
        <v>0</v>
      </c>
      <c r="Y384" s="9" t="n">
        <v>12.9616867947539</v>
      </c>
      <c r="Z384" s="9" t="n">
        <v>185.7594039342692</v>
      </c>
      <c r="AA384" s="9" t="n">
        <v>0</v>
      </c>
      <c r="AB384" s="9" t="n">
        <v>0</v>
      </c>
      <c r="AC384" s="9" t="n">
        <v>128.30684067008</v>
      </c>
      <c r="AD384" s="9" t="n">
        <v>2163.238447027511</v>
      </c>
      <c r="AE384" s="9" t="n">
        <v>81</v>
      </c>
      <c r="AF384" s="9" t="n">
        <v>0</v>
      </c>
      <c r="AG384" s="9" t="n">
        <v>19.30322588183256</v>
      </c>
      <c r="AH384" s="9" t="n">
        <v>135.4948599015221</v>
      </c>
      <c r="AI384" s="9" t="n">
        <v>0</v>
      </c>
      <c r="AJ384" s="9" t="n">
        <v>0</v>
      </c>
      <c r="AK384" s="9" t="n">
        <v>137.0125458628354</v>
      </c>
      <c r="AL384" s="9" t="n">
        <v>2167.703854938902</v>
      </c>
      <c r="AM384" s="9" t="n">
        <v>81</v>
      </c>
      <c r="AN384" s="9" t="n">
        <v>0</v>
      </c>
      <c r="AO384" s="9" t="n">
        <v>17.3837108465649</v>
      </c>
      <c r="AP384" s="9" t="n">
        <v>44.06688515727873</v>
      </c>
      <c r="AQ384" s="9" t="n">
        <v>0</v>
      </c>
      <c r="AR384" s="9" t="n">
        <v>0</v>
      </c>
      <c r="AS384" s="9" t="n">
        <v>127.8032623196643</v>
      </c>
      <c r="AT384" s="9" t="n">
        <v>2240.552260907839</v>
      </c>
      <c r="AU384" s="9" t="n">
        <v>81</v>
      </c>
      <c r="AV384" s="9" t="n">
        <v>0</v>
      </c>
      <c r="AW384" s="9" t="n">
        <v>2.932925072776125</v>
      </c>
      <c r="AX384" s="9" t="n">
        <v>6.896323422537308</v>
      </c>
      <c r="AY384" s="9" t="n">
        <v>0</v>
      </c>
    </row>
    <row r="385">
      <c r="A385" s="9" t="n">
        <v>391</v>
      </c>
      <c r="B385" s="9" t="inlineStr">
        <is>
          <t>КО175</t>
        </is>
      </c>
      <c r="C385" s="9" t="inlineStr"/>
      <c r="D385" s="9" t="inlineStr">
        <is>
          <t>ШОКОЛАД</t>
        </is>
      </c>
      <c r="E385" s="9" t="inlineStr">
        <is>
          <t>Федеральный</t>
        </is>
      </c>
      <c r="F385" s="9" t="n">
        <v>0</v>
      </c>
      <c r="G385" s="9" t="n">
        <v>0</v>
      </c>
      <c r="H385" s="9" t="n">
        <v>0</v>
      </c>
      <c r="I385" s="9" t="n">
        <v>0</v>
      </c>
      <c r="J385" s="9" t="n">
        <v>0</v>
      </c>
      <c r="K385" s="9" t="n">
        <v>0</v>
      </c>
      <c r="L385" s="9" t="n">
        <v>0</v>
      </c>
      <c r="M385" s="9" t="n">
        <v>0</v>
      </c>
      <c r="N385" s="9" t="n">
        <v>0</v>
      </c>
      <c r="O385" s="9" t="n">
        <v>0</v>
      </c>
      <c r="P385" s="9" t="n">
        <v>0</v>
      </c>
      <c r="Q385" s="9" t="n">
        <v>0</v>
      </c>
      <c r="R385" s="9" t="n">
        <v>0</v>
      </c>
      <c r="S385" s="9" t="n">
        <v>0</v>
      </c>
      <c r="T385" s="9" t="n">
        <v>0</v>
      </c>
      <c r="U385" s="9" t="n">
        <v>0</v>
      </c>
      <c r="V385" s="9" t="n">
        <v>0</v>
      </c>
      <c r="W385" s="9" t="n">
        <v>0</v>
      </c>
      <c r="X385" s="9" t="n">
        <v>0</v>
      </c>
      <c r="Y385" s="9" t="n">
        <v>0</v>
      </c>
      <c r="Z385" s="9" t="n">
        <v>0</v>
      </c>
      <c r="AA385" s="9" t="n">
        <v>0</v>
      </c>
      <c r="AB385" s="9" t="n">
        <v>0</v>
      </c>
      <c r="AC385" s="9" t="n">
        <v>0</v>
      </c>
      <c r="AD385" s="9" t="n">
        <v>0</v>
      </c>
      <c r="AE385" s="9" t="n">
        <v>0</v>
      </c>
      <c r="AF385" s="9" t="n">
        <v>0</v>
      </c>
      <c r="AG385" s="9" t="n">
        <v>0</v>
      </c>
      <c r="AH385" s="9" t="n">
        <v>0</v>
      </c>
      <c r="AI385" s="9" t="n">
        <v>0</v>
      </c>
      <c r="AJ385" s="9" t="n">
        <v>0</v>
      </c>
      <c r="AK385" s="9" t="n">
        <v>0</v>
      </c>
      <c r="AL385" s="9" t="n">
        <v>0</v>
      </c>
      <c r="AM385" s="9" t="n">
        <v>0</v>
      </c>
      <c r="AN385" s="9" t="n">
        <v>0</v>
      </c>
      <c r="AO385" s="9" t="n">
        <v>0</v>
      </c>
      <c r="AP385" s="9" t="n">
        <v>0</v>
      </c>
      <c r="AQ385" s="9" t="n">
        <v>0</v>
      </c>
      <c r="AR385" s="9" t="n">
        <v>0</v>
      </c>
      <c r="AS385" s="9" t="n">
        <v>0</v>
      </c>
      <c r="AT385" s="9" t="n">
        <v>0</v>
      </c>
      <c r="AU385" s="9" t="n">
        <v>0</v>
      </c>
      <c r="AV385" s="9" t="n">
        <v>0</v>
      </c>
      <c r="AW385" s="9" t="n">
        <v>0</v>
      </c>
      <c r="AX385" s="9" t="n">
        <v>0</v>
      </c>
      <c r="AY385" s="9" t="n">
        <v>0</v>
      </c>
    </row>
    <row r="386">
      <c r="A386" s="9" t="n">
        <v>392</v>
      </c>
      <c r="B386" s="9" t="inlineStr">
        <is>
          <t>КО220</t>
        </is>
      </c>
      <c r="C386" s="9" t="inlineStr"/>
      <c r="D386" s="9" t="inlineStr">
        <is>
          <t>ШОКОЛАД</t>
        </is>
      </c>
      <c r="E386" s="9" t="inlineStr">
        <is>
          <t>Федеральный</t>
        </is>
      </c>
      <c r="F386" s="9" t="n">
        <v>1863</v>
      </c>
      <c r="G386" s="9" t="n">
        <v>0</v>
      </c>
      <c r="H386" s="9" t="n">
        <v>0</v>
      </c>
      <c r="I386" s="9" t="n">
        <v>0</v>
      </c>
      <c r="J386" s="9" t="n">
        <v>0</v>
      </c>
      <c r="K386" s="9" t="n">
        <v>0</v>
      </c>
      <c r="L386" s="9" t="n">
        <v>0</v>
      </c>
      <c r="M386" s="9" t="n">
        <v>0</v>
      </c>
      <c r="N386" s="9" t="n">
        <v>0</v>
      </c>
      <c r="O386" s="9" t="n">
        <v>0</v>
      </c>
      <c r="P386" s="9" t="n">
        <v>0</v>
      </c>
      <c r="Q386" s="9" t="n">
        <v>0</v>
      </c>
      <c r="R386" s="9" t="n">
        <v>0</v>
      </c>
      <c r="S386" s="9" t="n">
        <v>0</v>
      </c>
      <c r="T386" s="9" t="n">
        <v>0</v>
      </c>
      <c r="U386" s="9" t="n">
        <v>0</v>
      </c>
      <c r="V386" s="9" t="n">
        <v>0</v>
      </c>
      <c r="W386" s="9" t="n">
        <v>0</v>
      </c>
      <c r="X386" s="9" t="n">
        <v>0</v>
      </c>
      <c r="Y386" s="9" t="n">
        <v>0</v>
      </c>
      <c r="Z386" s="9" t="n">
        <v>0</v>
      </c>
      <c r="AA386" s="9" t="n">
        <v>0</v>
      </c>
      <c r="AB386" s="9" t="n">
        <v>0</v>
      </c>
      <c r="AC386" s="9" t="n">
        <v>0</v>
      </c>
      <c r="AD386" s="9" t="n">
        <v>0</v>
      </c>
      <c r="AE386" s="9" t="n">
        <v>0</v>
      </c>
      <c r="AF386" s="9" t="n">
        <v>0</v>
      </c>
      <c r="AG386" s="9" t="n">
        <v>0</v>
      </c>
      <c r="AH386" s="9" t="n">
        <v>0</v>
      </c>
      <c r="AI386" s="9" t="n">
        <v>0</v>
      </c>
      <c r="AJ386" s="9" t="n">
        <v>0</v>
      </c>
      <c r="AK386" s="9" t="n">
        <v>0</v>
      </c>
      <c r="AL386" s="9" t="n">
        <v>0</v>
      </c>
      <c r="AM386" s="9" t="n">
        <v>0</v>
      </c>
      <c r="AN386" s="9" t="n">
        <v>0</v>
      </c>
      <c r="AO386" s="9" t="n">
        <v>0</v>
      </c>
      <c r="AP386" s="9" t="n">
        <v>0</v>
      </c>
      <c r="AQ386" s="9" t="n">
        <v>0</v>
      </c>
      <c r="AR386" s="9" t="n">
        <v>0</v>
      </c>
      <c r="AS386" s="9" t="n">
        <v>0</v>
      </c>
      <c r="AT386" s="9" t="n">
        <v>0</v>
      </c>
      <c r="AU386" s="9" t="n">
        <v>0</v>
      </c>
      <c r="AV386" s="9" t="n">
        <v>0</v>
      </c>
      <c r="AW386" s="9" t="n">
        <v>0</v>
      </c>
      <c r="AX386" s="9" t="n">
        <v>0</v>
      </c>
      <c r="AY386" s="9" t="n">
        <v>0</v>
      </c>
    </row>
    <row r="387">
      <c r="A387" s="9" t="n">
        <v>393</v>
      </c>
      <c r="B387" s="9" t="inlineStr">
        <is>
          <t>КО183</t>
        </is>
      </c>
      <c r="C387" s="9" t="inlineStr"/>
      <c r="D387" s="9" t="inlineStr">
        <is>
          <t>ШОКОЛАД</t>
        </is>
      </c>
      <c r="E387" s="9" t="inlineStr">
        <is>
          <t>Федеральный</t>
        </is>
      </c>
      <c r="F387" s="9" t="n">
        <v>421358.4600000001</v>
      </c>
      <c r="G387" s="9" t="n">
        <v>92643</v>
      </c>
      <c r="H387" s="9" t="n">
        <v>207449</v>
      </c>
      <c r="I387" s="9" t="n">
        <v>138420.58</v>
      </c>
      <c r="J387" s="9" t="n">
        <v>138420.58</v>
      </c>
      <c r="K387" s="9" t="n">
        <v>138420.58</v>
      </c>
      <c r="L387" s="9" t="n">
        <v>117369.7</v>
      </c>
      <c r="M387" s="9" t="n">
        <v>1709.822168305794</v>
      </c>
      <c r="N387" s="9" t="n">
        <v>40043.23847775137</v>
      </c>
      <c r="O387" s="9" t="n">
        <v>286.9399999999999</v>
      </c>
      <c r="P387" s="9" t="n">
        <v>0</v>
      </c>
      <c r="Q387" s="9" t="n">
        <v>358.8050908119961</v>
      </c>
      <c r="R387" s="9" t="n">
        <v>1997.31809999113</v>
      </c>
      <c r="S387" s="9" t="n">
        <v>0.8880276161777404</v>
      </c>
      <c r="T387" s="9" t="n">
        <v>75636</v>
      </c>
      <c r="U387" s="9" t="n">
        <v>4332.592746327564</v>
      </c>
      <c r="V387" s="9" t="n">
        <v>164498.8770685321</v>
      </c>
      <c r="W387" s="9" t="n">
        <v>345.4399999999999</v>
      </c>
      <c r="X387" s="9" t="n">
        <v>0</v>
      </c>
      <c r="Y387" s="9" t="n">
        <v>792.8465767225088</v>
      </c>
      <c r="Z387" s="9" t="n">
        <v>5254.952020136583</v>
      </c>
      <c r="AA387" s="9" t="n">
        <v>1.776055232355483</v>
      </c>
      <c r="AB387" s="9" t="n">
        <v>58135</v>
      </c>
      <c r="AC387" s="9" t="n">
        <v>3924.455960008079</v>
      </c>
      <c r="AD387" s="9" t="n">
        <v>145228.0967593538</v>
      </c>
      <c r="AE387" s="9" t="n">
        <v>444.24</v>
      </c>
      <c r="AF387" s="9" t="n">
        <v>0</v>
      </c>
      <c r="AG387" s="9" t="n">
        <v>1180.748833269648</v>
      </c>
      <c r="AH387" s="9" t="n">
        <v>4623.391532263905</v>
      </c>
      <c r="AI387" s="9" t="n">
        <v>2.841688371768774</v>
      </c>
      <c r="AJ387" s="9" t="n">
        <v>53057.10000000001</v>
      </c>
      <c r="AK387" s="9" t="n">
        <v>4190.732928962773</v>
      </c>
      <c r="AL387" s="9" t="n">
        <v>142748.0101503412</v>
      </c>
      <c r="AM387" s="9" t="n">
        <v>333.09</v>
      </c>
      <c r="AN387" s="9" t="n">
        <v>0</v>
      </c>
      <c r="AO387" s="9" t="n">
        <v>1063.335031441377</v>
      </c>
      <c r="AP387" s="9" t="n">
        <v>941.2869001995151</v>
      </c>
      <c r="AQ387" s="9" t="n">
        <v>3.944370054467883</v>
      </c>
      <c r="AR387" s="9" t="n">
        <v>36840.7</v>
      </c>
      <c r="AS387" s="9" t="n">
        <v>3909.053265589767</v>
      </c>
      <c r="AT387" s="9" t="n">
        <v>140969.8007783142</v>
      </c>
      <c r="AU387" s="9" t="n">
        <v>258.99</v>
      </c>
      <c r="AV387" s="9" t="n">
        <v>0</v>
      </c>
      <c r="AW387" s="9" t="n">
        <v>179.4025454059984</v>
      </c>
      <c r="AX387" s="9" t="n">
        <v>114.5005293086006</v>
      </c>
      <c r="AY387" s="9" t="n">
        <v>1.776055232355484</v>
      </c>
    </row>
    <row r="388">
      <c r="A388" s="9" t="n">
        <v>394</v>
      </c>
      <c r="B388" s="9" t="inlineStr">
        <is>
          <t>КО011</t>
        </is>
      </c>
      <c r="C388" s="9" t="inlineStr"/>
      <c r="D388" s="9" t="inlineStr">
        <is>
          <t>ШОКОЛАД</t>
        </is>
      </c>
      <c r="E388" s="9" t="inlineStr">
        <is>
          <t>Федеральный</t>
        </is>
      </c>
      <c r="F388" s="9" t="n">
        <v>1.9</v>
      </c>
      <c r="G388" s="9" t="n">
        <v>0</v>
      </c>
      <c r="H388" s="9" t="n">
        <v>0</v>
      </c>
      <c r="I388" s="9" t="n">
        <v>0</v>
      </c>
      <c r="J388" s="9" t="n">
        <v>0</v>
      </c>
      <c r="K388" s="9" t="n">
        <v>0</v>
      </c>
      <c r="L388" s="9" t="n">
        <v>0</v>
      </c>
      <c r="M388" s="9" t="n">
        <v>0</v>
      </c>
      <c r="N388" s="9" t="n">
        <v>0</v>
      </c>
      <c r="O388" s="9" t="n">
        <v>0</v>
      </c>
      <c r="P388" s="9" t="n">
        <v>0</v>
      </c>
      <c r="Q388" s="9" t="n">
        <v>0</v>
      </c>
      <c r="R388" s="9" t="n">
        <v>0</v>
      </c>
      <c r="S388" s="9" t="n">
        <v>0</v>
      </c>
      <c r="T388" s="9" t="n">
        <v>0</v>
      </c>
      <c r="U388" s="9" t="n">
        <v>0</v>
      </c>
      <c r="V388" s="9" t="n">
        <v>0</v>
      </c>
      <c r="W388" s="9" t="n">
        <v>0</v>
      </c>
      <c r="X388" s="9" t="n">
        <v>0</v>
      </c>
      <c r="Y388" s="9" t="n">
        <v>0</v>
      </c>
      <c r="Z388" s="9" t="n">
        <v>0</v>
      </c>
      <c r="AA388" s="9" t="n">
        <v>0</v>
      </c>
      <c r="AB388" s="9" t="n">
        <v>0</v>
      </c>
      <c r="AC388" s="9" t="n">
        <v>0</v>
      </c>
      <c r="AD388" s="9" t="n">
        <v>0</v>
      </c>
      <c r="AE388" s="9" t="n">
        <v>0</v>
      </c>
      <c r="AF388" s="9" t="n">
        <v>0</v>
      </c>
      <c r="AG388" s="9" t="n">
        <v>0</v>
      </c>
      <c r="AH388" s="9" t="n">
        <v>0</v>
      </c>
      <c r="AI388" s="9" t="n">
        <v>0</v>
      </c>
      <c r="AJ388" s="9" t="n">
        <v>0</v>
      </c>
      <c r="AK388" s="9" t="n">
        <v>0</v>
      </c>
      <c r="AL388" s="9" t="n">
        <v>0</v>
      </c>
      <c r="AM388" s="9" t="n">
        <v>0</v>
      </c>
      <c r="AN388" s="9" t="n">
        <v>0</v>
      </c>
      <c r="AO388" s="9" t="n">
        <v>0</v>
      </c>
      <c r="AP388" s="9" t="n">
        <v>0</v>
      </c>
      <c r="AQ388" s="9" t="n">
        <v>0</v>
      </c>
      <c r="AR388" s="9" t="n">
        <v>0</v>
      </c>
      <c r="AS388" s="9" t="n">
        <v>0</v>
      </c>
      <c r="AT388" s="9" t="n">
        <v>0</v>
      </c>
      <c r="AU388" s="9" t="n">
        <v>0</v>
      </c>
      <c r="AV388" s="9" t="n">
        <v>0</v>
      </c>
      <c r="AW388" s="9" t="n">
        <v>0</v>
      </c>
      <c r="AX388" s="9" t="n">
        <v>0</v>
      </c>
      <c r="AY388" s="9" t="n">
        <v>0</v>
      </c>
    </row>
    <row r="389">
      <c r="A389" s="9" t="n">
        <v>395</v>
      </c>
      <c r="B389" s="9" t="inlineStr">
        <is>
          <t>КО221</t>
        </is>
      </c>
      <c r="C389" s="9" t="inlineStr"/>
      <c r="D389" s="9" t="inlineStr">
        <is>
          <t>ШОКОЛАД</t>
        </is>
      </c>
      <c r="E389" s="9" t="inlineStr">
        <is>
          <t>Федеральный</t>
        </is>
      </c>
      <c r="F389" s="9" t="n">
        <v>0</v>
      </c>
      <c r="G389" s="9" t="n">
        <v>0</v>
      </c>
      <c r="H389" s="9" t="n">
        <v>0</v>
      </c>
      <c r="I389" s="9" t="n">
        <v>0</v>
      </c>
      <c r="J389" s="9" t="n">
        <v>0</v>
      </c>
      <c r="K389" s="9" t="n">
        <v>0</v>
      </c>
      <c r="L389" s="9" t="n">
        <v>0</v>
      </c>
      <c r="M389" s="9" t="n">
        <v>0</v>
      </c>
      <c r="N389" s="9" t="n">
        <v>0</v>
      </c>
      <c r="O389" s="9" t="n">
        <v>0</v>
      </c>
      <c r="P389" s="9" t="n">
        <v>0</v>
      </c>
      <c r="Q389" s="9" t="n">
        <v>0</v>
      </c>
      <c r="R389" s="9" t="n">
        <v>0</v>
      </c>
      <c r="S389" s="9" t="n">
        <v>0</v>
      </c>
      <c r="T389" s="9" t="n">
        <v>0</v>
      </c>
      <c r="U389" s="9" t="n">
        <v>0</v>
      </c>
      <c r="V389" s="9" t="n">
        <v>0</v>
      </c>
      <c r="W389" s="9" t="n">
        <v>0</v>
      </c>
      <c r="X389" s="9" t="n">
        <v>0</v>
      </c>
      <c r="Y389" s="9" t="n">
        <v>0</v>
      </c>
      <c r="Z389" s="9" t="n">
        <v>0</v>
      </c>
      <c r="AA389" s="9" t="n">
        <v>0</v>
      </c>
      <c r="AB389" s="9" t="n">
        <v>0</v>
      </c>
      <c r="AC389" s="9" t="n">
        <v>0</v>
      </c>
      <c r="AD389" s="9" t="n">
        <v>0</v>
      </c>
      <c r="AE389" s="9" t="n">
        <v>0</v>
      </c>
      <c r="AF389" s="9" t="n">
        <v>0</v>
      </c>
      <c r="AG389" s="9" t="n">
        <v>0</v>
      </c>
      <c r="AH389" s="9" t="n">
        <v>0</v>
      </c>
      <c r="AI389" s="9" t="n">
        <v>0</v>
      </c>
      <c r="AJ389" s="9" t="n">
        <v>0</v>
      </c>
      <c r="AK389" s="9" t="n">
        <v>0</v>
      </c>
      <c r="AL389" s="9" t="n">
        <v>0</v>
      </c>
      <c r="AM389" s="9" t="n">
        <v>0</v>
      </c>
      <c r="AN389" s="9" t="n">
        <v>0</v>
      </c>
      <c r="AO389" s="9" t="n">
        <v>0</v>
      </c>
      <c r="AP389" s="9" t="n">
        <v>0</v>
      </c>
      <c r="AQ389" s="9" t="n">
        <v>0</v>
      </c>
      <c r="AR389" s="9" t="n">
        <v>0</v>
      </c>
      <c r="AS389" s="9" t="n">
        <v>0</v>
      </c>
      <c r="AT389" s="9" t="n">
        <v>0</v>
      </c>
      <c r="AU389" s="9" t="n">
        <v>0</v>
      </c>
      <c r="AV389" s="9" t="n">
        <v>0</v>
      </c>
      <c r="AW389" s="9" t="n">
        <v>0</v>
      </c>
      <c r="AX389" s="9" t="n">
        <v>0</v>
      </c>
      <c r="AY389" s="9" t="n">
        <v>0</v>
      </c>
    </row>
    <row r="390">
      <c r="A390" s="9" t="n">
        <v>396</v>
      </c>
      <c r="B390" s="9" t="inlineStr">
        <is>
          <t>КО231</t>
        </is>
      </c>
      <c r="C390" s="9" t="inlineStr"/>
      <c r="D390" s="9" t="inlineStr">
        <is>
          <t>ШОКОЛАД</t>
        </is>
      </c>
      <c r="E390" s="9" t="inlineStr">
        <is>
          <t>Федеральный</t>
        </is>
      </c>
      <c r="F390" s="9" t="n">
        <v>8.1</v>
      </c>
      <c r="G390" s="9" t="n">
        <v>0</v>
      </c>
      <c r="H390" s="9" t="n">
        <v>0</v>
      </c>
      <c r="I390" s="9" t="n">
        <v>0</v>
      </c>
      <c r="J390" s="9" t="n">
        <v>0</v>
      </c>
      <c r="K390" s="9" t="n">
        <v>0</v>
      </c>
      <c r="L390" s="9" t="n">
        <v>0</v>
      </c>
      <c r="M390" s="9" t="n">
        <v>0</v>
      </c>
      <c r="N390" s="9" t="n">
        <v>0</v>
      </c>
      <c r="O390" s="9" t="n">
        <v>0</v>
      </c>
      <c r="P390" s="9" t="n">
        <v>0</v>
      </c>
      <c r="Q390" s="9" t="n">
        <v>0</v>
      </c>
      <c r="R390" s="9" t="n">
        <v>0</v>
      </c>
      <c r="S390" s="9" t="n">
        <v>0</v>
      </c>
      <c r="T390" s="9" t="n">
        <v>0</v>
      </c>
      <c r="U390" s="9" t="n">
        <v>0</v>
      </c>
      <c r="V390" s="9" t="n">
        <v>0</v>
      </c>
      <c r="W390" s="9" t="n">
        <v>0</v>
      </c>
      <c r="X390" s="9" t="n">
        <v>0</v>
      </c>
      <c r="Y390" s="9" t="n">
        <v>0</v>
      </c>
      <c r="Z390" s="9" t="n">
        <v>0</v>
      </c>
      <c r="AA390" s="9" t="n">
        <v>0</v>
      </c>
      <c r="AB390" s="9" t="n">
        <v>0</v>
      </c>
      <c r="AC390" s="9" t="n">
        <v>0</v>
      </c>
      <c r="AD390" s="9" t="n">
        <v>0</v>
      </c>
      <c r="AE390" s="9" t="n">
        <v>0</v>
      </c>
      <c r="AF390" s="9" t="n">
        <v>0</v>
      </c>
      <c r="AG390" s="9" t="n">
        <v>0</v>
      </c>
      <c r="AH390" s="9" t="n">
        <v>0</v>
      </c>
      <c r="AI390" s="9" t="n">
        <v>0</v>
      </c>
      <c r="AJ390" s="9" t="n">
        <v>0</v>
      </c>
      <c r="AK390" s="9" t="n">
        <v>0</v>
      </c>
      <c r="AL390" s="9" t="n">
        <v>0</v>
      </c>
      <c r="AM390" s="9" t="n">
        <v>0</v>
      </c>
      <c r="AN390" s="9" t="n">
        <v>0</v>
      </c>
      <c r="AO390" s="9" t="n">
        <v>0</v>
      </c>
      <c r="AP390" s="9" t="n">
        <v>0</v>
      </c>
      <c r="AQ390" s="9" t="n">
        <v>0</v>
      </c>
      <c r="AR390" s="9" t="n">
        <v>0</v>
      </c>
      <c r="AS390" s="9" t="n">
        <v>0</v>
      </c>
      <c r="AT390" s="9" t="n">
        <v>0</v>
      </c>
      <c r="AU390" s="9" t="n">
        <v>0</v>
      </c>
      <c r="AV390" s="9" t="n">
        <v>0</v>
      </c>
      <c r="AW390" s="9" t="n">
        <v>0</v>
      </c>
      <c r="AX390" s="9" t="n">
        <v>0</v>
      </c>
      <c r="AY390" s="9" t="n">
        <v>0</v>
      </c>
    </row>
    <row r="391">
      <c r="A391" s="9" t="n">
        <v>397</v>
      </c>
      <c r="B391" s="9" t="inlineStr">
        <is>
          <t>ББ118</t>
        </is>
      </c>
      <c r="C391" s="9" t="inlineStr"/>
      <c r="D391" s="9" t="inlineStr">
        <is>
          <t>ШОКОЛАД</t>
        </is>
      </c>
      <c r="E391" s="9" t="inlineStr">
        <is>
          <t>Федеральный</t>
        </is>
      </c>
      <c r="F391" s="9" t="n">
        <v>0</v>
      </c>
      <c r="G391" s="9" t="n">
        <v>0</v>
      </c>
      <c r="H391" s="9" t="n">
        <v>0</v>
      </c>
      <c r="I391" s="9" t="n">
        <v>0</v>
      </c>
      <c r="J391" s="9" t="n">
        <v>0</v>
      </c>
      <c r="K391" s="9" t="n">
        <v>0</v>
      </c>
      <c r="L391" s="9" t="n">
        <v>0</v>
      </c>
      <c r="M391" s="9" t="n">
        <v>0</v>
      </c>
      <c r="N391" s="9" t="n">
        <v>0</v>
      </c>
      <c r="O391" s="9" t="n">
        <v>0</v>
      </c>
      <c r="P391" s="9" t="n">
        <v>0</v>
      </c>
      <c r="Q391" s="9" t="n">
        <v>44.19781974647933</v>
      </c>
      <c r="R391" s="9" t="n">
        <v>0</v>
      </c>
      <c r="S391" s="9" t="n">
        <v>0</v>
      </c>
      <c r="T391" s="9" t="n">
        <v>0</v>
      </c>
      <c r="U391" s="9" t="n">
        <v>0</v>
      </c>
      <c r="V391" s="9" t="n">
        <v>0</v>
      </c>
      <c r="W391" s="9" t="n">
        <v>0</v>
      </c>
      <c r="X391" s="9" t="n">
        <v>0</v>
      </c>
      <c r="Y391" s="9" t="n">
        <v>97.6633023943234</v>
      </c>
      <c r="Z391" s="9" t="n">
        <v>0</v>
      </c>
      <c r="AA391" s="9" t="n">
        <v>0</v>
      </c>
      <c r="AB391" s="9" t="n">
        <v>0</v>
      </c>
      <c r="AC391" s="9" t="n">
        <v>0</v>
      </c>
      <c r="AD391" s="9" t="n">
        <v>0</v>
      </c>
      <c r="AE391" s="9" t="n">
        <v>0</v>
      </c>
      <c r="AF391" s="9" t="n">
        <v>0</v>
      </c>
      <c r="AG391" s="9" t="n">
        <v>145.4453279372839</v>
      </c>
      <c r="AH391" s="9" t="n">
        <v>0</v>
      </c>
      <c r="AI391" s="9" t="n">
        <v>0</v>
      </c>
      <c r="AJ391" s="9" t="n">
        <v>0</v>
      </c>
      <c r="AK391" s="9" t="n">
        <v>0</v>
      </c>
      <c r="AL391" s="9" t="n">
        <v>0</v>
      </c>
      <c r="AM391" s="9" t="n">
        <v>0</v>
      </c>
      <c r="AN391" s="9" t="n">
        <v>0</v>
      </c>
      <c r="AO391" s="9" t="n">
        <v>130.9822275470113</v>
      </c>
      <c r="AP391" s="9" t="n">
        <v>0</v>
      </c>
      <c r="AQ391" s="9" t="n">
        <v>0</v>
      </c>
      <c r="AR391" s="9" t="n">
        <v>0</v>
      </c>
      <c r="AS391" s="9" t="n">
        <v>0</v>
      </c>
      <c r="AT391" s="9" t="n">
        <v>0</v>
      </c>
      <c r="AU391" s="9" t="n">
        <v>0</v>
      </c>
      <c r="AV391" s="9" t="n">
        <v>0</v>
      </c>
      <c r="AW391" s="9" t="n">
        <v>22.09890987323971</v>
      </c>
      <c r="AX391" s="9" t="n">
        <v>0</v>
      </c>
      <c r="AY391" s="9" t="n">
        <v>0</v>
      </c>
    </row>
    <row r="392">
      <c r="A392" s="9" t="n">
        <v>398</v>
      </c>
      <c r="B392" s="9" t="inlineStr">
        <is>
          <t>ББ192</t>
        </is>
      </c>
      <c r="C392" s="9" t="inlineStr"/>
      <c r="D392" s="9" t="inlineStr">
        <is>
          <t>ШОКОЛАД</t>
        </is>
      </c>
      <c r="E392" s="9" t="inlineStr">
        <is>
          <t>Федеральный</t>
        </is>
      </c>
      <c r="F392" s="9" t="n">
        <v>6682.504080000001</v>
      </c>
      <c r="G392" s="9" t="n">
        <v>0</v>
      </c>
      <c r="H392" s="9" t="n">
        <v>0</v>
      </c>
      <c r="I392" s="9" t="n">
        <v>0</v>
      </c>
      <c r="J392" s="9" t="n">
        <v>0</v>
      </c>
      <c r="K392" s="9" t="n">
        <v>0</v>
      </c>
      <c r="L392" s="9" t="n">
        <v>0</v>
      </c>
      <c r="M392" s="9" t="n">
        <v>0</v>
      </c>
      <c r="N392" s="9" t="n">
        <v>0</v>
      </c>
      <c r="O392" s="9" t="n">
        <v>0</v>
      </c>
      <c r="P392" s="9" t="n">
        <v>0</v>
      </c>
      <c r="Q392" s="9" t="n">
        <v>0</v>
      </c>
      <c r="R392" s="9" t="n">
        <v>0</v>
      </c>
      <c r="S392" s="9" t="n">
        <v>0</v>
      </c>
      <c r="T392" s="9" t="n">
        <v>0</v>
      </c>
      <c r="U392" s="9" t="n">
        <v>0</v>
      </c>
      <c r="V392" s="9" t="n">
        <v>0</v>
      </c>
      <c r="W392" s="9" t="n">
        <v>0</v>
      </c>
      <c r="X392" s="9" t="n">
        <v>0</v>
      </c>
      <c r="Y392" s="9" t="n">
        <v>0</v>
      </c>
      <c r="Z392" s="9" t="n">
        <v>0</v>
      </c>
      <c r="AA392" s="9" t="n">
        <v>0</v>
      </c>
      <c r="AB392" s="9" t="n">
        <v>0</v>
      </c>
      <c r="AC392" s="9" t="n">
        <v>0</v>
      </c>
      <c r="AD392" s="9" t="n">
        <v>0</v>
      </c>
      <c r="AE392" s="9" t="n">
        <v>0</v>
      </c>
      <c r="AF392" s="9" t="n">
        <v>0</v>
      </c>
      <c r="AG392" s="9" t="n">
        <v>0</v>
      </c>
      <c r="AH392" s="9" t="n">
        <v>0</v>
      </c>
      <c r="AI392" s="9" t="n">
        <v>0</v>
      </c>
      <c r="AJ392" s="9" t="n">
        <v>0</v>
      </c>
      <c r="AK392" s="9" t="n">
        <v>0</v>
      </c>
      <c r="AL392" s="9" t="n">
        <v>0</v>
      </c>
      <c r="AM392" s="9" t="n">
        <v>0</v>
      </c>
      <c r="AN392" s="9" t="n">
        <v>0</v>
      </c>
      <c r="AO392" s="9" t="n">
        <v>0</v>
      </c>
      <c r="AP392" s="9" t="n">
        <v>0</v>
      </c>
      <c r="AQ392" s="9" t="n">
        <v>0</v>
      </c>
      <c r="AR392" s="9" t="n">
        <v>0</v>
      </c>
      <c r="AS392" s="9" t="n">
        <v>0</v>
      </c>
      <c r="AT392" s="9" t="n">
        <v>0</v>
      </c>
      <c r="AU392" s="9" t="n">
        <v>0</v>
      </c>
      <c r="AV392" s="9" t="n">
        <v>0</v>
      </c>
      <c r="AW392" s="9" t="n">
        <v>0</v>
      </c>
      <c r="AX392" s="9" t="n">
        <v>0</v>
      </c>
      <c r="AY392" s="9" t="n">
        <v>0</v>
      </c>
    </row>
    <row r="393">
      <c r="A393" s="9" t="n">
        <v>399</v>
      </c>
      <c r="B393" s="9" t="inlineStr">
        <is>
          <t>ББ204</t>
        </is>
      </c>
      <c r="C393" s="9" t="inlineStr"/>
      <c r="D393" s="9" t="inlineStr">
        <is>
          <t>ШОКОЛАД</t>
        </is>
      </c>
      <c r="E393" s="9" t="inlineStr">
        <is>
          <t>Федеральный</t>
        </is>
      </c>
      <c r="F393" s="9" t="n">
        <v>121110.1</v>
      </c>
      <c r="G393" s="9" t="n">
        <v>31831</v>
      </c>
      <c r="H393" s="9" t="n">
        <v>91318</v>
      </c>
      <c r="I393" s="9" t="n">
        <v>71318</v>
      </c>
      <c r="J393" s="9" t="n">
        <v>91318</v>
      </c>
      <c r="K393" s="9" t="n">
        <v>51491</v>
      </c>
      <c r="L393" s="9" t="n">
        <v>35698.6</v>
      </c>
      <c r="M393" s="9" t="n">
        <v>3010</v>
      </c>
      <c r="N393" s="9" t="n">
        <v>13724.3011543005</v>
      </c>
      <c r="O393" s="9" t="n">
        <v>75.16800000000001</v>
      </c>
      <c r="P393" s="9" t="n">
        <v>0</v>
      </c>
      <c r="Q393" s="9" t="n">
        <v>41.42103341657619</v>
      </c>
      <c r="R393" s="9" t="n">
        <v>112.1955727728751</v>
      </c>
      <c r="S393" s="9" t="n">
        <v>0.1429120073621209</v>
      </c>
      <c r="T393" s="9" t="n">
        <v>31139</v>
      </c>
      <c r="U393" s="9" t="n">
        <v>3010</v>
      </c>
      <c r="V393" s="9" t="n">
        <v>35261.10834799484</v>
      </c>
      <c r="W393" s="9" t="n">
        <v>75.16800000000001</v>
      </c>
      <c r="X393" s="9" t="n">
        <v>0</v>
      </c>
      <c r="Y393" s="9" t="n">
        <v>91.52747658713849</v>
      </c>
      <c r="Z393" s="9" t="n">
        <v>229.3764285442663</v>
      </c>
      <c r="AA393" s="9" t="n">
        <v>0.285824014724242</v>
      </c>
      <c r="AB393" s="9" t="n">
        <v>23981</v>
      </c>
      <c r="AC393" s="9" t="n">
        <v>3010</v>
      </c>
      <c r="AD393" s="9" t="n">
        <v>47129.4691114259</v>
      </c>
      <c r="AE393" s="9" t="n">
        <v>75.16800000000001</v>
      </c>
      <c r="AF393" s="9" t="n">
        <v>0</v>
      </c>
      <c r="AG393" s="9" t="n">
        <v>136.3075333428639</v>
      </c>
      <c r="AH393" s="9" t="n">
        <v>236.4525495586026</v>
      </c>
      <c r="AI393" s="9" t="n">
        <v>0.4573184235587877</v>
      </c>
      <c r="AJ393" s="9" t="n">
        <v>51966.00000000001</v>
      </c>
      <c r="AK393" s="9" t="n">
        <v>3000</v>
      </c>
      <c r="AL393" s="9" t="n">
        <v>46873.19263692474</v>
      </c>
      <c r="AM393" s="9" t="n">
        <v>75.16800000000001</v>
      </c>
      <c r="AN393" s="9" t="n">
        <v>0</v>
      </c>
      <c r="AO393" s="9" t="n">
        <v>122.7530963138632</v>
      </c>
      <c r="AP393" s="9" t="n">
        <v>38.92280980806835</v>
      </c>
      <c r="AQ393" s="9" t="n">
        <v>0.6347751263517217</v>
      </c>
      <c r="AR393" s="9" t="n">
        <v>44620</v>
      </c>
      <c r="AS393" s="9" t="n">
        <v>3000</v>
      </c>
      <c r="AT393" s="9" t="n">
        <v>53832.87954254249</v>
      </c>
      <c r="AU393" s="9" t="n">
        <v>75.16800000000001</v>
      </c>
      <c r="AV393" s="9" t="n">
        <v>0</v>
      </c>
      <c r="AW393" s="9" t="n">
        <v>20.71051670828813</v>
      </c>
      <c r="AX393" s="9" t="n">
        <v>6.240188529455599</v>
      </c>
      <c r="AY393" s="9" t="n">
        <v>0.2858240147242423</v>
      </c>
    </row>
    <row r="394">
      <c r="A394" s="9" t="n">
        <v>400</v>
      </c>
      <c r="B394" s="9" t="inlineStr">
        <is>
          <t>ББ183</t>
        </is>
      </c>
      <c r="C394" s="9" t="inlineStr"/>
      <c r="D394" s="9" t="inlineStr">
        <is>
          <t>ШОКОЛАД</t>
        </is>
      </c>
      <c r="E394" s="9" t="inlineStr">
        <is>
          <t>Федеральный</t>
        </is>
      </c>
      <c r="F394" s="9" t="n">
        <v>17856.27</v>
      </c>
      <c r="G394" s="9" t="n">
        <v>0</v>
      </c>
      <c r="H394" s="9" t="n">
        <v>5169.69</v>
      </c>
      <c r="I394" s="9" t="n">
        <v>3760.42</v>
      </c>
      <c r="J394" s="9" t="n">
        <v>5009.8</v>
      </c>
      <c r="K394" s="9" t="n">
        <v>1582.8</v>
      </c>
      <c r="L394" s="9" t="n">
        <v>1632</v>
      </c>
      <c r="M394" s="9" t="n">
        <v>47.54735955892423</v>
      </c>
      <c r="N394" s="9" t="n">
        <v>1165.268916310178</v>
      </c>
      <c r="O394" s="9" t="n">
        <v>53.13600000000001</v>
      </c>
      <c r="P394" s="9" t="n">
        <v>0</v>
      </c>
      <c r="Q394" s="9" t="n">
        <v>8.588032447721208</v>
      </c>
      <c r="R394" s="9" t="n">
        <v>29.7931296129869</v>
      </c>
      <c r="S394" s="9" t="n">
        <v>0</v>
      </c>
      <c r="T394" s="9" t="n">
        <v>1890</v>
      </c>
      <c r="U394" s="9" t="n">
        <v>110.9438389708232</v>
      </c>
      <c r="V394" s="9" t="n">
        <v>2818.220204633921</v>
      </c>
      <c r="W394" s="9" t="n">
        <v>53.13600000000001</v>
      </c>
      <c r="X394" s="9" t="n">
        <v>0</v>
      </c>
      <c r="Y394" s="9" t="n">
        <v>18.97685484770702</v>
      </c>
      <c r="Z394" s="9" t="n">
        <v>83.59508404996161</v>
      </c>
      <c r="AA394" s="9" t="n">
        <v>0</v>
      </c>
      <c r="AB394" s="9" t="n">
        <v>1508</v>
      </c>
      <c r="AC394" s="9" t="n">
        <v>110.9438389708232</v>
      </c>
      <c r="AD394" s="9" t="n">
        <v>3156.235300880195</v>
      </c>
      <c r="AE394" s="9" t="n">
        <v>53.13600000000001</v>
      </c>
      <c r="AF394" s="9" t="n">
        <v>0</v>
      </c>
      <c r="AG394" s="9" t="n">
        <v>28.26133060091374</v>
      </c>
      <c r="AH394" s="9" t="n">
        <v>73.01106445654592</v>
      </c>
      <c r="AI394" s="9" t="n">
        <v>0</v>
      </c>
      <c r="AJ394" s="9" t="n">
        <v>1379</v>
      </c>
      <c r="AK394" s="9" t="n">
        <v>110.9438389708232</v>
      </c>
      <c r="AL394" s="9" t="n">
        <v>3264.579383568989</v>
      </c>
      <c r="AM394" s="9" t="n">
        <v>53.13600000000001</v>
      </c>
      <c r="AN394" s="9" t="n">
        <v>0</v>
      </c>
      <c r="AO394" s="9" t="n">
        <v>25.45102058655598</v>
      </c>
      <c r="AP394" s="9" t="n">
        <v>31.89981434205144</v>
      </c>
      <c r="AQ394" s="9" t="n">
        <v>0</v>
      </c>
      <c r="AR394" s="9" t="n">
        <v>980</v>
      </c>
      <c r="AS394" s="9" t="n">
        <v>110.9438389708232</v>
      </c>
      <c r="AT394" s="9" t="n">
        <v>2965.424380403444</v>
      </c>
      <c r="AU394" s="9" t="n">
        <v>53.13600000000001</v>
      </c>
      <c r="AV394" s="9" t="n">
        <v>0</v>
      </c>
      <c r="AW394" s="9" t="n">
        <v>4.294016223860612</v>
      </c>
      <c r="AX394" s="9" t="n">
        <v>6.052859957866144</v>
      </c>
      <c r="AY394" s="9" t="n">
        <v>0</v>
      </c>
    </row>
    <row r="395">
      <c r="A395" s="9" t="n">
        <v>401</v>
      </c>
      <c r="B395" s="9" t="inlineStr">
        <is>
          <t>ББ192</t>
        </is>
      </c>
      <c r="C395" s="9" t="inlineStr"/>
      <c r="D395" s="9" t="inlineStr">
        <is>
          <t>ШОКОЛАД</t>
        </is>
      </c>
      <c r="E395" s="9" t="inlineStr">
        <is>
          <t>Федеральный</t>
        </is>
      </c>
      <c r="F395" s="9" t="n">
        <v>3013.7</v>
      </c>
      <c r="G395" s="9" t="n">
        <v>0</v>
      </c>
      <c r="H395" s="9" t="n">
        <v>0</v>
      </c>
      <c r="I395" s="9" t="n">
        <v>0</v>
      </c>
      <c r="J395" s="9" t="n">
        <v>0</v>
      </c>
      <c r="K395" s="9" t="n">
        <v>0</v>
      </c>
      <c r="L395" s="9" t="n">
        <v>0</v>
      </c>
      <c r="M395" s="9" t="n">
        <v>0</v>
      </c>
      <c r="N395" s="9" t="n">
        <v>0</v>
      </c>
      <c r="O395" s="9" t="n">
        <v>0</v>
      </c>
      <c r="P395" s="9" t="n">
        <v>0</v>
      </c>
      <c r="Q395" s="9" t="n">
        <v>0</v>
      </c>
      <c r="R395" s="9" t="n">
        <v>0</v>
      </c>
      <c r="S395" s="9" t="n">
        <v>0</v>
      </c>
      <c r="T395" s="9" t="n">
        <v>0</v>
      </c>
      <c r="U395" s="9" t="n">
        <v>0</v>
      </c>
      <c r="V395" s="9" t="n">
        <v>0</v>
      </c>
      <c r="W395" s="9" t="n">
        <v>0</v>
      </c>
      <c r="X395" s="9" t="n">
        <v>0</v>
      </c>
      <c r="Y395" s="9" t="n">
        <v>0</v>
      </c>
      <c r="Z395" s="9" t="n">
        <v>0</v>
      </c>
      <c r="AA395" s="9" t="n">
        <v>0</v>
      </c>
      <c r="AB395" s="9" t="n">
        <v>0</v>
      </c>
      <c r="AC395" s="9" t="n">
        <v>0</v>
      </c>
      <c r="AD395" s="9" t="n">
        <v>0</v>
      </c>
      <c r="AE395" s="9" t="n">
        <v>0</v>
      </c>
      <c r="AF395" s="9" t="n">
        <v>0</v>
      </c>
      <c r="AG395" s="9" t="n">
        <v>0</v>
      </c>
      <c r="AH395" s="9" t="n">
        <v>0</v>
      </c>
      <c r="AI395" s="9" t="n">
        <v>0</v>
      </c>
      <c r="AJ395" s="9" t="n">
        <v>0</v>
      </c>
      <c r="AK395" s="9" t="n">
        <v>0</v>
      </c>
      <c r="AL395" s="9" t="n">
        <v>0</v>
      </c>
      <c r="AM395" s="9" t="n">
        <v>0</v>
      </c>
      <c r="AN395" s="9" t="n">
        <v>0</v>
      </c>
      <c r="AO395" s="9" t="n">
        <v>0</v>
      </c>
      <c r="AP395" s="9" t="n">
        <v>0</v>
      </c>
      <c r="AQ395" s="9" t="n">
        <v>0</v>
      </c>
      <c r="AR395" s="9" t="n">
        <v>0</v>
      </c>
      <c r="AS395" s="9" t="n">
        <v>0</v>
      </c>
      <c r="AT395" s="9" t="n">
        <v>0</v>
      </c>
      <c r="AU395" s="9" t="n">
        <v>0</v>
      </c>
      <c r="AV395" s="9" t="n">
        <v>0</v>
      </c>
      <c r="AW395" s="9" t="n">
        <v>0</v>
      </c>
      <c r="AX395" s="9" t="n">
        <v>0</v>
      </c>
      <c r="AY395" s="9" t="n">
        <v>0</v>
      </c>
    </row>
    <row r="396">
      <c r="A396" s="9" t="n">
        <v>402</v>
      </c>
      <c r="B396" s="9" t="inlineStr">
        <is>
          <t>ББ116</t>
        </is>
      </c>
      <c r="C396" s="9" t="inlineStr"/>
      <c r="D396" s="9" t="inlineStr">
        <is>
          <t>ШОКОЛАД</t>
        </is>
      </c>
      <c r="E396" s="9" t="inlineStr">
        <is>
          <t>Федеральный</t>
        </is>
      </c>
      <c r="F396" s="9" t="n">
        <v>2736.10408</v>
      </c>
      <c r="G396" s="9" t="n">
        <v>0</v>
      </c>
      <c r="H396" s="9" t="n">
        <v>4175</v>
      </c>
      <c r="I396" s="9" t="n">
        <v>4155</v>
      </c>
      <c r="J396" s="9" t="n">
        <v>0</v>
      </c>
      <c r="K396" s="9" t="n">
        <v>0</v>
      </c>
      <c r="L396" s="9" t="n">
        <v>318</v>
      </c>
      <c r="M396" s="9" t="n">
        <v>99.46420308308501</v>
      </c>
      <c r="N396" s="9" t="n">
        <v>288.2068653818477</v>
      </c>
      <c r="O396" s="9" t="n">
        <v>74.8</v>
      </c>
      <c r="P396" s="9" t="n">
        <v>0</v>
      </c>
      <c r="Q396" s="9" t="n">
        <v>5.233534501089612</v>
      </c>
      <c r="R396" s="9" t="n">
        <v>19.77946631870946</v>
      </c>
      <c r="S396" s="9" t="n">
        <v>0.06285442676295613</v>
      </c>
      <c r="T396" s="9" t="n">
        <v>539</v>
      </c>
      <c r="U396" s="9" t="n">
        <v>252.0366695350709</v>
      </c>
      <c r="V396" s="9" t="n">
        <v>765.2715413533963</v>
      </c>
      <c r="W396" s="9" t="n">
        <v>74.8</v>
      </c>
      <c r="X396" s="9" t="n">
        <v>0</v>
      </c>
      <c r="Y396" s="9" t="n">
        <v>11.56446778377012</v>
      </c>
      <c r="Z396" s="9" t="n">
        <v>86.55194655658734</v>
      </c>
      <c r="AA396" s="9" t="n">
        <v>0.1257088535259124</v>
      </c>
      <c r="AB396" s="9" t="n">
        <v>535</v>
      </c>
      <c r="AC396" s="9" t="n">
        <v>226.7512215705349</v>
      </c>
      <c r="AD396" s="9" t="n">
        <v>1256.481713689542</v>
      </c>
      <c r="AE396" s="9" t="n">
        <v>74.8</v>
      </c>
      <c r="AF396" s="9" t="n">
        <v>0</v>
      </c>
      <c r="AG396" s="9" t="n">
        <v>17.22241382376565</v>
      </c>
      <c r="AH396" s="9" t="n">
        <v>50.24591766810205</v>
      </c>
      <c r="AI396" s="9" t="n">
        <v>0.20113416564146</v>
      </c>
      <c r="AJ396" s="9" t="n">
        <v>465</v>
      </c>
      <c r="AK396" s="9" t="n">
        <v>242.1364440324152</v>
      </c>
      <c r="AL396" s="9" t="n">
        <v>1265.845734546094</v>
      </c>
      <c r="AM396" s="9" t="n">
        <v>74.8</v>
      </c>
      <c r="AN396" s="9" t="n">
        <v>0</v>
      </c>
      <c r="AO396" s="9" t="n">
        <v>15.50981498247906</v>
      </c>
      <c r="AP396" s="9" t="n">
        <v>21.04452863467014</v>
      </c>
      <c r="AQ396" s="9" t="n">
        <v>0.2791817666455623</v>
      </c>
      <c r="AR396" s="9" t="n">
        <v>167</v>
      </c>
      <c r="AS396" s="9" t="n">
        <v>225.861268973176</v>
      </c>
      <c r="AT396" s="9" t="n">
        <v>1087.454070061462</v>
      </c>
      <c r="AU396" s="9" t="n">
        <v>74.8</v>
      </c>
      <c r="AV396" s="9" t="n">
        <v>0</v>
      </c>
      <c r="AW396" s="9" t="n">
        <v>2.616767250544811</v>
      </c>
      <c r="AX396" s="9" t="n">
        <v>3.371914288610225</v>
      </c>
      <c r="AY396" s="9" t="n">
        <v>0.1257088535259125</v>
      </c>
    </row>
    <row r="397">
      <c r="A397" s="9" t="n">
        <v>403</v>
      </c>
      <c r="B397" s="9" t="inlineStr">
        <is>
          <t>ББ237</t>
        </is>
      </c>
      <c r="C397" s="9" t="inlineStr"/>
      <c r="D397" s="9" t="inlineStr">
        <is>
          <t>ШОКОЛАД</t>
        </is>
      </c>
      <c r="E397" s="9" t="inlineStr">
        <is>
          <t>Федеральный</t>
        </is>
      </c>
      <c r="F397" s="9" t="n">
        <v>0</v>
      </c>
      <c r="G397" s="9" t="n">
        <v>0</v>
      </c>
      <c r="H397" s="9" t="n">
        <v>0</v>
      </c>
      <c r="I397" s="9" t="n">
        <v>0</v>
      </c>
      <c r="J397" s="9" t="n">
        <v>0</v>
      </c>
      <c r="K397" s="9" t="n">
        <v>0</v>
      </c>
      <c r="L397" s="9" t="n">
        <v>0</v>
      </c>
      <c r="M397" s="9" t="n">
        <v>82.49081945245693</v>
      </c>
      <c r="N397" s="9" t="n">
        <v>2.594430437190919</v>
      </c>
      <c r="O397" s="9" t="n">
        <v>0</v>
      </c>
      <c r="P397" s="9" t="n">
        <v>0</v>
      </c>
      <c r="Q397" s="9" t="n">
        <v>0</v>
      </c>
      <c r="R397" s="9" t="n">
        <v>0</v>
      </c>
      <c r="S397" s="9" t="n">
        <v>0</v>
      </c>
      <c r="T397" s="9" t="n">
        <v>0</v>
      </c>
      <c r="U397" s="9" t="n">
        <v>116.0592058448623</v>
      </c>
      <c r="V397" s="9" t="n">
        <v>7.07621001713789</v>
      </c>
      <c r="W397" s="9" t="n">
        <v>0</v>
      </c>
      <c r="X397" s="9" t="n">
        <v>0</v>
      </c>
      <c r="Y397" s="9" t="n">
        <v>0</v>
      </c>
      <c r="Z397" s="9" t="n">
        <v>0</v>
      </c>
      <c r="AA397" s="9" t="n">
        <v>0</v>
      </c>
      <c r="AB397" s="9" t="n">
        <v>0</v>
      </c>
      <c r="AC397" s="9" t="n">
        <v>167.4738570446597</v>
      </c>
      <c r="AD397" s="9" t="n">
        <v>9.633274062407468</v>
      </c>
      <c r="AE397" s="9" t="n">
        <v>0</v>
      </c>
      <c r="AF397" s="9" t="n">
        <v>0</v>
      </c>
      <c r="AG397" s="9" t="n">
        <v>0</v>
      </c>
      <c r="AH397" s="9" t="n">
        <v>0</v>
      </c>
      <c r="AI397" s="9" t="n">
        <v>0</v>
      </c>
      <c r="AJ397" s="9" t="n">
        <v>0</v>
      </c>
      <c r="AK397" s="9" t="n">
        <v>206.3471976736473</v>
      </c>
      <c r="AL397" s="9" t="n">
        <v>9.705529413454153</v>
      </c>
      <c r="AM397" s="9" t="n">
        <v>0</v>
      </c>
      <c r="AN397" s="9" t="n">
        <v>0</v>
      </c>
      <c r="AO397" s="9" t="n">
        <v>0</v>
      </c>
      <c r="AP397" s="9" t="n">
        <v>0</v>
      </c>
      <c r="AQ397" s="9" t="n">
        <v>0</v>
      </c>
      <c r="AR397" s="9" t="n">
        <v>0</v>
      </c>
      <c r="AS397" s="9" t="n">
        <v>41.2454097262285</v>
      </c>
      <c r="AT397" s="9" t="n">
        <v>10.20732525046139</v>
      </c>
      <c r="AU397" s="9" t="n">
        <v>0</v>
      </c>
      <c r="AV397" s="9" t="n">
        <v>0</v>
      </c>
      <c r="AW397" s="9" t="n">
        <v>0</v>
      </c>
      <c r="AX397" s="9" t="n">
        <v>0</v>
      </c>
      <c r="AY397" s="9" t="n">
        <v>0</v>
      </c>
    </row>
    <row r="398">
      <c r="A398" s="9" t="n">
        <v>404</v>
      </c>
      <c r="B398" s="9" t="inlineStr">
        <is>
          <t>ББ227</t>
        </is>
      </c>
      <c r="C398" s="9" t="inlineStr"/>
      <c r="D398" s="9" t="inlineStr">
        <is>
          <t>ШОКОЛАД</t>
        </is>
      </c>
      <c r="E398" s="9" t="inlineStr">
        <is>
          <t>Федеральный</t>
        </is>
      </c>
      <c r="F398" s="9" t="n">
        <v>45364.27500000001</v>
      </c>
      <c r="G398" s="9" t="n">
        <v>0</v>
      </c>
      <c r="H398" s="9" t="n">
        <v>20026</v>
      </c>
      <c r="I398" s="9" t="n">
        <v>0</v>
      </c>
      <c r="J398" s="9" t="n">
        <v>0</v>
      </c>
      <c r="K398" s="9" t="n">
        <v>3738</v>
      </c>
      <c r="L398" s="9" t="n">
        <v>3111</v>
      </c>
      <c r="M398" s="9" t="n">
        <v>77.42364053410246</v>
      </c>
      <c r="N398" s="9" t="n">
        <v>2132.655364235701</v>
      </c>
      <c r="O398" s="9" t="n">
        <v>164.6575539928487</v>
      </c>
      <c r="P398" s="9" t="n">
        <v>0</v>
      </c>
      <c r="Q398" s="9" t="n">
        <v>0</v>
      </c>
      <c r="R398" s="9" t="n">
        <v>124.8857142857143</v>
      </c>
      <c r="S398" s="9" t="n">
        <v>0</v>
      </c>
      <c r="T398" s="9" t="n">
        <v>6333</v>
      </c>
      <c r="U398" s="9" t="n">
        <v>196.187129626882</v>
      </c>
      <c r="V398" s="9" t="n">
        <v>15056.65661196487</v>
      </c>
      <c r="W398" s="9" t="n">
        <v>502.5132902724116</v>
      </c>
      <c r="X398" s="9" t="n">
        <v>0</v>
      </c>
      <c r="Y398" s="9" t="n">
        <v>0</v>
      </c>
      <c r="Z398" s="9" t="n">
        <v>240.9506635039716</v>
      </c>
      <c r="AA398" s="9" t="n">
        <v>0</v>
      </c>
      <c r="AB398" s="9" t="n">
        <v>875</v>
      </c>
      <c r="AC398" s="9" t="n">
        <v>176.5047577456667</v>
      </c>
      <c r="AD398" s="9" t="n">
        <v>4988.334890539629</v>
      </c>
      <c r="AE398" s="9" t="n">
        <v>617.1015478731734</v>
      </c>
      <c r="AF398" s="9" t="n">
        <v>0</v>
      </c>
      <c r="AG398" s="9" t="n">
        <v>0</v>
      </c>
      <c r="AH398" s="9" t="n">
        <v>365.9041272542904</v>
      </c>
      <c r="AI398" s="9" t="n">
        <v>0</v>
      </c>
      <c r="AJ398" s="9" t="n">
        <v>875</v>
      </c>
      <c r="AK398" s="9" t="n">
        <v>188.4807239375518</v>
      </c>
      <c r="AL398" s="9" t="n">
        <v>5005.702145042369</v>
      </c>
      <c r="AM398" s="9" t="n">
        <v>663.4661771808269</v>
      </c>
      <c r="AN398" s="9" t="n">
        <v>0</v>
      </c>
      <c r="AO398" s="9" t="n">
        <v>0</v>
      </c>
      <c r="AP398" s="9" t="n">
        <v>193.6088741616172</v>
      </c>
      <c r="AQ398" s="9" t="n">
        <v>0</v>
      </c>
      <c r="AR398" s="9" t="n">
        <v>1000</v>
      </c>
      <c r="AS398" s="9" t="n">
        <v>175.8120123372231</v>
      </c>
      <c r="AT398" s="9" t="n">
        <v>3609.757648699806</v>
      </c>
      <c r="AU398" s="9" t="n">
        <v>556.6655163664801</v>
      </c>
      <c r="AV398" s="9" t="n">
        <v>0</v>
      </c>
      <c r="AW398" s="9" t="n">
        <v>0</v>
      </c>
      <c r="AX398" s="9" t="n">
        <v>163.7427914468304</v>
      </c>
      <c r="AY398" s="9" t="n">
        <v>0</v>
      </c>
    </row>
    <row r="399">
      <c r="A399" s="9" t="n">
        <v>405</v>
      </c>
      <c r="B399" s="9" t="inlineStr">
        <is>
          <t>ББ238</t>
        </is>
      </c>
      <c r="C399" s="9" t="inlineStr"/>
      <c r="D399" s="9" t="inlineStr">
        <is>
          <t>ШОКОЛАД</t>
        </is>
      </c>
      <c r="E399" s="9" t="inlineStr">
        <is>
          <t>Федеральный</t>
        </is>
      </c>
      <c r="F399" s="9" t="n">
        <v>8622.57</v>
      </c>
      <c r="G399" s="9" t="n">
        <v>0</v>
      </c>
      <c r="H399" s="9" t="n">
        <v>11809</v>
      </c>
      <c r="I399" s="9" t="n">
        <v>0</v>
      </c>
      <c r="J399" s="9" t="n">
        <v>0</v>
      </c>
      <c r="K399" s="9" t="n">
        <v>17854</v>
      </c>
      <c r="L399" s="9" t="n">
        <v>4013.264999999999</v>
      </c>
      <c r="M399" s="9" t="n">
        <v>323.195</v>
      </c>
      <c r="N399" s="9" t="n">
        <v>3600.524933509475</v>
      </c>
      <c r="O399" s="9" t="n">
        <v>0</v>
      </c>
      <c r="P399" s="9" t="n">
        <v>0</v>
      </c>
      <c r="Q399" s="9" t="n">
        <v>0</v>
      </c>
      <c r="R399" s="9" t="n">
        <v>0</v>
      </c>
      <c r="S399" s="9" t="n">
        <v>0</v>
      </c>
      <c r="T399" s="9" t="n">
        <v>5450</v>
      </c>
      <c r="U399" s="9" t="n">
        <v>356.252319365564</v>
      </c>
      <c r="V399" s="9" t="n">
        <v>39.6823247179484</v>
      </c>
      <c r="W399" s="9" t="n">
        <v>0</v>
      </c>
      <c r="X399" s="9" t="n">
        <v>0</v>
      </c>
      <c r="Y399" s="9" t="n">
        <v>0</v>
      </c>
      <c r="Z399" s="9" t="n">
        <v>0</v>
      </c>
      <c r="AA399" s="9" t="n">
        <v>0</v>
      </c>
      <c r="AB399" s="9" t="n">
        <v>9050</v>
      </c>
      <c r="AC399" s="9" t="n">
        <v>325.472666350176</v>
      </c>
      <c r="AD399" s="9" t="n">
        <v>53.88751365065641</v>
      </c>
      <c r="AE399" s="9" t="n">
        <v>0</v>
      </c>
      <c r="AF399" s="9" t="n">
        <v>0</v>
      </c>
      <c r="AG399" s="9" t="n">
        <v>0</v>
      </c>
      <c r="AH399" s="9" t="n">
        <v>0</v>
      </c>
      <c r="AI399" s="9" t="n">
        <v>0</v>
      </c>
      <c r="AJ399" s="9" t="n">
        <v>8723</v>
      </c>
      <c r="AK399" s="9" t="n">
        <v>325.472666350176</v>
      </c>
      <c r="AL399" s="9" t="n">
        <v>54.75072345299151</v>
      </c>
      <c r="AM399" s="9" t="n">
        <v>0</v>
      </c>
      <c r="AN399" s="9" t="n">
        <v>0</v>
      </c>
      <c r="AO399" s="9" t="n">
        <v>0</v>
      </c>
      <c r="AP399" s="9" t="n">
        <v>0</v>
      </c>
      <c r="AQ399" s="9" t="n">
        <v>0</v>
      </c>
      <c r="AR399" s="9" t="n">
        <v>3969</v>
      </c>
      <c r="AS399" s="9" t="n">
        <v>270</v>
      </c>
      <c r="AT399" s="9" t="n">
        <v>2.244439326206261</v>
      </c>
      <c r="AU399" s="9" t="n">
        <v>0</v>
      </c>
      <c r="AV399" s="9" t="n">
        <v>0</v>
      </c>
      <c r="AW399" s="9" t="n">
        <v>0</v>
      </c>
      <c r="AX399" s="9" t="n">
        <v>0</v>
      </c>
      <c r="AY399" s="9" t="n">
        <v>0</v>
      </c>
    </row>
    <row r="400">
      <c r="A400" s="9" t="n">
        <v>406</v>
      </c>
      <c r="B400" s="9" t="inlineStr">
        <is>
          <t>ББ231</t>
        </is>
      </c>
      <c r="C400" s="9" t="inlineStr"/>
      <c r="D400" s="9" t="inlineStr">
        <is>
          <t>ШОКОЛАД</t>
        </is>
      </c>
      <c r="E400" s="9" t="inlineStr">
        <is>
          <t>Федеральный</t>
        </is>
      </c>
      <c r="F400" s="9" t="n">
        <v>0</v>
      </c>
      <c r="G400" s="9" t="n">
        <v>0</v>
      </c>
      <c r="H400" s="9" t="n">
        <v>0</v>
      </c>
      <c r="I400" s="9" t="n">
        <v>0</v>
      </c>
      <c r="J400" s="9" t="n">
        <v>0</v>
      </c>
      <c r="K400" s="9" t="n">
        <v>0</v>
      </c>
      <c r="L400" s="9" t="n">
        <v>0</v>
      </c>
      <c r="M400" s="9" t="n">
        <v>0</v>
      </c>
      <c r="N400" s="9" t="n">
        <v>0</v>
      </c>
      <c r="O400" s="9" t="n">
        <v>0</v>
      </c>
      <c r="P400" s="9" t="n">
        <v>0</v>
      </c>
      <c r="Q400" s="9" t="n">
        <v>0</v>
      </c>
      <c r="R400" s="9" t="n">
        <v>0</v>
      </c>
      <c r="S400" s="9" t="n">
        <v>0</v>
      </c>
      <c r="T400" s="9" t="n">
        <v>0</v>
      </c>
      <c r="U400" s="9" t="n">
        <v>0</v>
      </c>
      <c r="V400" s="9" t="n">
        <v>0</v>
      </c>
      <c r="W400" s="9" t="n">
        <v>0</v>
      </c>
      <c r="X400" s="9" t="n">
        <v>0</v>
      </c>
      <c r="Y400" s="9" t="n">
        <v>0</v>
      </c>
      <c r="Z400" s="9" t="n">
        <v>0</v>
      </c>
      <c r="AA400" s="9" t="n">
        <v>0</v>
      </c>
      <c r="AB400" s="9" t="n">
        <v>0</v>
      </c>
      <c r="AC400" s="9" t="n">
        <v>0</v>
      </c>
      <c r="AD400" s="9" t="n">
        <v>0</v>
      </c>
      <c r="AE400" s="9" t="n">
        <v>0</v>
      </c>
      <c r="AF400" s="9" t="n">
        <v>0</v>
      </c>
      <c r="AG400" s="9" t="n">
        <v>0</v>
      </c>
      <c r="AH400" s="9" t="n">
        <v>0</v>
      </c>
      <c r="AI400" s="9" t="n">
        <v>0</v>
      </c>
      <c r="AJ400" s="9" t="n">
        <v>0</v>
      </c>
      <c r="AK400" s="9" t="n">
        <v>0</v>
      </c>
      <c r="AL400" s="9" t="n">
        <v>0</v>
      </c>
      <c r="AM400" s="9" t="n">
        <v>0</v>
      </c>
      <c r="AN400" s="9" t="n">
        <v>0</v>
      </c>
      <c r="AO400" s="9" t="n">
        <v>0</v>
      </c>
      <c r="AP400" s="9" t="n">
        <v>0</v>
      </c>
      <c r="AQ400" s="9" t="n">
        <v>0</v>
      </c>
      <c r="AR400" s="9" t="n">
        <v>0</v>
      </c>
      <c r="AS400" s="9" t="n">
        <v>0</v>
      </c>
      <c r="AT400" s="9" t="n">
        <v>0</v>
      </c>
      <c r="AU400" s="9" t="n">
        <v>0</v>
      </c>
      <c r="AV400" s="9" t="n">
        <v>0</v>
      </c>
      <c r="AW400" s="9" t="n">
        <v>0</v>
      </c>
      <c r="AX400" s="9" t="n">
        <v>0</v>
      </c>
      <c r="AY400" s="9" t="n">
        <v>0</v>
      </c>
    </row>
    <row r="401">
      <c r="A401" s="9" t="n">
        <v>407</v>
      </c>
      <c r="B401" s="9" t="inlineStr">
        <is>
          <t>ББ238</t>
        </is>
      </c>
      <c r="C401" s="9" t="inlineStr"/>
      <c r="D401" s="9" t="inlineStr">
        <is>
          <t>ШОКОЛАД</t>
        </is>
      </c>
      <c r="E401" s="9" t="inlineStr">
        <is>
          <t>Федеральный</t>
        </is>
      </c>
      <c r="F401" s="9" t="n">
        <v>9448.965</v>
      </c>
      <c r="G401" s="9" t="n">
        <v>9000</v>
      </c>
      <c r="H401" s="9" t="n">
        <v>18925</v>
      </c>
      <c r="I401" s="9" t="n">
        <v>0</v>
      </c>
      <c r="J401" s="9" t="n">
        <v>0</v>
      </c>
      <c r="K401" s="9" t="n">
        <v>18607</v>
      </c>
      <c r="L401" s="9" t="n">
        <v>9325</v>
      </c>
      <c r="M401" s="9" t="n">
        <v>1754.015254279873</v>
      </c>
      <c r="N401" s="9" t="n">
        <v>2.905320787160759</v>
      </c>
      <c r="O401" s="9" t="n">
        <v>0</v>
      </c>
      <c r="P401" s="9" t="n">
        <v>0</v>
      </c>
      <c r="Q401" s="9" t="n">
        <v>0</v>
      </c>
      <c r="R401" s="9" t="n">
        <v>0</v>
      </c>
      <c r="S401" s="9" t="n">
        <v>0</v>
      </c>
      <c r="T401" s="9" t="n">
        <v>5445</v>
      </c>
      <c r="U401" s="9" t="n">
        <v>2505.649201039344</v>
      </c>
      <c r="V401" s="9" t="n">
        <v>63.17482744933534</v>
      </c>
      <c r="W401" s="9" t="n">
        <v>0</v>
      </c>
      <c r="X401" s="9" t="n">
        <v>0</v>
      </c>
      <c r="Y401" s="9" t="n">
        <v>0</v>
      </c>
      <c r="Z401" s="9" t="n">
        <v>0</v>
      </c>
      <c r="AA401" s="9" t="n">
        <v>0</v>
      </c>
      <c r="AB401" s="9" t="n">
        <v>9045</v>
      </c>
      <c r="AC401" s="9" t="n">
        <v>3508.151817689881</v>
      </c>
      <c r="AD401" s="9" t="n">
        <v>83.45894929163255</v>
      </c>
      <c r="AE401" s="9" t="n">
        <v>0</v>
      </c>
      <c r="AF401" s="9" t="n">
        <v>0</v>
      </c>
      <c r="AG401" s="9" t="n">
        <v>0</v>
      </c>
      <c r="AH401" s="9" t="n">
        <v>0</v>
      </c>
      <c r="AI401" s="9" t="n">
        <v>0</v>
      </c>
      <c r="AJ401" s="9" t="n">
        <v>8718</v>
      </c>
      <c r="AK401" s="9" t="n">
        <v>3310.043983974197</v>
      </c>
      <c r="AL401" s="9" t="n">
        <v>83.90419155521195</v>
      </c>
      <c r="AM401" s="9" t="n">
        <v>0</v>
      </c>
      <c r="AN401" s="9" t="n">
        <v>0</v>
      </c>
      <c r="AO401" s="9" t="n">
        <v>0</v>
      </c>
      <c r="AP401" s="9" t="n">
        <v>0</v>
      </c>
      <c r="AQ401" s="9" t="n">
        <v>0</v>
      </c>
      <c r="AR401" s="9" t="n">
        <v>3966</v>
      </c>
      <c r="AS401" s="9" t="n">
        <v>1502.007627139936</v>
      </c>
      <c r="AT401" s="9" t="n">
        <v>7.237859091549629</v>
      </c>
      <c r="AU401" s="9" t="n">
        <v>0</v>
      </c>
      <c r="AV401" s="9" t="n">
        <v>0</v>
      </c>
      <c r="AW401" s="9" t="n">
        <v>0</v>
      </c>
      <c r="AX401" s="9" t="n">
        <v>0</v>
      </c>
      <c r="AY401" s="9" t="n">
        <v>0</v>
      </c>
    </row>
    <row r="402">
      <c r="A402" s="9" t="n">
        <v>408</v>
      </c>
      <c r="B402" s="9" t="inlineStr">
        <is>
          <t>ББ227</t>
        </is>
      </c>
      <c r="C402" s="9" t="inlineStr"/>
      <c r="D402" s="9" t="inlineStr">
        <is>
          <t>ШОКОЛАД</t>
        </is>
      </c>
      <c r="E402" s="9" t="inlineStr">
        <is>
          <t>Федеральный</t>
        </is>
      </c>
      <c r="F402" s="9" t="n">
        <v>12494.955</v>
      </c>
      <c r="G402" s="9" t="n">
        <v>0</v>
      </c>
      <c r="H402" s="9" t="n">
        <v>23723</v>
      </c>
      <c r="I402" s="9" t="n">
        <v>0</v>
      </c>
      <c r="J402" s="9" t="n">
        <v>0</v>
      </c>
      <c r="K402" s="9" t="n">
        <v>1496</v>
      </c>
      <c r="L402" s="9" t="n">
        <v>0</v>
      </c>
      <c r="M402" s="9" t="n">
        <v>21.84503045941181</v>
      </c>
      <c r="N402" s="9" t="n">
        <v>5218.919933168962</v>
      </c>
      <c r="O402" s="9" t="n">
        <v>170.7801096683308</v>
      </c>
      <c r="P402" s="9" t="n">
        <v>0</v>
      </c>
      <c r="Q402" s="9" t="n">
        <v>0</v>
      </c>
      <c r="R402" s="9" t="n">
        <v>124.8857142857143</v>
      </c>
      <c r="S402" s="9" t="n">
        <v>0</v>
      </c>
      <c r="T402" s="9" t="n">
        <v>0</v>
      </c>
      <c r="U402" s="9" t="n">
        <v>55.35407264343372</v>
      </c>
      <c r="V402" s="9" t="n">
        <v>9161.137468853729</v>
      </c>
      <c r="W402" s="9" t="n">
        <v>515.4391831775436</v>
      </c>
      <c r="X402" s="9" t="n">
        <v>0</v>
      </c>
      <c r="Y402" s="9" t="n">
        <v>0</v>
      </c>
      <c r="Z402" s="9" t="n">
        <v>259.9196442640584</v>
      </c>
      <c r="AA402" s="9" t="n">
        <v>0</v>
      </c>
      <c r="AB402" s="9" t="n">
        <v>0</v>
      </c>
      <c r="AC402" s="9" t="n">
        <v>49.80070405610626</v>
      </c>
      <c r="AD402" s="9" t="n">
        <v>4646.693952228888</v>
      </c>
      <c r="AE402" s="9" t="n">
        <v>638.4086481738611</v>
      </c>
      <c r="AF402" s="9" t="n">
        <v>0</v>
      </c>
      <c r="AG402" s="9" t="n">
        <v>0</v>
      </c>
      <c r="AH402" s="9" t="n">
        <v>365.9041272542904</v>
      </c>
      <c r="AI402" s="9" t="n">
        <v>0</v>
      </c>
      <c r="AJ402" s="9" t="n">
        <v>0</v>
      </c>
      <c r="AK402" s="9" t="n">
        <v>53.17971522682722</v>
      </c>
      <c r="AL402" s="9" t="n">
        <v>4689.878057740962</v>
      </c>
      <c r="AM402" s="9" t="n">
        <v>676.5393691305693</v>
      </c>
      <c r="AN402" s="9" t="n">
        <v>0</v>
      </c>
      <c r="AO402" s="9" t="n">
        <v>0</v>
      </c>
      <c r="AP402" s="9" t="n">
        <v>193.6088741616172</v>
      </c>
      <c r="AQ402" s="9" t="n">
        <v>0</v>
      </c>
      <c r="AR402" s="9" t="n">
        <v>38</v>
      </c>
      <c r="AS402" s="9" t="n">
        <v>49.60524638395764</v>
      </c>
      <c r="AT402" s="9" t="n">
        <v>3868.277242764647</v>
      </c>
      <c r="AU402" s="9" t="n">
        <v>563.31059299424</v>
      </c>
      <c r="AV402" s="9" t="n">
        <v>0</v>
      </c>
      <c r="AW402" s="9" t="n">
        <v>0</v>
      </c>
      <c r="AX402" s="9" t="n">
        <v>163.7427914468304</v>
      </c>
      <c r="AY402" s="9" t="n">
        <v>0</v>
      </c>
    </row>
    <row r="403">
      <c r="A403" s="9" t="n">
        <v>409</v>
      </c>
      <c r="B403" s="9" t="inlineStr">
        <is>
          <t>ББ002</t>
        </is>
      </c>
      <c r="C403" s="9" t="inlineStr"/>
      <c r="D403" s="9" t="inlineStr">
        <is>
          <t>ШОКОЛАД</t>
        </is>
      </c>
      <c r="E403" s="9" t="inlineStr">
        <is>
          <t>Федеральный</t>
        </is>
      </c>
      <c r="F403" s="9" t="n">
        <v>73912.55360000001</v>
      </c>
      <c r="G403" s="9" t="n">
        <v>21312</v>
      </c>
      <c r="H403" s="9" t="n">
        <v>66400</v>
      </c>
      <c r="I403" s="9" t="n">
        <v>66400</v>
      </c>
      <c r="J403" s="9" t="n">
        <v>45088.26999999996</v>
      </c>
      <c r="K403" s="9" t="n">
        <v>44312</v>
      </c>
      <c r="L403" s="9" t="n">
        <v>10170</v>
      </c>
      <c r="M403" s="9" t="n">
        <v>278.4467618978824</v>
      </c>
      <c r="N403" s="9" t="n">
        <v>9386.214605459298</v>
      </c>
      <c r="O403" s="9" t="n">
        <v>379.8</v>
      </c>
      <c r="P403" s="9" t="n">
        <v>0</v>
      </c>
      <c r="Q403" s="9" t="n">
        <v>159.7880421768238</v>
      </c>
      <c r="R403" s="9" t="n">
        <v>540.697344361284</v>
      </c>
      <c r="S403" s="9" t="n">
        <v>0.5133044949262272</v>
      </c>
      <c r="T403" s="9" t="n">
        <v>23958</v>
      </c>
      <c r="U403" s="9" t="n">
        <v>705.5683586279278</v>
      </c>
      <c r="V403" s="9" t="n">
        <v>40393.23831464549</v>
      </c>
      <c r="W403" s="9" t="n">
        <v>393.3</v>
      </c>
      <c r="X403" s="9" t="n">
        <v>0</v>
      </c>
      <c r="Y403" s="9" t="n">
        <v>353.0813956802729</v>
      </c>
      <c r="Z403" s="9" t="n">
        <v>1235.84754970435</v>
      </c>
      <c r="AA403" s="9" t="n">
        <v>1.026608989852456</v>
      </c>
      <c r="AB403" s="9" t="n">
        <v>25262</v>
      </c>
      <c r="AC403" s="9" t="n">
        <v>664.9936606184033</v>
      </c>
      <c r="AD403" s="9" t="n">
        <v>35974.27111029203</v>
      </c>
      <c r="AE403" s="9" t="n">
        <v>416.1</v>
      </c>
      <c r="AF403" s="9" t="n">
        <v>0</v>
      </c>
      <c r="AG403" s="9" t="n">
        <v>525.8273898615996</v>
      </c>
      <c r="AH403" s="9" t="n">
        <v>1289.951022984176</v>
      </c>
      <c r="AI403" s="9" t="n">
        <v>1.64257438376393</v>
      </c>
      <c r="AJ403" s="9" t="n">
        <v>8517</v>
      </c>
      <c r="AK403" s="9" t="n">
        <v>710.1139264916865</v>
      </c>
      <c r="AL403" s="9" t="n">
        <v>34949.35803972372</v>
      </c>
      <c r="AM403" s="9" t="n">
        <v>390.45</v>
      </c>
      <c r="AN403" s="9" t="n">
        <v>0</v>
      </c>
      <c r="AO403" s="9" t="n">
        <v>473.5390528254136</v>
      </c>
      <c r="AP403" s="9" t="n">
        <v>567.9494356551413</v>
      </c>
      <c r="AQ403" s="9" t="n">
        <v>2.279954859202861</v>
      </c>
      <c r="AR403" s="9" t="n">
        <v>5514.5</v>
      </c>
      <c r="AS403" s="9" t="n">
        <v>662.3836952502103</v>
      </c>
      <c r="AT403" s="9" t="n">
        <v>33176.67528547891</v>
      </c>
      <c r="AU403" s="9" t="n">
        <v>373.35</v>
      </c>
      <c r="AV403" s="9" t="n">
        <v>0</v>
      </c>
      <c r="AW403" s="9" t="n">
        <v>79.89402108841206</v>
      </c>
      <c r="AX403" s="9" t="n">
        <v>85.75316260724348</v>
      </c>
      <c r="AY403" s="9" t="n">
        <v>1.026608989852456</v>
      </c>
    </row>
    <row r="404">
      <c r="A404" s="9" t="n">
        <v>410</v>
      </c>
      <c r="B404" s="9" t="inlineStr">
        <is>
          <t>ББ002</t>
        </is>
      </c>
      <c r="C404" s="9" t="inlineStr"/>
      <c r="D404" s="9" t="inlineStr">
        <is>
          <t>ШОКОЛАД</t>
        </is>
      </c>
      <c r="E404" s="9" t="inlineStr">
        <is>
          <t>Федеральный</t>
        </is>
      </c>
      <c r="F404" s="9" t="n">
        <v>55763.7</v>
      </c>
      <c r="G404" s="9" t="n">
        <v>6336</v>
      </c>
      <c r="H404" s="9" t="n">
        <v>30000</v>
      </c>
      <c r="I404" s="9" t="n">
        <v>30000</v>
      </c>
      <c r="J404" s="9" t="n">
        <v>30000</v>
      </c>
      <c r="K404" s="9" t="n">
        <v>20000</v>
      </c>
      <c r="L404" s="9" t="n">
        <v>2917</v>
      </c>
      <c r="M404" s="9" t="n">
        <v>231.9928576258596</v>
      </c>
      <c r="N404" s="9" t="n">
        <v>4858.70680195456</v>
      </c>
      <c r="O404" s="9" t="n">
        <v>207</v>
      </c>
      <c r="P404" s="9" t="n">
        <v>0</v>
      </c>
      <c r="Q404" s="9" t="n">
        <v>138.4071335381668</v>
      </c>
      <c r="R404" s="9" t="n">
        <v>141.7971329226896</v>
      </c>
      <c r="S404" s="9" t="n">
        <v>0.2484153228448971</v>
      </c>
      <c r="T404" s="9" t="n">
        <v>8705</v>
      </c>
      <c r="U404" s="9" t="n">
        <v>587.8567904787159</v>
      </c>
      <c r="V404" s="9" t="n">
        <v>33049.59858718753</v>
      </c>
      <c r="W404" s="9" t="n">
        <v>220.5</v>
      </c>
      <c r="X404" s="9" t="n">
        <v>0</v>
      </c>
      <c r="Y404" s="9" t="n">
        <v>305.8363017407941</v>
      </c>
      <c r="Z404" s="9" t="n">
        <v>392.522863453192</v>
      </c>
      <c r="AA404" s="9" t="n">
        <v>0.4968306456897946</v>
      </c>
      <c r="AB404" s="9" t="n">
        <v>11484</v>
      </c>
      <c r="AC404" s="9" t="n">
        <v>528.8803633037787</v>
      </c>
      <c r="AD404" s="9" t="n">
        <v>20573.07590292079</v>
      </c>
      <c r="AE404" s="9" t="n">
        <v>243.3</v>
      </c>
      <c r="AF404" s="9" t="n">
        <v>0</v>
      </c>
      <c r="AG404" s="9" t="n">
        <v>455.467510428988</v>
      </c>
      <c r="AH404" s="9" t="n">
        <v>392.0808770657678</v>
      </c>
      <c r="AI404" s="9" t="n">
        <v>0.7949290331036721</v>
      </c>
      <c r="AJ404" s="9" t="n">
        <v>1342</v>
      </c>
      <c r="AK404" s="9" t="n">
        <v>564.7652506653121</v>
      </c>
      <c r="AL404" s="9" t="n">
        <v>15258.76148173558</v>
      </c>
      <c r="AM404" s="9" t="n">
        <v>217.65</v>
      </c>
      <c r="AN404" s="9" t="n">
        <v>0</v>
      </c>
      <c r="AO404" s="9" t="n">
        <v>410.1757680178293</v>
      </c>
      <c r="AP404" s="9" t="n">
        <v>229.395152518209</v>
      </c>
      <c r="AQ404" s="9" t="n">
        <v>1.103391316497376</v>
      </c>
      <c r="AR404" s="9" t="n">
        <v>1509</v>
      </c>
      <c r="AS404" s="9" t="n">
        <v>526.8046150464847</v>
      </c>
      <c r="AT404" s="9" t="n">
        <v>14680.45293986574</v>
      </c>
      <c r="AU404" s="9" t="n">
        <v>200.55</v>
      </c>
      <c r="AV404" s="9" t="n">
        <v>0</v>
      </c>
      <c r="AW404" s="9" t="n">
        <v>69.20356676908351</v>
      </c>
      <c r="AX404" s="9" t="n">
        <v>39.50568993735887</v>
      </c>
      <c r="AY404" s="9" t="n">
        <v>0.496830645689795</v>
      </c>
    </row>
    <row r="405">
      <c r="A405" s="9" t="n">
        <v>411</v>
      </c>
      <c r="B405" s="9" t="inlineStr">
        <is>
          <t>ББ235</t>
        </is>
      </c>
      <c r="C405" s="9" t="inlineStr"/>
      <c r="D405" s="9" t="inlineStr">
        <is>
          <t>ШОКОЛАД</t>
        </is>
      </c>
      <c r="E405" s="9" t="inlineStr">
        <is>
          <t>Федеральный</t>
        </is>
      </c>
      <c r="F405" s="9" t="n">
        <v>16531.78</v>
      </c>
      <c r="G405" s="9" t="n">
        <v>11545</v>
      </c>
      <c r="H405" s="9" t="n">
        <v>22365</v>
      </c>
      <c r="I405" s="9" t="n">
        <v>0</v>
      </c>
      <c r="J405" s="9" t="n">
        <v>0</v>
      </c>
      <c r="K405" s="9" t="n">
        <v>19422</v>
      </c>
      <c r="L405" s="9" t="n">
        <v>1667</v>
      </c>
      <c r="M405" s="9" t="n">
        <v>87.56209128658033</v>
      </c>
      <c r="N405" s="9" t="n">
        <v>726.93239912576</v>
      </c>
      <c r="O405" s="9" t="n">
        <v>236.336</v>
      </c>
      <c r="P405" s="9" t="n">
        <v>0</v>
      </c>
      <c r="Q405" s="9" t="n">
        <v>0</v>
      </c>
      <c r="R405" s="9" t="n">
        <v>16.74376445373935</v>
      </c>
      <c r="S405" s="9" t="n">
        <v>0</v>
      </c>
      <c r="T405" s="9" t="n">
        <v>5600</v>
      </c>
      <c r="U405" s="9" t="n">
        <v>128.306838201519</v>
      </c>
      <c r="V405" s="9" t="n">
        <v>1227.134805031653</v>
      </c>
      <c r="W405" s="9" t="n">
        <v>240.836</v>
      </c>
      <c r="X405" s="9" t="n">
        <v>0</v>
      </c>
      <c r="Y405" s="9" t="n">
        <v>0</v>
      </c>
      <c r="Z405" s="9" t="n">
        <v>32.12675513386288</v>
      </c>
      <c r="AA405" s="9" t="n">
        <v>0</v>
      </c>
      <c r="AB405" s="9" t="n">
        <v>9333</v>
      </c>
      <c r="AC405" s="9" t="n">
        <v>121.5543146177826</v>
      </c>
      <c r="AD405" s="9" t="n">
        <v>1715.574346233992</v>
      </c>
      <c r="AE405" s="9" t="n">
        <v>248.436</v>
      </c>
      <c r="AF405" s="9" t="n">
        <v>0</v>
      </c>
      <c r="AG405" s="9" t="n">
        <v>0</v>
      </c>
      <c r="AH405" s="9" t="n">
        <v>48.78721696723873</v>
      </c>
      <c r="AI405" s="9" t="n">
        <v>0</v>
      </c>
      <c r="AJ405" s="9" t="n">
        <v>8983</v>
      </c>
      <c r="AK405" s="9" t="n">
        <v>125.6629654773832</v>
      </c>
      <c r="AL405" s="9" t="n">
        <v>1850.27385224366</v>
      </c>
      <c r="AM405" s="9" t="n">
        <v>239.886</v>
      </c>
      <c r="AN405" s="9" t="n">
        <v>0</v>
      </c>
      <c r="AO405" s="9" t="n">
        <v>0</v>
      </c>
      <c r="AP405" s="9" t="n">
        <v>25.8145165548823</v>
      </c>
      <c r="AQ405" s="9" t="n">
        <v>0</v>
      </c>
      <c r="AR405" s="9" t="n">
        <v>4084</v>
      </c>
      <c r="AS405" s="9" t="n">
        <v>121.3166512032169</v>
      </c>
      <c r="AT405" s="9" t="n">
        <v>1649.412679067094</v>
      </c>
      <c r="AU405" s="9" t="n">
        <v>234.186</v>
      </c>
      <c r="AV405" s="9" t="n">
        <v>0</v>
      </c>
      <c r="AW405" s="9" t="n">
        <v>0</v>
      </c>
      <c r="AX405" s="9" t="n">
        <v>21.83237219291073</v>
      </c>
      <c r="AY405" s="9" t="n">
        <v>0</v>
      </c>
    </row>
    <row r="406">
      <c r="A406" s="9" t="n">
        <v>412</v>
      </c>
      <c r="B406" s="9" t="inlineStr">
        <is>
          <t>ББ238</t>
        </is>
      </c>
      <c r="C406" s="9" t="inlineStr"/>
      <c r="D406" s="9" t="inlineStr">
        <is>
          <t>ШОКОЛАД</t>
        </is>
      </c>
      <c r="E406" s="9" t="inlineStr">
        <is>
          <t>Федеральный</t>
        </is>
      </c>
      <c r="F406" s="9" t="n">
        <v>153.51</v>
      </c>
      <c r="G406" s="9" t="n">
        <v>0</v>
      </c>
      <c r="H406" s="9" t="n">
        <v>0</v>
      </c>
      <c r="I406" s="9" t="n">
        <v>0</v>
      </c>
      <c r="J406" s="9" t="n">
        <v>0</v>
      </c>
      <c r="K406" s="9" t="n">
        <v>0</v>
      </c>
      <c r="L406" s="9" t="n">
        <v>254</v>
      </c>
      <c r="M406" s="9" t="n">
        <v>0</v>
      </c>
      <c r="N406" s="9" t="n">
        <v>1.337964930861919</v>
      </c>
      <c r="O406" s="9" t="n">
        <v>0</v>
      </c>
      <c r="P406" s="9" t="n">
        <v>0</v>
      </c>
      <c r="Q406" s="9" t="n">
        <v>0</v>
      </c>
      <c r="R406" s="9" t="n">
        <v>0</v>
      </c>
      <c r="S406" s="9" t="n">
        <v>0</v>
      </c>
      <c r="T406" s="9" t="n">
        <v>78</v>
      </c>
      <c r="U406" s="9" t="n">
        <v>0</v>
      </c>
      <c r="V406" s="9" t="n">
        <v>0.1768919838315924</v>
      </c>
      <c r="W406" s="9" t="n">
        <v>0</v>
      </c>
      <c r="X406" s="9" t="n">
        <v>0</v>
      </c>
      <c r="Y406" s="9" t="n">
        <v>0</v>
      </c>
      <c r="Z406" s="9" t="n">
        <v>0</v>
      </c>
      <c r="AA406" s="9" t="n">
        <v>0</v>
      </c>
      <c r="AB406" s="9" t="n">
        <v>78</v>
      </c>
      <c r="AC406" s="9" t="n">
        <v>0</v>
      </c>
      <c r="AD406" s="9" t="n">
        <v>0.1768919838315924</v>
      </c>
      <c r="AE406" s="9" t="n">
        <v>0</v>
      </c>
      <c r="AF406" s="9" t="n">
        <v>0</v>
      </c>
      <c r="AG406" s="9" t="n">
        <v>0</v>
      </c>
      <c r="AH406" s="9" t="n">
        <v>0</v>
      </c>
      <c r="AI406" s="9" t="n">
        <v>0</v>
      </c>
      <c r="AJ406" s="9" t="n">
        <v>94</v>
      </c>
      <c r="AK406" s="9" t="n">
        <v>0</v>
      </c>
      <c r="AL406" s="9" t="n">
        <v>0</v>
      </c>
      <c r="AM406" s="9" t="n">
        <v>0</v>
      </c>
      <c r="AN406" s="9" t="n">
        <v>0</v>
      </c>
      <c r="AO406" s="9" t="n">
        <v>0</v>
      </c>
      <c r="AP406" s="9" t="n">
        <v>0</v>
      </c>
      <c r="AQ406" s="9" t="n">
        <v>0</v>
      </c>
      <c r="AR406" s="9" t="n">
        <v>50</v>
      </c>
      <c r="AS406" s="9" t="n">
        <v>0</v>
      </c>
      <c r="AT406" s="9" t="n">
        <v>0</v>
      </c>
      <c r="AU406" s="9" t="n">
        <v>0</v>
      </c>
      <c r="AV406" s="9" t="n">
        <v>0</v>
      </c>
      <c r="AW406" s="9" t="n">
        <v>0</v>
      </c>
      <c r="AX406" s="9" t="n">
        <v>0</v>
      </c>
      <c r="AY406" s="9" t="n">
        <v>0</v>
      </c>
    </row>
    <row r="407">
      <c r="A407" s="9" t="n">
        <v>413</v>
      </c>
      <c r="B407" s="9" t="inlineStr">
        <is>
          <t>ББ235</t>
        </is>
      </c>
      <c r="C407" s="9" t="inlineStr"/>
      <c r="D407" s="9" t="inlineStr">
        <is>
          <t>ШОКОЛАД</t>
        </is>
      </c>
      <c r="E407" s="9" t="inlineStr">
        <is>
          <t>Федеральный</t>
        </is>
      </c>
      <c r="F407" s="9" t="n">
        <v>50</v>
      </c>
      <c r="G407" s="9" t="n">
        <v>0</v>
      </c>
      <c r="H407" s="9" t="n">
        <v>0</v>
      </c>
      <c r="I407" s="9" t="n">
        <v>0</v>
      </c>
      <c r="J407" s="9" t="n">
        <v>0</v>
      </c>
      <c r="K407" s="9" t="n">
        <v>0</v>
      </c>
      <c r="L407" s="9" t="n">
        <v>0</v>
      </c>
      <c r="M407" s="9" t="n">
        <v>0</v>
      </c>
      <c r="N407" s="9" t="n">
        <v>0</v>
      </c>
      <c r="O407" s="9" t="n">
        <v>0</v>
      </c>
      <c r="P407" s="9" t="n">
        <v>0</v>
      </c>
      <c r="Q407" s="9" t="n">
        <v>0</v>
      </c>
      <c r="R407" s="9" t="n">
        <v>0</v>
      </c>
      <c r="S407" s="9" t="n">
        <v>0</v>
      </c>
      <c r="T407" s="9" t="n">
        <v>0</v>
      </c>
      <c r="U407" s="9" t="n">
        <v>0</v>
      </c>
      <c r="V407" s="9" t="n">
        <v>0</v>
      </c>
      <c r="W407" s="9" t="n">
        <v>0</v>
      </c>
      <c r="X407" s="9" t="n">
        <v>0</v>
      </c>
      <c r="Y407" s="9" t="n">
        <v>0</v>
      </c>
      <c r="Z407" s="9" t="n">
        <v>0</v>
      </c>
      <c r="AA407" s="9" t="n">
        <v>0</v>
      </c>
      <c r="AB407" s="9" t="n">
        <v>0</v>
      </c>
      <c r="AC407" s="9" t="n">
        <v>0</v>
      </c>
      <c r="AD407" s="9" t="n">
        <v>0</v>
      </c>
      <c r="AE407" s="9" t="n">
        <v>0</v>
      </c>
      <c r="AF407" s="9" t="n">
        <v>0</v>
      </c>
      <c r="AG407" s="9" t="n">
        <v>0</v>
      </c>
      <c r="AH407" s="9" t="n">
        <v>0</v>
      </c>
      <c r="AI407" s="9" t="n">
        <v>0</v>
      </c>
      <c r="AJ407" s="9" t="n">
        <v>0</v>
      </c>
      <c r="AK407" s="9" t="n">
        <v>0</v>
      </c>
      <c r="AL407" s="9" t="n">
        <v>0</v>
      </c>
      <c r="AM407" s="9" t="n">
        <v>0</v>
      </c>
      <c r="AN407" s="9" t="n">
        <v>0</v>
      </c>
      <c r="AO407" s="9" t="n">
        <v>0</v>
      </c>
      <c r="AP407" s="9" t="n">
        <v>0</v>
      </c>
      <c r="AQ407" s="9" t="n">
        <v>0</v>
      </c>
      <c r="AR407" s="9" t="n">
        <v>0</v>
      </c>
      <c r="AS407" s="9" t="n">
        <v>0</v>
      </c>
      <c r="AT407" s="9" t="n">
        <v>0</v>
      </c>
      <c r="AU407" s="9" t="n">
        <v>0</v>
      </c>
      <c r="AV407" s="9" t="n">
        <v>0</v>
      </c>
      <c r="AW407" s="9" t="n">
        <v>0</v>
      </c>
      <c r="AX407" s="9" t="n">
        <v>0</v>
      </c>
      <c r="AY407" s="9" t="n">
        <v>0</v>
      </c>
    </row>
    <row r="408">
      <c r="A408" s="9" t="n">
        <v>414</v>
      </c>
      <c r="B408" s="9" t="inlineStr">
        <is>
          <t>ББ237</t>
        </is>
      </c>
      <c r="C408" s="9" t="inlineStr"/>
      <c r="D408" s="9" t="inlineStr">
        <is>
          <t>ШОКОЛАД</t>
        </is>
      </c>
      <c r="E408" s="9" t="inlineStr">
        <is>
          <t>Федеральный</t>
        </is>
      </c>
      <c r="F408" s="9" t="n">
        <v>52722.5</v>
      </c>
      <c r="G408" s="9" t="n">
        <v>27644</v>
      </c>
      <c r="H408" s="9" t="n">
        <v>11429</v>
      </c>
      <c r="I408" s="9" t="n">
        <v>9905</v>
      </c>
      <c r="J408" s="9" t="n">
        <v>11412</v>
      </c>
      <c r="K408" s="9" t="n">
        <v>11412</v>
      </c>
      <c r="L408" s="9" t="n">
        <v>21984.24</v>
      </c>
      <c r="M408" s="9" t="n">
        <v>0</v>
      </c>
      <c r="N408" s="9" t="n">
        <v>71.57708675021497</v>
      </c>
      <c r="O408" s="9" t="n">
        <v>0</v>
      </c>
      <c r="P408" s="9" t="n">
        <v>0</v>
      </c>
      <c r="Q408" s="9" t="n">
        <v>0</v>
      </c>
      <c r="R408" s="9" t="n">
        <v>0</v>
      </c>
      <c r="S408" s="9" t="n">
        <v>0</v>
      </c>
      <c r="T408" s="9" t="n">
        <v>13000</v>
      </c>
      <c r="U408" s="9" t="n">
        <v>0</v>
      </c>
      <c r="V408" s="9" t="n">
        <v>79.1466679448077</v>
      </c>
      <c r="W408" s="9" t="n">
        <v>0</v>
      </c>
      <c r="X408" s="9" t="n">
        <v>0</v>
      </c>
      <c r="Y408" s="9" t="n">
        <v>0</v>
      </c>
      <c r="Z408" s="9" t="n">
        <v>0</v>
      </c>
      <c r="AA408" s="9" t="n">
        <v>0</v>
      </c>
      <c r="AB408" s="9" t="n">
        <v>21667</v>
      </c>
      <c r="AC408" s="9" t="n">
        <v>0</v>
      </c>
      <c r="AD408" s="9" t="n">
        <v>88.9433893215204</v>
      </c>
      <c r="AE408" s="9" t="n">
        <v>0</v>
      </c>
      <c r="AF408" s="9" t="n">
        <v>0</v>
      </c>
      <c r="AG408" s="9" t="n">
        <v>0</v>
      </c>
      <c r="AH408" s="9" t="n">
        <v>0</v>
      </c>
      <c r="AI408" s="9" t="n">
        <v>0</v>
      </c>
      <c r="AJ408" s="9" t="n">
        <v>20854</v>
      </c>
      <c r="AK408" s="9" t="n">
        <v>0</v>
      </c>
      <c r="AL408" s="9" t="n">
        <v>89.38049354882058</v>
      </c>
      <c r="AM408" s="9" t="n">
        <v>0</v>
      </c>
      <c r="AN408" s="9" t="n">
        <v>0</v>
      </c>
      <c r="AO408" s="9" t="n">
        <v>0</v>
      </c>
      <c r="AP408" s="9" t="n">
        <v>0</v>
      </c>
      <c r="AQ408" s="9" t="n">
        <v>0</v>
      </c>
      <c r="AR408" s="9" t="n">
        <v>4979</v>
      </c>
      <c r="AS408" s="9" t="n">
        <v>0</v>
      </c>
      <c r="AT408" s="9" t="n">
        <v>91.96370687160291</v>
      </c>
      <c r="AU408" s="9" t="n">
        <v>0</v>
      </c>
      <c r="AV408" s="9" t="n">
        <v>0</v>
      </c>
      <c r="AW408" s="9" t="n">
        <v>0</v>
      </c>
      <c r="AX408" s="9" t="n">
        <v>0</v>
      </c>
      <c r="AY408" s="9" t="n">
        <v>0</v>
      </c>
    </row>
    <row r="409">
      <c r="A409" s="9" t="n">
        <v>415</v>
      </c>
      <c r="B409" s="9" t="inlineStr">
        <is>
          <t>ББ188</t>
        </is>
      </c>
      <c r="C409" s="9" t="inlineStr"/>
      <c r="D409" s="9" t="inlineStr">
        <is>
          <t>ШОКОЛАД</t>
        </is>
      </c>
      <c r="E409" s="9" t="inlineStr">
        <is>
          <t>Федеральный</t>
        </is>
      </c>
      <c r="F409" s="9" t="n">
        <v>89.90000000000001</v>
      </c>
      <c r="G409" s="9" t="n">
        <v>0</v>
      </c>
      <c r="H409" s="9" t="n">
        <v>0</v>
      </c>
      <c r="I409" s="9" t="n">
        <v>0</v>
      </c>
      <c r="J409" s="9" t="n">
        <v>0</v>
      </c>
      <c r="K409" s="9" t="n">
        <v>0</v>
      </c>
      <c r="L409" s="9" t="n">
        <v>0</v>
      </c>
      <c r="M409" s="9" t="n">
        <v>0</v>
      </c>
      <c r="N409" s="9" t="n">
        <v>0</v>
      </c>
      <c r="O409" s="9" t="n">
        <v>0</v>
      </c>
      <c r="P409" s="9" t="n">
        <v>0</v>
      </c>
      <c r="Q409" s="9" t="n">
        <v>0</v>
      </c>
      <c r="R409" s="9" t="n">
        <v>0</v>
      </c>
      <c r="S409" s="9" t="n">
        <v>0</v>
      </c>
      <c r="T409" s="9" t="n">
        <v>0</v>
      </c>
      <c r="U409" s="9" t="n">
        <v>0</v>
      </c>
      <c r="V409" s="9" t="n">
        <v>0</v>
      </c>
      <c r="W409" s="9" t="n">
        <v>0</v>
      </c>
      <c r="X409" s="9" t="n">
        <v>0</v>
      </c>
      <c r="Y409" s="9" t="n">
        <v>0</v>
      </c>
      <c r="Z409" s="9" t="n">
        <v>0</v>
      </c>
      <c r="AA409" s="9" t="n">
        <v>0</v>
      </c>
      <c r="AB409" s="9" t="n">
        <v>0</v>
      </c>
      <c r="AC409" s="9" t="n">
        <v>0</v>
      </c>
      <c r="AD409" s="9" t="n">
        <v>0</v>
      </c>
      <c r="AE409" s="9" t="n">
        <v>0</v>
      </c>
      <c r="AF409" s="9" t="n">
        <v>0</v>
      </c>
      <c r="AG409" s="9" t="n">
        <v>0</v>
      </c>
      <c r="AH409" s="9" t="n">
        <v>0</v>
      </c>
      <c r="AI409" s="9" t="n">
        <v>0</v>
      </c>
      <c r="AJ409" s="9" t="n">
        <v>0</v>
      </c>
      <c r="AK409" s="9" t="n">
        <v>0</v>
      </c>
      <c r="AL409" s="9" t="n">
        <v>0</v>
      </c>
      <c r="AM409" s="9" t="n">
        <v>0</v>
      </c>
      <c r="AN409" s="9" t="n">
        <v>0</v>
      </c>
      <c r="AO409" s="9" t="n">
        <v>0</v>
      </c>
      <c r="AP409" s="9" t="n">
        <v>0</v>
      </c>
      <c r="AQ409" s="9" t="n">
        <v>0</v>
      </c>
      <c r="AR409" s="9" t="n">
        <v>0</v>
      </c>
      <c r="AS409" s="9" t="n">
        <v>0</v>
      </c>
      <c r="AT409" s="9" t="n">
        <v>0</v>
      </c>
      <c r="AU409" s="9" t="n">
        <v>0</v>
      </c>
      <c r="AV409" s="9" t="n">
        <v>0</v>
      </c>
      <c r="AW409" s="9" t="n">
        <v>0</v>
      </c>
      <c r="AX409" s="9" t="n">
        <v>0</v>
      </c>
      <c r="AY409" s="9" t="n">
        <v>0</v>
      </c>
    </row>
    <row r="410">
      <c r="A410" s="9" t="n">
        <v>416</v>
      </c>
      <c r="B410" s="9" t="inlineStr">
        <is>
          <t>ББ078</t>
        </is>
      </c>
      <c r="C410" s="9" t="inlineStr"/>
      <c r="D410" s="9" t="inlineStr">
        <is>
          <t>ШОКОЛАД</t>
        </is>
      </c>
      <c r="E410" s="9" t="inlineStr">
        <is>
          <t>Федеральный</t>
        </is>
      </c>
      <c r="F410" s="9" t="n">
        <v>17357.8</v>
      </c>
      <c r="G410" s="9" t="n">
        <v>0</v>
      </c>
      <c r="H410" s="9" t="n">
        <v>0</v>
      </c>
      <c r="I410" s="9" t="n">
        <v>0</v>
      </c>
      <c r="J410" s="9" t="n">
        <v>0</v>
      </c>
      <c r="K410" s="9" t="n">
        <v>0</v>
      </c>
      <c r="L410" s="9" t="n">
        <v>327</v>
      </c>
      <c r="M410" s="9" t="n">
        <v>49.70647232049724</v>
      </c>
      <c r="N410" s="9" t="n">
        <v>1004.698360666071</v>
      </c>
      <c r="O410" s="9" t="n">
        <v>25.6</v>
      </c>
      <c r="P410" s="9" t="n">
        <v>0</v>
      </c>
      <c r="Q410" s="9" t="n">
        <v>5.798811851810718</v>
      </c>
      <c r="R410" s="9" t="n">
        <v>37.06784229278078</v>
      </c>
      <c r="S410" s="9" t="n">
        <v>0</v>
      </c>
      <c r="T410" s="9" t="n">
        <v>567</v>
      </c>
      <c r="U410" s="9" t="n">
        <v>125.9533917698056</v>
      </c>
      <c r="V410" s="9" t="n">
        <v>2780.845420177296</v>
      </c>
      <c r="W410" s="9" t="n">
        <v>25.6</v>
      </c>
      <c r="X410" s="9" t="n">
        <v>0</v>
      </c>
      <c r="Y410" s="9" t="n">
        <v>12.81355321732332</v>
      </c>
      <c r="Z410" s="9" t="n">
        <v>101.9975766729432</v>
      </c>
      <c r="AA410" s="9" t="n">
        <v>0</v>
      </c>
      <c r="AB410" s="9" t="n">
        <v>566</v>
      </c>
      <c r="AC410" s="9" t="n">
        <v>113.3171831600537</v>
      </c>
      <c r="AD410" s="9" t="n">
        <v>3826.211674072094</v>
      </c>
      <c r="AE410" s="9" t="n">
        <v>25.6</v>
      </c>
      <c r="AF410" s="9" t="n">
        <v>0</v>
      </c>
      <c r="AG410" s="9" t="n">
        <v>19.08261756509837</v>
      </c>
      <c r="AH410" s="9" t="n">
        <v>98.6014797848552</v>
      </c>
      <c r="AI410" s="9" t="n">
        <v>0</v>
      </c>
      <c r="AJ410" s="9" t="n">
        <v>7</v>
      </c>
      <c r="AK410" s="9" t="n">
        <v>121.0058300374367</v>
      </c>
      <c r="AL410" s="9" t="n">
        <v>3937.246404917633</v>
      </c>
      <c r="AM410" s="9" t="n">
        <v>25.6</v>
      </c>
      <c r="AN410" s="9" t="n">
        <v>0</v>
      </c>
      <c r="AO410" s="9" t="n">
        <v>17.18503984660195</v>
      </c>
      <c r="AP410" s="9" t="n">
        <v>48.03166495828225</v>
      </c>
      <c r="AQ410" s="9" t="n">
        <v>0</v>
      </c>
      <c r="AR410" s="9" t="n">
        <v>41</v>
      </c>
      <c r="AS410" s="9" t="n">
        <v>112.8724361779639</v>
      </c>
      <c r="AT410" s="9" t="n">
        <v>3730.427615525748</v>
      </c>
      <c r="AU410" s="9" t="n">
        <v>25.6</v>
      </c>
      <c r="AV410" s="9" t="n">
        <v>0</v>
      </c>
      <c r="AW410" s="9" t="n">
        <v>2.899405925905364</v>
      </c>
      <c r="AX410" s="9" t="n">
        <v>9.163099097411585</v>
      </c>
      <c r="AY410" s="9" t="n">
        <v>0</v>
      </c>
    </row>
    <row r="411">
      <c r="A411" s="9" t="n">
        <v>417</v>
      </c>
      <c r="B411" s="9" t="inlineStr">
        <is>
          <t>ББ238</t>
        </is>
      </c>
      <c r="C411" s="9" t="inlineStr"/>
      <c r="D411" s="9" t="inlineStr">
        <is>
          <t>ШОКОЛАД</t>
        </is>
      </c>
      <c r="E411" s="9" t="inlineStr">
        <is>
          <t>Федеральный</t>
        </is>
      </c>
      <c r="F411" s="9" t="n">
        <v>0</v>
      </c>
      <c r="G411" s="9" t="n">
        <v>0</v>
      </c>
      <c r="H411" s="9" t="n">
        <v>0</v>
      </c>
      <c r="I411" s="9" t="n">
        <v>0</v>
      </c>
      <c r="J411" s="9" t="n">
        <v>4756</v>
      </c>
      <c r="K411" s="9" t="n">
        <v>1165</v>
      </c>
      <c r="L411" s="9" t="n">
        <v>1080</v>
      </c>
      <c r="M411" s="9" t="n">
        <v>48.61797591815967</v>
      </c>
      <c r="N411" s="9" t="n">
        <v>1.037350294057674</v>
      </c>
      <c r="O411" s="9" t="n">
        <v>0</v>
      </c>
      <c r="P411" s="9" t="n">
        <v>0</v>
      </c>
      <c r="Q411" s="9" t="n">
        <v>0</v>
      </c>
      <c r="R411" s="9" t="n">
        <v>0</v>
      </c>
      <c r="S411" s="9" t="n">
        <v>0</v>
      </c>
      <c r="T411" s="9" t="n">
        <v>1891</v>
      </c>
      <c r="U411" s="9" t="n">
        <v>68.40232297726546</v>
      </c>
      <c r="V411" s="9" t="n">
        <v>2.310154093975462</v>
      </c>
      <c r="W411" s="9" t="n">
        <v>0</v>
      </c>
      <c r="X411" s="9" t="n">
        <v>0</v>
      </c>
      <c r="Y411" s="9" t="n">
        <v>0</v>
      </c>
      <c r="Z411" s="9" t="n">
        <v>0</v>
      </c>
      <c r="AA411" s="9" t="n">
        <v>0</v>
      </c>
      <c r="AB411" s="9" t="n">
        <v>1363</v>
      </c>
      <c r="AC411" s="9" t="n">
        <v>98.70480136776079</v>
      </c>
      <c r="AD411" s="9" t="n">
        <v>2.637149779879811</v>
      </c>
      <c r="AE411" s="9" t="n">
        <v>0</v>
      </c>
      <c r="AF411" s="9" t="n">
        <v>0</v>
      </c>
      <c r="AG411" s="9" t="n">
        <v>0</v>
      </c>
      <c r="AH411" s="9" t="n">
        <v>0</v>
      </c>
      <c r="AI411" s="9" t="n">
        <v>0</v>
      </c>
      <c r="AJ411" s="9" t="n">
        <v>1220</v>
      </c>
      <c r="AK411" s="9" t="n">
        <v>121.6157525633396</v>
      </c>
      <c r="AL411" s="9" t="n">
        <v>2.646389747145974</v>
      </c>
      <c r="AM411" s="9" t="n">
        <v>0</v>
      </c>
      <c r="AN411" s="9" t="n">
        <v>0</v>
      </c>
      <c r="AO411" s="9" t="n">
        <v>0</v>
      </c>
      <c r="AP411" s="9" t="n">
        <v>0</v>
      </c>
      <c r="AQ411" s="9" t="n">
        <v>0</v>
      </c>
      <c r="AR411" s="9" t="n">
        <v>889</v>
      </c>
      <c r="AS411" s="9" t="n">
        <v>24.30898795907985</v>
      </c>
      <c r="AT411" s="9" t="n">
        <v>2.710559072200493</v>
      </c>
      <c r="AU411" s="9" t="n">
        <v>0</v>
      </c>
      <c r="AV411" s="9" t="n">
        <v>0</v>
      </c>
      <c r="AW411" s="9" t="n">
        <v>0</v>
      </c>
      <c r="AX411" s="9" t="n">
        <v>0</v>
      </c>
      <c r="AY411" s="9" t="n">
        <v>0</v>
      </c>
    </row>
    <row r="412">
      <c r="A412" s="9" t="n">
        <v>418</v>
      </c>
      <c r="B412" s="9" t="inlineStr">
        <is>
          <t>ББ078</t>
        </is>
      </c>
      <c r="C412" s="9" t="inlineStr"/>
      <c r="D412" s="9" t="inlineStr">
        <is>
          <t>ШОКОЛАД</t>
        </is>
      </c>
      <c r="E412" s="9" t="inlineStr">
        <is>
          <t>Федеральный</t>
        </is>
      </c>
      <c r="F412" s="9" t="n">
        <v>62829.3</v>
      </c>
      <c r="G412" s="9" t="n">
        <v>28218</v>
      </c>
      <c r="H412" s="9" t="n">
        <v>20207</v>
      </c>
      <c r="I412" s="9" t="n">
        <v>27687</v>
      </c>
      <c r="J412" s="9" t="n">
        <v>30655</v>
      </c>
      <c r="K412" s="9" t="n">
        <v>29911</v>
      </c>
      <c r="L412" s="9" t="n">
        <v>18783.4</v>
      </c>
      <c r="M412" s="9" t="n">
        <v>566.0664114039723</v>
      </c>
      <c r="N412" s="9" t="n">
        <v>2114.715805814946</v>
      </c>
      <c r="O412" s="9" t="n">
        <v>35.84</v>
      </c>
      <c r="P412" s="9" t="n">
        <v>0</v>
      </c>
      <c r="Q412" s="9" t="n">
        <v>13.89745796868133</v>
      </c>
      <c r="R412" s="9" t="n">
        <v>31.05893573737539</v>
      </c>
      <c r="S412" s="9" t="n">
        <v>0</v>
      </c>
      <c r="T412" s="9" t="n">
        <v>22864</v>
      </c>
      <c r="U412" s="9" t="n">
        <v>1434.380296062403</v>
      </c>
      <c r="V412" s="9" t="n">
        <v>8459.879579787941</v>
      </c>
      <c r="W412" s="9" t="n">
        <v>35.84</v>
      </c>
      <c r="X412" s="9" t="n">
        <v>0</v>
      </c>
      <c r="Y412" s="9" t="n">
        <v>30.70901795367045</v>
      </c>
      <c r="Z412" s="9" t="n">
        <v>101.2873221227566</v>
      </c>
      <c r="AA412" s="9" t="n">
        <v>0</v>
      </c>
      <c r="AB412" s="9" t="n">
        <v>28545</v>
      </c>
      <c r="AC412" s="9" t="n">
        <v>1290.476837869805</v>
      </c>
      <c r="AD412" s="9" t="n">
        <v>10766.52690141336</v>
      </c>
      <c r="AE412" s="9" t="n">
        <v>35.84</v>
      </c>
      <c r="AF412" s="9" t="n">
        <v>0</v>
      </c>
      <c r="AG412" s="9" t="n">
        <v>45.73348512084667</v>
      </c>
      <c r="AH412" s="9" t="n">
        <v>86.6121478075961</v>
      </c>
      <c r="AI412" s="9" t="n">
        <v>0</v>
      </c>
      <c r="AJ412" s="9" t="n">
        <v>17393</v>
      </c>
      <c r="AK412" s="9" t="n">
        <v>1378.036556820888</v>
      </c>
      <c r="AL412" s="9" t="n">
        <v>16663.07894110321</v>
      </c>
      <c r="AM412" s="9" t="n">
        <v>35.84</v>
      </c>
      <c r="AN412" s="9" t="n">
        <v>0</v>
      </c>
      <c r="AO412" s="9" t="n">
        <v>41.18574202121917</v>
      </c>
      <c r="AP412" s="9" t="n">
        <v>50.33852676594232</v>
      </c>
      <c r="AQ412" s="9" t="n">
        <v>0</v>
      </c>
      <c r="AR412" s="9" t="n">
        <v>15914</v>
      </c>
      <c r="AS412" s="9" t="n">
        <v>1285.411977774502</v>
      </c>
      <c r="AT412" s="9" t="n">
        <v>6021.067601986818</v>
      </c>
      <c r="AU412" s="9" t="n">
        <v>35.84</v>
      </c>
      <c r="AV412" s="9" t="n">
        <v>0</v>
      </c>
      <c r="AW412" s="9" t="n">
        <v>6.948728984340678</v>
      </c>
      <c r="AX412" s="9" t="n">
        <v>12.68540941004307</v>
      </c>
      <c r="AY412" s="9" t="n">
        <v>0</v>
      </c>
    </row>
    <row r="413">
      <c r="A413" s="9" t="n">
        <v>419</v>
      </c>
      <c r="B413" s="9" t="inlineStr">
        <is>
          <t>ББ077</t>
        </is>
      </c>
      <c r="C413" s="9" t="inlineStr"/>
      <c r="D413" s="9" t="inlineStr">
        <is>
          <t>ШОКОЛАД</t>
        </is>
      </c>
      <c r="E413" s="9" t="inlineStr">
        <is>
          <t>Федеральный</t>
        </is>
      </c>
      <c r="F413" s="9" t="n">
        <v>119294.6</v>
      </c>
      <c r="G413" s="9" t="n">
        <v>0</v>
      </c>
      <c r="H413" s="9" t="n">
        <v>29080</v>
      </c>
      <c r="I413" s="9" t="n">
        <v>53069</v>
      </c>
      <c r="J413" s="9" t="n">
        <v>52543</v>
      </c>
      <c r="K413" s="9" t="n">
        <v>53264</v>
      </c>
      <c r="L413" s="9" t="n">
        <v>59610</v>
      </c>
      <c r="M413" s="9" t="n">
        <v>72.29479236426438</v>
      </c>
      <c r="N413" s="9" t="n">
        <v>2931.520180042254</v>
      </c>
      <c r="O413" s="9" t="n">
        <v>49.2</v>
      </c>
      <c r="P413" s="9" t="n">
        <v>0</v>
      </c>
      <c r="Q413" s="9" t="n">
        <v>8.017745914018974</v>
      </c>
      <c r="R413" s="9" t="n">
        <v>81.9026228005264</v>
      </c>
      <c r="S413" s="9" t="n">
        <v>0</v>
      </c>
      <c r="T413" s="9" t="n">
        <v>37980</v>
      </c>
      <c r="U413" s="9" t="n">
        <v>183.1909182140458</v>
      </c>
      <c r="V413" s="9" t="n">
        <v>10851.06043029335</v>
      </c>
      <c r="W413" s="9" t="n">
        <v>49.2</v>
      </c>
      <c r="X413" s="9" t="n">
        <v>0</v>
      </c>
      <c r="Y413" s="9" t="n">
        <v>17.71670069277706</v>
      </c>
      <c r="Z413" s="9" t="n">
        <v>276.0528763708878</v>
      </c>
      <c r="AA413" s="9" t="n">
        <v>0</v>
      </c>
      <c r="AB413" s="9" t="n">
        <v>46147</v>
      </c>
      <c r="AC413" s="9" t="n">
        <v>164.812384492657</v>
      </c>
      <c r="AD413" s="9" t="n">
        <v>14642.29251984902</v>
      </c>
      <c r="AE413" s="9" t="n">
        <v>49.2</v>
      </c>
      <c r="AF413" s="9" t="n">
        <v>0</v>
      </c>
      <c r="AG413" s="9" t="n">
        <v>26.3846427373875</v>
      </c>
      <c r="AH413" s="9" t="n">
        <v>189.5881746266857</v>
      </c>
      <c r="AI413" s="9" t="n">
        <v>0</v>
      </c>
      <c r="AJ413" s="9" t="n">
        <v>62611</v>
      </c>
      <c r="AK413" s="9" t="n">
        <v>175.9950153174427</v>
      </c>
      <c r="AL413" s="9" t="n">
        <v>17942.42121662757</v>
      </c>
      <c r="AM413" s="9" t="n">
        <v>49.2</v>
      </c>
      <c r="AN413" s="9" t="n">
        <v>0</v>
      </c>
      <c r="AO413" s="9" t="n">
        <v>23.76095078327496</v>
      </c>
      <c r="AP413" s="9" t="n">
        <v>62.60215430563568</v>
      </c>
      <c r="AQ413" s="9" t="n">
        <v>0</v>
      </c>
      <c r="AR413" s="9" t="n">
        <v>45949</v>
      </c>
      <c r="AS413" s="9" t="n">
        <v>164.1655292799695</v>
      </c>
      <c r="AT413" s="9" t="n">
        <v>10420.96549882106</v>
      </c>
      <c r="AU413" s="9" t="n">
        <v>49.2</v>
      </c>
      <c r="AV413" s="9" t="n">
        <v>0</v>
      </c>
      <c r="AW413" s="9" t="n">
        <v>4.008872957009494</v>
      </c>
      <c r="AX413" s="9" t="n">
        <v>9.500559775085254</v>
      </c>
      <c r="AY413" s="9" t="n">
        <v>0</v>
      </c>
    </row>
    <row r="414">
      <c r="A414" s="9" t="n">
        <v>420</v>
      </c>
      <c r="B414" s="9" t="inlineStr">
        <is>
          <t>ББ192</t>
        </is>
      </c>
      <c r="C414" s="9" t="inlineStr"/>
      <c r="D414" s="9" t="inlineStr">
        <is>
          <t>ШОКОЛАД</t>
        </is>
      </c>
      <c r="E414" s="9" t="inlineStr">
        <is>
          <t>Федеральный</t>
        </is>
      </c>
      <c r="F414" s="9" t="n">
        <v>3590.8</v>
      </c>
      <c r="G414" s="9" t="n">
        <v>0</v>
      </c>
      <c r="H414" s="9" t="n">
        <v>0</v>
      </c>
      <c r="I414" s="9" t="n">
        <v>0</v>
      </c>
      <c r="J414" s="9" t="n">
        <v>0</v>
      </c>
      <c r="K414" s="9" t="n">
        <v>0</v>
      </c>
      <c r="L414" s="9" t="n">
        <v>0</v>
      </c>
      <c r="M414" s="9" t="n">
        <v>0</v>
      </c>
      <c r="N414" s="9" t="n">
        <v>0</v>
      </c>
      <c r="O414" s="9" t="n">
        <v>0</v>
      </c>
      <c r="P414" s="9" t="n">
        <v>0</v>
      </c>
      <c r="Q414" s="9" t="n">
        <v>0</v>
      </c>
      <c r="R414" s="9" t="n">
        <v>0</v>
      </c>
      <c r="S414" s="9" t="n">
        <v>0</v>
      </c>
      <c r="T414" s="9" t="n">
        <v>0</v>
      </c>
      <c r="U414" s="9" t="n">
        <v>0</v>
      </c>
      <c r="V414" s="9" t="n">
        <v>0</v>
      </c>
      <c r="W414" s="9" t="n">
        <v>0</v>
      </c>
      <c r="X414" s="9" t="n">
        <v>0</v>
      </c>
      <c r="Y414" s="9" t="n">
        <v>0</v>
      </c>
      <c r="Z414" s="9" t="n">
        <v>0</v>
      </c>
      <c r="AA414" s="9" t="n">
        <v>0</v>
      </c>
      <c r="AB414" s="9" t="n">
        <v>0</v>
      </c>
      <c r="AC414" s="9" t="n">
        <v>0</v>
      </c>
      <c r="AD414" s="9" t="n">
        <v>0</v>
      </c>
      <c r="AE414" s="9" t="n">
        <v>0</v>
      </c>
      <c r="AF414" s="9" t="n">
        <v>0</v>
      </c>
      <c r="AG414" s="9" t="n">
        <v>0</v>
      </c>
      <c r="AH414" s="9" t="n">
        <v>0</v>
      </c>
      <c r="AI414" s="9" t="n">
        <v>0</v>
      </c>
      <c r="AJ414" s="9" t="n">
        <v>0</v>
      </c>
      <c r="AK414" s="9" t="n">
        <v>0</v>
      </c>
      <c r="AL414" s="9" t="n">
        <v>0</v>
      </c>
      <c r="AM414" s="9" t="n">
        <v>0</v>
      </c>
      <c r="AN414" s="9" t="n">
        <v>0</v>
      </c>
      <c r="AO414" s="9" t="n">
        <v>0</v>
      </c>
      <c r="AP414" s="9" t="n">
        <v>0</v>
      </c>
      <c r="AQ414" s="9" t="n">
        <v>0</v>
      </c>
      <c r="AR414" s="9" t="n">
        <v>0</v>
      </c>
      <c r="AS414" s="9" t="n">
        <v>0</v>
      </c>
      <c r="AT414" s="9" t="n">
        <v>0</v>
      </c>
      <c r="AU414" s="9" t="n">
        <v>0</v>
      </c>
      <c r="AV414" s="9" t="n">
        <v>0</v>
      </c>
      <c r="AW414" s="9" t="n">
        <v>0</v>
      </c>
      <c r="AX414" s="9" t="n">
        <v>0</v>
      </c>
      <c r="AY414" s="9" t="n">
        <v>0</v>
      </c>
    </row>
    <row r="415">
      <c r="A415" s="9" t="n">
        <v>421</v>
      </c>
      <c r="B415" s="9" t="inlineStr">
        <is>
          <t>ББ237</t>
        </is>
      </c>
      <c r="C415" s="9" t="inlineStr"/>
      <c r="D415" s="9" t="inlineStr">
        <is>
          <t>ШОКОЛАД</t>
        </is>
      </c>
      <c r="E415" s="9" t="inlineStr">
        <is>
          <t>Федеральный</t>
        </is>
      </c>
      <c r="F415" s="9" t="n">
        <v>26394.12</v>
      </c>
      <c r="G415" s="9" t="n">
        <v>0</v>
      </c>
      <c r="H415" s="9" t="n">
        <v>13870</v>
      </c>
      <c r="I415" s="9" t="n">
        <v>3609</v>
      </c>
      <c r="J415" s="9" t="n">
        <v>8134</v>
      </c>
      <c r="K415" s="9" t="n">
        <v>11511</v>
      </c>
      <c r="L415" s="9" t="n">
        <v>3731.36</v>
      </c>
      <c r="M415" s="9" t="n">
        <v>5083.302891354697</v>
      </c>
      <c r="N415" s="9" t="n">
        <v>1462.134263243015</v>
      </c>
      <c r="O415" s="9" t="n">
        <v>36.288</v>
      </c>
      <c r="P415" s="9" t="n">
        <v>0</v>
      </c>
      <c r="Q415" s="9" t="n">
        <v>6.466893524577447</v>
      </c>
      <c r="R415" s="9" t="n">
        <v>29.27346252402948</v>
      </c>
      <c r="S415" s="9" t="n">
        <v>0</v>
      </c>
      <c r="T415" s="9" t="n">
        <v>3554</v>
      </c>
      <c r="U415" s="9" t="n">
        <v>5034.379290786158</v>
      </c>
      <c r="V415" s="9" t="n">
        <v>3605.396412483737</v>
      </c>
      <c r="W415" s="9" t="n">
        <v>36.288</v>
      </c>
      <c r="X415" s="9" t="n">
        <v>0</v>
      </c>
      <c r="Y415" s="9" t="n">
        <v>14.28980391941185</v>
      </c>
      <c r="Z415" s="9" t="n">
        <v>77.6286653635439</v>
      </c>
      <c r="AA415" s="9" t="n">
        <v>0</v>
      </c>
      <c r="AB415" s="9" t="n">
        <v>3713</v>
      </c>
      <c r="AC415" s="9" t="n">
        <v>5031.933451100517</v>
      </c>
      <c r="AD415" s="9" t="n">
        <v>4110.586254602114</v>
      </c>
      <c r="AE415" s="9" t="n">
        <v>36.288</v>
      </c>
      <c r="AF415" s="9" t="n">
        <v>0</v>
      </c>
      <c r="AG415" s="9" t="n">
        <v>21.28112777537151</v>
      </c>
      <c r="AH415" s="9" t="n">
        <v>75.0263127878212</v>
      </c>
      <c r="AI415" s="9" t="n">
        <v>0</v>
      </c>
      <c r="AJ415" s="9" t="n">
        <v>4898</v>
      </c>
      <c r="AK415" s="9" t="n">
        <v>5023.421650468093</v>
      </c>
      <c r="AL415" s="9" t="n">
        <v>4093.129266616297</v>
      </c>
      <c r="AM415" s="9" t="n">
        <v>36.288</v>
      </c>
      <c r="AN415" s="9" t="n">
        <v>0</v>
      </c>
      <c r="AO415" s="9" t="n">
        <v>19.16492994489781</v>
      </c>
      <c r="AP415" s="9" t="n">
        <v>31.51558850643465</v>
      </c>
      <c r="AQ415" s="9" t="n">
        <v>0</v>
      </c>
      <c r="AR415" s="9" t="n">
        <v>3748</v>
      </c>
      <c r="AS415" s="9" t="n">
        <v>5021.847366749391</v>
      </c>
      <c r="AT415" s="9" t="n">
        <v>3341.485053434409</v>
      </c>
      <c r="AU415" s="9" t="n">
        <v>36.288</v>
      </c>
      <c r="AV415" s="9" t="n">
        <v>0</v>
      </c>
      <c r="AW415" s="9" t="n">
        <v>3.233446762288729</v>
      </c>
      <c r="AX415" s="9" t="n">
        <v>2.697531430888179</v>
      </c>
      <c r="AY415" s="9" t="n">
        <v>0</v>
      </c>
    </row>
    <row r="416">
      <c r="A416" s="9" t="n">
        <v>422</v>
      </c>
      <c r="B416" s="9" t="inlineStr">
        <is>
          <t>ББ094</t>
        </is>
      </c>
      <c r="C416" s="9" t="inlineStr"/>
      <c r="D416" s="9" t="inlineStr">
        <is>
          <t>ШОКОЛАД</t>
        </is>
      </c>
      <c r="E416" s="9" t="inlineStr">
        <is>
          <t>Федеральный</t>
        </is>
      </c>
      <c r="F416" s="9" t="n">
        <v>157435.6</v>
      </c>
      <c r="G416" s="9" t="n">
        <v>0</v>
      </c>
      <c r="H416" s="9" t="n">
        <v>2742.64</v>
      </c>
      <c r="I416" s="9" t="n">
        <v>1.32</v>
      </c>
      <c r="J416" s="9" t="n">
        <v>0</v>
      </c>
      <c r="K416" s="9" t="n">
        <v>37275.26</v>
      </c>
      <c r="L416" s="9" t="n">
        <v>53213.4</v>
      </c>
      <c r="M416" s="9" t="n">
        <v>886.0538955659473</v>
      </c>
      <c r="N416" s="9" t="n">
        <v>1670.983876648642</v>
      </c>
      <c r="O416" s="9" t="n">
        <v>163.08</v>
      </c>
      <c r="P416" s="9" t="n">
        <v>0</v>
      </c>
      <c r="Q416" s="9" t="n">
        <v>10.30950540233222</v>
      </c>
      <c r="R416" s="9" t="n">
        <v>56.35865435375202</v>
      </c>
      <c r="S416" s="9" t="n">
        <v>0.1610908370125339</v>
      </c>
      <c r="T416" s="9" t="n">
        <v>36851</v>
      </c>
      <c r="U416" s="9" t="n">
        <v>2245.210497292916</v>
      </c>
      <c r="V416" s="9" t="n">
        <v>5572.160348024041</v>
      </c>
      <c r="W416" s="9" t="n">
        <v>167.58</v>
      </c>
      <c r="X416" s="9" t="n">
        <v>0</v>
      </c>
      <c r="Y416" s="9" t="n">
        <v>22.78076949087712</v>
      </c>
      <c r="Z416" s="9" t="n">
        <v>162.7626512687975</v>
      </c>
      <c r="AA416" s="9" t="n">
        <v>0.3221816740250681</v>
      </c>
      <c r="AB416" s="9" t="n">
        <v>24323.4</v>
      </c>
      <c r="AC416" s="9" t="n">
        <v>2019.960920302967</v>
      </c>
      <c r="AD416" s="9" t="n">
        <v>6032.865776845298</v>
      </c>
      <c r="AE416" s="9" t="n">
        <v>175.18</v>
      </c>
      <c r="AF416" s="9" t="n">
        <v>0</v>
      </c>
      <c r="AG416" s="9" t="n">
        <v>33.92632040934222</v>
      </c>
      <c r="AH416" s="9" t="n">
        <v>158.2249516077331</v>
      </c>
      <c r="AI416" s="9" t="n">
        <v>0.5154906784401095</v>
      </c>
      <c r="AJ416" s="9" t="n">
        <v>47321.59999999999</v>
      </c>
      <c r="AK416" s="9" t="n">
        <v>2157.016623500132</v>
      </c>
      <c r="AL416" s="9" t="n">
        <v>5905.842326697817</v>
      </c>
      <c r="AM416" s="9" t="n">
        <v>166.63</v>
      </c>
      <c r="AN416" s="9" t="n">
        <v>0</v>
      </c>
      <c r="AO416" s="9" t="n">
        <v>30.55268314706831</v>
      </c>
      <c r="AP416" s="9" t="n">
        <v>95.56533691856711</v>
      </c>
      <c r="AQ416" s="9" t="n">
        <v>0.7155203982239989</v>
      </c>
      <c r="AR416" s="9" t="n">
        <v>43404.99999999999</v>
      </c>
      <c r="AS416" s="9" t="n">
        <v>2012.032983001744</v>
      </c>
      <c r="AT416" s="9" t="n">
        <v>5568.134622746205</v>
      </c>
      <c r="AU416" s="9" t="n">
        <v>160.93</v>
      </c>
      <c r="AV416" s="9" t="n">
        <v>0</v>
      </c>
      <c r="AW416" s="9" t="n">
        <v>5.154752701166121</v>
      </c>
      <c r="AX416" s="9" t="n">
        <v>23.72637289588112</v>
      </c>
      <c r="AY416" s="9" t="n">
        <v>0.3221816740250684</v>
      </c>
    </row>
    <row r="417">
      <c r="A417" s="9" t="n">
        <v>423</v>
      </c>
      <c r="B417" s="9" t="inlineStr">
        <is>
          <t>ББ220</t>
        </is>
      </c>
      <c r="C417" s="9" t="inlineStr"/>
      <c r="D417" s="9" t="inlineStr">
        <is>
          <t>ШОКОЛАД</t>
        </is>
      </c>
      <c r="E417" s="9" t="inlineStr">
        <is>
          <t>Федеральный</t>
        </is>
      </c>
      <c r="F417" s="9" t="n">
        <v>0</v>
      </c>
      <c r="G417" s="9" t="n">
        <v>0</v>
      </c>
      <c r="H417" s="9" t="n">
        <v>0</v>
      </c>
      <c r="I417" s="9" t="n">
        <v>0</v>
      </c>
      <c r="J417" s="9" t="n">
        <v>0</v>
      </c>
      <c r="K417" s="9" t="n">
        <v>0</v>
      </c>
      <c r="L417" s="9" t="n">
        <v>0</v>
      </c>
      <c r="M417" s="9" t="n">
        <v>0</v>
      </c>
      <c r="N417" s="9" t="n">
        <v>0</v>
      </c>
      <c r="O417" s="9" t="n">
        <v>0</v>
      </c>
      <c r="P417" s="9" t="n">
        <v>0</v>
      </c>
      <c r="Q417" s="9" t="n">
        <v>0</v>
      </c>
      <c r="R417" s="9" t="n">
        <v>0</v>
      </c>
      <c r="S417" s="9" t="n">
        <v>0</v>
      </c>
      <c r="T417" s="9" t="n">
        <v>0</v>
      </c>
      <c r="U417" s="9" t="n">
        <v>0</v>
      </c>
      <c r="V417" s="9" t="n">
        <v>0</v>
      </c>
      <c r="W417" s="9" t="n">
        <v>0</v>
      </c>
      <c r="X417" s="9" t="n">
        <v>0</v>
      </c>
      <c r="Y417" s="9" t="n">
        <v>0</v>
      </c>
      <c r="Z417" s="9" t="n">
        <v>0</v>
      </c>
      <c r="AA417" s="9" t="n">
        <v>0</v>
      </c>
      <c r="AB417" s="9" t="n">
        <v>0</v>
      </c>
      <c r="AC417" s="9" t="n">
        <v>0</v>
      </c>
      <c r="AD417" s="9" t="n">
        <v>0</v>
      </c>
      <c r="AE417" s="9" t="n">
        <v>0</v>
      </c>
      <c r="AF417" s="9" t="n">
        <v>0</v>
      </c>
      <c r="AG417" s="9" t="n">
        <v>0</v>
      </c>
      <c r="AH417" s="9" t="n">
        <v>0</v>
      </c>
      <c r="AI417" s="9" t="n">
        <v>0</v>
      </c>
      <c r="AJ417" s="9" t="n">
        <v>0</v>
      </c>
      <c r="AK417" s="9" t="n">
        <v>0</v>
      </c>
      <c r="AL417" s="9" t="n">
        <v>0</v>
      </c>
      <c r="AM417" s="9" t="n">
        <v>0</v>
      </c>
      <c r="AN417" s="9" t="n">
        <v>0</v>
      </c>
      <c r="AO417" s="9" t="n">
        <v>0</v>
      </c>
      <c r="AP417" s="9" t="n">
        <v>0</v>
      </c>
      <c r="AQ417" s="9" t="n">
        <v>0</v>
      </c>
      <c r="AR417" s="9" t="n">
        <v>0</v>
      </c>
      <c r="AS417" s="9" t="n">
        <v>0</v>
      </c>
      <c r="AT417" s="9" t="n">
        <v>0</v>
      </c>
      <c r="AU417" s="9" t="n">
        <v>0</v>
      </c>
      <c r="AV417" s="9" t="n">
        <v>0</v>
      </c>
      <c r="AW417" s="9" t="n">
        <v>0</v>
      </c>
      <c r="AX417" s="9" t="n">
        <v>0</v>
      </c>
      <c r="AY417" s="9" t="n">
        <v>0</v>
      </c>
    </row>
    <row r="418">
      <c r="A418" s="9" t="n">
        <v>424</v>
      </c>
      <c r="B418" s="9" t="inlineStr">
        <is>
          <t>ББ222</t>
        </is>
      </c>
      <c r="C418" s="9" t="inlineStr"/>
      <c r="D418" s="9" t="inlineStr">
        <is>
          <t>ШОКОЛАД</t>
        </is>
      </c>
      <c r="E418" s="9" t="inlineStr">
        <is>
          <t>Федеральный</t>
        </is>
      </c>
      <c r="F418" s="9" t="n">
        <v>14.6</v>
      </c>
      <c r="G418" s="9" t="n">
        <v>0</v>
      </c>
      <c r="H418" s="9" t="n">
        <v>0</v>
      </c>
      <c r="I418" s="9" t="n">
        <v>0</v>
      </c>
      <c r="J418" s="9" t="n">
        <v>0</v>
      </c>
      <c r="K418" s="9" t="n">
        <v>0</v>
      </c>
      <c r="L418" s="9" t="n">
        <v>0</v>
      </c>
      <c r="M418" s="9" t="n">
        <v>0</v>
      </c>
      <c r="N418" s="9" t="n">
        <v>0</v>
      </c>
      <c r="O418" s="9" t="n">
        <v>0</v>
      </c>
      <c r="P418" s="9" t="n">
        <v>0</v>
      </c>
      <c r="Q418" s="9" t="n">
        <v>0</v>
      </c>
      <c r="R418" s="9" t="n">
        <v>0</v>
      </c>
      <c r="S418" s="9" t="n">
        <v>0</v>
      </c>
      <c r="T418" s="9" t="n">
        <v>0</v>
      </c>
      <c r="U418" s="9" t="n">
        <v>0</v>
      </c>
      <c r="V418" s="9" t="n">
        <v>0</v>
      </c>
      <c r="W418" s="9" t="n">
        <v>0</v>
      </c>
      <c r="X418" s="9" t="n">
        <v>0</v>
      </c>
      <c r="Y418" s="9" t="n">
        <v>0</v>
      </c>
      <c r="Z418" s="9" t="n">
        <v>0</v>
      </c>
      <c r="AA418" s="9" t="n">
        <v>0</v>
      </c>
      <c r="AB418" s="9" t="n">
        <v>0</v>
      </c>
      <c r="AC418" s="9" t="n">
        <v>0</v>
      </c>
      <c r="AD418" s="9" t="n">
        <v>0</v>
      </c>
      <c r="AE418" s="9" t="n">
        <v>0</v>
      </c>
      <c r="AF418" s="9" t="n">
        <v>0</v>
      </c>
      <c r="AG418" s="9" t="n">
        <v>0</v>
      </c>
      <c r="AH418" s="9" t="n">
        <v>0</v>
      </c>
      <c r="AI418" s="9" t="n">
        <v>0</v>
      </c>
      <c r="AJ418" s="9" t="n">
        <v>0</v>
      </c>
      <c r="AK418" s="9" t="n">
        <v>0</v>
      </c>
      <c r="AL418" s="9" t="n">
        <v>0</v>
      </c>
      <c r="AM418" s="9" t="n">
        <v>0</v>
      </c>
      <c r="AN418" s="9" t="n">
        <v>0</v>
      </c>
      <c r="AO418" s="9" t="n">
        <v>0</v>
      </c>
      <c r="AP418" s="9" t="n">
        <v>0</v>
      </c>
      <c r="AQ418" s="9" t="n">
        <v>0</v>
      </c>
      <c r="AR418" s="9" t="n">
        <v>0</v>
      </c>
      <c r="AS418" s="9" t="n">
        <v>0</v>
      </c>
      <c r="AT418" s="9" t="n">
        <v>0</v>
      </c>
      <c r="AU418" s="9" t="n">
        <v>0</v>
      </c>
      <c r="AV418" s="9" t="n">
        <v>0</v>
      </c>
      <c r="AW418" s="9" t="n">
        <v>0</v>
      </c>
      <c r="AX418" s="9" t="n">
        <v>0</v>
      </c>
      <c r="AY418" s="9" t="n">
        <v>0</v>
      </c>
    </row>
    <row r="419">
      <c r="A419" s="9" t="n">
        <v>425</v>
      </c>
      <c r="B419" s="9" t="inlineStr">
        <is>
          <t>ББ192</t>
        </is>
      </c>
      <c r="C419" s="9" t="inlineStr"/>
      <c r="D419" s="9" t="inlineStr">
        <is>
          <t>ШОКОЛАД</t>
        </is>
      </c>
      <c r="E419" s="9" t="inlineStr">
        <is>
          <t>Федеральный</t>
        </is>
      </c>
      <c r="F419" s="9" t="n">
        <v>7862.6</v>
      </c>
      <c r="G419" s="9" t="n">
        <v>0</v>
      </c>
      <c r="H419" s="9" t="n">
        <v>0</v>
      </c>
      <c r="I419" s="9" t="n">
        <v>0</v>
      </c>
      <c r="J419" s="9" t="n">
        <v>0</v>
      </c>
      <c r="K419" s="9" t="n">
        <v>0</v>
      </c>
      <c r="L419" s="9" t="n">
        <v>0</v>
      </c>
      <c r="M419" s="9" t="n">
        <v>0</v>
      </c>
      <c r="N419" s="9" t="n">
        <v>0</v>
      </c>
      <c r="O419" s="9" t="n">
        <v>0</v>
      </c>
      <c r="P419" s="9" t="n">
        <v>0</v>
      </c>
      <c r="Q419" s="9" t="n">
        <v>0</v>
      </c>
      <c r="R419" s="9" t="n">
        <v>0</v>
      </c>
      <c r="S419" s="9" t="n">
        <v>0</v>
      </c>
      <c r="T419" s="9" t="n">
        <v>0</v>
      </c>
      <c r="U419" s="9" t="n">
        <v>0</v>
      </c>
      <c r="V419" s="9" t="n">
        <v>0</v>
      </c>
      <c r="W419" s="9" t="n">
        <v>0</v>
      </c>
      <c r="X419" s="9" t="n">
        <v>0</v>
      </c>
      <c r="Y419" s="9" t="n">
        <v>0</v>
      </c>
      <c r="Z419" s="9" t="n">
        <v>0</v>
      </c>
      <c r="AA419" s="9" t="n">
        <v>0</v>
      </c>
      <c r="AB419" s="9" t="n">
        <v>0</v>
      </c>
      <c r="AC419" s="9" t="n">
        <v>0</v>
      </c>
      <c r="AD419" s="9" t="n">
        <v>0</v>
      </c>
      <c r="AE419" s="9" t="n">
        <v>0</v>
      </c>
      <c r="AF419" s="9" t="n">
        <v>0</v>
      </c>
      <c r="AG419" s="9" t="n">
        <v>0</v>
      </c>
      <c r="AH419" s="9" t="n">
        <v>0</v>
      </c>
      <c r="AI419" s="9" t="n">
        <v>0</v>
      </c>
      <c r="AJ419" s="9" t="n">
        <v>0</v>
      </c>
      <c r="AK419" s="9" t="n">
        <v>0</v>
      </c>
      <c r="AL419" s="9" t="n">
        <v>0</v>
      </c>
      <c r="AM419" s="9" t="n">
        <v>0</v>
      </c>
      <c r="AN419" s="9" t="n">
        <v>0</v>
      </c>
      <c r="AO419" s="9" t="n">
        <v>0</v>
      </c>
      <c r="AP419" s="9" t="n">
        <v>0</v>
      </c>
      <c r="AQ419" s="9" t="n">
        <v>0</v>
      </c>
      <c r="AR419" s="9" t="n">
        <v>0</v>
      </c>
      <c r="AS419" s="9" t="n">
        <v>0</v>
      </c>
      <c r="AT419" s="9" t="n">
        <v>0</v>
      </c>
      <c r="AU419" s="9" t="n">
        <v>0</v>
      </c>
      <c r="AV419" s="9" t="n">
        <v>0</v>
      </c>
      <c r="AW419" s="9" t="n">
        <v>0</v>
      </c>
      <c r="AX419" s="9" t="n">
        <v>0</v>
      </c>
      <c r="AY419" s="9" t="n">
        <v>0</v>
      </c>
    </row>
    <row r="420">
      <c r="A420" s="9" t="n">
        <v>426</v>
      </c>
      <c r="B420" s="9" t="inlineStr">
        <is>
          <t>ББ220</t>
        </is>
      </c>
      <c r="C420" s="9" t="inlineStr"/>
      <c r="D420" s="9" t="inlineStr">
        <is>
          <t>ШОКОЛАД</t>
        </is>
      </c>
      <c r="E420" s="9" t="inlineStr">
        <is>
          <t>Федеральный</t>
        </is>
      </c>
      <c r="F420" s="9" t="n">
        <v>0</v>
      </c>
      <c r="G420" s="9" t="n">
        <v>0</v>
      </c>
      <c r="H420" s="9" t="n">
        <v>0</v>
      </c>
      <c r="I420" s="9" t="n">
        <v>0</v>
      </c>
      <c r="J420" s="9" t="n">
        <v>0</v>
      </c>
      <c r="K420" s="9" t="n">
        <v>0</v>
      </c>
      <c r="L420" s="9" t="n">
        <v>0</v>
      </c>
      <c r="M420" s="9" t="n">
        <v>0</v>
      </c>
      <c r="N420" s="9" t="n">
        <v>0</v>
      </c>
      <c r="O420" s="9" t="n">
        <v>0</v>
      </c>
      <c r="P420" s="9" t="n">
        <v>0</v>
      </c>
      <c r="Q420" s="9" t="n">
        <v>0</v>
      </c>
      <c r="R420" s="9" t="n">
        <v>0</v>
      </c>
      <c r="S420" s="9" t="n">
        <v>0</v>
      </c>
      <c r="T420" s="9" t="n">
        <v>0</v>
      </c>
      <c r="U420" s="9" t="n">
        <v>0</v>
      </c>
      <c r="V420" s="9" t="n">
        <v>0</v>
      </c>
      <c r="W420" s="9" t="n">
        <v>0</v>
      </c>
      <c r="X420" s="9" t="n">
        <v>0</v>
      </c>
      <c r="Y420" s="9" t="n">
        <v>0</v>
      </c>
      <c r="Z420" s="9" t="n">
        <v>0</v>
      </c>
      <c r="AA420" s="9" t="n">
        <v>0</v>
      </c>
      <c r="AB420" s="9" t="n">
        <v>0</v>
      </c>
      <c r="AC420" s="9" t="n">
        <v>0</v>
      </c>
      <c r="AD420" s="9" t="n">
        <v>0</v>
      </c>
      <c r="AE420" s="9" t="n">
        <v>0</v>
      </c>
      <c r="AF420" s="9" t="n">
        <v>0</v>
      </c>
      <c r="AG420" s="9" t="n">
        <v>0</v>
      </c>
      <c r="AH420" s="9" t="n">
        <v>0</v>
      </c>
      <c r="AI420" s="9" t="n">
        <v>0</v>
      </c>
      <c r="AJ420" s="9" t="n">
        <v>0</v>
      </c>
      <c r="AK420" s="9" t="n">
        <v>0</v>
      </c>
      <c r="AL420" s="9" t="n">
        <v>0</v>
      </c>
      <c r="AM420" s="9" t="n">
        <v>0</v>
      </c>
      <c r="AN420" s="9" t="n">
        <v>0</v>
      </c>
      <c r="AO420" s="9" t="n">
        <v>0</v>
      </c>
      <c r="AP420" s="9" t="n">
        <v>0</v>
      </c>
      <c r="AQ420" s="9" t="n">
        <v>0</v>
      </c>
      <c r="AR420" s="9" t="n">
        <v>0</v>
      </c>
      <c r="AS420" s="9" t="n">
        <v>0</v>
      </c>
      <c r="AT420" s="9" t="n">
        <v>0</v>
      </c>
      <c r="AU420" s="9" t="n">
        <v>0</v>
      </c>
      <c r="AV420" s="9" t="n">
        <v>0</v>
      </c>
      <c r="AW420" s="9" t="n">
        <v>0</v>
      </c>
      <c r="AX420" s="9" t="n">
        <v>0</v>
      </c>
      <c r="AY420" s="9" t="n">
        <v>0</v>
      </c>
    </row>
    <row r="421">
      <c r="A421" s="9" t="n">
        <v>427</v>
      </c>
      <c r="B421" s="9" t="inlineStr">
        <is>
          <t>ББ237</t>
        </is>
      </c>
      <c r="C421" s="9" t="inlineStr"/>
      <c r="D421" s="9" t="inlineStr">
        <is>
          <t>ШОКОЛАД</t>
        </is>
      </c>
      <c r="E421" s="9" t="inlineStr">
        <is>
          <t>Федеральный</t>
        </is>
      </c>
      <c r="F421" s="9" t="n">
        <v>74803.59</v>
      </c>
      <c r="G421" s="9" t="n">
        <v>42921</v>
      </c>
      <c r="H421" s="9" t="n">
        <v>24094.25</v>
      </c>
      <c r="I421" s="9" t="n">
        <v>120764.58</v>
      </c>
      <c r="J421" s="9" t="n">
        <v>95000</v>
      </c>
      <c r="K421" s="9" t="n">
        <v>95039.86</v>
      </c>
      <c r="L421" s="9" t="n">
        <v>56872.8</v>
      </c>
      <c r="M421" s="9" t="n">
        <v>10387.65747790603</v>
      </c>
      <c r="N421" s="9" t="n">
        <v>5355.971158780456</v>
      </c>
      <c r="O421" s="9" t="n">
        <v>156.632</v>
      </c>
      <c r="P421" s="9" t="n">
        <v>0</v>
      </c>
      <c r="Q421" s="9" t="n">
        <v>10.82917408799163</v>
      </c>
      <c r="R421" s="9" t="n">
        <v>162.361133399366</v>
      </c>
      <c r="S421" s="9" t="n">
        <v>0.2533277564417125</v>
      </c>
      <c r="T421" s="9" t="n">
        <v>52509</v>
      </c>
      <c r="U421" s="9" t="n">
        <v>15992.30214110484</v>
      </c>
      <c r="V421" s="9" t="n">
        <v>14081.8862568665</v>
      </c>
      <c r="W421" s="9" t="n">
        <v>161.132</v>
      </c>
      <c r="X421" s="9" t="n">
        <v>0</v>
      </c>
      <c r="Y421" s="9" t="n">
        <v>23.92907409693086</v>
      </c>
      <c r="Z421" s="9" t="n">
        <v>466.1099753422296</v>
      </c>
      <c r="AA421" s="9" t="n">
        <v>0.5066555128834254</v>
      </c>
      <c r="AB421" s="9" t="n">
        <v>55521</v>
      </c>
      <c r="AC421" s="9" t="n">
        <v>15893.75318900125</v>
      </c>
      <c r="AD421" s="9" t="n">
        <v>18268.51129555478</v>
      </c>
      <c r="AE421" s="9" t="n">
        <v>168.732</v>
      </c>
      <c r="AF421" s="9" t="n">
        <v>0</v>
      </c>
      <c r="AG421" s="9" t="n">
        <v>35.63643604033984</v>
      </c>
      <c r="AH421" s="9" t="n">
        <v>442.7265126220119</v>
      </c>
      <c r="AI421" s="9" t="n">
        <v>0.8106488206134813</v>
      </c>
      <c r="AJ421" s="9" t="n">
        <v>75498</v>
      </c>
      <c r="AK421" s="9" t="n">
        <v>15943.71643559374</v>
      </c>
      <c r="AL421" s="9" t="n">
        <v>18174.96465492371</v>
      </c>
      <c r="AM421" s="9" t="n">
        <v>160.182</v>
      </c>
      <c r="AN421" s="9" t="n">
        <v>0</v>
      </c>
      <c r="AO421" s="9" t="n">
        <v>32.09274468007003</v>
      </c>
      <c r="AP421" s="9" t="n">
        <v>255.9541923645436</v>
      </c>
      <c r="AQ421" s="9" t="n">
        <v>1.125210971225278</v>
      </c>
      <c r="AR421" s="9" t="n">
        <v>56580.00000000001</v>
      </c>
      <c r="AS421" s="9" t="n">
        <v>10880.28463681208</v>
      </c>
      <c r="AT421" s="9" t="n">
        <v>24450.11829762393</v>
      </c>
      <c r="AU421" s="9" t="n">
        <v>154.482</v>
      </c>
      <c r="AV421" s="9" t="n">
        <v>0</v>
      </c>
      <c r="AW421" s="9" t="n">
        <v>5.414587043995825</v>
      </c>
      <c r="AX421" s="9" t="n">
        <v>59.38734734809796</v>
      </c>
      <c r="AY421" s="9" t="n">
        <v>0.5066555128834258</v>
      </c>
    </row>
    <row r="422">
      <c r="A422" s="9" t="n">
        <v>428</v>
      </c>
      <c r="B422" s="9" t="inlineStr">
        <is>
          <t>ББ088</t>
        </is>
      </c>
      <c r="C422" s="9" t="inlineStr"/>
      <c r="D422" s="9" t="inlineStr">
        <is>
          <t>ШОКОЛАД</t>
        </is>
      </c>
      <c r="E422" s="9" t="inlineStr">
        <is>
          <t>Федеральный</t>
        </is>
      </c>
      <c r="F422" s="9" t="n">
        <v>99345.90544</v>
      </c>
      <c r="G422" s="9" t="n">
        <v>39681</v>
      </c>
      <c r="H422" s="9" t="n">
        <v>120335</v>
      </c>
      <c r="I422" s="9" t="n">
        <v>90483.72</v>
      </c>
      <c r="J422" s="9" t="n">
        <v>60362.24</v>
      </c>
      <c r="K422" s="9" t="n">
        <v>5548.52</v>
      </c>
      <c r="L422" s="9" t="n">
        <v>27517.8</v>
      </c>
      <c r="M422" s="9" t="n">
        <v>12616.22848609274</v>
      </c>
      <c r="N422" s="9" t="n">
        <v>12879.49678776607</v>
      </c>
      <c r="O422" s="9" t="n">
        <v>206.28</v>
      </c>
      <c r="P422" s="9" t="n">
        <v>0</v>
      </c>
      <c r="Q422" s="9" t="n">
        <v>106.5419620015695</v>
      </c>
      <c r="R422" s="9" t="n">
        <v>103.4781481593111</v>
      </c>
      <c r="S422" s="9" t="n">
        <v>0.06816879403387627</v>
      </c>
      <c r="T422" s="9" t="n">
        <v>26445</v>
      </c>
      <c r="U422" s="9" t="n">
        <v>19245.49667524286</v>
      </c>
      <c r="V422" s="9" t="n">
        <v>12724.65128934806</v>
      </c>
      <c r="W422" s="9" t="n">
        <v>210.78</v>
      </c>
      <c r="X422" s="9" t="n">
        <v>0</v>
      </c>
      <c r="Y422" s="9" t="n">
        <v>235.4242791234661</v>
      </c>
      <c r="Z422" s="9" t="n">
        <v>507.0403730828838</v>
      </c>
      <c r="AA422" s="9" t="n">
        <v>0.1363375880677526</v>
      </c>
      <c r="AB422" s="9" t="n">
        <v>24010</v>
      </c>
      <c r="AC422" s="9" t="n">
        <v>18970.05614729619</v>
      </c>
      <c r="AD422" s="9" t="n">
        <v>16104.74797887817</v>
      </c>
      <c r="AE422" s="9" t="n">
        <v>218.38</v>
      </c>
      <c r="AF422" s="9" t="n">
        <v>0</v>
      </c>
      <c r="AG422" s="9" t="n">
        <v>350.6062220101769</v>
      </c>
      <c r="AH422" s="9" t="n">
        <v>239.5311963458568</v>
      </c>
      <c r="AI422" s="9" t="n">
        <v>0.2181401409084045</v>
      </c>
      <c r="AJ422" s="9" t="n">
        <v>36132</v>
      </c>
      <c r="AK422" s="9" t="n">
        <v>14161.21908182998</v>
      </c>
      <c r="AL422" s="9" t="n">
        <v>16153.74863878966</v>
      </c>
      <c r="AM422" s="9" t="n">
        <v>209.83</v>
      </c>
      <c r="AN422" s="9" t="n">
        <v>0</v>
      </c>
      <c r="AO422" s="9" t="n">
        <v>315.7418983615415</v>
      </c>
      <c r="AP422" s="9" t="n">
        <v>105.7246522053317</v>
      </c>
      <c r="AQ422" s="9" t="n">
        <v>0.3027866982265031</v>
      </c>
      <c r="AR422" s="9" t="n">
        <v>32360.75</v>
      </c>
      <c r="AS422" s="9" t="n">
        <v>13982.34552728991</v>
      </c>
      <c r="AT422" s="9" t="n">
        <v>15542.79771910913</v>
      </c>
      <c r="AU422" s="9" t="n">
        <v>204.13</v>
      </c>
      <c r="AV422" s="9" t="n">
        <v>0</v>
      </c>
      <c r="AW422" s="9" t="n">
        <v>53.27098100078483</v>
      </c>
      <c r="AX422" s="9" t="n">
        <v>23.79334339513976</v>
      </c>
      <c r="AY422" s="9" t="n">
        <v>0.1363375880677528</v>
      </c>
    </row>
    <row r="423">
      <c r="A423" s="9" t="n">
        <v>429</v>
      </c>
      <c r="B423" s="9" t="inlineStr">
        <is>
          <t>ББ225</t>
        </is>
      </c>
      <c r="C423" s="9" t="inlineStr"/>
      <c r="D423" s="9" t="inlineStr">
        <is>
          <t>ШОКОЛАД</t>
        </is>
      </c>
      <c r="E423" s="9" t="inlineStr">
        <is>
          <t>Федеральный</t>
        </is>
      </c>
      <c r="F423" s="9" t="n">
        <v>0</v>
      </c>
      <c r="G423" s="9" t="n">
        <v>0</v>
      </c>
      <c r="H423" s="9" t="n">
        <v>0</v>
      </c>
      <c r="I423" s="9" t="n">
        <v>0</v>
      </c>
      <c r="J423" s="9" t="n">
        <v>0</v>
      </c>
      <c r="K423" s="9" t="n">
        <v>0</v>
      </c>
      <c r="L423" s="9" t="n">
        <v>0</v>
      </c>
      <c r="M423" s="9" t="n">
        <v>0</v>
      </c>
      <c r="N423" s="9" t="n">
        <v>0</v>
      </c>
      <c r="O423" s="9" t="n">
        <v>0</v>
      </c>
      <c r="P423" s="9" t="n">
        <v>0</v>
      </c>
      <c r="Q423" s="9" t="n">
        <v>0</v>
      </c>
      <c r="R423" s="9" t="n">
        <v>0</v>
      </c>
      <c r="S423" s="9" t="n">
        <v>0</v>
      </c>
      <c r="T423" s="9" t="n">
        <v>0</v>
      </c>
      <c r="U423" s="9" t="n">
        <v>0</v>
      </c>
      <c r="V423" s="9" t="n">
        <v>0</v>
      </c>
      <c r="W423" s="9" t="n">
        <v>0</v>
      </c>
      <c r="X423" s="9" t="n">
        <v>0</v>
      </c>
      <c r="Y423" s="9" t="n">
        <v>0</v>
      </c>
      <c r="Z423" s="9" t="n">
        <v>0</v>
      </c>
      <c r="AA423" s="9" t="n">
        <v>0</v>
      </c>
      <c r="AB423" s="9" t="n">
        <v>0</v>
      </c>
      <c r="AC423" s="9" t="n">
        <v>0</v>
      </c>
      <c r="AD423" s="9" t="n">
        <v>0</v>
      </c>
      <c r="AE423" s="9" t="n">
        <v>0</v>
      </c>
      <c r="AF423" s="9" t="n">
        <v>0</v>
      </c>
      <c r="AG423" s="9" t="n">
        <v>0</v>
      </c>
      <c r="AH423" s="9" t="n">
        <v>0</v>
      </c>
      <c r="AI423" s="9" t="n">
        <v>0</v>
      </c>
      <c r="AJ423" s="9" t="n">
        <v>0</v>
      </c>
      <c r="AK423" s="9" t="n">
        <v>0</v>
      </c>
      <c r="AL423" s="9" t="n">
        <v>0</v>
      </c>
      <c r="AM423" s="9" t="n">
        <v>0</v>
      </c>
      <c r="AN423" s="9" t="n">
        <v>0</v>
      </c>
      <c r="AO423" s="9" t="n">
        <v>0</v>
      </c>
      <c r="AP423" s="9" t="n">
        <v>0</v>
      </c>
      <c r="AQ423" s="9" t="n">
        <v>0</v>
      </c>
      <c r="AR423" s="9" t="n">
        <v>0</v>
      </c>
      <c r="AS423" s="9" t="n">
        <v>0</v>
      </c>
      <c r="AT423" s="9" t="n">
        <v>0</v>
      </c>
      <c r="AU423" s="9" t="n">
        <v>0</v>
      </c>
      <c r="AV423" s="9" t="n">
        <v>0</v>
      </c>
      <c r="AW423" s="9" t="n">
        <v>0</v>
      </c>
      <c r="AX423" s="9" t="n">
        <v>0</v>
      </c>
      <c r="AY423" s="9" t="n">
        <v>0</v>
      </c>
    </row>
    <row r="424">
      <c r="A424" s="9" t="n">
        <v>430</v>
      </c>
      <c r="B424" s="9" t="inlineStr">
        <is>
          <t>ББ235</t>
        </is>
      </c>
      <c r="C424" s="9" t="inlineStr"/>
      <c r="D424" s="9" t="inlineStr">
        <is>
          <t>ШОКОЛАД</t>
        </is>
      </c>
      <c r="E424" s="9" t="inlineStr">
        <is>
          <t>Федеральный</t>
        </is>
      </c>
      <c r="F424" s="9" t="n">
        <v>219.4</v>
      </c>
      <c r="G424" s="9" t="n">
        <v>0</v>
      </c>
      <c r="H424" s="9" t="n">
        <v>0</v>
      </c>
      <c r="I424" s="9" t="n">
        <v>0</v>
      </c>
      <c r="J424" s="9" t="n">
        <v>0</v>
      </c>
      <c r="K424" s="9" t="n">
        <v>0</v>
      </c>
      <c r="L424" s="9" t="n">
        <v>0</v>
      </c>
      <c r="M424" s="9" t="n">
        <v>0</v>
      </c>
      <c r="N424" s="9" t="n">
        <v>0</v>
      </c>
      <c r="O424" s="9" t="n">
        <v>0</v>
      </c>
      <c r="P424" s="9" t="n">
        <v>0</v>
      </c>
      <c r="Q424" s="9" t="n">
        <v>0</v>
      </c>
      <c r="R424" s="9" t="n">
        <v>0</v>
      </c>
      <c r="S424" s="9" t="n">
        <v>0</v>
      </c>
      <c r="T424" s="9" t="n">
        <v>0</v>
      </c>
      <c r="U424" s="9" t="n">
        <v>0</v>
      </c>
      <c r="V424" s="9" t="n">
        <v>0</v>
      </c>
      <c r="W424" s="9" t="n">
        <v>0</v>
      </c>
      <c r="X424" s="9" t="n">
        <v>0</v>
      </c>
      <c r="Y424" s="9" t="n">
        <v>0</v>
      </c>
      <c r="Z424" s="9" t="n">
        <v>0</v>
      </c>
      <c r="AA424" s="9" t="n">
        <v>0</v>
      </c>
      <c r="AB424" s="9" t="n">
        <v>0</v>
      </c>
      <c r="AC424" s="9" t="n">
        <v>0</v>
      </c>
      <c r="AD424" s="9" t="n">
        <v>0</v>
      </c>
      <c r="AE424" s="9" t="n">
        <v>0</v>
      </c>
      <c r="AF424" s="9" t="n">
        <v>0</v>
      </c>
      <c r="AG424" s="9" t="n">
        <v>0</v>
      </c>
      <c r="AH424" s="9" t="n">
        <v>0</v>
      </c>
      <c r="AI424" s="9" t="n">
        <v>0</v>
      </c>
      <c r="AJ424" s="9" t="n">
        <v>0</v>
      </c>
      <c r="AK424" s="9" t="n">
        <v>0</v>
      </c>
      <c r="AL424" s="9" t="n">
        <v>0</v>
      </c>
      <c r="AM424" s="9" t="n">
        <v>0</v>
      </c>
      <c r="AN424" s="9" t="n">
        <v>0</v>
      </c>
      <c r="AO424" s="9" t="n">
        <v>0</v>
      </c>
      <c r="AP424" s="9" t="n">
        <v>0</v>
      </c>
      <c r="AQ424" s="9" t="n">
        <v>0</v>
      </c>
      <c r="AR424" s="9" t="n">
        <v>0</v>
      </c>
      <c r="AS424" s="9" t="n">
        <v>0</v>
      </c>
      <c r="AT424" s="9" t="n">
        <v>0</v>
      </c>
      <c r="AU424" s="9" t="n">
        <v>0</v>
      </c>
      <c r="AV424" s="9" t="n">
        <v>0</v>
      </c>
      <c r="AW424" s="9" t="n">
        <v>0</v>
      </c>
      <c r="AX424" s="9" t="n">
        <v>0</v>
      </c>
      <c r="AY424" s="9" t="n">
        <v>0</v>
      </c>
    </row>
    <row r="425">
      <c r="A425" s="9" t="n">
        <v>431</v>
      </c>
      <c r="B425" s="9" t="inlineStr">
        <is>
          <t>ББ082</t>
        </is>
      </c>
      <c r="C425" s="9" t="inlineStr"/>
      <c r="D425" s="9" t="inlineStr">
        <is>
          <t>ШОКОЛАД</t>
        </is>
      </c>
      <c r="E425" s="9" t="inlineStr">
        <is>
          <t>Федеральный</t>
        </is>
      </c>
      <c r="F425" s="9" t="n">
        <v>36508.8</v>
      </c>
      <c r="G425" s="9" t="n">
        <v>5307</v>
      </c>
      <c r="H425" s="9" t="n">
        <v>11219.83</v>
      </c>
      <c r="I425" s="9" t="n">
        <v>11542.74</v>
      </c>
      <c r="J425" s="9" t="n">
        <v>13410.61</v>
      </c>
      <c r="K425" s="9" t="n">
        <v>6472.94</v>
      </c>
      <c r="L425" s="9" t="n">
        <v>8977</v>
      </c>
      <c r="M425" s="9" t="n">
        <v>1610.711644801611</v>
      </c>
      <c r="N425" s="9" t="n">
        <v>1252.914671863669</v>
      </c>
      <c r="O425" s="9" t="n">
        <v>127.84</v>
      </c>
      <c r="P425" s="9" t="n">
        <v>0</v>
      </c>
      <c r="Q425" s="9" t="n">
        <v>9.836181804547927</v>
      </c>
      <c r="R425" s="9" t="n">
        <v>68.93892762293865</v>
      </c>
      <c r="S425" s="9" t="n">
        <v>0</v>
      </c>
      <c r="T425" s="9" t="n">
        <v>7434</v>
      </c>
      <c r="U425" s="9" t="n">
        <v>1780.537051216702</v>
      </c>
      <c r="V425" s="9" t="n">
        <v>2336.539659837445</v>
      </c>
      <c r="W425" s="9" t="n">
        <v>127.84</v>
      </c>
      <c r="X425" s="9" t="n">
        <v>0</v>
      </c>
      <c r="Y425" s="9" t="n">
        <v>21.73487297548488</v>
      </c>
      <c r="Z425" s="9" t="n">
        <v>196.5886885295684</v>
      </c>
      <c r="AA425" s="9" t="n">
        <v>0</v>
      </c>
      <c r="AB425" s="9" t="n">
        <v>10187</v>
      </c>
      <c r="AC425" s="9" t="n">
        <v>1752.39231726291</v>
      </c>
      <c r="AD425" s="9" t="n">
        <v>3199.392667617387</v>
      </c>
      <c r="AE425" s="9" t="n">
        <v>127.84</v>
      </c>
      <c r="AF425" s="9" t="n">
        <v>0</v>
      </c>
      <c r="AG425" s="9" t="n">
        <v>32.36871629459002</v>
      </c>
      <c r="AH425" s="9" t="n">
        <v>188.9138167718592</v>
      </c>
      <c r="AI425" s="9" t="n">
        <v>0</v>
      </c>
      <c r="AJ425" s="9" t="n">
        <v>9579</v>
      </c>
      <c r="AK425" s="9" t="n">
        <v>1769.51730526458</v>
      </c>
      <c r="AL425" s="9" t="n">
        <v>3208.788368329032</v>
      </c>
      <c r="AM425" s="9" t="n">
        <v>127.84</v>
      </c>
      <c r="AN425" s="9" t="n">
        <v>0</v>
      </c>
      <c r="AO425" s="9" t="n">
        <v>29.14996736733143</v>
      </c>
      <c r="AP425" s="9" t="n">
        <v>107.6571006026912</v>
      </c>
      <c r="AQ425" s="9" t="n">
        <v>0</v>
      </c>
      <c r="AR425" s="9" t="n">
        <v>2122</v>
      </c>
      <c r="AS425" s="9" t="n">
        <v>1751.401728560694</v>
      </c>
      <c r="AT425" s="9" t="n">
        <v>2698.175918346373</v>
      </c>
      <c r="AU425" s="9" t="n">
        <v>127.84</v>
      </c>
      <c r="AV425" s="9" t="n">
        <v>0</v>
      </c>
      <c r="AW425" s="9" t="n">
        <v>4.918090902273972</v>
      </c>
      <c r="AX425" s="9" t="n">
        <v>25.99049276097012</v>
      </c>
      <c r="AY425" s="9" t="n">
        <v>0</v>
      </c>
    </row>
    <row r="426">
      <c r="A426" s="9" t="n">
        <v>432</v>
      </c>
      <c r="B426" s="9" t="inlineStr">
        <is>
          <t>ББ192</t>
        </is>
      </c>
      <c r="C426" s="9" t="inlineStr"/>
      <c r="D426" s="9" t="inlineStr">
        <is>
          <t>ШОКОЛАД</t>
        </is>
      </c>
      <c r="E426" s="9" t="inlineStr">
        <is>
          <t>Федеральный</t>
        </is>
      </c>
      <c r="F426" s="9" t="n">
        <v>16904.3</v>
      </c>
      <c r="G426" s="9" t="n">
        <v>0</v>
      </c>
      <c r="H426" s="9" t="n">
        <v>45948.945</v>
      </c>
      <c r="I426" s="9" t="n">
        <v>45011.13</v>
      </c>
      <c r="J426" s="9" t="n">
        <v>62680.62</v>
      </c>
      <c r="K426" s="9" t="n">
        <v>43512.02</v>
      </c>
      <c r="L426" s="9" t="n">
        <v>0</v>
      </c>
      <c r="M426" s="9" t="n">
        <v>0</v>
      </c>
      <c r="N426" s="9" t="n">
        <v>0</v>
      </c>
      <c r="O426" s="9" t="n">
        <v>0</v>
      </c>
      <c r="P426" s="9" t="n">
        <v>0</v>
      </c>
      <c r="Q426" s="9" t="n">
        <v>0</v>
      </c>
      <c r="R426" s="9" t="n">
        <v>0</v>
      </c>
      <c r="S426" s="9" t="n">
        <v>0</v>
      </c>
      <c r="T426" s="9" t="n">
        <v>0</v>
      </c>
      <c r="U426" s="9" t="n">
        <v>0</v>
      </c>
      <c r="V426" s="9" t="n">
        <v>0</v>
      </c>
      <c r="W426" s="9" t="n">
        <v>0</v>
      </c>
      <c r="X426" s="9" t="n">
        <v>0</v>
      </c>
      <c r="Y426" s="9" t="n">
        <v>0</v>
      </c>
      <c r="Z426" s="9" t="n">
        <v>0</v>
      </c>
      <c r="AA426" s="9" t="n">
        <v>0</v>
      </c>
      <c r="AB426" s="9" t="n">
        <v>0</v>
      </c>
      <c r="AC426" s="9" t="n">
        <v>0</v>
      </c>
      <c r="AD426" s="9" t="n">
        <v>0</v>
      </c>
      <c r="AE426" s="9" t="n">
        <v>0</v>
      </c>
      <c r="AF426" s="9" t="n">
        <v>0</v>
      </c>
      <c r="AG426" s="9" t="n">
        <v>0</v>
      </c>
      <c r="AH426" s="9" t="n">
        <v>0</v>
      </c>
      <c r="AI426" s="9" t="n">
        <v>0</v>
      </c>
      <c r="AJ426" s="9" t="n">
        <v>0</v>
      </c>
      <c r="AK426" s="9" t="n">
        <v>0</v>
      </c>
      <c r="AL426" s="9" t="n">
        <v>0</v>
      </c>
      <c r="AM426" s="9" t="n">
        <v>0</v>
      </c>
      <c r="AN426" s="9" t="n">
        <v>0</v>
      </c>
      <c r="AO426" s="9" t="n">
        <v>0</v>
      </c>
      <c r="AP426" s="9" t="n">
        <v>0</v>
      </c>
      <c r="AQ426" s="9" t="n">
        <v>0</v>
      </c>
      <c r="AR426" s="9" t="n">
        <v>0</v>
      </c>
      <c r="AS426" s="9" t="n">
        <v>0</v>
      </c>
      <c r="AT426" s="9" t="n">
        <v>0</v>
      </c>
      <c r="AU426" s="9" t="n">
        <v>0</v>
      </c>
      <c r="AV426" s="9" t="n">
        <v>0</v>
      </c>
      <c r="AW426" s="9" t="n">
        <v>0</v>
      </c>
      <c r="AX426" s="9" t="n">
        <v>0</v>
      </c>
      <c r="AY426" s="9" t="n">
        <v>0</v>
      </c>
    </row>
    <row r="427">
      <c r="A427" s="9" t="n">
        <v>433</v>
      </c>
      <c r="B427" s="9" t="inlineStr">
        <is>
          <t>ББ237</t>
        </is>
      </c>
      <c r="C427" s="9" t="inlineStr"/>
      <c r="D427" s="9" t="inlineStr">
        <is>
          <t>ШОКОЛАД</t>
        </is>
      </c>
      <c r="E427" s="9" t="inlineStr">
        <is>
          <t>Федеральный</t>
        </is>
      </c>
      <c r="F427" s="9" t="n">
        <v>148878.31</v>
      </c>
      <c r="G427" s="9" t="n">
        <v>37660</v>
      </c>
      <c r="H427" s="9" t="n">
        <v>0</v>
      </c>
      <c r="I427" s="9" t="n">
        <v>0</v>
      </c>
      <c r="J427" s="9" t="n">
        <v>0</v>
      </c>
      <c r="K427" s="9" t="n">
        <v>0</v>
      </c>
      <c r="L427" s="9" t="n">
        <v>62772</v>
      </c>
      <c r="M427" s="9" t="n">
        <v>500</v>
      </c>
      <c r="N427" s="9" t="n">
        <v>5116.325744542301</v>
      </c>
      <c r="O427" s="9" t="n">
        <v>94.67200000000001</v>
      </c>
      <c r="P427" s="9" t="n">
        <v>0</v>
      </c>
      <c r="Q427" s="9" t="n">
        <v>34.88138334956398</v>
      </c>
      <c r="R427" s="9" t="n">
        <v>127.9209559232546</v>
      </c>
      <c r="S427" s="9" t="n">
        <v>0.07469071541846627</v>
      </c>
      <c r="T427" s="9" t="n">
        <v>35073</v>
      </c>
      <c r="U427" s="9" t="n">
        <v>7500</v>
      </c>
      <c r="V427" s="9" t="n">
        <v>13572.21498975687</v>
      </c>
      <c r="W427" s="9" t="n">
        <v>94.67200000000001</v>
      </c>
      <c r="X427" s="9" t="n">
        <v>0</v>
      </c>
      <c r="Y427" s="9" t="n">
        <v>77.07690355636028</v>
      </c>
      <c r="Z427" s="9" t="n">
        <v>329.34418377227</v>
      </c>
      <c r="AA427" s="9" t="n">
        <v>0.1493814308369326</v>
      </c>
      <c r="AB427" s="9" t="n">
        <v>44670</v>
      </c>
      <c r="AC427" s="9" t="n">
        <v>7500</v>
      </c>
      <c r="AD427" s="9" t="n">
        <v>16944.97097642529</v>
      </c>
      <c r="AE427" s="9" t="n">
        <v>94.67200000000001</v>
      </c>
      <c r="AF427" s="9" t="n">
        <v>0</v>
      </c>
      <c r="AG427" s="9" t="n">
        <v>114.7869797488726</v>
      </c>
      <c r="AH427" s="9" t="n">
        <v>330.4673602624046</v>
      </c>
      <c r="AI427" s="9" t="n">
        <v>0.2390102893390925</v>
      </c>
      <c r="AJ427" s="9" t="n">
        <v>69056</v>
      </c>
      <c r="AK427" s="9" t="n">
        <v>7500</v>
      </c>
      <c r="AL427" s="9" t="n">
        <v>16846.14898531419</v>
      </c>
      <c r="AM427" s="9" t="n">
        <v>94.67200000000001</v>
      </c>
      <c r="AN427" s="9" t="n">
        <v>0</v>
      </c>
      <c r="AO427" s="9" t="n">
        <v>103.3725490817013</v>
      </c>
      <c r="AP427" s="9" t="n">
        <v>176.0045413583438</v>
      </c>
      <c r="AQ427" s="9" t="n">
        <v>0.3317552471075568</v>
      </c>
      <c r="AR427" s="9" t="n">
        <v>48837</v>
      </c>
      <c r="AS427" s="9" t="n">
        <v>7501.986486310846</v>
      </c>
      <c r="AT427" s="9" t="n">
        <v>16277.43230095025</v>
      </c>
      <c r="AU427" s="9" t="n">
        <v>94.67200000000001</v>
      </c>
      <c r="AV427" s="9" t="n">
        <v>0</v>
      </c>
      <c r="AW427" s="9" t="n">
        <v>17.44069167478202</v>
      </c>
      <c r="AX427" s="9" t="n">
        <v>12.3833699361308</v>
      </c>
      <c r="AY427" s="9" t="n">
        <v>0.1493814308369328</v>
      </c>
    </row>
    <row r="428">
      <c r="A428" s="9" t="n">
        <v>434</v>
      </c>
      <c r="B428" s="9" t="inlineStr">
        <is>
          <t>КО212</t>
        </is>
      </c>
      <c r="C428" s="9" t="inlineStr"/>
      <c r="D428" s="9" t="inlineStr">
        <is>
          <t>ШОКОЛАД</t>
        </is>
      </c>
      <c r="E428" s="9" t="inlineStr">
        <is>
          <t>Федеральный</t>
        </is>
      </c>
      <c r="F428" s="9" t="n">
        <v>17056.08</v>
      </c>
      <c r="G428" s="9" t="n">
        <v>0</v>
      </c>
      <c r="H428" s="9" t="n">
        <v>12541.75</v>
      </c>
      <c r="I428" s="9" t="n">
        <v>10879.84</v>
      </c>
      <c r="J428" s="9" t="n">
        <v>9980.75</v>
      </c>
      <c r="K428" s="9" t="n">
        <v>6289.9</v>
      </c>
      <c r="L428" s="9" t="n">
        <v>12306.8</v>
      </c>
      <c r="M428" s="9" t="n">
        <v>414.9056102522284</v>
      </c>
      <c r="N428" s="9" t="n">
        <v>959.8859986322675</v>
      </c>
      <c r="O428" s="9" t="n">
        <v>350.1999999999999</v>
      </c>
      <c r="P428" s="9" t="n">
        <v>0</v>
      </c>
      <c r="Q428" s="9" t="n">
        <v>6.450749970108959</v>
      </c>
      <c r="R428" s="9" t="n">
        <v>47.31848284164113</v>
      </c>
      <c r="S428" s="9" t="n">
        <v>0</v>
      </c>
      <c r="T428" s="9" t="n">
        <v>4110.3</v>
      </c>
      <c r="U428" s="9" t="n">
        <v>1051.347368580801</v>
      </c>
      <c r="V428" s="9" t="n">
        <v>2212.008199847467</v>
      </c>
      <c r="W428" s="9" t="n">
        <v>359.1999999999999</v>
      </c>
      <c r="X428" s="9" t="n">
        <v>0</v>
      </c>
      <c r="Y428" s="9" t="n">
        <v>14.25413173352534</v>
      </c>
      <c r="Z428" s="9" t="n">
        <v>144.0025213005418</v>
      </c>
      <c r="AA428" s="9" t="n">
        <v>0</v>
      </c>
      <c r="AB428" s="9" t="n">
        <v>7782.1</v>
      </c>
      <c r="AC428" s="9" t="n">
        <v>945.8714898924318</v>
      </c>
      <c r="AD428" s="9" t="n">
        <v>2108.56783477531</v>
      </c>
      <c r="AE428" s="9" t="n">
        <v>374.3999999999999</v>
      </c>
      <c r="AF428" s="9" t="n">
        <v>0</v>
      </c>
      <c r="AG428" s="9" t="n">
        <v>21.22800287945558</v>
      </c>
      <c r="AH428" s="9" t="n">
        <v>129.8428757603327</v>
      </c>
      <c r="AI428" s="9" t="n">
        <v>0</v>
      </c>
      <c r="AJ428" s="9" t="n">
        <v>5551</v>
      </c>
      <c r="AK428" s="9" t="n">
        <v>1010.049504862104</v>
      </c>
      <c r="AL428" s="9" t="n">
        <v>2013.01586131543</v>
      </c>
      <c r="AM428" s="9" t="n">
        <v>357.3</v>
      </c>
      <c r="AN428" s="9" t="n">
        <v>0</v>
      </c>
      <c r="AO428" s="9" t="n">
        <v>19.11708779483389</v>
      </c>
      <c r="AP428" s="9" t="n">
        <v>69.58347744173022</v>
      </c>
      <c r="AQ428" s="9" t="n">
        <v>0</v>
      </c>
      <c r="AR428" s="9" t="n">
        <v>1759</v>
      </c>
      <c r="AS428" s="9" t="n">
        <v>942.1591359594865</v>
      </c>
      <c r="AT428" s="9" t="n">
        <v>1685.881661346299</v>
      </c>
      <c r="AU428" s="9" t="n">
        <v>345.8999999999999</v>
      </c>
      <c r="AV428" s="9" t="n">
        <v>0</v>
      </c>
      <c r="AW428" s="9" t="n">
        <v>3.225374985054485</v>
      </c>
      <c r="AX428" s="9" t="n">
        <v>13.16215864401543</v>
      </c>
      <c r="AY428" s="9" t="n">
        <v>0</v>
      </c>
    </row>
    <row r="429">
      <c r="A429" s="9" t="n">
        <v>435</v>
      </c>
      <c r="B429" s="9" t="inlineStr">
        <is>
          <t>КО137</t>
        </is>
      </c>
      <c r="C429" s="9" t="inlineStr"/>
      <c r="D429" s="9" t="inlineStr">
        <is>
          <t>ШОКОЛАД</t>
        </is>
      </c>
      <c r="E429" s="9" t="inlineStr">
        <is>
          <t>Федеральный</t>
        </is>
      </c>
      <c r="F429" s="9" t="n">
        <v>0</v>
      </c>
      <c r="G429" s="9" t="n">
        <v>0</v>
      </c>
      <c r="H429" s="9" t="n">
        <v>0</v>
      </c>
      <c r="I429" s="9" t="n">
        <v>0</v>
      </c>
      <c r="J429" s="9" t="n">
        <v>0</v>
      </c>
      <c r="K429" s="9" t="n">
        <v>0</v>
      </c>
      <c r="L429" s="9" t="n">
        <v>0</v>
      </c>
      <c r="M429" s="9" t="n">
        <v>0</v>
      </c>
      <c r="N429" s="9" t="n">
        <v>0</v>
      </c>
      <c r="O429" s="9" t="n">
        <v>0</v>
      </c>
      <c r="P429" s="9" t="n">
        <v>0</v>
      </c>
      <c r="Q429" s="9" t="n">
        <v>0</v>
      </c>
      <c r="R429" s="9" t="n">
        <v>0</v>
      </c>
      <c r="S429" s="9" t="n">
        <v>0</v>
      </c>
      <c r="T429" s="9" t="n">
        <v>0</v>
      </c>
      <c r="U429" s="9" t="n">
        <v>0</v>
      </c>
      <c r="V429" s="9" t="n">
        <v>0</v>
      </c>
      <c r="W429" s="9" t="n">
        <v>0</v>
      </c>
      <c r="X429" s="9" t="n">
        <v>0</v>
      </c>
      <c r="Y429" s="9" t="n">
        <v>0</v>
      </c>
      <c r="Z429" s="9" t="n">
        <v>0</v>
      </c>
      <c r="AA429" s="9" t="n">
        <v>0</v>
      </c>
      <c r="AB429" s="9" t="n">
        <v>0</v>
      </c>
      <c r="AC429" s="9" t="n">
        <v>0</v>
      </c>
      <c r="AD429" s="9" t="n">
        <v>0</v>
      </c>
      <c r="AE429" s="9" t="n">
        <v>0</v>
      </c>
      <c r="AF429" s="9" t="n">
        <v>0</v>
      </c>
      <c r="AG429" s="9" t="n">
        <v>0</v>
      </c>
      <c r="AH429" s="9" t="n">
        <v>0</v>
      </c>
      <c r="AI429" s="9" t="n">
        <v>0</v>
      </c>
      <c r="AJ429" s="9" t="n">
        <v>0</v>
      </c>
      <c r="AK429" s="9" t="n">
        <v>0</v>
      </c>
      <c r="AL429" s="9" t="n">
        <v>0</v>
      </c>
      <c r="AM429" s="9" t="n">
        <v>0</v>
      </c>
      <c r="AN429" s="9" t="n">
        <v>0</v>
      </c>
      <c r="AO429" s="9" t="n">
        <v>0</v>
      </c>
      <c r="AP429" s="9" t="n">
        <v>0</v>
      </c>
      <c r="AQ429" s="9" t="n">
        <v>0</v>
      </c>
      <c r="AR429" s="9" t="n">
        <v>0</v>
      </c>
      <c r="AS429" s="9" t="n">
        <v>0</v>
      </c>
      <c r="AT429" s="9" t="n">
        <v>0</v>
      </c>
      <c r="AU429" s="9" t="n">
        <v>0</v>
      </c>
      <c r="AV429" s="9" t="n">
        <v>0</v>
      </c>
      <c r="AW429" s="9" t="n">
        <v>0</v>
      </c>
      <c r="AX429" s="9" t="n">
        <v>0</v>
      </c>
      <c r="AY429" s="9" t="n">
        <v>0</v>
      </c>
    </row>
  </sheetData>
  <autoFilter ref="A1:AY4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4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6" max="6"/>
  </cols>
  <sheetData>
    <row r="1" ht="36" customHeight="1">
      <c r="A1" s="8" t="inlineStr">
        <is>
          <t>Код</t>
        </is>
      </c>
      <c r="B1" s="8" t="inlineStr">
        <is>
          <t>Тип</t>
        </is>
      </c>
      <c r="C1" s="8" t="inlineStr">
        <is>
          <t>Доступно_всего</t>
        </is>
      </c>
      <c r="D1" s="8" t="inlineStr">
        <is>
          <t>Спрос_всего</t>
        </is>
      </c>
      <c r="E1" s="8" t="inlineStr">
        <is>
          <t>Дефицит_кг</t>
        </is>
      </c>
      <c r="F1" s="8" t="inlineStr">
        <is>
          <t>Статус</t>
        </is>
      </c>
      <c r="G1" s="8" t="inlineStr">
        <is>
          <t>Сырой_ФС промо</t>
        </is>
      </c>
      <c r="H1" s="8" t="inlineStr">
        <is>
          <t>Сырой_ФС рег</t>
        </is>
      </c>
      <c r="I1" s="8" t="inlineStr">
        <is>
          <t>Сырой_РДЦ</t>
        </is>
      </c>
      <c r="J1" s="8" t="inlineStr">
        <is>
          <t>Сырой_ФТ</t>
        </is>
      </c>
      <c r="K1" s="8" t="inlineStr">
        <is>
          <t>Сырой_ЭК</t>
        </is>
      </c>
      <c r="L1" s="8" t="inlineStr">
        <is>
          <t>Сырой_КПи</t>
        </is>
      </c>
      <c r="M1" s="8" t="inlineStr">
        <is>
          <t>Сырой_E-commerce</t>
        </is>
      </c>
      <c r="N1" s="8" t="inlineStr">
        <is>
          <t>Сырой_РКП</t>
        </is>
      </c>
      <c r="O1" s="8" t="inlineStr">
        <is>
          <t>Сырой_Итого</t>
        </is>
      </c>
      <c r="P1" s="8" t="inlineStr">
        <is>
          <t>План_ФС промо</t>
        </is>
      </c>
      <c r="Q1" s="8" t="inlineStr">
        <is>
          <t>План_ФС рег</t>
        </is>
      </c>
      <c r="R1" s="8" t="inlineStr">
        <is>
          <t>План_РДЦ</t>
        </is>
      </c>
      <c r="S1" s="8" t="inlineStr">
        <is>
          <t>План_ФТ</t>
        </is>
      </c>
      <c r="T1" s="8" t="inlineStr">
        <is>
          <t>План_ЭК</t>
        </is>
      </c>
      <c r="U1" s="8" t="inlineStr">
        <is>
          <t>План_КПи</t>
        </is>
      </c>
      <c r="V1" s="8" t="inlineStr">
        <is>
          <t>План_E-commerce</t>
        </is>
      </c>
      <c r="W1" s="8" t="inlineStr">
        <is>
          <t>План_РКП</t>
        </is>
      </c>
      <c r="X1" s="8" t="inlineStr">
        <is>
          <t>План_Итого</t>
        </is>
      </c>
      <c r="Y1" s="8" t="inlineStr">
        <is>
          <t>Остаток_после</t>
        </is>
      </c>
      <c r="Z1" s="8" t="inlineStr">
        <is>
          <t>Fill_rate_%</t>
        </is>
      </c>
      <c r="AA1" s="8" t="inlineStr">
        <is>
          <t>Н1_Доступно</t>
        </is>
      </c>
      <c r="AB1" s="8" t="inlineStr">
        <is>
          <t>Н1_План_ФС промо</t>
        </is>
      </c>
      <c r="AC1" s="8" t="inlineStr">
        <is>
          <t>Н1_Ост_после_1</t>
        </is>
      </c>
      <c r="AD1" s="8" t="inlineStr">
        <is>
          <t>Н1_План_ФС рег</t>
        </is>
      </c>
      <c r="AE1" s="8" t="inlineStr">
        <is>
          <t>Н1_Ост_после_2</t>
        </is>
      </c>
      <c r="AF1" s="8" t="inlineStr">
        <is>
          <t>Н1_План_РДЦ</t>
        </is>
      </c>
      <c r="AG1" s="8" t="inlineStr">
        <is>
          <t>Н1_Ост_после_3</t>
        </is>
      </c>
      <c r="AH1" s="8" t="inlineStr">
        <is>
          <t>Н1_План_РКП</t>
        </is>
      </c>
      <c r="AI1" s="8" t="inlineStr">
        <is>
          <t>Н1_Ост_после_4</t>
        </is>
      </c>
      <c r="AJ1" s="8" t="inlineStr">
        <is>
          <t>Н1_План_ЭК</t>
        </is>
      </c>
      <c r="AK1" s="8" t="inlineStr">
        <is>
          <t>Н1_Ост_после_5</t>
        </is>
      </c>
      <c r="AL1" s="8" t="inlineStr">
        <is>
          <t>Н1_План_ФТ</t>
        </is>
      </c>
      <c r="AM1" s="8" t="inlineStr">
        <is>
          <t>Н1_Ост_после_6</t>
        </is>
      </c>
      <c r="AN1" s="8" t="inlineStr">
        <is>
          <t>Н1_План_КПи</t>
        </is>
      </c>
      <c r="AO1" s="8" t="inlineStr">
        <is>
          <t>Н1_Ост_после_7</t>
        </is>
      </c>
      <c r="AP1" s="8" t="inlineStr">
        <is>
          <t>Н1_План_E-commerce</t>
        </is>
      </c>
      <c r="AQ1" s="8" t="inlineStr">
        <is>
          <t>Н1_Ост_после_8</t>
        </is>
      </c>
      <c r="AR1" s="8" t="inlineStr">
        <is>
          <t>Н2_Доступно</t>
        </is>
      </c>
      <c r="AS1" s="8" t="inlineStr">
        <is>
          <t>Н2_План_ФС промо</t>
        </is>
      </c>
      <c r="AT1" s="8" t="inlineStr">
        <is>
          <t>Н2_Ост_после_1</t>
        </is>
      </c>
      <c r="AU1" s="8" t="inlineStr">
        <is>
          <t>Н2_План_ФС рег</t>
        </is>
      </c>
      <c r="AV1" s="8" t="inlineStr">
        <is>
          <t>Н2_Ост_после_2</t>
        </is>
      </c>
      <c r="AW1" s="8" t="inlineStr">
        <is>
          <t>Н2_План_РДЦ</t>
        </is>
      </c>
      <c r="AX1" s="8" t="inlineStr">
        <is>
          <t>Н2_Ост_после_3</t>
        </is>
      </c>
      <c r="AY1" s="8" t="inlineStr">
        <is>
          <t>Н2_План_РКП</t>
        </is>
      </c>
      <c r="AZ1" s="8" t="inlineStr">
        <is>
          <t>Н2_Ост_после_4</t>
        </is>
      </c>
      <c r="BA1" s="8" t="inlineStr">
        <is>
          <t>Н2_План_ЭК</t>
        </is>
      </c>
      <c r="BB1" s="8" t="inlineStr">
        <is>
          <t>Н2_Ост_после_5</t>
        </is>
      </c>
      <c r="BC1" s="8" t="inlineStr">
        <is>
          <t>Н2_План_ФТ</t>
        </is>
      </c>
      <c r="BD1" s="8" t="inlineStr">
        <is>
          <t>Н2_Ост_после_6</t>
        </is>
      </c>
      <c r="BE1" s="8" t="inlineStr">
        <is>
          <t>Н2_План_КПи</t>
        </is>
      </c>
      <c r="BF1" s="8" t="inlineStr">
        <is>
          <t>Н2_Ост_после_7</t>
        </is>
      </c>
      <c r="BG1" s="8" t="inlineStr">
        <is>
          <t>Н2_План_E-commerce</t>
        </is>
      </c>
      <c r="BH1" s="8" t="inlineStr">
        <is>
          <t>Н2_Ост_после_8</t>
        </is>
      </c>
      <c r="BI1" s="8" t="inlineStr">
        <is>
          <t>Н3_Доступно</t>
        </is>
      </c>
      <c r="BJ1" s="8" t="inlineStr">
        <is>
          <t>Н3_План_ФС промо</t>
        </is>
      </c>
      <c r="BK1" s="8" t="inlineStr">
        <is>
          <t>Н3_Ост_после_1</t>
        </is>
      </c>
      <c r="BL1" s="8" t="inlineStr">
        <is>
          <t>Н3_План_ФС рег</t>
        </is>
      </c>
      <c r="BM1" s="8" t="inlineStr">
        <is>
          <t>Н3_Ост_после_2</t>
        </is>
      </c>
      <c r="BN1" s="8" t="inlineStr">
        <is>
          <t>Н3_План_РДЦ</t>
        </is>
      </c>
      <c r="BO1" s="8" t="inlineStr">
        <is>
          <t>Н3_Ост_после_3</t>
        </is>
      </c>
      <c r="BP1" s="8" t="inlineStr">
        <is>
          <t>Н3_План_РКП</t>
        </is>
      </c>
      <c r="BQ1" s="8" t="inlineStr">
        <is>
          <t>Н3_Ост_после_4</t>
        </is>
      </c>
      <c r="BR1" s="8" t="inlineStr">
        <is>
          <t>Н3_План_ЭК</t>
        </is>
      </c>
      <c r="BS1" s="8" t="inlineStr">
        <is>
          <t>Н3_Ост_после_5</t>
        </is>
      </c>
      <c r="BT1" s="8" t="inlineStr">
        <is>
          <t>Н3_План_ФТ</t>
        </is>
      </c>
      <c r="BU1" s="8" t="inlineStr">
        <is>
          <t>Н3_Ост_после_6</t>
        </is>
      </c>
      <c r="BV1" s="8" t="inlineStr">
        <is>
          <t>Н3_План_КПи</t>
        </is>
      </c>
      <c r="BW1" s="8" t="inlineStr">
        <is>
          <t>Н3_Ост_после_7</t>
        </is>
      </c>
      <c r="BX1" s="8" t="inlineStr">
        <is>
          <t>Н3_План_E-commerce</t>
        </is>
      </c>
      <c r="BY1" s="8" t="inlineStr">
        <is>
          <t>Н3_Ост_после_8</t>
        </is>
      </c>
      <c r="BZ1" s="8" t="inlineStr">
        <is>
          <t>Н4_Доступно</t>
        </is>
      </c>
      <c r="CA1" s="8" t="inlineStr">
        <is>
          <t>Н4_План_ФС промо</t>
        </is>
      </c>
      <c r="CB1" s="8" t="inlineStr">
        <is>
          <t>Н4_Ост_после_1</t>
        </is>
      </c>
      <c r="CC1" s="8" t="inlineStr">
        <is>
          <t>Н4_План_ФС рег</t>
        </is>
      </c>
      <c r="CD1" s="8" t="inlineStr">
        <is>
          <t>Н4_Ост_после_2</t>
        </is>
      </c>
      <c r="CE1" s="8" t="inlineStr">
        <is>
          <t>Н4_План_РДЦ</t>
        </is>
      </c>
      <c r="CF1" s="8" t="inlineStr">
        <is>
          <t>Н4_Ост_после_3</t>
        </is>
      </c>
      <c r="CG1" s="8" t="inlineStr">
        <is>
          <t>Н4_План_РКП</t>
        </is>
      </c>
      <c r="CH1" s="8" t="inlineStr">
        <is>
          <t>Н4_Ост_после_4</t>
        </is>
      </c>
      <c r="CI1" s="8" t="inlineStr">
        <is>
          <t>Н4_План_ЭК</t>
        </is>
      </c>
      <c r="CJ1" s="8" t="inlineStr">
        <is>
          <t>Н4_Ост_после_5</t>
        </is>
      </c>
      <c r="CK1" s="8" t="inlineStr">
        <is>
          <t>Н4_План_ФТ</t>
        </is>
      </c>
      <c r="CL1" s="8" t="inlineStr">
        <is>
          <t>Н4_Ост_после_6</t>
        </is>
      </c>
      <c r="CM1" s="8" t="inlineStr">
        <is>
          <t>Н4_План_КПи</t>
        </is>
      </c>
      <c r="CN1" s="8" t="inlineStr">
        <is>
          <t>Н4_Ост_после_7</t>
        </is>
      </c>
      <c r="CO1" s="8" t="inlineStr">
        <is>
          <t>Н4_План_E-commerce</t>
        </is>
      </c>
      <c r="CP1" s="8" t="inlineStr">
        <is>
          <t>Н4_Ост_после_8</t>
        </is>
      </c>
      <c r="CQ1" s="8" t="inlineStr">
        <is>
          <t>Н5_Доступно</t>
        </is>
      </c>
      <c r="CR1" s="8" t="inlineStr">
        <is>
          <t>Н5_План_ФС промо</t>
        </is>
      </c>
      <c r="CS1" s="8" t="inlineStr">
        <is>
          <t>Н5_Ост_после_1</t>
        </is>
      </c>
      <c r="CT1" s="8" t="inlineStr">
        <is>
          <t>Н5_План_ФС рег</t>
        </is>
      </c>
      <c r="CU1" s="8" t="inlineStr">
        <is>
          <t>Н5_Ост_после_2</t>
        </is>
      </c>
      <c r="CV1" s="8" t="inlineStr">
        <is>
          <t>Н5_План_РДЦ</t>
        </is>
      </c>
      <c r="CW1" s="8" t="inlineStr">
        <is>
          <t>Н5_Ост_после_3</t>
        </is>
      </c>
      <c r="CX1" s="8" t="inlineStr">
        <is>
          <t>Н5_План_РКП</t>
        </is>
      </c>
      <c r="CY1" s="8" t="inlineStr">
        <is>
          <t>Н5_Ост_после_4</t>
        </is>
      </c>
      <c r="CZ1" s="8" t="inlineStr">
        <is>
          <t>Н5_План_ЭК</t>
        </is>
      </c>
      <c r="DA1" s="8" t="inlineStr">
        <is>
          <t>Н5_Ост_после_5</t>
        </is>
      </c>
      <c r="DB1" s="8" t="inlineStr">
        <is>
          <t>Н5_План_ФТ</t>
        </is>
      </c>
      <c r="DC1" s="8" t="inlineStr">
        <is>
          <t>Н5_Ост_после_6</t>
        </is>
      </c>
      <c r="DD1" s="8" t="inlineStr">
        <is>
          <t>Н5_План_КПи</t>
        </is>
      </c>
      <c r="DE1" s="8" t="inlineStr">
        <is>
          <t>Н5_Ост_после_7</t>
        </is>
      </c>
      <c r="DF1" s="8" t="inlineStr">
        <is>
          <t>Н5_План_E-commerce</t>
        </is>
      </c>
      <c r="DG1" s="8" t="inlineStr">
        <is>
          <t>Н5_Ост_после_8</t>
        </is>
      </c>
    </row>
    <row r="2">
      <c r="A2" s="9">
        <f>'02_Данные'!B2</f>
        <v/>
      </c>
      <c r="B2" s="9">
        <f>'02_Данные'!E2</f>
        <v/>
      </c>
      <c r="C2" s="10">
        <f>'02_Данные'!F2+'02_Данные'!G2+'02_Данные'!H2+'02_Данные'!I2+'02_Данные'!J2+'02_Данные'!K2</f>
        <v/>
      </c>
      <c r="D2" s="10">
        <f>SUM('02_Данные'!L2:'02_Данные'!AY2)</f>
        <v/>
      </c>
      <c r="E2" s="10">
        <f>MAX(0,D2-C2)</f>
        <v/>
      </c>
      <c r="F2" s="15">
        <f>IF(E2&gt;0.0001,"ДЕФИЦИТ",IF(Y2&gt;0.0001,"ПРОФИЦИТ","БАЛАНС"))</f>
        <v/>
      </c>
      <c r="G2" s="10">
        <f>AB2+AS2+BJ2+CA2+CR2</f>
        <v/>
      </c>
      <c r="H2" s="10">
        <f>AD2+AU2+BL2+CC2+CT2</f>
        <v/>
      </c>
      <c r="I2" s="10">
        <f>AF2+AW2+BN2+CE2+CV2</f>
        <v/>
      </c>
      <c r="J2" s="10">
        <f>AL2+BC2+BT2+CK2+DB2</f>
        <v/>
      </c>
      <c r="K2" s="10">
        <f>AJ2+BA2+BR2+CI2+CZ2</f>
        <v/>
      </c>
      <c r="L2" s="10">
        <f>AN2+BE2+BV2+CM2+DD2</f>
        <v/>
      </c>
      <c r="M2" s="10">
        <f>AP2+BG2+BX2+CO2+DF2</f>
        <v/>
      </c>
      <c r="N2" s="10">
        <f>AH2+AY2+BP2+CG2+CX2</f>
        <v/>
      </c>
      <c r="O2" s="10">
        <f>SUM(G2:N2)</f>
        <v/>
      </c>
      <c r="P2" s="10">
        <f>IFERROR(G2*MIN(1,'01_Нормативы'!$C$4/SUM(G$2:G$429)),0)</f>
        <v/>
      </c>
      <c r="Q2" s="10">
        <f>IFERROR(H2*MIN(1,'01_Нормативы'!$C$5/SUM(H$2:H$429)),0)</f>
        <v/>
      </c>
      <c r="R2" s="10">
        <f>IFERROR(I2*MIN(1,'01_Нормативы'!$C$6/SUM(I$2:I$429)),0)</f>
        <v/>
      </c>
      <c r="S2" s="10">
        <f>IFERROR(J2*MIN(1,'01_Нормативы'!$C$7/SUM(J$2:J$429)),0)</f>
        <v/>
      </c>
      <c r="T2" s="10">
        <f>IFERROR(K2*MIN(1,'01_Нормативы'!$C$8/SUM(K$2:K$429)),0)</f>
        <v/>
      </c>
      <c r="U2" s="10">
        <f>IFERROR(L2*MIN(1,'01_Нормативы'!$C$9/SUM(L$2:L$429)),0)</f>
        <v/>
      </c>
      <c r="V2" s="10">
        <f>IFERROR(M2*MIN(1,'01_Нормативы'!$C$10/SUM(M$2:M$429)),0)</f>
        <v/>
      </c>
      <c r="W2" s="10">
        <f>IFERROR(N2*MIN(1,'01_Нормативы'!$C$11/SUM(N$2:N$429)),0)</f>
        <v/>
      </c>
      <c r="X2" s="10">
        <f>SUM(P2:W2)</f>
        <v/>
      </c>
      <c r="Y2" s="10">
        <f>MAX(0,C2-X2)</f>
        <v/>
      </c>
      <c r="Z2" s="10">
        <f>IF(D2=0,100,X2/D2*100)</f>
        <v/>
      </c>
      <c r="AA2" s="10">
        <f>'02_Данные'!F2+'02_Данные'!G2</f>
        <v/>
      </c>
      <c r="AB2" s="10">
        <f>MIN('02_Данные'!L2,AA2)</f>
        <v/>
      </c>
      <c r="AC2" s="10">
        <f>AA2-AB2</f>
        <v/>
      </c>
      <c r="AD2" s="10">
        <f>MIN('02_Данные'!M2,AC2)</f>
        <v/>
      </c>
      <c r="AE2" s="10">
        <f>AC2-AD2</f>
        <v/>
      </c>
      <c r="AF2" s="10">
        <f>MIN('02_Данные'!N2,AE2)</f>
        <v/>
      </c>
      <c r="AG2" s="10">
        <f>AE2-AF2</f>
        <v/>
      </c>
      <c r="AH2" s="10">
        <f>MIN('02_Данные'!S2,AG2)</f>
        <v/>
      </c>
      <c r="AI2" s="10">
        <f>AG2-AH2</f>
        <v/>
      </c>
      <c r="AJ2" s="10">
        <f>MIN('02_Данные'!P2,AI2)</f>
        <v/>
      </c>
      <c r="AK2" s="10">
        <f>AI2-AJ2</f>
        <v/>
      </c>
      <c r="AL2" s="10">
        <f>MIN('02_Данные'!O2,AK2)</f>
        <v/>
      </c>
      <c r="AM2" s="10">
        <f>AK2-AL2</f>
        <v/>
      </c>
      <c r="AN2" s="10">
        <f>MIN('02_Данные'!Q2,AM2)</f>
        <v/>
      </c>
      <c r="AO2" s="10">
        <f>AM2-AN2</f>
        <v/>
      </c>
      <c r="AP2" s="10">
        <f>MIN('02_Данные'!R2,AO2)</f>
        <v/>
      </c>
      <c r="AQ2" s="10">
        <f>AO2-AP2</f>
        <v/>
      </c>
      <c r="AR2" s="10">
        <f>AQ2+'02_Данные'!H2</f>
        <v/>
      </c>
      <c r="AS2" s="10">
        <f>MIN('02_Данные'!T2,AR2)</f>
        <v/>
      </c>
      <c r="AT2" s="10">
        <f>AR2-AS2</f>
        <v/>
      </c>
      <c r="AU2" s="10">
        <f>MIN('02_Данные'!U2,AT2)</f>
        <v/>
      </c>
      <c r="AV2" s="10">
        <f>AT2-AU2</f>
        <v/>
      </c>
      <c r="AW2" s="10">
        <f>MIN('02_Данные'!V2,AV2)</f>
        <v/>
      </c>
      <c r="AX2" s="10">
        <f>AV2-AW2</f>
        <v/>
      </c>
      <c r="AY2" s="10">
        <f>MIN('02_Данные'!AA2,AX2)</f>
        <v/>
      </c>
      <c r="AZ2" s="10">
        <f>AX2-AY2</f>
        <v/>
      </c>
      <c r="BA2" s="10">
        <f>MIN('02_Данные'!X2,AZ2)</f>
        <v/>
      </c>
      <c r="BB2" s="10">
        <f>AZ2-BA2</f>
        <v/>
      </c>
      <c r="BC2" s="10">
        <f>MIN('02_Данные'!W2,BB2)</f>
        <v/>
      </c>
      <c r="BD2" s="10">
        <f>BB2-BC2</f>
        <v/>
      </c>
      <c r="BE2" s="10">
        <f>MIN('02_Данные'!Y2,BD2)</f>
        <v/>
      </c>
      <c r="BF2" s="10">
        <f>BD2-BE2</f>
        <v/>
      </c>
      <c r="BG2" s="10">
        <f>MIN('02_Данные'!Z2,BF2)</f>
        <v/>
      </c>
      <c r="BH2" s="10">
        <f>BF2-BG2</f>
        <v/>
      </c>
      <c r="BI2" s="10">
        <f>BH2+'02_Данные'!I2</f>
        <v/>
      </c>
      <c r="BJ2" s="10">
        <f>MIN('02_Данные'!AB2,BI2)</f>
        <v/>
      </c>
      <c r="BK2" s="10">
        <f>BI2-BJ2</f>
        <v/>
      </c>
      <c r="BL2" s="10">
        <f>MIN('02_Данные'!AC2,BK2)</f>
        <v/>
      </c>
      <c r="BM2" s="10">
        <f>BK2-BL2</f>
        <v/>
      </c>
      <c r="BN2" s="10">
        <f>MIN('02_Данные'!AD2,BM2)</f>
        <v/>
      </c>
      <c r="BO2" s="10">
        <f>BM2-BN2</f>
        <v/>
      </c>
      <c r="BP2" s="10">
        <f>MIN('02_Данные'!AI2,BO2)</f>
        <v/>
      </c>
      <c r="BQ2" s="10">
        <f>BO2-BP2</f>
        <v/>
      </c>
      <c r="BR2" s="10">
        <f>MIN('02_Данные'!AF2,BQ2)</f>
        <v/>
      </c>
      <c r="BS2" s="10">
        <f>BQ2-BR2</f>
        <v/>
      </c>
      <c r="BT2" s="10">
        <f>MIN('02_Данные'!AE2,BS2)</f>
        <v/>
      </c>
      <c r="BU2" s="10">
        <f>BS2-BT2</f>
        <v/>
      </c>
      <c r="BV2" s="10">
        <f>MIN('02_Данные'!AG2,BU2)</f>
        <v/>
      </c>
      <c r="BW2" s="10">
        <f>BU2-BV2</f>
        <v/>
      </c>
      <c r="BX2" s="10">
        <f>MIN('02_Данные'!AH2,BW2)</f>
        <v/>
      </c>
      <c r="BY2" s="10">
        <f>BW2-BX2</f>
        <v/>
      </c>
      <c r="BZ2" s="10">
        <f>BY2+'02_Данные'!J2</f>
        <v/>
      </c>
      <c r="CA2" s="10">
        <f>MIN('02_Данные'!AJ2,BZ2)</f>
        <v/>
      </c>
      <c r="CB2" s="10">
        <f>BZ2-CA2</f>
        <v/>
      </c>
      <c r="CC2" s="10">
        <f>MIN('02_Данные'!AK2,CB2)</f>
        <v/>
      </c>
      <c r="CD2" s="10">
        <f>CB2-CC2</f>
        <v/>
      </c>
      <c r="CE2" s="10">
        <f>MIN('02_Данные'!AL2,CD2)</f>
        <v/>
      </c>
      <c r="CF2" s="10">
        <f>CD2-CE2</f>
        <v/>
      </c>
      <c r="CG2" s="10">
        <f>MIN('02_Данные'!AQ2,CF2)</f>
        <v/>
      </c>
      <c r="CH2" s="10">
        <f>CF2-CG2</f>
        <v/>
      </c>
      <c r="CI2" s="10">
        <f>MIN('02_Данные'!AN2,CH2)</f>
        <v/>
      </c>
      <c r="CJ2" s="10">
        <f>CH2-CI2</f>
        <v/>
      </c>
      <c r="CK2" s="10">
        <f>MIN('02_Данные'!AM2,CJ2)</f>
        <v/>
      </c>
      <c r="CL2" s="10">
        <f>CJ2-CK2</f>
        <v/>
      </c>
      <c r="CM2" s="10">
        <f>MIN('02_Данные'!AO2,CL2)</f>
        <v/>
      </c>
      <c r="CN2" s="10">
        <f>CL2-CM2</f>
        <v/>
      </c>
      <c r="CO2" s="10">
        <f>MIN('02_Данные'!AP2,CN2)</f>
        <v/>
      </c>
      <c r="CP2" s="10">
        <f>CN2-CO2</f>
        <v/>
      </c>
      <c r="CQ2" s="10">
        <f>CP2+'02_Данные'!K2</f>
        <v/>
      </c>
      <c r="CR2" s="10">
        <f>MIN('02_Данные'!AR2,CQ2)</f>
        <v/>
      </c>
      <c r="CS2" s="10">
        <f>CQ2-CR2</f>
        <v/>
      </c>
      <c r="CT2" s="10">
        <f>MIN('02_Данные'!AS2,CS2)</f>
        <v/>
      </c>
      <c r="CU2" s="10">
        <f>CS2-CT2</f>
        <v/>
      </c>
      <c r="CV2" s="10">
        <f>MIN('02_Данные'!AT2,CU2)</f>
        <v/>
      </c>
      <c r="CW2" s="10">
        <f>CU2-CV2</f>
        <v/>
      </c>
      <c r="CX2" s="10">
        <f>MIN('02_Данные'!AY2,CW2)</f>
        <v/>
      </c>
      <c r="CY2" s="10">
        <f>CW2-CX2</f>
        <v/>
      </c>
      <c r="CZ2" s="10">
        <f>MIN('02_Данные'!AV2,CY2)</f>
        <v/>
      </c>
      <c r="DA2" s="10">
        <f>CY2-CZ2</f>
        <v/>
      </c>
      <c r="DB2" s="10">
        <f>MIN('02_Данные'!AU2,DA2)</f>
        <v/>
      </c>
      <c r="DC2" s="10">
        <f>DA2-DB2</f>
        <v/>
      </c>
      <c r="DD2" s="10">
        <f>MIN('02_Данные'!AW2,DC2)</f>
        <v/>
      </c>
      <c r="DE2" s="10">
        <f>DC2-DD2</f>
        <v/>
      </c>
      <c r="DF2" s="10">
        <f>MIN('02_Данные'!AX2,DE2)</f>
        <v/>
      </c>
      <c r="DG2" s="10">
        <f>DE2-DF2</f>
        <v/>
      </c>
    </row>
    <row r="3">
      <c r="A3" s="9">
        <f>'02_Данные'!B3</f>
        <v/>
      </c>
      <c r="B3" s="9">
        <f>'02_Данные'!E3</f>
        <v/>
      </c>
      <c r="C3" s="10">
        <f>'02_Данные'!F3+'02_Данные'!G3+'02_Данные'!H3+'02_Данные'!I3+'02_Данные'!J3+'02_Данные'!K3</f>
        <v/>
      </c>
      <c r="D3" s="10">
        <f>SUM('02_Данные'!L3:'02_Данные'!AY3)</f>
        <v/>
      </c>
      <c r="E3" s="10">
        <f>MAX(0,D3-C3)</f>
        <v/>
      </c>
      <c r="F3" s="15">
        <f>IF(E3&gt;0.0001,"ДЕФИЦИТ",IF(Y3&gt;0.0001,"ПРОФИЦИТ","БАЛАНС"))</f>
        <v/>
      </c>
      <c r="G3" s="10">
        <f>AB3+AS3+BJ3+CA3+CR3</f>
        <v/>
      </c>
      <c r="H3" s="10">
        <f>AD3+AU3+BL3+CC3+CT3</f>
        <v/>
      </c>
      <c r="I3" s="10">
        <f>AF3+AW3+BN3+CE3+CV3</f>
        <v/>
      </c>
      <c r="J3" s="10">
        <f>AL3+BC3+BT3+CK3+DB3</f>
        <v/>
      </c>
      <c r="K3" s="10">
        <f>AJ3+BA3+BR3+CI3+CZ3</f>
        <v/>
      </c>
      <c r="L3" s="10">
        <f>AN3+BE3+BV3+CM3+DD3</f>
        <v/>
      </c>
      <c r="M3" s="10">
        <f>AP3+BG3+BX3+CO3+DF3</f>
        <v/>
      </c>
      <c r="N3" s="10">
        <f>AH3+AY3+BP3+CG3+CX3</f>
        <v/>
      </c>
      <c r="O3" s="10">
        <f>SUM(G3:N3)</f>
        <v/>
      </c>
      <c r="P3" s="10">
        <f>IFERROR(G3*MIN(1,'01_Нормативы'!$C$4/SUM(G$2:G$429)),0)</f>
        <v/>
      </c>
      <c r="Q3" s="10">
        <f>IFERROR(H3*MIN(1,'01_Нормативы'!$C$5/SUM(H$2:H$429)),0)</f>
        <v/>
      </c>
      <c r="R3" s="10">
        <f>IFERROR(I3*MIN(1,'01_Нормативы'!$C$6/SUM(I$2:I$429)),0)</f>
        <v/>
      </c>
      <c r="S3" s="10">
        <f>IFERROR(J3*MIN(1,'01_Нормативы'!$C$7/SUM(J$2:J$429)),0)</f>
        <v/>
      </c>
      <c r="T3" s="10">
        <f>IFERROR(K3*MIN(1,'01_Нормативы'!$C$8/SUM(K$2:K$429)),0)</f>
        <v/>
      </c>
      <c r="U3" s="10">
        <f>IFERROR(L3*MIN(1,'01_Нормативы'!$C$9/SUM(L$2:L$429)),0)</f>
        <v/>
      </c>
      <c r="V3" s="10">
        <f>IFERROR(M3*MIN(1,'01_Нормативы'!$C$10/SUM(M$2:M$429)),0)</f>
        <v/>
      </c>
      <c r="W3" s="10">
        <f>IFERROR(N3*MIN(1,'01_Нормативы'!$C$11/SUM(N$2:N$429)),0)</f>
        <v/>
      </c>
      <c r="X3" s="10">
        <f>SUM(P3:W3)</f>
        <v/>
      </c>
      <c r="Y3" s="10">
        <f>MAX(0,C3-X3)</f>
        <v/>
      </c>
      <c r="Z3" s="10">
        <f>IF(D3=0,100,X3/D3*100)</f>
        <v/>
      </c>
      <c r="AA3" s="10">
        <f>'02_Данные'!F3+'02_Данные'!G3</f>
        <v/>
      </c>
      <c r="AB3" s="10">
        <f>MIN('02_Данные'!L3,AA3)</f>
        <v/>
      </c>
      <c r="AC3" s="10">
        <f>AA3-AB3</f>
        <v/>
      </c>
      <c r="AD3" s="10">
        <f>MIN('02_Данные'!M3,AC3)</f>
        <v/>
      </c>
      <c r="AE3" s="10">
        <f>AC3-AD3</f>
        <v/>
      </c>
      <c r="AF3" s="10">
        <f>MIN('02_Данные'!N3,AE3)</f>
        <v/>
      </c>
      <c r="AG3" s="10">
        <f>AE3-AF3</f>
        <v/>
      </c>
      <c r="AH3" s="10">
        <f>MIN('02_Данные'!S3,AG3)</f>
        <v/>
      </c>
      <c r="AI3" s="10">
        <f>AG3-AH3</f>
        <v/>
      </c>
      <c r="AJ3" s="10">
        <f>MIN('02_Данные'!P3,AI3)</f>
        <v/>
      </c>
      <c r="AK3" s="10">
        <f>AI3-AJ3</f>
        <v/>
      </c>
      <c r="AL3" s="10">
        <f>MIN('02_Данные'!O3,AK3)</f>
        <v/>
      </c>
      <c r="AM3" s="10">
        <f>AK3-AL3</f>
        <v/>
      </c>
      <c r="AN3" s="10">
        <f>MIN('02_Данные'!Q3,AM3)</f>
        <v/>
      </c>
      <c r="AO3" s="10">
        <f>AM3-AN3</f>
        <v/>
      </c>
      <c r="AP3" s="10">
        <f>MIN('02_Данные'!R3,AO3)</f>
        <v/>
      </c>
      <c r="AQ3" s="10">
        <f>AO3-AP3</f>
        <v/>
      </c>
      <c r="AR3" s="10">
        <f>AQ3+'02_Данные'!H3</f>
        <v/>
      </c>
      <c r="AS3" s="10">
        <f>MIN('02_Данные'!T3,AR3)</f>
        <v/>
      </c>
      <c r="AT3" s="10">
        <f>AR3-AS3</f>
        <v/>
      </c>
      <c r="AU3" s="10">
        <f>MIN('02_Данные'!U3,AT3)</f>
        <v/>
      </c>
      <c r="AV3" s="10">
        <f>AT3-AU3</f>
        <v/>
      </c>
      <c r="AW3" s="10">
        <f>MIN('02_Данные'!V3,AV3)</f>
        <v/>
      </c>
      <c r="AX3" s="10">
        <f>AV3-AW3</f>
        <v/>
      </c>
      <c r="AY3" s="10">
        <f>MIN('02_Данные'!AA3,AX3)</f>
        <v/>
      </c>
      <c r="AZ3" s="10">
        <f>AX3-AY3</f>
        <v/>
      </c>
      <c r="BA3" s="10">
        <f>MIN('02_Данные'!X3,AZ3)</f>
        <v/>
      </c>
      <c r="BB3" s="10">
        <f>AZ3-BA3</f>
        <v/>
      </c>
      <c r="BC3" s="10">
        <f>MIN('02_Данные'!W3,BB3)</f>
        <v/>
      </c>
      <c r="BD3" s="10">
        <f>BB3-BC3</f>
        <v/>
      </c>
      <c r="BE3" s="10">
        <f>MIN('02_Данные'!Y3,BD3)</f>
        <v/>
      </c>
      <c r="BF3" s="10">
        <f>BD3-BE3</f>
        <v/>
      </c>
      <c r="BG3" s="10">
        <f>MIN('02_Данные'!Z3,BF3)</f>
        <v/>
      </c>
      <c r="BH3" s="10">
        <f>BF3-BG3</f>
        <v/>
      </c>
      <c r="BI3" s="10">
        <f>BH3+'02_Данные'!I3</f>
        <v/>
      </c>
      <c r="BJ3" s="10">
        <f>MIN('02_Данные'!AB3,BI3)</f>
        <v/>
      </c>
      <c r="BK3" s="10">
        <f>BI3-BJ3</f>
        <v/>
      </c>
      <c r="BL3" s="10">
        <f>MIN('02_Данные'!AC3,BK3)</f>
        <v/>
      </c>
      <c r="BM3" s="10">
        <f>BK3-BL3</f>
        <v/>
      </c>
      <c r="BN3" s="10">
        <f>MIN('02_Данные'!AD3,BM3)</f>
        <v/>
      </c>
      <c r="BO3" s="10">
        <f>BM3-BN3</f>
        <v/>
      </c>
      <c r="BP3" s="10">
        <f>MIN('02_Данные'!AI3,BO3)</f>
        <v/>
      </c>
      <c r="BQ3" s="10">
        <f>BO3-BP3</f>
        <v/>
      </c>
      <c r="BR3" s="10">
        <f>MIN('02_Данные'!AF3,BQ3)</f>
        <v/>
      </c>
      <c r="BS3" s="10">
        <f>BQ3-BR3</f>
        <v/>
      </c>
      <c r="BT3" s="10">
        <f>MIN('02_Данные'!AE3,BS3)</f>
        <v/>
      </c>
      <c r="BU3" s="10">
        <f>BS3-BT3</f>
        <v/>
      </c>
      <c r="BV3" s="10">
        <f>MIN('02_Данные'!AG3,BU3)</f>
        <v/>
      </c>
      <c r="BW3" s="10">
        <f>BU3-BV3</f>
        <v/>
      </c>
      <c r="BX3" s="10">
        <f>MIN('02_Данные'!AH3,BW3)</f>
        <v/>
      </c>
      <c r="BY3" s="10">
        <f>BW3-BX3</f>
        <v/>
      </c>
      <c r="BZ3" s="10">
        <f>BY3+'02_Данные'!J3</f>
        <v/>
      </c>
      <c r="CA3" s="10">
        <f>MIN('02_Данные'!AJ3,BZ3)</f>
        <v/>
      </c>
      <c r="CB3" s="10">
        <f>BZ3-CA3</f>
        <v/>
      </c>
      <c r="CC3" s="10">
        <f>MIN('02_Данные'!AK3,CB3)</f>
        <v/>
      </c>
      <c r="CD3" s="10">
        <f>CB3-CC3</f>
        <v/>
      </c>
      <c r="CE3" s="10">
        <f>MIN('02_Данные'!AL3,CD3)</f>
        <v/>
      </c>
      <c r="CF3" s="10">
        <f>CD3-CE3</f>
        <v/>
      </c>
      <c r="CG3" s="10">
        <f>MIN('02_Данные'!AQ3,CF3)</f>
        <v/>
      </c>
      <c r="CH3" s="10">
        <f>CF3-CG3</f>
        <v/>
      </c>
      <c r="CI3" s="10">
        <f>MIN('02_Данные'!AN3,CH3)</f>
        <v/>
      </c>
      <c r="CJ3" s="10">
        <f>CH3-CI3</f>
        <v/>
      </c>
      <c r="CK3" s="10">
        <f>MIN('02_Данные'!AM3,CJ3)</f>
        <v/>
      </c>
      <c r="CL3" s="10">
        <f>CJ3-CK3</f>
        <v/>
      </c>
      <c r="CM3" s="10">
        <f>MIN('02_Данные'!AO3,CL3)</f>
        <v/>
      </c>
      <c r="CN3" s="10">
        <f>CL3-CM3</f>
        <v/>
      </c>
      <c r="CO3" s="10">
        <f>MIN('02_Данные'!AP3,CN3)</f>
        <v/>
      </c>
      <c r="CP3" s="10">
        <f>CN3-CO3</f>
        <v/>
      </c>
      <c r="CQ3" s="10">
        <f>CP3+'02_Данные'!K3</f>
        <v/>
      </c>
      <c r="CR3" s="10">
        <f>MIN('02_Данные'!AR3,CQ3)</f>
        <v/>
      </c>
      <c r="CS3" s="10">
        <f>CQ3-CR3</f>
        <v/>
      </c>
      <c r="CT3" s="10">
        <f>MIN('02_Данные'!AS3,CS3)</f>
        <v/>
      </c>
      <c r="CU3" s="10">
        <f>CS3-CT3</f>
        <v/>
      </c>
      <c r="CV3" s="10">
        <f>MIN('02_Данные'!AT3,CU3)</f>
        <v/>
      </c>
      <c r="CW3" s="10">
        <f>CU3-CV3</f>
        <v/>
      </c>
      <c r="CX3" s="10">
        <f>MIN('02_Данные'!AY3,CW3)</f>
        <v/>
      </c>
      <c r="CY3" s="10">
        <f>CW3-CX3</f>
        <v/>
      </c>
      <c r="CZ3" s="10">
        <f>MIN('02_Данные'!AV3,CY3)</f>
        <v/>
      </c>
      <c r="DA3" s="10">
        <f>CY3-CZ3</f>
        <v/>
      </c>
      <c r="DB3" s="10">
        <f>MIN('02_Данные'!AU3,DA3)</f>
        <v/>
      </c>
      <c r="DC3" s="10">
        <f>DA3-DB3</f>
        <v/>
      </c>
      <c r="DD3" s="10">
        <f>MIN('02_Данные'!AW3,DC3)</f>
        <v/>
      </c>
      <c r="DE3" s="10">
        <f>DC3-DD3</f>
        <v/>
      </c>
      <c r="DF3" s="10">
        <f>MIN('02_Данные'!AX3,DE3)</f>
        <v/>
      </c>
      <c r="DG3" s="10">
        <f>DE3-DF3</f>
        <v/>
      </c>
    </row>
    <row r="4">
      <c r="A4" s="9">
        <f>'02_Данные'!B4</f>
        <v/>
      </c>
      <c r="B4" s="9">
        <f>'02_Данные'!E4</f>
        <v/>
      </c>
      <c r="C4" s="10">
        <f>'02_Данные'!F4+'02_Данные'!G4+'02_Данные'!H4+'02_Данные'!I4+'02_Данные'!J4+'02_Данные'!K4</f>
        <v/>
      </c>
      <c r="D4" s="10">
        <f>SUM('02_Данные'!L4:'02_Данные'!AY4)</f>
        <v/>
      </c>
      <c r="E4" s="10">
        <f>MAX(0,D4-C4)</f>
        <v/>
      </c>
      <c r="F4" s="15">
        <f>IF(E4&gt;0.0001,"ДЕФИЦИТ",IF(Y4&gt;0.0001,"ПРОФИЦИТ","БАЛАНС"))</f>
        <v/>
      </c>
      <c r="G4" s="10">
        <f>AB4+AS4+BJ4+CA4+CR4</f>
        <v/>
      </c>
      <c r="H4" s="10">
        <f>AD4+AU4+BL4+CC4+CT4</f>
        <v/>
      </c>
      <c r="I4" s="10">
        <f>AF4+AW4+BN4+CE4+CV4</f>
        <v/>
      </c>
      <c r="J4" s="10">
        <f>AL4+BC4+BT4+CK4+DB4</f>
        <v/>
      </c>
      <c r="K4" s="10">
        <f>AJ4+BA4+BR4+CI4+CZ4</f>
        <v/>
      </c>
      <c r="L4" s="10">
        <f>AN4+BE4+BV4+CM4+DD4</f>
        <v/>
      </c>
      <c r="M4" s="10">
        <f>AP4+BG4+BX4+CO4+DF4</f>
        <v/>
      </c>
      <c r="N4" s="10">
        <f>AH4+AY4+BP4+CG4+CX4</f>
        <v/>
      </c>
      <c r="O4" s="10">
        <f>SUM(G4:N4)</f>
        <v/>
      </c>
      <c r="P4" s="10">
        <f>IFERROR(G4*MIN(1,'01_Нормативы'!$C$4/SUM(G$2:G$429)),0)</f>
        <v/>
      </c>
      <c r="Q4" s="10">
        <f>IFERROR(H4*MIN(1,'01_Нормативы'!$C$5/SUM(H$2:H$429)),0)</f>
        <v/>
      </c>
      <c r="R4" s="10">
        <f>IFERROR(I4*MIN(1,'01_Нормативы'!$C$6/SUM(I$2:I$429)),0)</f>
        <v/>
      </c>
      <c r="S4" s="10">
        <f>IFERROR(J4*MIN(1,'01_Нормативы'!$C$7/SUM(J$2:J$429)),0)</f>
        <v/>
      </c>
      <c r="T4" s="10">
        <f>IFERROR(K4*MIN(1,'01_Нормативы'!$C$8/SUM(K$2:K$429)),0)</f>
        <v/>
      </c>
      <c r="U4" s="10">
        <f>IFERROR(L4*MIN(1,'01_Нормативы'!$C$9/SUM(L$2:L$429)),0)</f>
        <v/>
      </c>
      <c r="V4" s="10">
        <f>IFERROR(M4*MIN(1,'01_Нормативы'!$C$10/SUM(M$2:M$429)),0)</f>
        <v/>
      </c>
      <c r="W4" s="10">
        <f>IFERROR(N4*MIN(1,'01_Нормативы'!$C$11/SUM(N$2:N$429)),0)</f>
        <v/>
      </c>
      <c r="X4" s="10">
        <f>SUM(P4:W4)</f>
        <v/>
      </c>
      <c r="Y4" s="10">
        <f>MAX(0,C4-X4)</f>
        <v/>
      </c>
      <c r="Z4" s="10">
        <f>IF(D4=0,100,X4/D4*100)</f>
        <v/>
      </c>
      <c r="AA4" s="10">
        <f>'02_Данные'!F4+'02_Данные'!G4</f>
        <v/>
      </c>
      <c r="AB4" s="10">
        <f>MIN('02_Данные'!L4,AA4)</f>
        <v/>
      </c>
      <c r="AC4" s="10">
        <f>AA4-AB4</f>
        <v/>
      </c>
      <c r="AD4" s="10">
        <f>MIN('02_Данные'!M4,AC4)</f>
        <v/>
      </c>
      <c r="AE4" s="10">
        <f>AC4-AD4</f>
        <v/>
      </c>
      <c r="AF4" s="10">
        <f>MIN('02_Данные'!N4,AE4)</f>
        <v/>
      </c>
      <c r="AG4" s="10">
        <f>AE4-AF4</f>
        <v/>
      </c>
      <c r="AH4" s="10">
        <f>MIN('02_Данные'!S4,AG4)</f>
        <v/>
      </c>
      <c r="AI4" s="10">
        <f>AG4-AH4</f>
        <v/>
      </c>
      <c r="AJ4" s="10">
        <f>MIN('02_Данные'!P4,AI4)</f>
        <v/>
      </c>
      <c r="AK4" s="10">
        <f>AI4-AJ4</f>
        <v/>
      </c>
      <c r="AL4" s="10">
        <f>MIN('02_Данные'!O4,AK4)</f>
        <v/>
      </c>
      <c r="AM4" s="10">
        <f>AK4-AL4</f>
        <v/>
      </c>
      <c r="AN4" s="10">
        <f>MIN('02_Данные'!Q4,AM4)</f>
        <v/>
      </c>
      <c r="AO4" s="10">
        <f>AM4-AN4</f>
        <v/>
      </c>
      <c r="AP4" s="10">
        <f>MIN('02_Данные'!R4,AO4)</f>
        <v/>
      </c>
      <c r="AQ4" s="10">
        <f>AO4-AP4</f>
        <v/>
      </c>
      <c r="AR4" s="10">
        <f>AQ4+'02_Данные'!H4</f>
        <v/>
      </c>
      <c r="AS4" s="10">
        <f>MIN('02_Данные'!T4,AR4)</f>
        <v/>
      </c>
      <c r="AT4" s="10">
        <f>AR4-AS4</f>
        <v/>
      </c>
      <c r="AU4" s="10">
        <f>MIN('02_Данные'!U4,AT4)</f>
        <v/>
      </c>
      <c r="AV4" s="10">
        <f>AT4-AU4</f>
        <v/>
      </c>
      <c r="AW4" s="10">
        <f>MIN('02_Данные'!V4,AV4)</f>
        <v/>
      </c>
      <c r="AX4" s="10">
        <f>AV4-AW4</f>
        <v/>
      </c>
      <c r="AY4" s="10">
        <f>MIN('02_Данные'!AA4,AX4)</f>
        <v/>
      </c>
      <c r="AZ4" s="10">
        <f>AX4-AY4</f>
        <v/>
      </c>
      <c r="BA4" s="10">
        <f>MIN('02_Данные'!X4,AZ4)</f>
        <v/>
      </c>
      <c r="BB4" s="10">
        <f>AZ4-BA4</f>
        <v/>
      </c>
      <c r="BC4" s="10">
        <f>MIN('02_Данные'!W4,BB4)</f>
        <v/>
      </c>
      <c r="BD4" s="10">
        <f>BB4-BC4</f>
        <v/>
      </c>
      <c r="BE4" s="10">
        <f>MIN('02_Данные'!Y4,BD4)</f>
        <v/>
      </c>
      <c r="BF4" s="10">
        <f>BD4-BE4</f>
        <v/>
      </c>
      <c r="BG4" s="10">
        <f>MIN('02_Данные'!Z4,BF4)</f>
        <v/>
      </c>
      <c r="BH4" s="10">
        <f>BF4-BG4</f>
        <v/>
      </c>
      <c r="BI4" s="10">
        <f>BH4+'02_Данные'!I4</f>
        <v/>
      </c>
      <c r="BJ4" s="10">
        <f>MIN('02_Данные'!AB4,BI4)</f>
        <v/>
      </c>
      <c r="BK4" s="10">
        <f>BI4-BJ4</f>
        <v/>
      </c>
      <c r="BL4" s="10">
        <f>MIN('02_Данные'!AC4,BK4)</f>
        <v/>
      </c>
      <c r="BM4" s="10">
        <f>BK4-BL4</f>
        <v/>
      </c>
      <c r="BN4" s="10">
        <f>MIN('02_Данные'!AD4,BM4)</f>
        <v/>
      </c>
      <c r="BO4" s="10">
        <f>BM4-BN4</f>
        <v/>
      </c>
      <c r="BP4" s="10">
        <f>MIN('02_Данные'!AI4,BO4)</f>
        <v/>
      </c>
      <c r="BQ4" s="10">
        <f>BO4-BP4</f>
        <v/>
      </c>
      <c r="BR4" s="10">
        <f>MIN('02_Данные'!AF4,BQ4)</f>
        <v/>
      </c>
      <c r="BS4" s="10">
        <f>BQ4-BR4</f>
        <v/>
      </c>
      <c r="BT4" s="10">
        <f>MIN('02_Данные'!AE4,BS4)</f>
        <v/>
      </c>
      <c r="BU4" s="10">
        <f>BS4-BT4</f>
        <v/>
      </c>
      <c r="BV4" s="10">
        <f>MIN('02_Данные'!AG4,BU4)</f>
        <v/>
      </c>
      <c r="BW4" s="10">
        <f>BU4-BV4</f>
        <v/>
      </c>
      <c r="BX4" s="10">
        <f>MIN('02_Данные'!AH4,BW4)</f>
        <v/>
      </c>
      <c r="BY4" s="10">
        <f>BW4-BX4</f>
        <v/>
      </c>
      <c r="BZ4" s="10">
        <f>BY4+'02_Данные'!J4</f>
        <v/>
      </c>
      <c r="CA4" s="10">
        <f>MIN('02_Данные'!AJ4,BZ4)</f>
        <v/>
      </c>
      <c r="CB4" s="10">
        <f>BZ4-CA4</f>
        <v/>
      </c>
      <c r="CC4" s="10">
        <f>MIN('02_Данные'!AK4,CB4)</f>
        <v/>
      </c>
      <c r="CD4" s="10">
        <f>CB4-CC4</f>
        <v/>
      </c>
      <c r="CE4" s="10">
        <f>MIN('02_Данные'!AL4,CD4)</f>
        <v/>
      </c>
      <c r="CF4" s="10">
        <f>CD4-CE4</f>
        <v/>
      </c>
      <c r="CG4" s="10">
        <f>MIN('02_Данные'!AQ4,CF4)</f>
        <v/>
      </c>
      <c r="CH4" s="10">
        <f>CF4-CG4</f>
        <v/>
      </c>
      <c r="CI4" s="10">
        <f>MIN('02_Данные'!AN4,CH4)</f>
        <v/>
      </c>
      <c r="CJ4" s="10">
        <f>CH4-CI4</f>
        <v/>
      </c>
      <c r="CK4" s="10">
        <f>MIN('02_Данные'!AM4,CJ4)</f>
        <v/>
      </c>
      <c r="CL4" s="10">
        <f>CJ4-CK4</f>
        <v/>
      </c>
      <c r="CM4" s="10">
        <f>MIN('02_Данные'!AO4,CL4)</f>
        <v/>
      </c>
      <c r="CN4" s="10">
        <f>CL4-CM4</f>
        <v/>
      </c>
      <c r="CO4" s="10">
        <f>MIN('02_Данные'!AP4,CN4)</f>
        <v/>
      </c>
      <c r="CP4" s="10">
        <f>CN4-CO4</f>
        <v/>
      </c>
      <c r="CQ4" s="10">
        <f>CP4+'02_Данные'!K4</f>
        <v/>
      </c>
      <c r="CR4" s="10">
        <f>MIN('02_Данные'!AR4,CQ4)</f>
        <v/>
      </c>
      <c r="CS4" s="10">
        <f>CQ4-CR4</f>
        <v/>
      </c>
      <c r="CT4" s="10">
        <f>MIN('02_Данные'!AS4,CS4)</f>
        <v/>
      </c>
      <c r="CU4" s="10">
        <f>CS4-CT4</f>
        <v/>
      </c>
      <c r="CV4" s="10">
        <f>MIN('02_Данные'!AT4,CU4)</f>
        <v/>
      </c>
      <c r="CW4" s="10">
        <f>CU4-CV4</f>
        <v/>
      </c>
      <c r="CX4" s="10">
        <f>MIN('02_Данные'!AY4,CW4)</f>
        <v/>
      </c>
      <c r="CY4" s="10">
        <f>CW4-CX4</f>
        <v/>
      </c>
      <c r="CZ4" s="10">
        <f>MIN('02_Данные'!AV4,CY4)</f>
        <v/>
      </c>
      <c r="DA4" s="10">
        <f>CY4-CZ4</f>
        <v/>
      </c>
      <c r="DB4" s="10">
        <f>MIN('02_Данные'!AU4,DA4)</f>
        <v/>
      </c>
      <c r="DC4" s="10">
        <f>DA4-DB4</f>
        <v/>
      </c>
      <c r="DD4" s="10">
        <f>MIN('02_Данные'!AW4,DC4)</f>
        <v/>
      </c>
      <c r="DE4" s="10">
        <f>DC4-DD4</f>
        <v/>
      </c>
      <c r="DF4" s="10">
        <f>MIN('02_Данные'!AX4,DE4)</f>
        <v/>
      </c>
      <c r="DG4" s="10">
        <f>DE4-DF4</f>
        <v/>
      </c>
    </row>
    <row r="5">
      <c r="A5" s="9">
        <f>'02_Данные'!B5</f>
        <v/>
      </c>
      <c r="B5" s="9">
        <f>'02_Данные'!E5</f>
        <v/>
      </c>
      <c r="C5" s="10">
        <f>'02_Данные'!F5+'02_Данные'!G5+'02_Данные'!H5+'02_Данные'!I5+'02_Данные'!J5+'02_Данные'!K5</f>
        <v/>
      </c>
      <c r="D5" s="10">
        <f>SUM('02_Данные'!L5:'02_Данные'!AY5)</f>
        <v/>
      </c>
      <c r="E5" s="10">
        <f>MAX(0,D5-C5)</f>
        <v/>
      </c>
      <c r="F5" s="15">
        <f>IF(E5&gt;0.0001,"ДЕФИЦИТ",IF(Y5&gt;0.0001,"ПРОФИЦИТ","БАЛАНС"))</f>
        <v/>
      </c>
      <c r="G5" s="10">
        <f>AB5+AS5+BJ5+CA5+CR5</f>
        <v/>
      </c>
      <c r="H5" s="10">
        <f>AD5+AU5+BL5+CC5+CT5</f>
        <v/>
      </c>
      <c r="I5" s="10">
        <f>AF5+AW5+BN5+CE5+CV5</f>
        <v/>
      </c>
      <c r="J5" s="10">
        <f>AL5+BC5+BT5+CK5+DB5</f>
        <v/>
      </c>
      <c r="K5" s="10">
        <f>AJ5+BA5+BR5+CI5+CZ5</f>
        <v/>
      </c>
      <c r="L5" s="10">
        <f>AN5+BE5+BV5+CM5+DD5</f>
        <v/>
      </c>
      <c r="M5" s="10">
        <f>AP5+BG5+BX5+CO5+DF5</f>
        <v/>
      </c>
      <c r="N5" s="10">
        <f>AH5+AY5+BP5+CG5+CX5</f>
        <v/>
      </c>
      <c r="O5" s="10">
        <f>SUM(G5:N5)</f>
        <v/>
      </c>
      <c r="P5" s="10">
        <f>IFERROR(G5*MIN(1,'01_Нормативы'!$C$4/SUM(G$2:G$429)),0)</f>
        <v/>
      </c>
      <c r="Q5" s="10">
        <f>IFERROR(H5*MIN(1,'01_Нормативы'!$C$5/SUM(H$2:H$429)),0)</f>
        <v/>
      </c>
      <c r="R5" s="10">
        <f>IFERROR(I5*MIN(1,'01_Нормативы'!$C$6/SUM(I$2:I$429)),0)</f>
        <v/>
      </c>
      <c r="S5" s="10">
        <f>IFERROR(J5*MIN(1,'01_Нормативы'!$C$7/SUM(J$2:J$429)),0)</f>
        <v/>
      </c>
      <c r="T5" s="10">
        <f>IFERROR(K5*MIN(1,'01_Нормативы'!$C$8/SUM(K$2:K$429)),0)</f>
        <v/>
      </c>
      <c r="U5" s="10">
        <f>IFERROR(L5*MIN(1,'01_Нормативы'!$C$9/SUM(L$2:L$429)),0)</f>
        <v/>
      </c>
      <c r="V5" s="10">
        <f>IFERROR(M5*MIN(1,'01_Нормативы'!$C$10/SUM(M$2:M$429)),0)</f>
        <v/>
      </c>
      <c r="W5" s="10">
        <f>IFERROR(N5*MIN(1,'01_Нормативы'!$C$11/SUM(N$2:N$429)),0)</f>
        <v/>
      </c>
      <c r="X5" s="10">
        <f>SUM(P5:W5)</f>
        <v/>
      </c>
      <c r="Y5" s="10">
        <f>MAX(0,C5-X5)</f>
        <v/>
      </c>
      <c r="Z5" s="10">
        <f>IF(D5=0,100,X5/D5*100)</f>
        <v/>
      </c>
      <c r="AA5" s="10">
        <f>'02_Данные'!F5+'02_Данные'!G5</f>
        <v/>
      </c>
      <c r="AB5" s="10">
        <f>MIN('02_Данные'!L5,AA5)</f>
        <v/>
      </c>
      <c r="AC5" s="10">
        <f>AA5-AB5</f>
        <v/>
      </c>
      <c r="AD5" s="10">
        <f>MIN('02_Данные'!M5,AC5)</f>
        <v/>
      </c>
      <c r="AE5" s="10">
        <f>AC5-AD5</f>
        <v/>
      </c>
      <c r="AF5" s="10">
        <f>MIN('02_Данные'!N5,AE5)</f>
        <v/>
      </c>
      <c r="AG5" s="10">
        <f>AE5-AF5</f>
        <v/>
      </c>
      <c r="AH5" s="10">
        <f>MIN('02_Данные'!S5,AG5)</f>
        <v/>
      </c>
      <c r="AI5" s="10">
        <f>AG5-AH5</f>
        <v/>
      </c>
      <c r="AJ5" s="10">
        <f>MIN('02_Данные'!P5,AI5)</f>
        <v/>
      </c>
      <c r="AK5" s="10">
        <f>AI5-AJ5</f>
        <v/>
      </c>
      <c r="AL5" s="10">
        <f>MIN('02_Данные'!O5,AK5)</f>
        <v/>
      </c>
      <c r="AM5" s="10">
        <f>AK5-AL5</f>
        <v/>
      </c>
      <c r="AN5" s="10">
        <f>MIN('02_Данные'!Q5,AM5)</f>
        <v/>
      </c>
      <c r="AO5" s="10">
        <f>AM5-AN5</f>
        <v/>
      </c>
      <c r="AP5" s="10">
        <f>MIN('02_Данные'!R5,AO5)</f>
        <v/>
      </c>
      <c r="AQ5" s="10">
        <f>AO5-AP5</f>
        <v/>
      </c>
      <c r="AR5" s="10">
        <f>AQ5+'02_Данные'!H5</f>
        <v/>
      </c>
      <c r="AS5" s="10">
        <f>MIN('02_Данные'!T5,AR5)</f>
        <v/>
      </c>
      <c r="AT5" s="10">
        <f>AR5-AS5</f>
        <v/>
      </c>
      <c r="AU5" s="10">
        <f>MIN('02_Данные'!U5,AT5)</f>
        <v/>
      </c>
      <c r="AV5" s="10">
        <f>AT5-AU5</f>
        <v/>
      </c>
      <c r="AW5" s="10">
        <f>MIN('02_Данные'!V5,AV5)</f>
        <v/>
      </c>
      <c r="AX5" s="10">
        <f>AV5-AW5</f>
        <v/>
      </c>
      <c r="AY5" s="10">
        <f>MIN('02_Данные'!AA5,AX5)</f>
        <v/>
      </c>
      <c r="AZ5" s="10">
        <f>AX5-AY5</f>
        <v/>
      </c>
      <c r="BA5" s="10">
        <f>MIN('02_Данные'!X5,AZ5)</f>
        <v/>
      </c>
      <c r="BB5" s="10">
        <f>AZ5-BA5</f>
        <v/>
      </c>
      <c r="BC5" s="10">
        <f>MIN('02_Данные'!W5,BB5)</f>
        <v/>
      </c>
      <c r="BD5" s="10">
        <f>BB5-BC5</f>
        <v/>
      </c>
      <c r="BE5" s="10">
        <f>MIN('02_Данные'!Y5,BD5)</f>
        <v/>
      </c>
      <c r="BF5" s="10">
        <f>BD5-BE5</f>
        <v/>
      </c>
      <c r="BG5" s="10">
        <f>MIN('02_Данные'!Z5,BF5)</f>
        <v/>
      </c>
      <c r="BH5" s="10">
        <f>BF5-BG5</f>
        <v/>
      </c>
      <c r="BI5" s="10">
        <f>BH5+'02_Данные'!I5</f>
        <v/>
      </c>
      <c r="BJ5" s="10">
        <f>MIN('02_Данные'!AB5,BI5)</f>
        <v/>
      </c>
      <c r="BK5" s="10">
        <f>BI5-BJ5</f>
        <v/>
      </c>
      <c r="BL5" s="10">
        <f>MIN('02_Данные'!AC5,BK5)</f>
        <v/>
      </c>
      <c r="BM5" s="10">
        <f>BK5-BL5</f>
        <v/>
      </c>
      <c r="BN5" s="10">
        <f>MIN('02_Данные'!AD5,BM5)</f>
        <v/>
      </c>
      <c r="BO5" s="10">
        <f>BM5-BN5</f>
        <v/>
      </c>
      <c r="BP5" s="10">
        <f>MIN('02_Данные'!AI5,BO5)</f>
        <v/>
      </c>
      <c r="BQ5" s="10">
        <f>BO5-BP5</f>
        <v/>
      </c>
      <c r="BR5" s="10">
        <f>MIN('02_Данные'!AF5,BQ5)</f>
        <v/>
      </c>
      <c r="BS5" s="10">
        <f>BQ5-BR5</f>
        <v/>
      </c>
      <c r="BT5" s="10">
        <f>MIN('02_Данные'!AE5,BS5)</f>
        <v/>
      </c>
      <c r="BU5" s="10">
        <f>BS5-BT5</f>
        <v/>
      </c>
      <c r="BV5" s="10">
        <f>MIN('02_Данные'!AG5,BU5)</f>
        <v/>
      </c>
      <c r="BW5" s="10">
        <f>BU5-BV5</f>
        <v/>
      </c>
      <c r="BX5" s="10">
        <f>MIN('02_Данные'!AH5,BW5)</f>
        <v/>
      </c>
      <c r="BY5" s="10">
        <f>BW5-BX5</f>
        <v/>
      </c>
      <c r="BZ5" s="10">
        <f>BY5+'02_Данные'!J5</f>
        <v/>
      </c>
      <c r="CA5" s="10">
        <f>MIN('02_Данные'!AJ5,BZ5)</f>
        <v/>
      </c>
      <c r="CB5" s="10">
        <f>BZ5-CA5</f>
        <v/>
      </c>
      <c r="CC5" s="10">
        <f>MIN('02_Данные'!AK5,CB5)</f>
        <v/>
      </c>
      <c r="CD5" s="10">
        <f>CB5-CC5</f>
        <v/>
      </c>
      <c r="CE5" s="10">
        <f>MIN('02_Данные'!AL5,CD5)</f>
        <v/>
      </c>
      <c r="CF5" s="10">
        <f>CD5-CE5</f>
        <v/>
      </c>
      <c r="CG5" s="10">
        <f>MIN('02_Данные'!AQ5,CF5)</f>
        <v/>
      </c>
      <c r="CH5" s="10">
        <f>CF5-CG5</f>
        <v/>
      </c>
      <c r="CI5" s="10">
        <f>MIN('02_Данные'!AN5,CH5)</f>
        <v/>
      </c>
      <c r="CJ5" s="10">
        <f>CH5-CI5</f>
        <v/>
      </c>
      <c r="CK5" s="10">
        <f>MIN('02_Данные'!AM5,CJ5)</f>
        <v/>
      </c>
      <c r="CL5" s="10">
        <f>CJ5-CK5</f>
        <v/>
      </c>
      <c r="CM5" s="10">
        <f>MIN('02_Данные'!AO5,CL5)</f>
        <v/>
      </c>
      <c r="CN5" s="10">
        <f>CL5-CM5</f>
        <v/>
      </c>
      <c r="CO5" s="10">
        <f>MIN('02_Данные'!AP5,CN5)</f>
        <v/>
      </c>
      <c r="CP5" s="10">
        <f>CN5-CO5</f>
        <v/>
      </c>
      <c r="CQ5" s="10">
        <f>CP5+'02_Данные'!K5</f>
        <v/>
      </c>
      <c r="CR5" s="10">
        <f>MIN('02_Данные'!AR5,CQ5)</f>
        <v/>
      </c>
      <c r="CS5" s="10">
        <f>CQ5-CR5</f>
        <v/>
      </c>
      <c r="CT5" s="10">
        <f>MIN('02_Данные'!AS5,CS5)</f>
        <v/>
      </c>
      <c r="CU5" s="10">
        <f>CS5-CT5</f>
        <v/>
      </c>
      <c r="CV5" s="10">
        <f>MIN('02_Данные'!AT5,CU5)</f>
        <v/>
      </c>
      <c r="CW5" s="10">
        <f>CU5-CV5</f>
        <v/>
      </c>
      <c r="CX5" s="10">
        <f>MIN('02_Данные'!AY5,CW5)</f>
        <v/>
      </c>
      <c r="CY5" s="10">
        <f>CW5-CX5</f>
        <v/>
      </c>
      <c r="CZ5" s="10">
        <f>MIN('02_Данные'!AV5,CY5)</f>
        <v/>
      </c>
      <c r="DA5" s="10">
        <f>CY5-CZ5</f>
        <v/>
      </c>
      <c r="DB5" s="10">
        <f>MIN('02_Данные'!AU5,DA5)</f>
        <v/>
      </c>
      <c r="DC5" s="10">
        <f>DA5-DB5</f>
        <v/>
      </c>
      <c r="DD5" s="10">
        <f>MIN('02_Данные'!AW5,DC5)</f>
        <v/>
      </c>
      <c r="DE5" s="10">
        <f>DC5-DD5</f>
        <v/>
      </c>
      <c r="DF5" s="10">
        <f>MIN('02_Данные'!AX5,DE5)</f>
        <v/>
      </c>
      <c r="DG5" s="10">
        <f>DE5-DF5</f>
        <v/>
      </c>
    </row>
    <row r="6">
      <c r="A6" s="9">
        <f>'02_Данные'!B6</f>
        <v/>
      </c>
      <c r="B6" s="9">
        <f>'02_Данные'!E6</f>
        <v/>
      </c>
      <c r="C6" s="10">
        <f>'02_Данные'!F6+'02_Данные'!G6+'02_Данные'!H6+'02_Данные'!I6+'02_Данные'!J6+'02_Данные'!K6</f>
        <v/>
      </c>
      <c r="D6" s="10">
        <f>SUM('02_Данные'!L6:'02_Данные'!AY6)</f>
        <v/>
      </c>
      <c r="E6" s="10">
        <f>MAX(0,D6-C6)</f>
        <v/>
      </c>
      <c r="F6" s="15">
        <f>IF(E6&gt;0.0001,"ДЕФИЦИТ",IF(Y6&gt;0.0001,"ПРОФИЦИТ","БАЛАНС"))</f>
        <v/>
      </c>
      <c r="G6" s="10">
        <f>AB6+AS6+BJ6+CA6+CR6</f>
        <v/>
      </c>
      <c r="H6" s="10">
        <f>AD6+AU6+BL6+CC6+CT6</f>
        <v/>
      </c>
      <c r="I6" s="10">
        <f>AF6+AW6+BN6+CE6+CV6</f>
        <v/>
      </c>
      <c r="J6" s="10">
        <f>AL6+BC6+BT6+CK6+DB6</f>
        <v/>
      </c>
      <c r="K6" s="10">
        <f>AJ6+BA6+BR6+CI6+CZ6</f>
        <v/>
      </c>
      <c r="L6" s="10">
        <f>AN6+BE6+BV6+CM6+DD6</f>
        <v/>
      </c>
      <c r="M6" s="10">
        <f>AP6+BG6+BX6+CO6+DF6</f>
        <v/>
      </c>
      <c r="N6" s="10">
        <f>AH6+AY6+BP6+CG6+CX6</f>
        <v/>
      </c>
      <c r="O6" s="10">
        <f>SUM(G6:N6)</f>
        <v/>
      </c>
      <c r="P6" s="10">
        <f>IFERROR(G6*MIN(1,'01_Нормативы'!$C$4/SUM(G$2:G$429)),0)</f>
        <v/>
      </c>
      <c r="Q6" s="10">
        <f>IFERROR(H6*MIN(1,'01_Нормативы'!$C$5/SUM(H$2:H$429)),0)</f>
        <v/>
      </c>
      <c r="R6" s="10">
        <f>IFERROR(I6*MIN(1,'01_Нормативы'!$C$6/SUM(I$2:I$429)),0)</f>
        <v/>
      </c>
      <c r="S6" s="10">
        <f>IFERROR(J6*MIN(1,'01_Нормативы'!$C$7/SUM(J$2:J$429)),0)</f>
        <v/>
      </c>
      <c r="T6" s="10">
        <f>IFERROR(K6*MIN(1,'01_Нормативы'!$C$8/SUM(K$2:K$429)),0)</f>
        <v/>
      </c>
      <c r="U6" s="10">
        <f>IFERROR(L6*MIN(1,'01_Нормативы'!$C$9/SUM(L$2:L$429)),0)</f>
        <v/>
      </c>
      <c r="V6" s="10">
        <f>IFERROR(M6*MIN(1,'01_Нормативы'!$C$10/SUM(M$2:M$429)),0)</f>
        <v/>
      </c>
      <c r="W6" s="10">
        <f>IFERROR(N6*MIN(1,'01_Нормативы'!$C$11/SUM(N$2:N$429)),0)</f>
        <v/>
      </c>
      <c r="X6" s="10">
        <f>SUM(P6:W6)</f>
        <v/>
      </c>
      <c r="Y6" s="10">
        <f>MAX(0,C6-X6)</f>
        <v/>
      </c>
      <c r="Z6" s="10">
        <f>IF(D6=0,100,X6/D6*100)</f>
        <v/>
      </c>
      <c r="AA6" s="10">
        <f>'02_Данные'!F6+'02_Данные'!G6</f>
        <v/>
      </c>
      <c r="AB6" s="10">
        <f>MIN('02_Данные'!L6,AA6)</f>
        <v/>
      </c>
      <c r="AC6" s="10">
        <f>AA6-AB6</f>
        <v/>
      </c>
      <c r="AD6" s="10">
        <f>MIN('02_Данные'!M6,AC6)</f>
        <v/>
      </c>
      <c r="AE6" s="10">
        <f>AC6-AD6</f>
        <v/>
      </c>
      <c r="AF6" s="10">
        <f>MIN('02_Данные'!N6,AE6)</f>
        <v/>
      </c>
      <c r="AG6" s="10">
        <f>AE6-AF6</f>
        <v/>
      </c>
      <c r="AH6" s="10">
        <f>MIN('02_Данные'!S6,AG6)</f>
        <v/>
      </c>
      <c r="AI6" s="10">
        <f>AG6-AH6</f>
        <v/>
      </c>
      <c r="AJ6" s="10">
        <f>MIN('02_Данные'!P6,AI6)</f>
        <v/>
      </c>
      <c r="AK6" s="10">
        <f>AI6-AJ6</f>
        <v/>
      </c>
      <c r="AL6" s="10">
        <f>MIN('02_Данные'!O6,AK6)</f>
        <v/>
      </c>
      <c r="AM6" s="10">
        <f>AK6-AL6</f>
        <v/>
      </c>
      <c r="AN6" s="10">
        <f>MIN('02_Данные'!Q6,AM6)</f>
        <v/>
      </c>
      <c r="AO6" s="10">
        <f>AM6-AN6</f>
        <v/>
      </c>
      <c r="AP6" s="10">
        <f>MIN('02_Данные'!R6,AO6)</f>
        <v/>
      </c>
      <c r="AQ6" s="10">
        <f>AO6-AP6</f>
        <v/>
      </c>
      <c r="AR6" s="10">
        <f>AQ6+'02_Данные'!H6</f>
        <v/>
      </c>
      <c r="AS6" s="10">
        <f>MIN('02_Данные'!T6,AR6)</f>
        <v/>
      </c>
      <c r="AT6" s="10">
        <f>AR6-AS6</f>
        <v/>
      </c>
      <c r="AU6" s="10">
        <f>MIN('02_Данные'!U6,AT6)</f>
        <v/>
      </c>
      <c r="AV6" s="10">
        <f>AT6-AU6</f>
        <v/>
      </c>
      <c r="AW6" s="10">
        <f>MIN('02_Данные'!V6,AV6)</f>
        <v/>
      </c>
      <c r="AX6" s="10">
        <f>AV6-AW6</f>
        <v/>
      </c>
      <c r="AY6" s="10">
        <f>MIN('02_Данные'!AA6,AX6)</f>
        <v/>
      </c>
      <c r="AZ6" s="10">
        <f>AX6-AY6</f>
        <v/>
      </c>
      <c r="BA6" s="10">
        <f>MIN('02_Данные'!X6,AZ6)</f>
        <v/>
      </c>
      <c r="BB6" s="10">
        <f>AZ6-BA6</f>
        <v/>
      </c>
      <c r="BC6" s="10">
        <f>MIN('02_Данные'!W6,BB6)</f>
        <v/>
      </c>
      <c r="BD6" s="10">
        <f>BB6-BC6</f>
        <v/>
      </c>
      <c r="BE6" s="10">
        <f>MIN('02_Данные'!Y6,BD6)</f>
        <v/>
      </c>
      <c r="BF6" s="10">
        <f>BD6-BE6</f>
        <v/>
      </c>
      <c r="BG6" s="10">
        <f>MIN('02_Данные'!Z6,BF6)</f>
        <v/>
      </c>
      <c r="BH6" s="10">
        <f>BF6-BG6</f>
        <v/>
      </c>
      <c r="BI6" s="10">
        <f>BH6+'02_Данные'!I6</f>
        <v/>
      </c>
      <c r="BJ6" s="10">
        <f>MIN('02_Данные'!AB6,BI6)</f>
        <v/>
      </c>
      <c r="BK6" s="10">
        <f>BI6-BJ6</f>
        <v/>
      </c>
      <c r="BL6" s="10">
        <f>MIN('02_Данные'!AC6,BK6)</f>
        <v/>
      </c>
      <c r="BM6" s="10">
        <f>BK6-BL6</f>
        <v/>
      </c>
      <c r="BN6" s="10">
        <f>MIN('02_Данные'!AD6,BM6)</f>
        <v/>
      </c>
      <c r="BO6" s="10">
        <f>BM6-BN6</f>
        <v/>
      </c>
      <c r="BP6" s="10">
        <f>MIN('02_Данные'!AI6,BO6)</f>
        <v/>
      </c>
      <c r="BQ6" s="10">
        <f>BO6-BP6</f>
        <v/>
      </c>
      <c r="BR6" s="10">
        <f>MIN('02_Данные'!AF6,BQ6)</f>
        <v/>
      </c>
      <c r="BS6" s="10">
        <f>BQ6-BR6</f>
        <v/>
      </c>
      <c r="BT6" s="10">
        <f>MIN('02_Данные'!AE6,BS6)</f>
        <v/>
      </c>
      <c r="BU6" s="10">
        <f>BS6-BT6</f>
        <v/>
      </c>
      <c r="BV6" s="10">
        <f>MIN('02_Данные'!AG6,BU6)</f>
        <v/>
      </c>
      <c r="BW6" s="10">
        <f>BU6-BV6</f>
        <v/>
      </c>
      <c r="BX6" s="10">
        <f>MIN('02_Данные'!AH6,BW6)</f>
        <v/>
      </c>
      <c r="BY6" s="10">
        <f>BW6-BX6</f>
        <v/>
      </c>
      <c r="BZ6" s="10">
        <f>BY6+'02_Данные'!J6</f>
        <v/>
      </c>
      <c r="CA6" s="10">
        <f>MIN('02_Данные'!AJ6,BZ6)</f>
        <v/>
      </c>
      <c r="CB6" s="10">
        <f>BZ6-CA6</f>
        <v/>
      </c>
      <c r="CC6" s="10">
        <f>MIN('02_Данные'!AK6,CB6)</f>
        <v/>
      </c>
      <c r="CD6" s="10">
        <f>CB6-CC6</f>
        <v/>
      </c>
      <c r="CE6" s="10">
        <f>MIN('02_Данные'!AL6,CD6)</f>
        <v/>
      </c>
      <c r="CF6" s="10">
        <f>CD6-CE6</f>
        <v/>
      </c>
      <c r="CG6" s="10">
        <f>MIN('02_Данные'!AQ6,CF6)</f>
        <v/>
      </c>
      <c r="CH6" s="10">
        <f>CF6-CG6</f>
        <v/>
      </c>
      <c r="CI6" s="10">
        <f>MIN('02_Данные'!AN6,CH6)</f>
        <v/>
      </c>
      <c r="CJ6" s="10">
        <f>CH6-CI6</f>
        <v/>
      </c>
      <c r="CK6" s="10">
        <f>MIN('02_Данные'!AM6,CJ6)</f>
        <v/>
      </c>
      <c r="CL6" s="10">
        <f>CJ6-CK6</f>
        <v/>
      </c>
      <c r="CM6" s="10">
        <f>MIN('02_Данные'!AO6,CL6)</f>
        <v/>
      </c>
      <c r="CN6" s="10">
        <f>CL6-CM6</f>
        <v/>
      </c>
      <c r="CO6" s="10">
        <f>MIN('02_Данные'!AP6,CN6)</f>
        <v/>
      </c>
      <c r="CP6" s="10">
        <f>CN6-CO6</f>
        <v/>
      </c>
      <c r="CQ6" s="10">
        <f>CP6+'02_Данные'!K6</f>
        <v/>
      </c>
      <c r="CR6" s="10">
        <f>MIN('02_Данные'!AR6,CQ6)</f>
        <v/>
      </c>
      <c r="CS6" s="10">
        <f>CQ6-CR6</f>
        <v/>
      </c>
      <c r="CT6" s="10">
        <f>MIN('02_Данные'!AS6,CS6)</f>
        <v/>
      </c>
      <c r="CU6" s="10">
        <f>CS6-CT6</f>
        <v/>
      </c>
      <c r="CV6" s="10">
        <f>MIN('02_Данные'!AT6,CU6)</f>
        <v/>
      </c>
      <c r="CW6" s="10">
        <f>CU6-CV6</f>
        <v/>
      </c>
      <c r="CX6" s="10">
        <f>MIN('02_Данные'!AY6,CW6)</f>
        <v/>
      </c>
      <c r="CY6" s="10">
        <f>CW6-CX6</f>
        <v/>
      </c>
      <c r="CZ6" s="10">
        <f>MIN('02_Данные'!AV6,CY6)</f>
        <v/>
      </c>
      <c r="DA6" s="10">
        <f>CY6-CZ6</f>
        <v/>
      </c>
      <c r="DB6" s="10">
        <f>MIN('02_Данные'!AU6,DA6)</f>
        <v/>
      </c>
      <c r="DC6" s="10">
        <f>DA6-DB6</f>
        <v/>
      </c>
      <c r="DD6" s="10">
        <f>MIN('02_Данные'!AW6,DC6)</f>
        <v/>
      </c>
      <c r="DE6" s="10">
        <f>DC6-DD6</f>
        <v/>
      </c>
      <c r="DF6" s="10">
        <f>MIN('02_Данные'!AX6,DE6)</f>
        <v/>
      </c>
      <c r="DG6" s="10">
        <f>DE6-DF6</f>
        <v/>
      </c>
    </row>
    <row r="7">
      <c r="A7" s="9">
        <f>'02_Данные'!B7</f>
        <v/>
      </c>
      <c r="B7" s="9">
        <f>'02_Данные'!E7</f>
        <v/>
      </c>
      <c r="C7" s="10">
        <f>'02_Данные'!F7+'02_Данные'!G7+'02_Данные'!H7+'02_Данные'!I7+'02_Данные'!J7+'02_Данные'!K7</f>
        <v/>
      </c>
      <c r="D7" s="10">
        <f>SUM('02_Данные'!L7:'02_Данные'!AY7)</f>
        <v/>
      </c>
      <c r="E7" s="10">
        <f>MAX(0,D7-C7)</f>
        <v/>
      </c>
      <c r="F7" s="15">
        <f>IF(E7&gt;0.0001,"ДЕФИЦИТ",IF(Y7&gt;0.0001,"ПРОФИЦИТ","БАЛАНС"))</f>
        <v/>
      </c>
      <c r="G7" s="10">
        <f>AB7+AS7+BJ7+CA7+CR7</f>
        <v/>
      </c>
      <c r="H7" s="10">
        <f>AD7+AU7+BL7+CC7+CT7</f>
        <v/>
      </c>
      <c r="I7" s="10">
        <f>AF7+AW7+BN7+CE7+CV7</f>
        <v/>
      </c>
      <c r="J7" s="10">
        <f>AL7+BC7+BT7+CK7+DB7</f>
        <v/>
      </c>
      <c r="K7" s="10">
        <f>AJ7+BA7+BR7+CI7+CZ7</f>
        <v/>
      </c>
      <c r="L7" s="10">
        <f>AN7+BE7+BV7+CM7+DD7</f>
        <v/>
      </c>
      <c r="M7" s="10">
        <f>AP7+BG7+BX7+CO7+DF7</f>
        <v/>
      </c>
      <c r="N7" s="10">
        <f>AH7+AY7+BP7+CG7+CX7</f>
        <v/>
      </c>
      <c r="O7" s="10">
        <f>SUM(G7:N7)</f>
        <v/>
      </c>
      <c r="P7" s="10">
        <f>IFERROR(G7*MIN(1,'01_Нормативы'!$C$4/SUM(G$2:G$429)),0)</f>
        <v/>
      </c>
      <c r="Q7" s="10">
        <f>IFERROR(H7*MIN(1,'01_Нормативы'!$C$5/SUM(H$2:H$429)),0)</f>
        <v/>
      </c>
      <c r="R7" s="10">
        <f>IFERROR(I7*MIN(1,'01_Нормативы'!$C$6/SUM(I$2:I$429)),0)</f>
        <v/>
      </c>
      <c r="S7" s="10">
        <f>IFERROR(J7*MIN(1,'01_Нормативы'!$C$7/SUM(J$2:J$429)),0)</f>
        <v/>
      </c>
      <c r="T7" s="10">
        <f>IFERROR(K7*MIN(1,'01_Нормативы'!$C$8/SUM(K$2:K$429)),0)</f>
        <v/>
      </c>
      <c r="U7" s="10">
        <f>IFERROR(L7*MIN(1,'01_Нормативы'!$C$9/SUM(L$2:L$429)),0)</f>
        <v/>
      </c>
      <c r="V7" s="10">
        <f>IFERROR(M7*MIN(1,'01_Нормативы'!$C$10/SUM(M$2:M$429)),0)</f>
        <v/>
      </c>
      <c r="W7" s="10">
        <f>IFERROR(N7*MIN(1,'01_Нормативы'!$C$11/SUM(N$2:N$429)),0)</f>
        <v/>
      </c>
      <c r="X7" s="10">
        <f>SUM(P7:W7)</f>
        <v/>
      </c>
      <c r="Y7" s="10">
        <f>MAX(0,C7-X7)</f>
        <v/>
      </c>
      <c r="Z7" s="10">
        <f>IF(D7=0,100,X7/D7*100)</f>
        <v/>
      </c>
      <c r="AA7" s="10">
        <f>'02_Данные'!F7+'02_Данные'!G7</f>
        <v/>
      </c>
      <c r="AB7" s="10">
        <f>MIN('02_Данные'!L7,AA7)</f>
        <v/>
      </c>
      <c r="AC7" s="10">
        <f>AA7-AB7</f>
        <v/>
      </c>
      <c r="AD7" s="10">
        <f>MIN('02_Данные'!M7,AC7)</f>
        <v/>
      </c>
      <c r="AE7" s="10">
        <f>AC7-AD7</f>
        <v/>
      </c>
      <c r="AF7" s="10">
        <f>MIN('02_Данные'!N7,AE7)</f>
        <v/>
      </c>
      <c r="AG7" s="10">
        <f>AE7-AF7</f>
        <v/>
      </c>
      <c r="AH7" s="10">
        <f>MIN('02_Данные'!S7,AG7)</f>
        <v/>
      </c>
      <c r="AI7" s="10">
        <f>AG7-AH7</f>
        <v/>
      </c>
      <c r="AJ7" s="10">
        <f>MIN('02_Данные'!P7,AI7)</f>
        <v/>
      </c>
      <c r="AK7" s="10">
        <f>AI7-AJ7</f>
        <v/>
      </c>
      <c r="AL7" s="10">
        <f>MIN('02_Данные'!O7,AK7)</f>
        <v/>
      </c>
      <c r="AM7" s="10">
        <f>AK7-AL7</f>
        <v/>
      </c>
      <c r="AN7" s="10">
        <f>MIN('02_Данные'!Q7,AM7)</f>
        <v/>
      </c>
      <c r="AO7" s="10">
        <f>AM7-AN7</f>
        <v/>
      </c>
      <c r="AP7" s="10">
        <f>MIN('02_Данные'!R7,AO7)</f>
        <v/>
      </c>
      <c r="AQ7" s="10">
        <f>AO7-AP7</f>
        <v/>
      </c>
      <c r="AR7" s="10">
        <f>AQ7+'02_Данные'!H7</f>
        <v/>
      </c>
      <c r="AS7" s="10">
        <f>MIN('02_Данные'!T7,AR7)</f>
        <v/>
      </c>
      <c r="AT7" s="10">
        <f>AR7-AS7</f>
        <v/>
      </c>
      <c r="AU7" s="10">
        <f>MIN('02_Данные'!U7,AT7)</f>
        <v/>
      </c>
      <c r="AV7" s="10">
        <f>AT7-AU7</f>
        <v/>
      </c>
      <c r="AW7" s="10">
        <f>MIN('02_Данные'!V7,AV7)</f>
        <v/>
      </c>
      <c r="AX7" s="10">
        <f>AV7-AW7</f>
        <v/>
      </c>
      <c r="AY7" s="10">
        <f>MIN('02_Данные'!AA7,AX7)</f>
        <v/>
      </c>
      <c r="AZ7" s="10">
        <f>AX7-AY7</f>
        <v/>
      </c>
      <c r="BA7" s="10">
        <f>MIN('02_Данные'!X7,AZ7)</f>
        <v/>
      </c>
      <c r="BB7" s="10">
        <f>AZ7-BA7</f>
        <v/>
      </c>
      <c r="BC7" s="10">
        <f>MIN('02_Данные'!W7,BB7)</f>
        <v/>
      </c>
      <c r="BD7" s="10">
        <f>BB7-BC7</f>
        <v/>
      </c>
      <c r="BE7" s="10">
        <f>MIN('02_Данные'!Y7,BD7)</f>
        <v/>
      </c>
      <c r="BF7" s="10">
        <f>BD7-BE7</f>
        <v/>
      </c>
      <c r="BG7" s="10">
        <f>MIN('02_Данные'!Z7,BF7)</f>
        <v/>
      </c>
      <c r="BH7" s="10">
        <f>BF7-BG7</f>
        <v/>
      </c>
      <c r="BI7" s="10">
        <f>BH7+'02_Данные'!I7</f>
        <v/>
      </c>
      <c r="BJ7" s="10">
        <f>MIN('02_Данные'!AB7,BI7)</f>
        <v/>
      </c>
      <c r="BK7" s="10">
        <f>BI7-BJ7</f>
        <v/>
      </c>
      <c r="BL7" s="10">
        <f>MIN('02_Данные'!AC7,BK7)</f>
        <v/>
      </c>
      <c r="BM7" s="10">
        <f>BK7-BL7</f>
        <v/>
      </c>
      <c r="BN7" s="10">
        <f>MIN('02_Данные'!AD7,BM7)</f>
        <v/>
      </c>
      <c r="BO7" s="10">
        <f>BM7-BN7</f>
        <v/>
      </c>
      <c r="BP7" s="10">
        <f>MIN('02_Данные'!AI7,BO7)</f>
        <v/>
      </c>
      <c r="BQ7" s="10">
        <f>BO7-BP7</f>
        <v/>
      </c>
      <c r="BR7" s="10">
        <f>MIN('02_Данные'!AF7,BQ7)</f>
        <v/>
      </c>
      <c r="BS7" s="10">
        <f>BQ7-BR7</f>
        <v/>
      </c>
      <c r="BT7" s="10">
        <f>MIN('02_Данные'!AE7,BS7)</f>
        <v/>
      </c>
      <c r="BU7" s="10">
        <f>BS7-BT7</f>
        <v/>
      </c>
      <c r="BV7" s="10">
        <f>MIN('02_Данные'!AG7,BU7)</f>
        <v/>
      </c>
      <c r="BW7" s="10">
        <f>BU7-BV7</f>
        <v/>
      </c>
      <c r="BX7" s="10">
        <f>MIN('02_Данные'!AH7,BW7)</f>
        <v/>
      </c>
      <c r="BY7" s="10">
        <f>BW7-BX7</f>
        <v/>
      </c>
      <c r="BZ7" s="10">
        <f>BY7+'02_Данные'!J7</f>
        <v/>
      </c>
      <c r="CA7" s="10">
        <f>MIN('02_Данные'!AJ7,BZ7)</f>
        <v/>
      </c>
      <c r="CB7" s="10">
        <f>BZ7-CA7</f>
        <v/>
      </c>
      <c r="CC7" s="10">
        <f>MIN('02_Данные'!AK7,CB7)</f>
        <v/>
      </c>
      <c r="CD7" s="10">
        <f>CB7-CC7</f>
        <v/>
      </c>
      <c r="CE7" s="10">
        <f>MIN('02_Данные'!AL7,CD7)</f>
        <v/>
      </c>
      <c r="CF7" s="10">
        <f>CD7-CE7</f>
        <v/>
      </c>
      <c r="CG7" s="10">
        <f>MIN('02_Данные'!AQ7,CF7)</f>
        <v/>
      </c>
      <c r="CH7" s="10">
        <f>CF7-CG7</f>
        <v/>
      </c>
      <c r="CI7" s="10">
        <f>MIN('02_Данные'!AN7,CH7)</f>
        <v/>
      </c>
      <c r="CJ7" s="10">
        <f>CH7-CI7</f>
        <v/>
      </c>
      <c r="CK7" s="10">
        <f>MIN('02_Данные'!AM7,CJ7)</f>
        <v/>
      </c>
      <c r="CL7" s="10">
        <f>CJ7-CK7</f>
        <v/>
      </c>
      <c r="CM7" s="10">
        <f>MIN('02_Данные'!AO7,CL7)</f>
        <v/>
      </c>
      <c r="CN7" s="10">
        <f>CL7-CM7</f>
        <v/>
      </c>
      <c r="CO7" s="10">
        <f>MIN('02_Данные'!AP7,CN7)</f>
        <v/>
      </c>
      <c r="CP7" s="10">
        <f>CN7-CO7</f>
        <v/>
      </c>
      <c r="CQ7" s="10">
        <f>CP7+'02_Данные'!K7</f>
        <v/>
      </c>
      <c r="CR7" s="10">
        <f>MIN('02_Данные'!AR7,CQ7)</f>
        <v/>
      </c>
      <c r="CS7" s="10">
        <f>CQ7-CR7</f>
        <v/>
      </c>
      <c r="CT7" s="10">
        <f>MIN('02_Данные'!AS7,CS7)</f>
        <v/>
      </c>
      <c r="CU7" s="10">
        <f>CS7-CT7</f>
        <v/>
      </c>
      <c r="CV7" s="10">
        <f>MIN('02_Данные'!AT7,CU7)</f>
        <v/>
      </c>
      <c r="CW7" s="10">
        <f>CU7-CV7</f>
        <v/>
      </c>
      <c r="CX7" s="10">
        <f>MIN('02_Данные'!AY7,CW7)</f>
        <v/>
      </c>
      <c r="CY7" s="10">
        <f>CW7-CX7</f>
        <v/>
      </c>
      <c r="CZ7" s="10">
        <f>MIN('02_Данные'!AV7,CY7)</f>
        <v/>
      </c>
      <c r="DA7" s="10">
        <f>CY7-CZ7</f>
        <v/>
      </c>
      <c r="DB7" s="10">
        <f>MIN('02_Данные'!AU7,DA7)</f>
        <v/>
      </c>
      <c r="DC7" s="10">
        <f>DA7-DB7</f>
        <v/>
      </c>
      <c r="DD7" s="10">
        <f>MIN('02_Данные'!AW7,DC7)</f>
        <v/>
      </c>
      <c r="DE7" s="10">
        <f>DC7-DD7</f>
        <v/>
      </c>
      <c r="DF7" s="10">
        <f>MIN('02_Данные'!AX7,DE7)</f>
        <v/>
      </c>
      <c r="DG7" s="10">
        <f>DE7-DF7</f>
        <v/>
      </c>
    </row>
    <row r="8">
      <c r="A8" s="9">
        <f>'02_Данные'!B8</f>
        <v/>
      </c>
      <c r="B8" s="9">
        <f>'02_Данные'!E8</f>
        <v/>
      </c>
      <c r="C8" s="10">
        <f>'02_Данные'!F8+'02_Данные'!G8+'02_Данные'!H8+'02_Данные'!I8+'02_Данные'!J8+'02_Данные'!K8</f>
        <v/>
      </c>
      <c r="D8" s="10">
        <f>SUM('02_Данные'!L8:'02_Данные'!AY8)</f>
        <v/>
      </c>
      <c r="E8" s="10">
        <f>MAX(0,D8-C8)</f>
        <v/>
      </c>
      <c r="F8" s="15">
        <f>IF(E8&gt;0.0001,"ДЕФИЦИТ",IF(Y8&gt;0.0001,"ПРОФИЦИТ","БАЛАНС"))</f>
        <v/>
      </c>
      <c r="G8" s="10">
        <f>AB8+AS8+BJ8+CA8+CR8</f>
        <v/>
      </c>
      <c r="H8" s="10">
        <f>AD8+AU8+BL8+CC8+CT8</f>
        <v/>
      </c>
      <c r="I8" s="10">
        <f>AF8+AW8+BN8+CE8+CV8</f>
        <v/>
      </c>
      <c r="J8" s="10">
        <f>AL8+BC8+BT8+CK8+DB8</f>
        <v/>
      </c>
      <c r="K8" s="10">
        <f>AJ8+BA8+BR8+CI8+CZ8</f>
        <v/>
      </c>
      <c r="L8" s="10">
        <f>AN8+BE8+BV8+CM8+DD8</f>
        <v/>
      </c>
      <c r="M8" s="10">
        <f>AP8+BG8+BX8+CO8+DF8</f>
        <v/>
      </c>
      <c r="N8" s="10">
        <f>AH8+AY8+BP8+CG8+CX8</f>
        <v/>
      </c>
      <c r="O8" s="10">
        <f>SUM(G8:N8)</f>
        <v/>
      </c>
      <c r="P8" s="10">
        <f>IFERROR(G8*MIN(1,'01_Нормативы'!$C$4/SUM(G$2:G$429)),0)</f>
        <v/>
      </c>
      <c r="Q8" s="10">
        <f>IFERROR(H8*MIN(1,'01_Нормативы'!$C$5/SUM(H$2:H$429)),0)</f>
        <v/>
      </c>
      <c r="R8" s="10">
        <f>IFERROR(I8*MIN(1,'01_Нормативы'!$C$6/SUM(I$2:I$429)),0)</f>
        <v/>
      </c>
      <c r="S8" s="10">
        <f>IFERROR(J8*MIN(1,'01_Нормативы'!$C$7/SUM(J$2:J$429)),0)</f>
        <v/>
      </c>
      <c r="T8" s="10">
        <f>IFERROR(K8*MIN(1,'01_Нормативы'!$C$8/SUM(K$2:K$429)),0)</f>
        <v/>
      </c>
      <c r="U8" s="10">
        <f>IFERROR(L8*MIN(1,'01_Нормативы'!$C$9/SUM(L$2:L$429)),0)</f>
        <v/>
      </c>
      <c r="V8" s="10">
        <f>IFERROR(M8*MIN(1,'01_Нормативы'!$C$10/SUM(M$2:M$429)),0)</f>
        <v/>
      </c>
      <c r="W8" s="10">
        <f>IFERROR(N8*MIN(1,'01_Нормативы'!$C$11/SUM(N$2:N$429)),0)</f>
        <v/>
      </c>
      <c r="X8" s="10">
        <f>SUM(P8:W8)</f>
        <v/>
      </c>
      <c r="Y8" s="10">
        <f>MAX(0,C8-X8)</f>
        <v/>
      </c>
      <c r="Z8" s="10">
        <f>IF(D8=0,100,X8/D8*100)</f>
        <v/>
      </c>
      <c r="AA8" s="10">
        <f>'02_Данные'!F8+'02_Данные'!G8</f>
        <v/>
      </c>
      <c r="AB8" s="10">
        <f>MIN('02_Данные'!L8,AA8)</f>
        <v/>
      </c>
      <c r="AC8" s="10">
        <f>AA8-AB8</f>
        <v/>
      </c>
      <c r="AD8" s="10">
        <f>MIN('02_Данные'!M8,AC8)</f>
        <v/>
      </c>
      <c r="AE8" s="10">
        <f>AC8-AD8</f>
        <v/>
      </c>
      <c r="AF8" s="10">
        <f>MIN('02_Данные'!N8,AE8)</f>
        <v/>
      </c>
      <c r="AG8" s="10">
        <f>AE8-AF8</f>
        <v/>
      </c>
      <c r="AH8" s="10">
        <f>MIN('02_Данные'!S8,AG8)</f>
        <v/>
      </c>
      <c r="AI8" s="10">
        <f>AG8-AH8</f>
        <v/>
      </c>
      <c r="AJ8" s="10">
        <f>MIN('02_Данные'!P8,AI8)</f>
        <v/>
      </c>
      <c r="AK8" s="10">
        <f>AI8-AJ8</f>
        <v/>
      </c>
      <c r="AL8" s="10">
        <f>MIN('02_Данные'!O8,AK8)</f>
        <v/>
      </c>
      <c r="AM8" s="10">
        <f>AK8-AL8</f>
        <v/>
      </c>
      <c r="AN8" s="10">
        <f>MIN('02_Данные'!Q8,AM8)</f>
        <v/>
      </c>
      <c r="AO8" s="10">
        <f>AM8-AN8</f>
        <v/>
      </c>
      <c r="AP8" s="10">
        <f>MIN('02_Данные'!R8,AO8)</f>
        <v/>
      </c>
      <c r="AQ8" s="10">
        <f>AO8-AP8</f>
        <v/>
      </c>
      <c r="AR8" s="10">
        <f>AQ8+'02_Данные'!H8</f>
        <v/>
      </c>
      <c r="AS8" s="10">
        <f>MIN('02_Данные'!T8,AR8)</f>
        <v/>
      </c>
      <c r="AT8" s="10">
        <f>AR8-AS8</f>
        <v/>
      </c>
      <c r="AU8" s="10">
        <f>MIN('02_Данные'!U8,AT8)</f>
        <v/>
      </c>
      <c r="AV8" s="10">
        <f>AT8-AU8</f>
        <v/>
      </c>
      <c r="AW8" s="10">
        <f>MIN('02_Данные'!V8,AV8)</f>
        <v/>
      </c>
      <c r="AX8" s="10">
        <f>AV8-AW8</f>
        <v/>
      </c>
      <c r="AY8" s="10">
        <f>MIN('02_Данные'!AA8,AX8)</f>
        <v/>
      </c>
      <c r="AZ8" s="10">
        <f>AX8-AY8</f>
        <v/>
      </c>
      <c r="BA8" s="10">
        <f>MIN('02_Данные'!X8,AZ8)</f>
        <v/>
      </c>
      <c r="BB8" s="10">
        <f>AZ8-BA8</f>
        <v/>
      </c>
      <c r="BC8" s="10">
        <f>MIN('02_Данные'!W8,BB8)</f>
        <v/>
      </c>
      <c r="BD8" s="10">
        <f>BB8-BC8</f>
        <v/>
      </c>
      <c r="BE8" s="10">
        <f>MIN('02_Данные'!Y8,BD8)</f>
        <v/>
      </c>
      <c r="BF8" s="10">
        <f>BD8-BE8</f>
        <v/>
      </c>
      <c r="BG8" s="10">
        <f>MIN('02_Данные'!Z8,BF8)</f>
        <v/>
      </c>
      <c r="BH8" s="10">
        <f>BF8-BG8</f>
        <v/>
      </c>
      <c r="BI8" s="10">
        <f>BH8+'02_Данные'!I8</f>
        <v/>
      </c>
      <c r="BJ8" s="10">
        <f>MIN('02_Данные'!AB8,BI8)</f>
        <v/>
      </c>
      <c r="BK8" s="10">
        <f>BI8-BJ8</f>
        <v/>
      </c>
      <c r="BL8" s="10">
        <f>MIN('02_Данные'!AC8,BK8)</f>
        <v/>
      </c>
      <c r="BM8" s="10">
        <f>BK8-BL8</f>
        <v/>
      </c>
      <c r="BN8" s="10">
        <f>MIN('02_Данные'!AD8,BM8)</f>
        <v/>
      </c>
      <c r="BO8" s="10">
        <f>BM8-BN8</f>
        <v/>
      </c>
      <c r="BP8" s="10">
        <f>MIN('02_Данные'!AI8,BO8)</f>
        <v/>
      </c>
      <c r="BQ8" s="10">
        <f>BO8-BP8</f>
        <v/>
      </c>
      <c r="BR8" s="10">
        <f>MIN('02_Данные'!AF8,BQ8)</f>
        <v/>
      </c>
      <c r="BS8" s="10">
        <f>BQ8-BR8</f>
        <v/>
      </c>
      <c r="BT8" s="10">
        <f>MIN('02_Данные'!AE8,BS8)</f>
        <v/>
      </c>
      <c r="BU8" s="10">
        <f>BS8-BT8</f>
        <v/>
      </c>
      <c r="BV8" s="10">
        <f>MIN('02_Данные'!AG8,BU8)</f>
        <v/>
      </c>
      <c r="BW8" s="10">
        <f>BU8-BV8</f>
        <v/>
      </c>
      <c r="BX8" s="10">
        <f>MIN('02_Данные'!AH8,BW8)</f>
        <v/>
      </c>
      <c r="BY8" s="10">
        <f>BW8-BX8</f>
        <v/>
      </c>
      <c r="BZ8" s="10">
        <f>BY8+'02_Данные'!J8</f>
        <v/>
      </c>
      <c r="CA8" s="10">
        <f>MIN('02_Данные'!AJ8,BZ8)</f>
        <v/>
      </c>
      <c r="CB8" s="10">
        <f>BZ8-CA8</f>
        <v/>
      </c>
      <c r="CC8" s="10">
        <f>MIN('02_Данные'!AK8,CB8)</f>
        <v/>
      </c>
      <c r="CD8" s="10">
        <f>CB8-CC8</f>
        <v/>
      </c>
      <c r="CE8" s="10">
        <f>MIN('02_Данные'!AL8,CD8)</f>
        <v/>
      </c>
      <c r="CF8" s="10">
        <f>CD8-CE8</f>
        <v/>
      </c>
      <c r="CG8" s="10">
        <f>MIN('02_Данные'!AQ8,CF8)</f>
        <v/>
      </c>
      <c r="CH8" s="10">
        <f>CF8-CG8</f>
        <v/>
      </c>
      <c r="CI8" s="10">
        <f>MIN('02_Данные'!AN8,CH8)</f>
        <v/>
      </c>
      <c r="CJ8" s="10">
        <f>CH8-CI8</f>
        <v/>
      </c>
      <c r="CK8" s="10">
        <f>MIN('02_Данные'!AM8,CJ8)</f>
        <v/>
      </c>
      <c r="CL8" s="10">
        <f>CJ8-CK8</f>
        <v/>
      </c>
      <c r="CM8" s="10">
        <f>MIN('02_Данные'!AO8,CL8)</f>
        <v/>
      </c>
      <c r="CN8" s="10">
        <f>CL8-CM8</f>
        <v/>
      </c>
      <c r="CO8" s="10">
        <f>MIN('02_Данные'!AP8,CN8)</f>
        <v/>
      </c>
      <c r="CP8" s="10">
        <f>CN8-CO8</f>
        <v/>
      </c>
      <c r="CQ8" s="10">
        <f>CP8+'02_Данные'!K8</f>
        <v/>
      </c>
      <c r="CR8" s="10">
        <f>MIN('02_Данные'!AR8,CQ8)</f>
        <v/>
      </c>
      <c r="CS8" s="10">
        <f>CQ8-CR8</f>
        <v/>
      </c>
      <c r="CT8" s="10">
        <f>MIN('02_Данные'!AS8,CS8)</f>
        <v/>
      </c>
      <c r="CU8" s="10">
        <f>CS8-CT8</f>
        <v/>
      </c>
      <c r="CV8" s="10">
        <f>MIN('02_Данные'!AT8,CU8)</f>
        <v/>
      </c>
      <c r="CW8" s="10">
        <f>CU8-CV8</f>
        <v/>
      </c>
      <c r="CX8" s="10">
        <f>MIN('02_Данные'!AY8,CW8)</f>
        <v/>
      </c>
      <c r="CY8" s="10">
        <f>CW8-CX8</f>
        <v/>
      </c>
      <c r="CZ8" s="10">
        <f>MIN('02_Данные'!AV8,CY8)</f>
        <v/>
      </c>
      <c r="DA8" s="10">
        <f>CY8-CZ8</f>
        <v/>
      </c>
      <c r="DB8" s="10">
        <f>MIN('02_Данные'!AU8,DA8)</f>
        <v/>
      </c>
      <c r="DC8" s="10">
        <f>DA8-DB8</f>
        <v/>
      </c>
      <c r="DD8" s="10">
        <f>MIN('02_Данные'!AW8,DC8)</f>
        <v/>
      </c>
      <c r="DE8" s="10">
        <f>DC8-DD8</f>
        <v/>
      </c>
      <c r="DF8" s="10">
        <f>MIN('02_Данные'!AX8,DE8)</f>
        <v/>
      </c>
      <c r="DG8" s="10">
        <f>DE8-DF8</f>
        <v/>
      </c>
    </row>
    <row r="9">
      <c r="A9" s="9">
        <f>'02_Данные'!B9</f>
        <v/>
      </c>
      <c r="B9" s="9">
        <f>'02_Данные'!E9</f>
        <v/>
      </c>
      <c r="C9" s="10">
        <f>'02_Данные'!F9+'02_Данные'!G9+'02_Данные'!H9+'02_Данные'!I9+'02_Данные'!J9+'02_Данные'!K9</f>
        <v/>
      </c>
      <c r="D9" s="10">
        <f>SUM('02_Данные'!L9:'02_Данные'!AY9)</f>
        <v/>
      </c>
      <c r="E9" s="10">
        <f>MAX(0,D9-C9)</f>
        <v/>
      </c>
      <c r="F9" s="15">
        <f>IF(E9&gt;0.0001,"ДЕФИЦИТ",IF(Y9&gt;0.0001,"ПРОФИЦИТ","БАЛАНС"))</f>
        <v/>
      </c>
      <c r="G9" s="10">
        <f>AB9+AS9+BJ9+CA9+CR9</f>
        <v/>
      </c>
      <c r="H9" s="10">
        <f>AD9+AU9+BL9+CC9+CT9</f>
        <v/>
      </c>
      <c r="I9" s="10">
        <f>AF9+AW9+BN9+CE9+CV9</f>
        <v/>
      </c>
      <c r="J9" s="10">
        <f>AL9+BC9+BT9+CK9+DB9</f>
        <v/>
      </c>
      <c r="K9" s="10">
        <f>AJ9+BA9+BR9+CI9+CZ9</f>
        <v/>
      </c>
      <c r="L9" s="10">
        <f>AN9+BE9+BV9+CM9+DD9</f>
        <v/>
      </c>
      <c r="M9" s="10">
        <f>AP9+BG9+BX9+CO9+DF9</f>
        <v/>
      </c>
      <c r="N9" s="10">
        <f>AH9+AY9+BP9+CG9+CX9</f>
        <v/>
      </c>
      <c r="O9" s="10">
        <f>SUM(G9:N9)</f>
        <v/>
      </c>
      <c r="P9" s="10">
        <f>IFERROR(G9*MIN(1,'01_Нормативы'!$C$4/SUM(G$2:G$429)),0)</f>
        <v/>
      </c>
      <c r="Q9" s="10">
        <f>IFERROR(H9*MIN(1,'01_Нормативы'!$C$5/SUM(H$2:H$429)),0)</f>
        <v/>
      </c>
      <c r="R9" s="10">
        <f>IFERROR(I9*MIN(1,'01_Нормативы'!$C$6/SUM(I$2:I$429)),0)</f>
        <v/>
      </c>
      <c r="S9" s="10">
        <f>IFERROR(J9*MIN(1,'01_Нормативы'!$C$7/SUM(J$2:J$429)),0)</f>
        <v/>
      </c>
      <c r="T9" s="10">
        <f>IFERROR(K9*MIN(1,'01_Нормативы'!$C$8/SUM(K$2:K$429)),0)</f>
        <v/>
      </c>
      <c r="U9" s="10">
        <f>IFERROR(L9*MIN(1,'01_Нормативы'!$C$9/SUM(L$2:L$429)),0)</f>
        <v/>
      </c>
      <c r="V9" s="10">
        <f>IFERROR(M9*MIN(1,'01_Нормативы'!$C$10/SUM(M$2:M$429)),0)</f>
        <v/>
      </c>
      <c r="W9" s="10">
        <f>IFERROR(N9*MIN(1,'01_Нормативы'!$C$11/SUM(N$2:N$429)),0)</f>
        <v/>
      </c>
      <c r="X9" s="10">
        <f>SUM(P9:W9)</f>
        <v/>
      </c>
      <c r="Y9" s="10">
        <f>MAX(0,C9-X9)</f>
        <v/>
      </c>
      <c r="Z9" s="10">
        <f>IF(D9=0,100,X9/D9*100)</f>
        <v/>
      </c>
      <c r="AA9" s="10">
        <f>'02_Данные'!F9+'02_Данные'!G9</f>
        <v/>
      </c>
      <c r="AB9" s="10">
        <f>MIN('02_Данные'!L9,AA9)</f>
        <v/>
      </c>
      <c r="AC9" s="10">
        <f>AA9-AB9</f>
        <v/>
      </c>
      <c r="AD9" s="10">
        <f>MIN('02_Данные'!M9,AC9)</f>
        <v/>
      </c>
      <c r="AE9" s="10">
        <f>AC9-AD9</f>
        <v/>
      </c>
      <c r="AF9" s="10">
        <f>MIN('02_Данные'!N9,AE9)</f>
        <v/>
      </c>
      <c r="AG9" s="10">
        <f>AE9-AF9</f>
        <v/>
      </c>
      <c r="AH9" s="10">
        <f>MIN('02_Данные'!S9,AG9)</f>
        <v/>
      </c>
      <c r="AI9" s="10">
        <f>AG9-AH9</f>
        <v/>
      </c>
      <c r="AJ9" s="10">
        <f>MIN('02_Данные'!P9,AI9)</f>
        <v/>
      </c>
      <c r="AK9" s="10">
        <f>AI9-AJ9</f>
        <v/>
      </c>
      <c r="AL9" s="10">
        <f>MIN('02_Данные'!O9,AK9)</f>
        <v/>
      </c>
      <c r="AM9" s="10">
        <f>AK9-AL9</f>
        <v/>
      </c>
      <c r="AN9" s="10">
        <f>MIN('02_Данные'!Q9,AM9)</f>
        <v/>
      </c>
      <c r="AO9" s="10">
        <f>AM9-AN9</f>
        <v/>
      </c>
      <c r="AP9" s="10">
        <f>MIN('02_Данные'!R9,AO9)</f>
        <v/>
      </c>
      <c r="AQ9" s="10">
        <f>AO9-AP9</f>
        <v/>
      </c>
      <c r="AR9" s="10">
        <f>AQ9+'02_Данные'!H9</f>
        <v/>
      </c>
      <c r="AS9" s="10">
        <f>MIN('02_Данные'!T9,AR9)</f>
        <v/>
      </c>
      <c r="AT9" s="10">
        <f>AR9-AS9</f>
        <v/>
      </c>
      <c r="AU9" s="10">
        <f>MIN('02_Данные'!U9,AT9)</f>
        <v/>
      </c>
      <c r="AV9" s="10">
        <f>AT9-AU9</f>
        <v/>
      </c>
      <c r="AW9" s="10">
        <f>MIN('02_Данные'!V9,AV9)</f>
        <v/>
      </c>
      <c r="AX9" s="10">
        <f>AV9-AW9</f>
        <v/>
      </c>
      <c r="AY9" s="10">
        <f>MIN('02_Данные'!AA9,AX9)</f>
        <v/>
      </c>
      <c r="AZ9" s="10">
        <f>AX9-AY9</f>
        <v/>
      </c>
      <c r="BA9" s="10">
        <f>MIN('02_Данные'!X9,AZ9)</f>
        <v/>
      </c>
      <c r="BB9" s="10">
        <f>AZ9-BA9</f>
        <v/>
      </c>
      <c r="BC9" s="10">
        <f>MIN('02_Данные'!W9,BB9)</f>
        <v/>
      </c>
      <c r="BD9" s="10">
        <f>BB9-BC9</f>
        <v/>
      </c>
      <c r="BE9" s="10">
        <f>MIN('02_Данные'!Y9,BD9)</f>
        <v/>
      </c>
      <c r="BF9" s="10">
        <f>BD9-BE9</f>
        <v/>
      </c>
      <c r="BG9" s="10">
        <f>MIN('02_Данные'!Z9,BF9)</f>
        <v/>
      </c>
      <c r="BH9" s="10">
        <f>BF9-BG9</f>
        <v/>
      </c>
      <c r="BI9" s="10">
        <f>BH9+'02_Данные'!I9</f>
        <v/>
      </c>
      <c r="BJ9" s="10">
        <f>MIN('02_Данные'!AB9,BI9)</f>
        <v/>
      </c>
      <c r="BK9" s="10">
        <f>BI9-BJ9</f>
        <v/>
      </c>
      <c r="BL9" s="10">
        <f>MIN('02_Данные'!AC9,BK9)</f>
        <v/>
      </c>
      <c r="BM9" s="10">
        <f>BK9-BL9</f>
        <v/>
      </c>
      <c r="BN9" s="10">
        <f>MIN('02_Данные'!AD9,BM9)</f>
        <v/>
      </c>
      <c r="BO9" s="10">
        <f>BM9-BN9</f>
        <v/>
      </c>
      <c r="BP9" s="10">
        <f>MIN('02_Данные'!AI9,BO9)</f>
        <v/>
      </c>
      <c r="BQ9" s="10">
        <f>BO9-BP9</f>
        <v/>
      </c>
      <c r="BR9" s="10">
        <f>MIN('02_Данные'!AF9,BQ9)</f>
        <v/>
      </c>
      <c r="BS9" s="10">
        <f>BQ9-BR9</f>
        <v/>
      </c>
      <c r="BT9" s="10">
        <f>MIN('02_Данные'!AE9,BS9)</f>
        <v/>
      </c>
      <c r="BU9" s="10">
        <f>BS9-BT9</f>
        <v/>
      </c>
      <c r="BV9" s="10">
        <f>MIN('02_Данные'!AG9,BU9)</f>
        <v/>
      </c>
      <c r="BW9" s="10">
        <f>BU9-BV9</f>
        <v/>
      </c>
      <c r="BX9" s="10">
        <f>MIN('02_Данные'!AH9,BW9)</f>
        <v/>
      </c>
      <c r="BY9" s="10">
        <f>BW9-BX9</f>
        <v/>
      </c>
      <c r="BZ9" s="10">
        <f>BY9+'02_Данные'!J9</f>
        <v/>
      </c>
      <c r="CA9" s="10">
        <f>MIN('02_Данные'!AJ9,BZ9)</f>
        <v/>
      </c>
      <c r="CB9" s="10">
        <f>BZ9-CA9</f>
        <v/>
      </c>
      <c r="CC9" s="10">
        <f>MIN('02_Данные'!AK9,CB9)</f>
        <v/>
      </c>
      <c r="CD9" s="10">
        <f>CB9-CC9</f>
        <v/>
      </c>
      <c r="CE9" s="10">
        <f>MIN('02_Данные'!AL9,CD9)</f>
        <v/>
      </c>
      <c r="CF9" s="10">
        <f>CD9-CE9</f>
        <v/>
      </c>
      <c r="CG9" s="10">
        <f>MIN('02_Данные'!AQ9,CF9)</f>
        <v/>
      </c>
      <c r="CH9" s="10">
        <f>CF9-CG9</f>
        <v/>
      </c>
      <c r="CI9" s="10">
        <f>MIN('02_Данные'!AN9,CH9)</f>
        <v/>
      </c>
      <c r="CJ9" s="10">
        <f>CH9-CI9</f>
        <v/>
      </c>
      <c r="CK9" s="10">
        <f>MIN('02_Данные'!AM9,CJ9)</f>
        <v/>
      </c>
      <c r="CL9" s="10">
        <f>CJ9-CK9</f>
        <v/>
      </c>
      <c r="CM9" s="10">
        <f>MIN('02_Данные'!AO9,CL9)</f>
        <v/>
      </c>
      <c r="CN9" s="10">
        <f>CL9-CM9</f>
        <v/>
      </c>
      <c r="CO9" s="10">
        <f>MIN('02_Данные'!AP9,CN9)</f>
        <v/>
      </c>
      <c r="CP9" s="10">
        <f>CN9-CO9</f>
        <v/>
      </c>
      <c r="CQ9" s="10">
        <f>CP9+'02_Данные'!K9</f>
        <v/>
      </c>
      <c r="CR9" s="10">
        <f>MIN('02_Данные'!AR9,CQ9)</f>
        <v/>
      </c>
      <c r="CS9" s="10">
        <f>CQ9-CR9</f>
        <v/>
      </c>
      <c r="CT9" s="10">
        <f>MIN('02_Данные'!AS9,CS9)</f>
        <v/>
      </c>
      <c r="CU9" s="10">
        <f>CS9-CT9</f>
        <v/>
      </c>
      <c r="CV9" s="10">
        <f>MIN('02_Данные'!AT9,CU9)</f>
        <v/>
      </c>
      <c r="CW9" s="10">
        <f>CU9-CV9</f>
        <v/>
      </c>
      <c r="CX9" s="10">
        <f>MIN('02_Данные'!AY9,CW9)</f>
        <v/>
      </c>
      <c r="CY9" s="10">
        <f>CW9-CX9</f>
        <v/>
      </c>
      <c r="CZ9" s="10">
        <f>MIN('02_Данные'!AV9,CY9)</f>
        <v/>
      </c>
      <c r="DA9" s="10">
        <f>CY9-CZ9</f>
        <v/>
      </c>
      <c r="DB9" s="10">
        <f>MIN('02_Данные'!AU9,DA9)</f>
        <v/>
      </c>
      <c r="DC9" s="10">
        <f>DA9-DB9</f>
        <v/>
      </c>
      <c r="DD9" s="10">
        <f>MIN('02_Данные'!AW9,DC9)</f>
        <v/>
      </c>
      <c r="DE9" s="10">
        <f>DC9-DD9</f>
        <v/>
      </c>
      <c r="DF9" s="10">
        <f>MIN('02_Данные'!AX9,DE9)</f>
        <v/>
      </c>
      <c r="DG9" s="10">
        <f>DE9-DF9</f>
        <v/>
      </c>
    </row>
    <row r="10">
      <c r="A10" s="9">
        <f>'02_Данные'!B10</f>
        <v/>
      </c>
      <c r="B10" s="9">
        <f>'02_Данные'!E10</f>
        <v/>
      </c>
      <c r="C10" s="10">
        <f>'02_Данные'!F10+'02_Данные'!G10+'02_Данные'!H10+'02_Данные'!I10+'02_Данные'!J10+'02_Данные'!K10</f>
        <v/>
      </c>
      <c r="D10" s="10">
        <f>SUM('02_Данные'!L10:'02_Данные'!AY10)</f>
        <v/>
      </c>
      <c r="E10" s="10">
        <f>MAX(0,D10-C10)</f>
        <v/>
      </c>
      <c r="F10" s="15">
        <f>IF(E10&gt;0.0001,"ДЕФИЦИТ",IF(Y10&gt;0.0001,"ПРОФИЦИТ","БАЛАНС"))</f>
        <v/>
      </c>
      <c r="G10" s="10">
        <f>AB10+AS10+BJ10+CA10+CR10</f>
        <v/>
      </c>
      <c r="H10" s="10">
        <f>AD10+AU10+BL10+CC10+CT10</f>
        <v/>
      </c>
      <c r="I10" s="10">
        <f>AF10+AW10+BN10+CE10+CV10</f>
        <v/>
      </c>
      <c r="J10" s="10">
        <f>AL10+BC10+BT10+CK10+DB10</f>
        <v/>
      </c>
      <c r="K10" s="10">
        <f>AJ10+BA10+BR10+CI10+CZ10</f>
        <v/>
      </c>
      <c r="L10" s="10">
        <f>AN10+BE10+BV10+CM10+DD10</f>
        <v/>
      </c>
      <c r="M10" s="10">
        <f>AP10+BG10+BX10+CO10+DF10</f>
        <v/>
      </c>
      <c r="N10" s="10">
        <f>AH10+AY10+BP10+CG10+CX10</f>
        <v/>
      </c>
      <c r="O10" s="10">
        <f>SUM(G10:N10)</f>
        <v/>
      </c>
      <c r="P10" s="10">
        <f>IFERROR(G10*MIN(1,'01_Нормативы'!$C$4/SUM(G$2:G$429)),0)</f>
        <v/>
      </c>
      <c r="Q10" s="10">
        <f>IFERROR(H10*MIN(1,'01_Нормативы'!$C$5/SUM(H$2:H$429)),0)</f>
        <v/>
      </c>
      <c r="R10" s="10">
        <f>IFERROR(I10*MIN(1,'01_Нормативы'!$C$6/SUM(I$2:I$429)),0)</f>
        <v/>
      </c>
      <c r="S10" s="10">
        <f>IFERROR(J10*MIN(1,'01_Нормативы'!$C$7/SUM(J$2:J$429)),0)</f>
        <v/>
      </c>
      <c r="T10" s="10">
        <f>IFERROR(K10*MIN(1,'01_Нормативы'!$C$8/SUM(K$2:K$429)),0)</f>
        <v/>
      </c>
      <c r="U10" s="10">
        <f>IFERROR(L10*MIN(1,'01_Нормативы'!$C$9/SUM(L$2:L$429)),0)</f>
        <v/>
      </c>
      <c r="V10" s="10">
        <f>IFERROR(M10*MIN(1,'01_Нормативы'!$C$10/SUM(M$2:M$429)),0)</f>
        <v/>
      </c>
      <c r="W10" s="10">
        <f>IFERROR(N10*MIN(1,'01_Нормативы'!$C$11/SUM(N$2:N$429)),0)</f>
        <v/>
      </c>
      <c r="X10" s="10">
        <f>SUM(P10:W10)</f>
        <v/>
      </c>
      <c r="Y10" s="10">
        <f>MAX(0,C10-X10)</f>
        <v/>
      </c>
      <c r="Z10" s="10">
        <f>IF(D10=0,100,X10/D10*100)</f>
        <v/>
      </c>
      <c r="AA10" s="10">
        <f>'02_Данные'!F10+'02_Данные'!G10</f>
        <v/>
      </c>
      <c r="AB10" s="10">
        <f>MIN('02_Данные'!L10,AA10)</f>
        <v/>
      </c>
      <c r="AC10" s="10">
        <f>AA10-AB10</f>
        <v/>
      </c>
      <c r="AD10" s="10">
        <f>MIN('02_Данные'!M10,AC10)</f>
        <v/>
      </c>
      <c r="AE10" s="10">
        <f>AC10-AD10</f>
        <v/>
      </c>
      <c r="AF10" s="10">
        <f>MIN('02_Данные'!N10,AE10)</f>
        <v/>
      </c>
      <c r="AG10" s="10">
        <f>AE10-AF10</f>
        <v/>
      </c>
      <c r="AH10" s="10">
        <f>MIN('02_Данные'!S10,AG10)</f>
        <v/>
      </c>
      <c r="AI10" s="10">
        <f>AG10-AH10</f>
        <v/>
      </c>
      <c r="AJ10" s="10">
        <f>MIN('02_Данные'!P10,AI10)</f>
        <v/>
      </c>
      <c r="AK10" s="10">
        <f>AI10-AJ10</f>
        <v/>
      </c>
      <c r="AL10" s="10">
        <f>MIN('02_Данные'!O10,AK10)</f>
        <v/>
      </c>
      <c r="AM10" s="10">
        <f>AK10-AL10</f>
        <v/>
      </c>
      <c r="AN10" s="10">
        <f>MIN('02_Данные'!Q10,AM10)</f>
        <v/>
      </c>
      <c r="AO10" s="10">
        <f>AM10-AN10</f>
        <v/>
      </c>
      <c r="AP10" s="10">
        <f>MIN('02_Данные'!R10,AO10)</f>
        <v/>
      </c>
      <c r="AQ10" s="10">
        <f>AO10-AP10</f>
        <v/>
      </c>
      <c r="AR10" s="10">
        <f>AQ10+'02_Данные'!H10</f>
        <v/>
      </c>
      <c r="AS10" s="10">
        <f>MIN('02_Данные'!T10,AR10)</f>
        <v/>
      </c>
      <c r="AT10" s="10">
        <f>AR10-AS10</f>
        <v/>
      </c>
      <c r="AU10" s="10">
        <f>MIN('02_Данные'!U10,AT10)</f>
        <v/>
      </c>
      <c r="AV10" s="10">
        <f>AT10-AU10</f>
        <v/>
      </c>
      <c r="AW10" s="10">
        <f>MIN('02_Данные'!V10,AV10)</f>
        <v/>
      </c>
      <c r="AX10" s="10">
        <f>AV10-AW10</f>
        <v/>
      </c>
      <c r="AY10" s="10">
        <f>MIN('02_Данные'!AA10,AX10)</f>
        <v/>
      </c>
      <c r="AZ10" s="10">
        <f>AX10-AY10</f>
        <v/>
      </c>
      <c r="BA10" s="10">
        <f>MIN('02_Данные'!X10,AZ10)</f>
        <v/>
      </c>
      <c r="BB10" s="10">
        <f>AZ10-BA10</f>
        <v/>
      </c>
      <c r="BC10" s="10">
        <f>MIN('02_Данные'!W10,BB10)</f>
        <v/>
      </c>
      <c r="BD10" s="10">
        <f>BB10-BC10</f>
        <v/>
      </c>
      <c r="BE10" s="10">
        <f>MIN('02_Данные'!Y10,BD10)</f>
        <v/>
      </c>
      <c r="BF10" s="10">
        <f>BD10-BE10</f>
        <v/>
      </c>
      <c r="BG10" s="10">
        <f>MIN('02_Данные'!Z10,BF10)</f>
        <v/>
      </c>
      <c r="BH10" s="10">
        <f>BF10-BG10</f>
        <v/>
      </c>
      <c r="BI10" s="10">
        <f>BH10+'02_Данные'!I10</f>
        <v/>
      </c>
      <c r="BJ10" s="10">
        <f>MIN('02_Данные'!AB10,BI10)</f>
        <v/>
      </c>
      <c r="BK10" s="10">
        <f>BI10-BJ10</f>
        <v/>
      </c>
      <c r="BL10" s="10">
        <f>MIN('02_Данные'!AC10,BK10)</f>
        <v/>
      </c>
      <c r="BM10" s="10">
        <f>BK10-BL10</f>
        <v/>
      </c>
      <c r="BN10" s="10">
        <f>MIN('02_Данные'!AD10,BM10)</f>
        <v/>
      </c>
      <c r="BO10" s="10">
        <f>BM10-BN10</f>
        <v/>
      </c>
      <c r="BP10" s="10">
        <f>MIN('02_Данные'!AI10,BO10)</f>
        <v/>
      </c>
      <c r="BQ10" s="10">
        <f>BO10-BP10</f>
        <v/>
      </c>
      <c r="BR10" s="10">
        <f>MIN('02_Данные'!AF10,BQ10)</f>
        <v/>
      </c>
      <c r="BS10" s="10">
        <f>BQ10-BR10</f>
        <v/>
      </c>
      <c r="BT10" s="10">
        <f>MIN('02_Данные'!AE10,BS10)</f>
        <v/>
      </c>
      <c r="BU10" s="10">
        <f>BS10-BT10</f>
        <v/>
      </c>
      <c r="BV10" s="10">
        <f>MIN('02_Данные'!AG10,BU10)</f>
        <v/>
      </c>
      <c r="BW10" s="10">
        <f>BU10-BV10</f>
        <v/>
      </c>
      <c r="BX10" s="10">
        <f>MIN('02_Данные'!AH10,BW10)</f>
        <v/>
      </c>
      <c r="BY10" s="10">
        <f>BW10-BX10</f>
        <v/>
      </c>
      <c r="BZ10" s="10">
        <f>BY10+'02_Данные'!J10</f>
        <v/>
      </c>
      <c r="CA10" s="10">
        <f>MIN('02_Данные'!AJ10,BZ10)</f>
        <v/>
      </c>
      <c r="CB10" s="10">
        <f>BZ10-CA10</f>
        <v/>
      </c>
      <c r="CC10" s="10">
        <f>MIN('02_Данные'!AK10,CB10)</f>
        <v/>
      </c>
      <c r="CD10" s="10">
        <f>CB10-CC10</f>
        <v/>
      </c>
      <c r="CE10" s="10">
        <f>MIN('02_Данные'!AL10,CD10)</f>
        <v/>
      </c>
      <c r="CF10" s="10">
        <f>CD10-CE10</f>
        <v/>
      </c>
      <c r="CG10" s="10">
        <f>MIN('02_Данные'!AQ10,CF10)</f>
        <v/>
      </c>
      <c r="CH10" s="10">
        <f>CF10-CG10</f>
        <v/>
      </c>
      <c r="CI10" s="10">
        <f>MIN('02_Данные'!AN10,CH10)</f>
        <v/>
      </c>
      <c r="CJ10" s="10">
        <f>CH10-CI10</f>
        <v/>
      </c>
      <c r="CK10" s="10">
        <f>MIN('02_Данные'!AM10,CJ10)</f>
        <v/>
      </c>
      <c r="CL10" s="10">
        <f>CJ10-CK10</f>
        <v/>
      </c>
      <c r="CM10" s="10">
        <f>MIN('02_Данные'!AO10,CL10)</f>
        <v/>
      </c>
      <c r="CN10" s="10">
        <f>CL10-CM10</f>
        <v/>
      </c>
      <c r="CO10" s="10">
        <f>MIN('02_Данные'!AP10,CN10)</f>
        <v/>
      </c>
      <c r="CP10" s="10">
        <f>CN10-CO10</f>
        <v/>
      </c>
      <c r="CQ10" s="10">
        <f>CP10+'02_Данные'!K10</f>
        <v/>
      </c>
      <c r="CR10" s="10">
        <f>MIN('02_Данные'!AR10,CQ10)</f>
        <v/>
      </c>
      <c r="CS10" s="10">
        <f>CQ10-CR10</f>
        <v/>
      </c>
      <c r="CT10" s="10">
        <f>MIN('02_Данные'!AS10,CS10)</f>
        <v/>
      </c>
      <c r="CU10" s="10">
        <f>CS10-CT10</f>
        <v/>
      </c>
      <c r="CV10" s="10">
        <f>MIN('02_Данные'!AT10,CU10)</f>
        <v/>
      </c>
      <c r="CW10" s="10">
        <f>CU10-CV10</f>
        <v/>
      </c>
      <c r="CX10" s="10">
        <f>MIN('02_Данные'!AY10,CW10)</f>
        <v/>
      </c>
      <c r="CY10" s="10">
        <f>CW10-CX10</f>
        <v/>
      </c>
      <c r="CZ10" s="10">
        <f>MIN('02_Данные'!AV10,CY10)</f>
        <v/>
      </c>
      <c r="DA10" s="10">
        <f>CY10-CZ10</f>
        <v/>
      </c>
      <c r="DB10" s="10">
        <f>MIN('02_Данные'!AU10,DA10)</f>
        <v/>
      </c>
      <c r="DC10" s="10">
        <f>DA10-DB10</f>
        <v/>
      </c>
      <c r="DD10" s="10">
        <f>MIN('02_Данные'!AW10,DC10)</f>
        <v/>
      </c>
      <c r="DE10" s="10">
        <f>DC10-DD10</f>
        <v/>
      </c>
      <c r="DF10" s="10">
        <f>MIN('02_Данные'!AX10,DE10)</f>
        <v/>
      </c>
      <c r="DG10" s="10">
        <f>DE10-DF10</f>
        <v/>
      </c>
    </row>
    <row r="11">
      <c r="A11" s="9">
        <f>'02_Данные'!B11</f>
        <v/>
      </c>
      <c r="B11" s="9">
        <f>'02_Данные'!E11</f>
        <v/>
      </c>
      <c r="C11" s="10">
        <f>'02_Данные'!F11+'02_Данные'!G11+'02_Данные'!H11+'02_Данные'!I11+'02_Данные'!J11+'02_Данные'!K11</f>
        <v/>
      </c>
      <c r="D11" s="10">
        <f>SUM('02_Данные'!L11:'02_Данные'!AY11)</f>
        <v/>
      </c>
      <c r="E11" s="10">
        <f>MAX(0,D11-C11)</f>
        <v/>
      </c>
      <c r="F11" s="15">
        <f>IF(E11&gt;0.0001,"ДЕФИЦИТ",IF(Y11&gt;0.0001,"ПРОФИЦИТ","БАЛАНС"))</f>
        <v/>
      </c>
      <c r="G11" s="10">
        <f>AB11+AS11+BJ11+CA11+CR11</f>
        <v/>
      </c>
      <c r="H11" s="10">
        <f>AD11+AU11+BL11+CC11+CT11</f>
        <v/>
      </c>
      <c r="I11" s="10">
        <f>AF11+AW11+BN11+CE11+CV11</f>
        <v/>
      </c>
      <c r="J11" s="10">
        <f>AL11+BC11+BT11+CK11+DB11</f>
        <v/>
      </c>
      <c r="K11" s="10">
        <f>AJ11+BA11+BR11+CI11+CZ11</f>
        <v/>
      </c>
      <c r="L11" s="10">
        <f>AN11+BE11+BV11+CM11+DD11</f>
        <v/>
      </c>
      <c r="M11" s="10">
        <f>AP11+BG11+BX11+CO11+DF11</f>
        <v/>
      </c>
      <c r="N11" s="10">
        <f>AH11+AY11+BP11+CG11+CX11</f>
        <v/>
      </c>
      <c r="O11" s="10">
        <f>SUM(G11:N11)</f>
        <v/>
      </c>
      <c r="P11" s="10">
        <f>IFERROR(G11*MIN(1,'01_Нормативы'!$C$4/SUM(G$2:G$429)),0)</f>
        <v/>
      </c>
      <c r="Q11" s="10">
        <f>IFERROR(H11*MIN(1,'01_Нормативы'!$C$5/SUM(H$2:H$429)),0)</f>
        <v/>
      </c>
      <c r="R11" s="10">
        <f>IFERROR(I11*MIN(1,'01_Нормативы'!$C$6/SUM(I$2:I$429)),0)</f>
        <v/>
      </c>
      <c r="S11" s="10">
        <f>IFERROR(J11*MIN(1,'01_Нормативы'!$C$7/SUM(J$2:J$429)),0)</f>
        <v/>
      </c>
      <c r="T11" s="10">
        <f>IFERROR(K11*MIN(1,'01_Нормативы'!$C$8/SUM(K$2:K$429)),0)</f>
        <v/>
      </c>
      <c r="U11" s="10">
        <f>IFERROR(L11*MIN(1,'01_Нормативы'!$C$9/SUM(L$2:L$429)),0)</f>
        <v/>
      </c>
      <c r="V11" s="10">
        <f>IFERROR(M11*MIN(1,'01_Нормативы'!$C$10/SUM(M$2:M$429)),0)</f>
        <v/>
      </c>
      <c r="W11" s="10">
        <f>IFERROR(N11*MIN(1,'01_Нормативы'!$C$11/SUM(N$2:N$429)),0)</f>
        <v/>
      </c>
      <c r="X11" s="10">
        <f>SUM(P11:W11)</f>
        <v/>
      </c>
      <c r="Y11" s="10">
        <f>MAX(0,C11-X11)</f>
        <v/>
      </c>
      <c r="Z11" s="10">
        <f>IF(D11=0,100,X11/D11*100)</f>
        <v/>
      </c>
      <c r="AA11" s="10">
        <f>'02_Данные'!F11+'02_Данные'!G11</f>
        <v/>
      </c>
      <c r="AB11" s="10">
        <f>MIN('02_Данные'!L11,AA11)</f>
        <v/>
      </c>
      <c r="AC11" s="10">
        <f>AA11-AB11</f>
        <v/>
      </c>
      <c r="AD11" s="10">
        <f>MIN('02_Данные'!M11,AC11)</f>
        <v/>
      </c>
      <c r="AE11" s="10">
        <f>AC11-AD11</f>
        <v/>
      </c>
      <c r="AF11" s="10">
        <f>MIN('02_Данные'!N11,AE11)</f>
        <v/>
      </c>
      <c r="AG11" s="10">
        <f>AE11-AF11</f>
        <v/>
      </c>
      <c r="AH11" s="10">
        <f>MIN('02_Данные'!S11,AG11)</f>
        <v/>
      </c>
      <c r="AI11" s="10">
        <f>AG11-AH11</f>
        <v/>
      </c>
      <c r="AJ11" s="10">
        <f>MIN('02_Данные'!P11,AI11)</f>
        <v/>
      </c>
      <c r="AK11" s="10">
        <f>AI11-AJ11</f>
        <v/>
      </c>
      <c r="AL11" s="10">
        <f>MIN('02_Данные'!O11,AK11)</f>
        <v/>
      </c>
      <c r="AM11" s="10">
        <f>AK11-AL11</f>
        <v/>
      </c>
      <c r="AN11" s="10">
        <f>MIN('02_Данные'!Q11,AM11)</f>
        <v/>
      </c>
      <c r="AO11" s="10">
        <f>AM11-AN11</f>
        <v/>
      </c>
      <c r="AP11" s="10">
        <f>MIN('02_Данные'!R11,AO11)</f>
        <v/>
      </c>
      <c r="AQ11" s="10">
        <f>AO11-AP11</f>
        <v/>
      </c>
      <c r="AR11" s="10">
        <f>AQ11+'02_Данные'!H11</f>
        <v/>
      </c>
      <c r="AS11" s="10">
        <f>MIN('02_Данные'!T11,AR11)</f>
        <v/>
      </c>
      <c r="AT11" s="10">
        <f>AR11-AS11</f>
        <v/>
      </c>
      <c r="AU11" s="10">
        <f>MIN('02_Данные'!U11,AT11)</f>
        <v/>
      </c>
      <c r="AV11" s="10">
        <f>AT11-AU11</f>
        <v/>
      </c>
      <c r="AW11" s="10">
        <f>MIN('02_Данные'!V11,AV11)</f>
        <v/>
      </c>
      <c r="AX11" s="10">
        <f>AV11-AW11</f>
        <v/>
      </c>
      <c r="AY11" s="10">
        <f>MIN('02_Данные'!AA11,AX11)</f>
        <v/>
      </c>
      <c r="AZ11" s="10">
        <f>AX11-AY11</f>
        <v/>
      </c>
      <c r="BA11" s="10">
        <f>MIN('02_Данные'!X11,AZ11)</f>
        <v/>
      </c>
      <c r="BB11" s="10">
        <f>AZ11-BA11</f>
        <v/>
      </c>
      <c r="BC11" s="10">
        <f>MIN('02_Данные'!W11,BB11)</f>
        <v/>
      </c>
      <c r="BD11" s="10">
        <f>BB11-BC11</f>
        <v/>
      </c>
      <c r="BE11" s="10">
        <f>MIN('02_Данные'!Y11,BD11)</f>
        <v/>
      </c>
      <c r="BF11" s="10">
        <f>BD11-BE11</f>
        <v/>
      </c>
      <c r="BG11" s="10">
        <f>MIN('02_Данные'!Z11,BF11)</f>
        <v/>
      </c>
      <c r="BH11" s="10">
        <f>BF11-BG11</f>
        <v/>
      </c>
      <c r="BI11" s="10">
        <f>BH11+'02_Данные'!I11</f>
        <v/>
      </c>
      <c r="BJ11" s="10">
        <f>MIN('02_Данные'!AB11,BI11)</f>
        <v/>
      </c>
      <c r="BK11" s="10">
        <f>BI11-BJ11</f>
        <v/>
      </c>
      <c r="BL11" s="10">
        <f>MIN('02_Данные'!AC11,BK11)</f>
        <v/>
      </c>
      <c r="BM11" s="10">
        <f>BK11-BL11</f>
        <v/>
      </c>
      <c r="BN11" s="10">
        <f>MIN('02_Данные'!AD11,BM11)</f>
        <v/>
      </c>
      <c r="BO11" s="10">
        <f>BM11-BN11</f>
        <v/>
      </c>
      <c r="BP11" s="10">
        <f>MIN('02_Данные'!AI11,BO11)</f>
        <v/>
      </c>
      <c r="BQ11" s="10">
        <f>BO11-BP11</f>
        <v/>
      </c>
      <c r="BR11" s="10">
        <f>MIN('02_Данные'!AF11,BQ11)</f>
        <v/>
      </c>
      <c r="BS11" s="10">
        <f>BQ11-BR11</f>
        <v/>
      </c>
      <c r="BT11" s="10">
        <f>MIN('02_Данные'!AE11,BS11)</f>
        <v/>
      </c>
      <c r="BU11" s="10">
        <f>BS11-BT11</f>
        <v/>
      </c>
      <c r="BV11" s="10">
        <f>MIN('02_Данные'!AG11,BU11)</f>
        <v/>
      </c>
      <c r="BW11" s="10">
        <f>BU11-BV11</f>
        <v/>
      </c>
      <c r="BX11" s="10">
        <f>MIN('02_Данные'!AH11,BW11)</f>
        <v/>
      </c>
      <c r="BY11" s="10">
        <f>BW11-BX11</f>
        <v/>
      </c>
      <c r="BZ11" s="10">
        <f>BY11+'02_Данные'!J11</f>
        <v/>
      </c>
      <c r="CA11" s="10">
        <f>MIN('02_Данные'!AJ11,BZ11)</f>
        <v/>
      </c>
      <c r="CB11" s="10">
        <f>BZ11-CA11</f>
        <v/>
      </c>
      <c r="CC11" s="10">
        <f>MIN('02_Данные'!AK11,CB11)</f>
        <v/>
      </c>
      <c r="CD11" s="10">
        <f>CB11-CC11</f>
        <v/>
      </c>
      <c r="CE11" s="10">
        <f>MIN('02_Данные'!AL11,CD11)</f>
        <v/>
      </c>
      <c r="CF11" s="10">
        <f>CD11-CE11</f>
        <v/>
      </c>
      <c r="CG11" s="10">
        <f>MIN('02_Данные'!AQ11,CF11)</f>
        <v/>
      </c>
      <c r="CH11" s="10">
        <f>CF11-CG11</f>
        <v/>
      </c>
      <c r="CI11" s="10">
        <f>MIN('02_Данные'!AN11,CH11)</f>
        <v/>
      </c>
      <c r="CJ11" s="10">
        <f>CH11-CI11</f>
        <v/>
      </c>
      <c r="CK11" s="10">
        <f>MIN('02_Данные'!AM11,CJ11)</f>
        <v/>
      </c>
      <c r="CL11" s="10">
        <f>CJ11-CK11</f>
        <v/>
      </c>
      <c r="CM11" s="10">
        <f>MIN('02_Данные'!AO11,CL11)</f>
        <v/>
      </c>
      <c r="CN11" s="10">
        <f>CL11-CM11</f>
        <v/>
      </c>
      <c r="CO11" s="10">
        <f>MIN('02_Данные'!AP11,CN11)</f>
        <v/>
      </c>
      <c r="CP11" s="10">
        <f>CN11-CO11</f>
        <v/>
      </c>
      <c r="CQ11" s="10">
        <f>CP11+'02_Данные'!K11</f>
        <v/>
      </c>
      <c r="CR11" s="10">
        <f>MIN('02_Данные'!AR11,CQ11)</f>
        <v/>
      </c>
      <c r="CS11" s="10">
        <f>CQ11-CR11</f>
        <v/>
      </c>
      <c r="CT11" s="10">
        <f>MIN('02_Данные'!AS11,CS11)</f>
        <v/>
      </c>
      <c r="CU11" s="10">
        <f>CS11-CT11</f>
        <v/>
      </c>
      <c r="CV11" s="10">
        <f>MIN('02_Данные'!AT11,CU11)</f>
        <v/>
      </c>
      <c r="CW11" s="10">
        <f>CU11-CV11</f>
        <v/>
      </c>
      <c r="CX11" s="10">
        <f>MIN('02_Данные'!AY11,CW11)</f>
        <v/>
      </c>
      <c r="CY11" s="10">
        <f>CW11-CX11</f>
        <v/>
      </c>
      <c r="CZ11" s="10">
        <f>MIN('02_Данные'!AV11,CY11)</f>
        <v/>
      </c>
      <c r="DA11" s="10">
        <f>CY11-CZ11</f>
        <v/>
      </c>
      <c r="DB11" s="10">
        <f>MIN('02_Данные'!AU11,DA11)</f>
        <v/>
      </c>
      <c r="DC11" s="10">
        <f>DA11-DB11</f>
        <v/>
      </c>
      <c r="DD11" s="10">
        <f>MIN('02_Данные'!AW11,DC11)</f>
        <v/>
      </c>
      <c r="DE11" s="10">
        <f>DC11-DD11</f>
        <v/>
      </c>
      <c r="DF11" s="10">
        <f>MIN('02_Данные'!AX11,DE11)</f>
        <v/>
      </c>
      <c r="DG11" s="10">
        <f>DE11-DF11</f>
        <v/>
      </c>
    </row>
    <row r="12">
      <c r="A12" s="9">
        <f>'02_Данные'!B12</f>
        <v/>
      </c>
      <c r="B12" s="9">
        <f>'02_Данные'!E12</f>
        <v/>
      </c>
      <c r="C12" s="10">
        <f>'02_Данные'!F12+'02_Данные'!G12+'02_Данные'!H12+'02_Данные'!I12+'02_Данные'!J12+'02_Данные'!K12</f>
        <v/>
      </c>
      <c r="D12" s="10">
        <f>SUM('02_Данные'!L12:'02_Данные'!AY12)</f>
        <v/>
      </c>
      <c r="E12" s="10">
        <f>MAX(0,D12-C12)</f>
        <v/>
      </c>
      <c r="F12" s="15">
        <f>IF(E12&gt;0.0001,"ДЕФИЦИТ",IF(Y12&gt;0.0001,"ПРОФИЦИТ","БАЛАНС"))</f>
        <v/>
      </c>
      <c r="G12" s="10">
        <f>AB12+AS12+BJ12+CA12+CR12</f>
        <v/>
      </c>
      <c r="H12" s="10">
        <f>AD12+AU12+BL12+CC12+CT12</f>
        <v/>
      </c>
      <c r="I12" s="10">
        <f>AF12+AW12+BN12+CE12+CV12</f>
        <v/>
      </c>
      <c r="J12" s="10">
        <f>AL12+BC12+BT12+CK12+DB12</f>
        <v/>
      </c>
      <c r="K12" s="10">
        <f>AJ12+BA12+BR12+CI12+CZ12</f>
        <v/>
      </c>
      <c r="L12" s="10">
        <f>AN12+BE12+BV12+CM12+DD12</f>
        <v/>
      </c>
      <c r="M12" s="10">
        <f>AP12+BG12+BX12+CO12+DF12</f>
        <v/>
      </c>
      <c r="N12" s="10">
        <f>AH12+AY12+BP12+CG12+CX12</f>
        <v/>
      </c>
      <c r="O12" s="10">
        <f>SUM(G12:N12)</f>
        <v/>
      </c>
      <c r="P12" s="10">
        <f>IFERROR(G12*MIN(1,'01_Нормативы'!$C$4/SUM(G$2:G$429)),0)</f>
        <v/>
      </c>
      <c r="Q12" s="10">
        <f>IFERROR(H12*MIN(1,'01_Нормативы'!$C$5/SUM(H$2:H$429)),0)</f>
        <v/>
      </c>
      <c r="R12" s="10">
        <f>IFERROR(I12*MIN(1,'01_Нормативы'!$C$6/SUM(I$2:I$429)),0)</f>
        <v/>
      </c>
      <c r="S12" s="10">
        <f>IFERROR(J12*MIN(1,'01_Нормативы'!$C$7/SUM(J$2:J$429)),0)</f>
        <v/>
      </c>
      <c r="T12" s="10">
        <f>IFERROR(K12*MIN(1,'01_Нормативы'!$C$8/SUM(K$2:K$429)),0)</f>
        <v/>
      </c>
      <c r="U12" s="10">
        <f>IFERROR(L12*MIN(1,'01_Нормативы'!$C$9/SUM(L$2:L$429)),0)</f>
        <v/>
      </c>
      <c r="V12" s="10">
        <f>IFERROR(M12*MIN(1,'01_Нормативы'!$C$10/SUM(M$2:M$429)),0)</f>
        <v/>
      </c>
      <c r="W12" s="10">
        <f>IFERROR(N12*MIN(1,'01_Нормативы'!$C$11/SUM(N$2:N$429)),0)</f>
        <v/>
      </c>
      <c r="X12" s="10">
        <f>SUM(P12:W12)</f>
        <v/>
      </c>
      <c r="Y12" s="10">
        <f>MAX(0,C12-X12)</f>
        <v/>
      </c>
      <c r="Z12" s="10">
        <f>IF(D12=0,100,X12/D12*100)</f>
        <v/>
      </c>
      <c r="AA12" s="10">
        <f>'02_Данные'!F12+'02_Данные'!G12</f>
        <v/>
      </c>
      <c r="AB12" s="10">
        <f>MIN('02_Данные'!L12,AA12)</f>
        <v/>
      </c>
      <c r="AC12" s="10">
        <f>AA12-AB12</f>
        <v/>
      </c>
      <c r="AD12" s="10">
        <f>MIN('02_Данные'!M12,AC12)</f>
        <v/>
      </c>
      <c r="AE12" s="10">
        <f>AC12-AD12</f>
        <v/>
      </c>
      <c r="AF12" s="10">
        <f>MIN('02_Данные'!N12,AE12)</f>
        <v/>
      </c>
      <c r="AG12" s="10">
        <f>AE12-AF12</f>
        <v/>
      </c>
      <c r="AH12" s="10">
        <f>MIN('02_Данные'!S12,AG12)</f>
        <v/>
      </c>
      <c r="AI12" s="10">
        <f>AG12-AH12</f>
        <v/>
      </c>
      <c r="AJ12" s="10">
        <f>MIN('02_Данные'!P12,AI12)</f>
        <v/>
      </c>
      <c r="AK12" s="10">
        <f>AI12-AJ12</f>
        <v/>
      </c>
      <c r="AL12" s="10">
        <f>MIN('02_Данные'!O12,AK12)</f>
        <v/>
      </c>
      <c r="AM12" s="10">
        <f>AK12-AL12</f>
        <v/>
      </c>
      <c r="AN12" s="10">
        <f>MIN('02_Данные'!Q12,AM12)</f>
        <v/>
      </c>
      <c r="AO12" s="10">
        <f>AM12-AN12</f>
        <v/>
      </c>
      <c r="AP12" s="10">
        <f>MIN('02_Данные'!R12,AO12)</f>
        <v/>
      </c>
      <c r="AQ12" s="10">
        <f>AO12-AP12</f>
        <v/>
      </c>
      <c r="AR12" s="10">
        <f>AQ12+'02_Данные'!H12</f>
        <v/>
      </c>
      <c r="AS12" s="10">
        <f>MIN('02_Данные'!T12,AR12)</f>
        <v/>
      </c>
      <c r="AT12" s="10">
        <f>AR12-AS12</f>
        <v/>
      </c>
      <c r="AU12" s="10">
        <f>MIN('02_Данные'!U12,AT12)</f>
        <v/>
      </c>
      <c r="AV12" s="10">
        <f>AT12-AU12</f>
        <v/>
      </c>
      <c r="AW12" s="10">
        <f>MIN('02_Данные'!V12,AV12)</f>
        <v/>
      </c>
      <c r="AX12" s="10">
        <f>AV12-AW12</f>
        <v/>
      </c>
      <c r="AY12" s="10">
        <f>MIN('02_Данные'!AA12,AX12)</f>
        <v/>
      </c>
      <c r="AZ12" s="10">
        <f>AX12-AY12</f>
        <v/>
      </c>
      <c r="BA12" s="10">
        <f>MIN('02_Данные'!X12,AZ12)</f>
        <v/>
      </c>
      <c r="BB12" s="10">
        <f>AZ12-BA12</f>
        <v/>
      </c>
      <c r="BC12" s="10">
        <f>MIN('02_Данные'!W12,BB12)</f>
        <v/>
      </c>
      <c r="BD12" s="10">
        <f>BB12-BC12</f>
        <v/>
      </c>
      <c r="BE12" s="10">
        <f>MIN('02_Данные'!Y12,BD12)</f>
        <v/>
      </c>
      <c r="BF12" s="10">
        <f>BD12-BE12</f>
        <v/>
      </c>
      <c r="BG12" s="10">
        <f>MIN('02_Данные'!Z12,BF12)</f>
        <v/>
      </c>
      <c r="BH12" s="10">
        <f>BF12-BG12</f>
        <v/>
      </c>
      <c r="BI12" s="10">
        <f>BH12+'02_Данные'!I12</f>
        <v/>
      </c>
      <c r="BJ12" s="10">
        <f>MIN('02_Данные'!AB12,BI12)</f>
        <v/>
      </c>
      <c r="BK12" s="10">
        <f>BI12-BJ12</f>
        <v/>
      </c>
      <c r="BL12" s="10">
        <f>MIN('02_Данные'!AC12,BK12)</f>
        <v/>
      </c>
      <c r="BM12" s="10">
        <f>BK12-BL12</f>
        <v/>
      </c>
      <c r="BN12" s="10">
        <f>MIN('02_Данные'!AD12,BM12)</f>
        <v/>
      </c>
      <c r="BO12" s="10">
        <f>BM12-BN12</f>
        <v/>
      </c>
      <c r="BP12" s="10">
        <f>MIN('02_Данные'!AI12,BO12)</f>
        <v/>
      </c>
      <c r="BQ12" s="10">
        <f>BO12-BP12</f>
        <v/>
      </c>
      <c r="BR12" s="10">
        <f>MIN('02_Данные'!AF12,BQ12)</f>
        <v/>
      </c>
      <c r="BS12" s="10">
        <f>BQ12-BR12</f>
        <v/>
      </c>
      <c r="BT12" s="10">
        <f>MIN('02_Данные'!AE12,BS12)</f>
        <v/>
      </c>
      <c r="BU12" s="10">
        <f>BS12-BT12</f>
        <v/>
      </c>
      <c r="BV12" s="10">
        <f>MIN('02_Данные'!AG12,BU12)</f>
        <v/>
      </c>
      <c r="BW12" s="10">
        <f>BU12-BV12</f>
        <v/>
      </c>
      <c r="BX12" s="10">
        <f>MIN('02_Данные'!AH12,BW12)</f>
        <v/>
      </c>
      <c r="BY12" s="10">
        <f>BW12-BX12</f>
        <v/>
      </c>
      <c r="BZ12" s="10">
        <f>BY12+'02_Данные'!J12</f>
        <v/>
      </c>
      <c r="CA12" s="10">
        <f>MIN('02_Данные'!AJ12,BZ12)</f>
        <v/>
      </c>
      <c r="CB12" s="10">
        <f>BZ12-CA12</f>
        <v/>
      </c>
      <c r="CC12" s="10">
        <f>MIN('02_Данные'!AK12,CB12)</f>
        <v/>
      </c>
      <c r="CD12" s="10">
        <f>CB12-CC12</f>
        <v/>
      </c>
      <c r="CE12" s="10">
        <f>MIN('02_Данные'!AL12,CD12)</f>
        <v/>
      </c>
      <c r="CF12" s="10">
        <f>CD12-CE12</f>
        <v/>
      </c>
      <c r="CG12" s="10">
        <f>MIN('02_Данные'!AQ12,CF12)</f>
        <v/>
      </c>
      <c r="CH12" s="10">
        <f>CF12-CG12</f>
        <v/>
      </c>
      <c r="CI12" s="10">
        <f>MIN('02_Данные'!AN12,CH12)</f>
        <v/>
      </c>
      <c r="CJ12" s="10">
        <f>CH12-CI12</f>
        <v/>
      </c>
      <c r="CK12" s="10">
        <f>MIN('02_Данные'!AM12,CJ12)</f>
        <v/>
      </c>
      <c r="CL12" s="10">
        <f>CJ12-CK12</f>
        <v/>
      </c>
      <c r="CM12" s="10">
        <f>MIN('02_Данные'!AO12,CL12)</f>
        <v/>
      </c>
      <c r="CN12" s="10">
        <f>CL12-CM12</f>
        <v/>
      </c>
      <c r="CO12" s="10">
        <f>MIN('02_Данные'!AP12,CN12)</f>
        <v/>
      </c>
      <c r="CP12" s="10">
        <f>CN12-CO12</f>
        <v/>
      </c>
      <c r="CQ12" s="10">
        <f>CP12+'02_Данные'!K12</f>
        <v/>
      </c>
      <c r="CR12" s="10">
        <f>MIN('02_Данные'!AR12,CQ12)</f>
        <v/>
      </c>
      <c r="CS12" s="10">
        <f>CQ12-CR12</f>
        <v/>
      </c>
      <c r="CT12" s="10">
        <f>MIN('02_Данные'!AS12,CS12)</f>
        <v/>
      </c>
      <c r="CU12" s="10">
        <f>CS12-CT12</f>
        <v/>
      </c>
      <c r="CV12" s="10">
        <f>MIN('02_Данные'!AT12,CU12)</f>
        <v/>
      </c>
      <c r="CW12" s="10">
        <f>CU12-CV12</f>
        <v/>
      </c>
      <c r="CX12" s="10">
        <f>MIN('02_Данные'!AY12,CW12)</f>
        <v/>
      </c>
      <c r="CY12" s="10">
        <f>CW12-CX12</f>
        <v/>
      </c>
      <c r="CZ12" s="10">
        <f>MIN('02_Данные'!AV12,CY12)</f>
        <v/>
      </c>
      <c r="DA12" s="10">
        <f>CY12-CZ12</f>
        <v/>
      </c>
      <c r="DB12" s="10">
        <f>MIN('02_Данные'!AU12,DA12)</f>
        <v/>
      </c>
      <c r="DC12" s="10">
        <f>DA12-DB12</f>
        <v/>
      </c>
      <c r="DD12" s="10">
        <f>MIN('02_Данные'!AW12,DC12)</f>
        <v/>
      </c>
      <c r="DE12" s="10">
        <f>DC12-DD12</f>
        <v/>
      </c>
      <c r="DF12" s="10">
        <f>MIN('02_Данные'!AX12,DE12)</f>
        <v/>
      </c>
      <c r="DG12" s="10">
        <f>DE12-DF12</f>
        <v/>
      </c>
    </row>
    <row r="13">
      <c r="A13" s="9">
        <f>'02_Данные'!B13</f>
        <v/>
      </c>
      <c r="B13" s="9">
        <f>'02_Данные'!E13</f>
        <v/>
      </c>
      <c r="C13" s="10">
        <f>'02_Данные'!F13+'02_Данные'!G13+'02_Данные'!H13+'02_Данные'!I13+'02_Данные'!J13+'02_Данные'!K13</f>
        <v/>
      </c>
      <c r="D13" s="10">
        <f>SUM('02_Данные'!L13:'02_Данные'!AY13)</f>
        <v/>
      </c>
      <c r="E13" s="10">
        <f>MAX(0,D13-C13)</f>
        <v/>
      </c>
      <c r="F13" s="15">
        <f>IF(E13&gt;0.0001,"ДЕФИЦИТ",IF(Y13&gt;0.0001,"ПРОФИЦИТ","БАЛАНС"))</f>
        <v/>
      </c>
      <c r="G13" s="10">
        <f>AB13+AS13+BJ13+CA13+CR13</f>
        <v/>
      </c>
      <c r="H13" s="10">
        <f>AD13+AU13+BL13+CC13+CT13</f>
        <v/>
      </c>
      <c r="I13" s="10">
        <f>AF13+AW13+BN13+CE13+CV13</f>
        <v/>
      </c>
      <c r="J13" s="10">
        <f>AL13+BC13+BT13+CK13+DB13</f>
        <v/>
      </c>
      <c r="K13" s="10">
        <f>AJ13+BA13+BR13+CI13+CZ13</f>
        <v/>
      </c>
      <c r="L13" s="10">
        <f>AN13+BE13+BV13+CM13+DD13</f>
        <v/>
      </c>
      <c r="M13" s="10">
        <f>AP13+BG13+BX13+CO13+DF13</f>
        <v/>
      </c>
      <c r="N13" s="10">
        <f>AH13+AY13+BP13+CG13+CX13</f>
        <v/>
      </c>
      <c r="O13" s="10">
        <f>SUM(G13:N13)</f>
        <v/>
      </c>
      <c r="P13" s="10">
        <f>IFERROR(G13*MIN(1,'01_Нормативы'!$C$4/SUM(G$2:G$429)),0)</f>
        <v/>
      </c>
      <c r="Q13" s="10">
        <f>IFERROR(H13*MIN(1,'01_Нормативы'!$C$5/SUM(H$2:H$429)),0)</f>
        <v/>
      </c>
      <c r="R13" s="10">
        <f>IFERROR(I13*MIN(1,'01_Нормативы'!$C$6/SUM(I$2:I$429)),0)</f>
        <v/>
      </c>
      <c r="S13" s="10">
        <f>IFERROR(J13*MIN(1,'01_Нормативы'!$C$7/SUM(J$2:J$429)),0)</f>
        <v/>
      </c>
      <c r="T13" s="10">
        <f>IFERROR(K13*MIN(1,'01_Нормативы'!$C$8/SUM(K$2:K$429)),0)</f>
        <v/>
      </c>
      <c r="U13" s="10">
        <f>IFERROR(L13*MIN(1,'01_Нормативы'!$C$9/SUM(L$2:L$429)),0)</f>
        <v/>
      </c>
      <c r="V13" s="10">
        <f>IFERROR(M13*MIN(1,'01_Нормативы'!$C$10/SUM(M$2:M$429)),0)</f>
        <v/>
      </c>
      <c r="W13" s="10">
        <f>IFERROR(N13*MIN(1,'01_Нормативы'!$C$11/SUM(N$2:N$429)),0)</f>
        <v/>
      </c>
      <c r="X13" s="10">
        <f>SUM(P13:W13)</f>
        <v/>
      </c>
      <c r="Y13" s="10">
        <f>MAX(0,C13-X13)</f>
        <v/>
      </c>
      <c r="Z13" s="10">
        <f>IF(D13=0,100,X13/D13*100)</f>
        <v/>
      </c>
      <c r="AA13" s="10">
        <f>'02_Данные'!F13+'02_Данные'!G13</f>
        <v/>
      </c>
      <c r="AB13" s="10">
        <f>MIN('02_Данные'!L13,AA13)</f>
        <v/>
      </c>
      <c r="AC13" s="10">
        <f>AA13-AB13</f>
        <v/>
      </c>
      <c r="AD13" s="10">
        <f>MIN('02_Данные'!M13,AC13)</f>
        <v/>
      </c>
      <c r="AE13" s="10">
        <f>AC13-AD13</f>
        <v/>
      </c>
      <c r="AF13" s="10">
        <f>MIN('02_Данные'!N13,AE13)</f>
        <v/>
      </c>
      <c r="AG13" s="10">
        <f>AE13-AF13</f>
        <v/>
      </c>
      <c r="AH13" s="10">
        <f>MIN('02_Данные'!S13,AG13)</f>
        <v/>
      </c>
      <c r="AI13" s="10">
        <f>AG13-AH13</f>
        <v/>
      </c>
      <c r="AJ13" s="10">
        <f>MIN('02_Данные'!P13,AI13)</f>
        <v/>
      </c>
      <c r="AK13" s="10">
        <f>AI13-AJ13</f>
        <v/>
      </c>
      <c r="AL13" s="10">
        <f>MIN('02_Данные'!O13,AK13)</f>
        <v/>
      </c>
      <c r="AM13" s="10">
        <f>AK13-AL13</f>
        <v/>
      </c>
      <c r="AN13" s="10">
        <f>MIN('02_Данные'!Q13,AM13)</f>
        <v/>
      </c>
      <c r="AO13" s="10">
        <f>AM13-AN13</f>
        <v/>
      </c>
      <c r="AP13" s="10">
        <f>MIN('02_Данные'!R13,AO13)</f>
        <v/>
      </c>
      <c r="AQ13" s="10">
        <f>AO13-AP13</f>
        <v/>
      </c>
      <c r="AR13" s="10">
        <f>AQ13+'02_Данные'!H13</f>
        <v/>
      </c>
      <c r="AS13" s="10">
        <f>MIN('02_Данные'!T13,AR13)</f>
        <v/>
      </c>
      <c r="AT13" s="10">
        <f>AR13-AS13</f>
        <v/>
      </c>
      <c r="AU13" s="10">
        <f>MIN('02_Данные'!U13,AT13)</f>
        <v/>
      </c>
      <c r="AV13" s="10">
        <f>AT13-AU13</f>
        <v/>
      </c>
      <c r="AW13" s="10">
        <f>MIN('02_Данные'!V13,AV13)</f>
        <v/>
      </c>
      <c r="AX13" s="10">
        <f>AV13-AW13</f>
        <v/>
      </c>
      <c r="AY13" s="10">
        <f>MIN('02_Данные'!AA13,AX13)</f>
        <v/>
      </c>
      <c r="AZ13" s="10">
        <f>AX13-AY13</f>
        <v/>
      </c>
      <c r="BA13" s="10">
        <f>MIN('02_Данные'!X13,AZ13)</f>
        <v/>
      </c>
      <c r="BB13" s="10">
        <f>AZ13-BA13</f>
        <v/>
      </c>
      <c r="BC13" s="10">
        <f>MIN('02_Данные'!W13,BB13)</f>
        <v/>
      </c>
      <c r="BD13" s="10">
        <f>BB13-BC13</f>
        <v/>
      </c>
      <c r="BE13" s="10">
        <f>MIN('02_Данные'!Y13,BD13)</f>
        <v/>
      </c>
      <c r="BF13" s="10">
        <f>BD13-BE13</f>
        <v/>
      </c>
      <c r="BG13" s="10">
        <f>MIN('02_Данные'!Z13,BF13)</f>
        <v/>
      </c>
      <c r="BH13" s="10">
        <f>BF13-BG13</f>
        <v/>
      </c>
      <c r="BI13" s="10">
        <f>BH13+'02_Данные'!I13</f>
        <v/>
      </c>
      <c r="BJ13" s="10">
        <f>MIN('02_Данные'!AB13,BI13)</f>
        <v/>
      </c>
      <c r="BK13" s="10">
        <f>BI13-BJ13</f>
        <v/>
      </c>
      <c r="BL13" s="10">
        <f>MIN('02_Данные'!AC13,BK13)</f>
        <v/>
      </c>
      <c r="BM13" s="10">
        <f>BK13-BL13</f>
        <v/>
      </c>
      <c r="BN13" s="10">
        <f>MIN('02_Данные'!AD13,BM13)</f>
        <v/>
      </c>
      <c r="BO13" s="10">
        <f>BM13-BN13</f>
        <v/>
      </c>
      <c r="BP13" s="10">
        <f>MIN('02_Данные'!AI13,BO13)</f>
        <v/>
      </c>
      <c r="BQ13" s="10">
        <f>BO13-BP13</f>
        <v/>
      </c>
      <c r="BR13" s="10">
        <f>MIN('02_Данные'!AF13,BQ13)</f>
        <v/>
      </c>
      <c r="BS13" s="10">
        <f>BQ13-BR13</f>
        <v/>
      </c>
      <c r="BT13" s="10">
        <f>MIN('02_Данные'!AE13,BS13)</f>
        <v/>
      </c>
      <c r="BU13" s="10">
        <f>BS13-BT13</f>
        <v/>
      </c>
      <c r="BV13" s="10">
        <f>MIN('02_Данные'!AG13,BU13)</f>
        <v/>
      </c>
      <c r="BW13" s="10">
        <f>BU13-BV13</f>
        <v/>
      </c>
      <c r="BX13" s="10">
        <f>MIN('02_Данные'!AH13,BW13)</f>
        <v/>
      </c>
      <c r="BY13" s="10">
        <f>BW13-BX13</f>
        <v/>
      </c>
      <c r="BZ13" s="10">
        <f>BY13+'02_Данные'!J13</f>
        <v/>
      </c>
      <c r="CA13" s="10">
        <f>MIN('02_Данные'!AJ13,BZ13)</f>
        <v/>
      </c>
      <c r="CB13" s="10">
        <f>BZ13-CA13</f>
        <v/>
      </c>
      <c r="CC13" s="10">
        <f>MIN('02_Данные'!AK13,CB13)</f>
        <v/>
      </c>
      <c r="CD13" s="10">
        <f>CB13-CC13</f>
        <v/>
      </c>
      <c r="CE13" s="10">
        <f>MIN('02_Данные'!AL13,CD13)</f>
        <v/>
      </c>
      <c r="CF13" s="10">
        <f>CD13-CE13</f>
        <v/>
      </c>
      <c r="CG13" s="10">
        <f>MIN('02_Данные'!AQ13,CF13)</f>
        <v/>
      </c>
      <c r="CH13" s="10">
        <f>CF13-CG13</f>
        <v/>
      </c>
      <c r="CI13" s="10">
        <f>MIN('02_Данные'!AN13,CH13)</f>
        <v/>
      </c>
      <c r="CJ13" s="10">
        <f>CH13-CI13</f>
        <v/>
      </c>
      <c r="CK13" s="10">
        <f>MIN('02_Данные'!AM13,CJ13)</f>
        <v/>
      </c>
      <c r="CL13" s="10">
        <f>CJ13-CK13</f>
        <v/>
      </c>
      <c r="CM13" s="10">
        <f>MIN('02_Данные'!AO13,CL13)</f>
        <v/>
      </c>
      <c r="CN13" s="10">
        <f>CL13-CM13</f>
        <v/>
      </c>
      <c r="CO13" s="10">
        <f>MIN('02_Данные'!AP13,CN13)</f>
        <v/>
      </c>
      <c r="CP13" s="10">
        <f>CN13-CO13</f>
        <v/>
      </c>
      <c r="CQ13" s="10">
        <f>CP13+'02_Данные'!K13</f>
        <v/>
      </c>
      <c r="CR13" s="10">
        <f>MIN('02_Данные'!AR13,CQ13)</f>
        <v/>
      </c>
      <c r="CS13" s="10">
        <f>CQ13-CR13</f>
        <v/>
      </c>
      <c r="CT13" s="10">
        <f>MIN('02_Данные'!AS13,CS13)</f>
        <v/>
      </c>
      <c r="CU13" s="10">
        <f>CS13-CT13</f>
        <v/>
      </c>
      <c r="CV13" s="10">
        <f>MIN('02_Данные'!AT13,CU13)</f>
        <v/>
      </c>
      <c r="CW13" s="10">
        <f>CU13-CV13</f>
        <v/>
      </c>
      <c r="CX13" s="10">
        <f>MIN('02_Данные'!AY13,CW13)</f>
        <v/>
      </c>
      <c r="CY13" s="10">
        <f>CW13-CX13</f>
        <v/>
      </c>
      <c r="CZ13" s="10">
        <f>MIN('02_Данные'!AV13,CY13)</f>
        <v/>
      </c>
      <c r="DA13" s="10">
        <f>CY13-CZ13</f>
        <v/>
      </c>
      <c r="DB13" s="10">
        <f>MIN('02_Данные'!AU13,DA13)</f>
        <v/>
      </c>
      <c r="DC13" s="10">
        <f>DA13-DB13</f>
        <v/>
      </c>
      <c r="DD13" s="10">
        <f>MIN('02_Данные'!AW13,DC13)</f>
        <v/>
      </c>
      <c r="DE13" s="10">
        <f>DC13-DD13</f>
        <v/>
      </c>
      <c r="DF13" s="10">
        <f>MIN('02_Данные'!AX13,DE13)</f>
        <v/>
      </c>
      <c r="DG13" s="10">
        <f>DE13-DF13</f>
        <v/>
      </c>
    </row>
    <row r="14">
      <c r="A14" s="9">
        <f>'02_Данные'!B14</f>
        <v/>
      </c>
      <c r="B14" s="9">
        <f>'02_Данные'!E14</f>
        <v/>
      </c>
      <c r="C14" s="10">
        <f>'02_Данные'!F14+'02_Данные'!G14+'02_Данные'!H14+'02_Данные'!I14+'02_Данные'!J14+'02_Данные'!K14</f>
        <v/>
      </c>
      <c r="D14" s="10">
        <f>SUM('02_Данные'!L14:'02_Данные'!AY14)</f>
        <v/>
      </c>
      <c r="E14" s="10">
        <f>MAX(0,D14-C14)</f>
        <v/>
      </c>
      <c r="F14" s="15">
        <f>IF(E14&gt;0.0001,"ДЕФИЦИТ",IF(Y14&gt;0.0001,"ПРОФИЦИТ","БАЛАНС"))</f>
        <v/>
      </c>
      <c r="G14" s="10">
        <f>AB14+AS14+BJ14+CA14+CR14</f>
        <v/>
      </c>
      <c r="H14" s="10">
        <f>AD14+AU14+BL14+CC14+CT14</f>
        <v/>
      </c>
      <c r="I14" s="10">
        <f>AF14+AW14+BN14+CE14+CV14</f>
        <v/>
      </c>
      <c r="J14" s="10">
        <f>AL14+BC14+BT14+CK14+DB14</f>
        <v/>
      </c>
      <c r="K14" s="10">
        <f>AJ14+BA14+BR14+CI14+CZ14</f>
        <v/>
      </c>
      <c r="L14" s="10">
        <f>AN14+BE14+BV14+CM14+DD14</f>
        <v/>
      </c>
      <c r="M14" s="10">
        <f>AP14+BG14+BX14+CO14+DF14</f>
        <v/>
      </c>
      <c r="N14" s="10">
        <f>AH14+AY14+BP14+CG14+CX14</f>
        <v/>
      </c>
      <c r="O14" s="10">
        <f>SUM(G14:N14)</f>
        <v/>
      </c>
      <c r="P14" s="10">
        <f>IFERROR(G14*MIN(1,'01_Нормативы'!$C$4/SUM(G$2:G$429)),0)</f>
        <v/>
      </c>
      <c r="Q14" s="10">
        <f>IFERROR(H14*MIN(1,'01_Нормативы'!$C$5/SUM(H$2:H$429)),0)</f>
        <v/>
      </c>
      <c r="R14" s="10">
        <f>IFERROR(I14*MIN(1,'01_Нормативы'!$C$6/SUM(I$2:I$429)),0)</f>
        <v/>
      </c>
      <c r="S14" s="10">
        <f>IFERROR(J14*MIN(1,'01_Нормативы'!$C$7/SUM(J$2:J$429)),0)</f>
        <v/>
      </c>
      <c r="T14" s="10">
        <f>IFERROR(K14*MIN(1,'01_Нормативы'!$C$8/SUM(K$2:K$429)),0)</f>
        <v/>
      </c>
      <c r="U14" s="10">
        <f>IFERROR(L14*MIN(1,'01_Нормативы'!$C$9/SUM(L$2:L$429)),0)</f>
        <v/>
      </c>
      <c r="V14" s="10">
        <f>IFERROR(M14*MIN(1,'01_Нормативы'!$C$10/SUM(M$2:M$429)),0)</f>
        <v/>
      </c>
      <c r="W14" s="10">
        <f>IFERROR(N14*MIN(1,'01_Нормативы'!$C$11/SUM(N$2:N$429)),0)</f>
        <v/>
      </c>
      <c r="X14" s="10">
        <f>SUM(P14:W14)</f>
        <v/>
      </c>
      <c r="Y14" s="10">
        <f>MAX(0,C14-X14)</f>
        <v/>
      </c>
      <c r="Z14" s="10">
        <f>IF(D14=0,100,X14/D14*100)</f>
        <v/>
      </c>
      <c r="AA14" s="10">
        <f>'02_Данные'!F14+'02_Данные'!G14</f>
        <v/>
      </c>
      <c r="AB14" s="10">
        <f>MIN('02_Данные'!L14,AA14)</f>
        <v/>
      </c>
      <c r="AC14" s="10">
        <f>AA14-AB14</f>
        <v/>
      </c>
      <c r="AD14" s="10">
        <f>MIN('02_Данные'!M14,AC14)</f>
        <v/>
      </c>
      <c r="AE14" s="10">
        <f>AC14-AD14</f>
        <v/>
      </c>
      <c r="AF14" s="10">
        <f>MIN('02_Данные'!N14,AE14)</f>
        <v/>
      </c>
      <c r="AG14" s="10">
        <f>AE14-AF14</f>
        <v/>
      </c>
      <c r="AH14" s="10">
        <f>MIN('02_Данные'!S14,AG14)</f>
        <v/>
      </c>
      <c r="AI14" s="10">
        <f>AG14-AH14</f>
        <v/>
      </c>
      <c r="AJ14" s="10">
        <f>MIN('02_Данные'!P14,AI14)</f>
        <v/>
      </c>
      <c r="AK14" s="10">
        <f>AI14-AJ14</f>
        <v/>
      </c>
      <c r="AL14" s="10">
        <f>MIN('02_Данные'!O14,AK14)</f>
        <v/>
      </c>
      <c r="AM14" s="10">
        <f>AK14-AL14</f>
        <v/>
      </c>
      <c r="AN14" s="10">
        <f>MIN('02_Данные'!Q14,AM14)</f>
        <v/>
      </c>
      <c r="AO14" s="10">
        <f>AM14-AN14</f>
        <v/>
      </c>
      <c r="AP14" s="10">
        <f>MIN('02_Данные'!R14,AO14)</f>
        <v/>
      </c>
      <c r="AQ14" s="10">
        <f>AO14-AP14</f>
        <v/>
      </c>
      <c r="AR14" s="10">
        <f>AQ14+'02_Данные'!H14</f>
        <v/>
      </c>
      <c r="AS14" s="10">
        <f>MIN('02_Данные'!T14,AR14)</f>
        <v/>
      </c>
      <c r="AT14" s="10">
        <f>AR14-AS14</f>
        <v/>
      </c>
      <c r="AU14" s="10">
        <f>MIN('02_Данные'!U14,AT14)</f>
        <v/>
      </c>
      <c r="AV14" s="10">
        <f>AT14-AU14</f>
        <v/>
      </c>
      <c r="AW14" s="10">
        <f>MIN('02_Данные'!V14,AV14)</f>
        <v/>
      </c>
      <c r="AX14" s="10">
        <f>AV14-AW14</f>
        <v/>
      </c>
      <c r="AY14" s="10">
        <f>MIN('02_Данные'!AA14,AX14)</f>
        <v/>
      </c>
      <c r="AZ14" s="10">
        <f>AX14-AY14</f>
        <v/>
      </c>
      <c r="BA14" s="10">
        <f>MIN('02_Данные'!X14,AZ14)</f>
        <v/>
      </c>
      <c r="BB14" s="10">
        <f>AZ14-BA14</f>
        <v/>
      </c>
      <c r="BC14" s="10">
        <f>MIN('02_Данные'!W14,BB14)</f>
        <v/>
      </c>
      <c r="BD14" s="10">
        <f>BB14-BC14</f>
        <v/>
      </c>
      <c r="BE14" s="10">
        <f>MIN('02_Данные'!Y14,BD14)</f>
        <v/>
      </c>
      <c r="BF14" s="10">
        <f>BD14-BE14</f>
        <v/>
      </c>
      <c r="BG14" s="10">
        <f>MIN('02_Данные'!Z14,BF14)</f>
        <v/>
      </c>
      <c r="BH14" s="10">
        <f>BF14-BG14</f>
        <v/>
      </c>
      <c r="BI14" s="10">
        <f>BH14+'02_Данные'!I14</f>
        <v/>
      </c>
      <c r="BJ14" s="10">
        <f>MIN('02_Данные'!AB14,BI14)</f>
        <v/>
      </c>
      <c r="BK14" s="10">
        <f>BI14-BJ14</f>
        <v/>
      </c>
      <c r="BL14" s="10">
        <f>MIN('02_Данные'!AC14,BK14)</f>
        <v/>
      </c>
      <c r="BM14" s="10">
        <f>BK14-BL14</f>
        <v/>
      </c>
      <c r="BN14" s="10">
        <f>MIN('02_Данные'!AD14,BM14)</f>
        <v/>
      </c>
      <c r="BO14" s="10">
        <f>BM14-BN14</f>
        <v/>
      </c>
      <c r="BP14" s="10">
        <f>MIN('02_Данные'!AI14,BO14)</f>
        <v/>
      </c>
      <c r="BQ14" s="10">
        <f>BO14-BP14</f>
        <v/>
      </c>
      <c r="BR14" s="10">
        <f>MIN('02_Данные'!AF14,BQ14)</f>
        <v/>
      </c>
      <c r="BS14" s="10">
        <f>BQ14-BR14</f>
        <v/>
      </c>
      <c r="BT14" s="10">
        <f>MIN('02_Данные'!AE14,BS14)</f>
        <v/>
      </c>
      <c r="BU14" s="10">
        <f>BS14-BT14</f>
        <v/>
      </c>
      <c r="BV14" s="10">
        <f>MIN('02_Данные'!AG14,BU14)</f>
        <v/>
      </c>
      <c r="BW14" s="10">
        <f>BU14-BV14</f>
        <v/>
      </c>
      <c r="BX14" s="10">
        <f>MIN('02_Данные'!AH14,BW14)</f>
        <v/>
      </c>
      <c r="BY14" s="10">
        <f>BW14-BX14</f>
        <v/>
      </c>
      <c r="BZ14" s="10">
        <f>BY14+'02_Данные'!J14</f>
        <v/>
      </c>
      <c r="CA14" s="10">
        <f>MIN('02_Данные'!AJ14,BZ14)</f>
        <v/>
      </c>
      <c r="CB14" s="10">
        <f>BZ14-CA14</f>
        <v/>
      </c>
      <c r="CC14" s="10">
        <f>MIN('02_Данные'!AK14,CB14)</f>
        <v/>
      </c>
      <c r="CD14" s="10">
        <f>CB14-CC14</f>
        <v/>
      </c>
      <c r="CE14" s="10">
        <f>MIN('02_Данные'!AL14,CD14)</f>
        <v/>
      </c>
      <c r="CF14" s="10">
        <f>CD14-CE14</f>
        <v/>
      </c>
      <c r="CG14" s="10">
        <f>MIN('02_Данные'!AQ14,CF14)</f>
        <v/>
      </c>
      <c r="CH14" s="10">
        <f>CF14-CG14</f>
        <v/>
      </c>
      <c r="CI14" s="10">
        <f>MIN('02_Данные'!AN14,CH14)</f>
        <v/>
      </c>
      <c r="CJ14" s="10">
        <f>CH14-CI14</f>
        <v/>
      </c>
      <c r="CK14" s="10">
        <f>MIN('02_Данные'!AM14,CJ14)</f>
        <v/>
      </c>
      <c r="CL14" s="10">
        <f>CJ14-CK14</f>
        <v/>
      </c>
      <c r="CM14" s="10">
        <f>MIN('02_Данные'!AO14,CL14)</f>
        <v/>
      </c>
      <c r="CN14" s="10">
        <f>CL14-CM14</f>
        <v/>
      </c>
      <c r="CO14" s="10">
        <f>MIN('02_Данные'!AP14,CN14)</f>
        <v/>
      </c>
      <c r="CP14" s="10">
        <f>CN14-CO14</f>
        <v/>
      </c>
      <c r="CQ14" s="10">
        <f>CP14+'02_Данные'!K14</f>
        <v/>
      </c>
      <c r="CR14" s="10">
        <f>MIN('02_Данные'!AR14,CQ14)</f>
        <v/>
      </c>
      <c r="CS14" s="10">
        <f>CQ14-CR14</f>
        <v/>
      </c>
      <c r="CT14" s="10">
        <f>MIN('02_Данные'!AS14,CS14)</f>
        <v/>
      </c>
      <c r="CU14" s="10">
        <f>CS14-CT14</f>
        <v/>
      </c>
      <c r="CV14" s="10">
        <f>MIN('02_Данные'!AT14,CU14)</f>
        <v/>
      </c>
      <c r="CW14" s="10">
        <f>CU14-CV14</f>
        <v/>
      </c>
      <c r="CX14" s="10">
        <f>MIN('02_Данные'!AY14,CW14)</f>
        <v/>
      </c>
      <c r="CY14" s="10">
        <f>CW14-CX14</f>
        <v/>
      </c>
      <c r="CZ14" s="10">
        <f>MIN('02_Данные'!AV14,CY14)</f>
        <v/>
      </c>
      <c r="DA14" s="10">
        <f>CY14-CZ14</f>
        <v/>
      </c>
      <c r="DB14" s="10">
        <f>MIN('02_Данные'!AU14,DA14)</f>
        <v/>
      </c>
      <c r="DC14" s="10">
        <f>DA14-DB14</f>
        <v/>
      </c>
      <c r="DD14" s="10">
        <f>MIN('02_Данные'!AW14,DC14)</f>
        <v/>
      </c>
      <c r="DE14" s="10">
        <f>DC14-DD14</f>
        <v/>
      </c>
      <c r="DF14" s="10">
        <f>MIN('02_Данные'!AX14,DE14)</f>
        <v/>
      </c>
      <c r="DG14" s="10">
        <f>DE14-DF14</f>
        <v/>
      </c>
    </row>
    <row r="15">
      <c r="A15" s="9">
        <f>'02_Данные'!B15</f>
        <v/>
      </c>
      <c r="B15" s="9">
        <f>'02_Данные'!E15</f>
        <v/>
      </c>
      <c r="C15" s="10">
        <f>'02_Данные'!F15+'02_Данные'!G15+'02_Данные'!H15+'02_Данные'!I15+'02_Данные'!J15+'02_Данные'!K15</f>
        <v/>
      </c>
      <c r="D15" s="10">
        <f>SUM('02_Данные'!L15:'02_Данные'!AY15)</f>
        <v/>
      </c>
      <c r="E15" s="10">
        <f>MAX(0,D15-C15)</f>
        <v/>
      </c>
      <c r="F15" s="15">
        <f>IF(E15&gt;0.0001,"ДЕФИЦИТ",IF(Y15&gt;0.0001,"ПРОФИЦИТ","БАЛАНС"))</f>
        <v/>
      </c>
      <c r="G15" s="10">
        <f>AB15+AS15+BJ15+CA15+CR15</f>
        <v/>
      </c>
      <c r="H15" s="10">
        <f>AD15+AU15+BL15+CC15+CT15</f>
        <v/>
      </c>
      <c r="I15" s="10">
        <f>AF15+AW15+BN15+CE15+CV15</f>
        <v/>
      </c>
      <c r="J15" s="10">
        <f>AL15+BC15+BT15+CK15+DB15</f>
        <v/>
      </c>
      <c r="K15" s="10">
        <f>AJ15+BA15+BR15+CI15+CZ15</f>
        <v/>
      </c>
      <c r="L15" s="10">
        <f>AN15+BE15+BV15+CM15+DD15</f>
        <v/>
      </c>
      <c r="M15" s="10">
        <f>AP15+BG15+BX15+CO15+DF15</f>
        <v/>
      </c>
      <c r="N15" s="10">
        <f>AH15+AY15+BP15+CG15+CX15</f>
        <v/>
      </c>
      <c r="O15" s="10">
        <f>SUM(G15:N15)</f>
        <v/>
      </c>
      <c r="P15" s="10">
        <f>IFERROR(G15*MIN(1,'01_Нормативы'!$C$4/SUM(G$2:G$429)),0)</f>
        <v/>
      </c>
      <c r="Q15" s="10">
        <f>IFERROR(H15*MIN(1,'01_Нормативы'!$C$5/SUM(H$2:H$429)),0)</f>
        <v/>
      </c>
      <c r="R15" s="10">
        <f>IFERROR(I15*MIN(1,'01_Нормативы'!$C$6/SUM(I$2:I$429)),0)</f>
        <v/>
      </c>
      <c r="S15" s="10">
        <f>IFERROR(J15*MIN(1,'01_Нормативы'!$C$7/SUM(J$2:J$429)),0)</f>
        <v/>
      </c>
      <c r="T15" s="10">
        <f>IFERROR(K15*MIN(1,'01_Нормативы'!$C$8/SUM(K$2:K$429)),0)</f>
        <v/>
      </c>
      <c r="U15" s="10">
        <f>IFERROR(L15*MIN(1,'01_Нормативы'!$C$9/SUM(L$2:L$429)),0)</f>
        <v/>
      </c>
      <c r="V15" s="10">
        <f>IFERROR(M15*MIN(1,'01_Нормативы'!$C$10/SUM(M$2:M$429)),0)</f>
        <v/>
      </c>
      <c r="W15" s="10">
        <f>IFERROR(N15*MIN(1,'01_Нормативы'!$C$11/SUM(N$2:N$429)),0)</f>
        <v/>
      </c>
      <c r="X15" s="10">
        <f>SUM(P15:W15)</f>
        <v/>
      </c>
      <c r="Y15" s="10">
        <f>MAX(0,C15-X15)</f>
        <v/>
      </c>
      <c r="Z15" s="10">
        <f>IF(D15=0,100,X15/D15*100)</f>
        <v/>
      </c>
      <c r="AA15" s="10">
        <f>'02_Данные'!F15+'02_Данные'!G15</f>
        <v/>
      </c>
      <c r="AB15" s="10">
        <f>MIN('02_Данные'!L15,AA15)</f>
        <v/>
      </c>
      <c r="AC15" s="10">
        <f>AA15-AB15</f>
        <v/>
      </c>
      <c r="AD15" s="10">
        <f>MIN('02_Данные'!M15,AC15)</f>
        <v/>
      </c>
      <c r="AE15" s="10">
        <f>AC15-AD15</f>
        <v/>
      </c>
      <c r="AF15" s="10">
        <f>MIN('02_Данные'!N15,AE15)</f>
        <v/>
      </c>
      <c r="AG15" s="10">
        <f>AE15-AF15</f>
        <v/>
      </c>
      <c r="AH15" s="10">
        <f>MIN('02_Данные'!S15,AG15)</f>
        <v/>
      </c>
      <c r="AI15" s="10">
        <f>AG15-AH15</f>
        <v/>
      </c>
      <c r="AJ15" s="10">
        <f>MIN('02_Данные'!P15,AI15)</f>
        <v/>
      </c>
      <c r="AK15" s="10">
        <f>AI15-AJ15</f>
        <v/>
      </c>
      <c r="AL15" s="10">
        <f>MIN('02_Данные'!O15,AK15)</f>
        <v/>
      </c>
      <c r="AM15" s="10">
        <f>AK15-AL15</f>
        <v/>
      </c>
      <c r="AN15" s="10">
        <f>MIN('02_Данные'!Q15,AM15)</f>
        <v/>
      </c>
      <c r="AO15" s="10">
        <f>AM15-AN15</f>
        <v/>
      </c>
      <c r="AP15" s="10">
        <f>MIN('02_Данные'!R15,AO15)</f>
        <v/>
      </c>
      <c r="AQ15" s="10">
        <f>AO15-AP15</f>
        <v/>
      </c>
      <c r="AR15" s="10">
        <f>AQ15+'02_Данные'!H15</f>
        <v/>
      </c>
      <c r="AS15" s="10">
        <f>MIN('02_Данные'!T15,AR15)</f>
        <v/>
      </c>
      <c r="AT15" s="10">
        <f>AR15-AS15</f>
        <v/>
      </c>
      <c r="AU15" s="10">
        <f>MIN('02_Данные'!U15,AT15)</f>
        <v/>
      </c>
      <c r="AV15" s="10">
        <f>AT15-AU15</f>
        <v/>
      </c>
      <c r="AW15" s="10">
        <f>MIN('02_Данные'!V15,AV15)</f>
        <v/>
      </c>
      <c r="AX15" s="10">
        <f>AV15-AW15</f>
        <v/>
      </c>
      <c r="AY15" s="10">
        <f>MIN('02_Данные'!AA15,AX15)</f>
        <v/>
      </c>
      <c r="AZ15" s="10">
        <f>AX15-AY15</f>
        <v/>
      </c>
      <c r="BA15" s="10">
        <f>MIN('02_Данные'!X15,AZ15)</f>
        <v/>
      </c>
      <c r="BB15" s="10">
        <f>AZ15-BA15</f>
        <v/>
      </c>
      <c r="BC15" s="10">
        <f>MIN('02_Данные'!W15,BB15)</f>
        <v/>
      </c>
      <c r="BD15" s="10">
        <f>BB15-BC15</f>
        <v/>
      </c>
      <c r="BE15" s="10">
        <f>MIN('02_Данные'!Y15,BD15)</f>
        <v/>
      </c>
      <c r="BF15" s="10">
        <f>BD15-BE15</f>
        <v/>
      </c>
      <c r="BG15" s="10">
        <f>MIN('02_Данные'!Z15,BF15)</f>
        <v/>
      </c>
      <c r="BH15" s="10">
        <f>BF15-BG15</f>
        <v/>
      </c>
      <c r="BI15" s="10">
        <f>BH15+'02_Данные'!I15</f>
        <v/>
      </c>
      <c r="BJ15" s="10">
        <f>MIN('02_Данные'!AB15,BI15)</f>
        <v/>
      </c>
      <c r="BK15" s="10">
        <f>BI15-BJ15</f>
        <v/>
      </c>
      <c r="BL15" s="10">
        <f>MIN('02_Данные'!AC15,BK15)</f>
        <v/>
      </c>
      <c r="BM15" s="10">
        <f>BK15-BL15</f>
        <v/>
      </c>
      <c r="BN15" s="10">
        <f>MIN('02_Данные'!AD15,BM15)</f>
        <v/>
      </c>
      <c r="BO15" s="10">
        <f>BM15-BN15</f>
        <v/>
      </c>
      <c r="BP15" s="10">
        <f>MIN('02_Данные'!AI15,BO15)</f>
        <v/>
      </c>
      <c r="BQ15" s="10">
        <f>BO15-BP15</f>
        <v/>
      </c>
      <c r="BR15" s="10">
        <f>MIN('02_Данные'!AF15,BQ15)</f>
        <v/>
      </c>
      <c r="BS15" s="10">
        <f>BQ15-BR15</f>
        <v/>
      </c>
      <c r="BT15" s="10">
        <f>MIN('02_Данные'!AE15,BS15)</f>
        <v/>
      </c>
      <c r="BU15" s="10">
        <f>BS15-BT15</f>
        <v/>
      </c>
      <c r="BV15" s="10">
        <f>MIN('02_Данные'!AG15,BU15)</f>
        <v/>
      </c>
      <c r="BW15" s="10">
        <f>BU15-BV15</f>
        <v/>
      </c>
      <c r="BX15" s="10">
        <f>MIN('02_Данные'!AH15,BW15)</f>
        <v/>
      </c>
      <c r="BY15" s="10">
        <f>BW15-BX15</f>
        <v/>
      </c>
      <c r="BZ15" s="10">
        <f>BY15+'02_Данные'!J15</f>
        <v/>
      </c>
      <c r="CA15" s="10">
        <f>MIN('02_Данные'!AJ15,BZ15)</f>
        <v/>
      </c>
      <c r="CB15" s="10">
        <f>BZ15-CA15</f>
        <v/>
      </c>
      <c r="CC15" s="10">
        <f>MIN('02_Данные'!AK15,CB15)</f>
        <v/>
      </c>
      <c r="CD15" s="10">
        <f>CB15-CC15</f>
        <v/>
      </c>
      <c r="CE15" s="10">
        <f>MIN('02_Данные'!AL15,CD15)</f>
        <v/>
      </c>
      <c r="CF15" s="10">
        <f>CD15-CE15</f>
        <v/>
      </c>
      <c r="CG15" s="10">
        <f>MIN('02_Данные'!AQ15,CF15)</f>
        <v/>
      </c>
      <c r="CH15" s="10">
        <f>CF15-CG15</f>
        <v/>
      </c>
      <c r="CI15" s="10">
        <f>MIN('02_Данные'!AN15,CH15)</f>
        <v/>
      </c>
      <c r="CJ15" s="10">
        <f>CH15-CI15</f>
        <v/>
      </c>
      <c r="CK15" s="10">
        <f>MIN('02_Данные'!AM15,CJ15)</f>
        <v/>
      </c>
      <c r="CL15" s="10">
        <f>CJ15-CK15</f>
        <v/>
      </c>
      <c r="CM15" s="10">
        <f>MIN('02_Данные'!AO15,CL15)</f>
        <v/>
      </c>
      <c r="CN15" s="10">
        <f>CL15-CM15</f>
        <v/>
      </c>
      <c r="CO15" s="10">
        <f>MIN('02_Данные'!AP15,CN15)</f>
        <v/>
      </c>
      <c r="CP15" s="10">
        <f>CN15-CO15</f>
        <v/>
      </c>
      <c r="CQ15" s="10">
        <f>CP15+'02_Данные'!K15</f>
        <v/>
      </c>
      <c r="CR15" s="10">
        <f>MIN('02_Данные'!AR15,CQ15)</f>
        <v/>
      </c>
      <c r="CS15" s="10">
        <f>CQ15-CR15</f>
        <v/>
      </c>
      <c r="CT15" s="10">
        <f>MIN('02_Данные'!AS15,CS15)</f>
        <v/>
      </c>
      <c r="CU15" s="10">
        <f>CS15-CT15</f>
        <v/>
      </c>
      <c r="CV15" s="10">
        <f>MIN('02_Данные'!AT15,CU15)</f>
        <v/>
      </c>
      <c r="CW15" s="10">
        <f>CU15-CV15</f>
        <v/>
      </c>
      <c r="CX15" s="10">
        <f>MIN('02_Данные'!AY15,CW15)</f>
        <v/>
      </c>
      <c r="CY15" s="10">
        <f>CW15-CX15</f>
        <v/>
      </c>
      <c r="CZ15" s="10">
        <f>MIN('02_Данные'!AV15,CY15)</f>
        <v/>
      </c>
      <c r="DA15" s="10">
        <f>CY15-CZ15</f>
        <v/>
      </c>
      <c r="DB15" s="10">
        <f>MIN('02_Данные'!AU15,DA15)</f>
        <v/>
      </c>
      <c r="DC15" s="10">
        <f>DA15-DB15</f>
        <v/>
      </c>
      <c r="DD15" s="10">
        <f>MIN('02_Данные'!AW15,DC15)</f>
        <v/>
      </c>
      <c r="DE15" s="10">
        <f>DC15-DD15</f>
        <v/>
      </c>
      <c r="DF15" s="10">
        <f>MIN('02_Данные'!AX15,DE15)</f>
        <v/>
      </c>
      <c r="DG15" s="10">
        <f>DE15-DF15</f>
        <v/>
      </c>
    </row>
    <row r="16">
      <c r="A16" s="9">
        <f>'02_Данные'!B16</f>
        <v/>
      </c>
      <c r="B16" s="9">
        <f>'02_Данные'!E16</f>
        <v/>
      </c>
      <c r="C16" s="10">
        <f>'02_Данные'!F16+'02_Данные'!G16+'02_Данные'!H16+'02_Данные'!I16+'02_Данные'!J16+'02_Данные'!K16</f>
        <v/>
      </c>
      <c r="D16" s="10">
        <f>SUM('02_Данные'!L16:'02_Данные'!AY16)</f>
        <v/>
      </c>
      <c r="E16" s="10">
        <f>MAX(0,D16-C16)</f>
        <v/>
      </c>
      <c r="F16" s="15">
        <f>IF(E16&gt;0.0001,"ДЕФИЦИТ",IF(Y16&gt;0.0001,"ПРОФИЦИТ","БАЛАНС"))</f>
        <v/>
      </c>
      <c r="G16" s="10">
        <f>AB16+AS16+BJ16+CA16+CR16</f>
        <v/>
      </c>
      <c r="H16" s="10">
        <f>AD16+AU16+BL16+CC16+CT16</f>
        <v/>
      </c>
      <c r="I16" s="10">
        <f>AF16+AW16+BN16+CE16+CV16</f>
        <v/>
      </c>
      <c r="J16" s="10">
        <f>AL16+BC16+BT16+CK16+DB16</f>
        <v/>
      </c>
      <c r="K16" s="10">
        <f>AJ16+BA16+BR16+CI16+CZ16</f>
        <v/>
      </c>
      <c r="L16" s="10">
        <f>AN16+BE16+BV16+CM16+DD16</f>
        <v/>
      </c>
      <c r="M16" s="10">
        <f>AP16+BG16+BX16+CO16+DF16</f>
        <v/>
      </c>
      <c r="N16" s="10">
        <f>AH16+AY16+BP16+CG16+CX16</f>
        <v/>
      </c>
      <c r="O16" s="10">
        <f>SUM(G16:N16)</f>
        <v/>
      </c>
      <c r="P16" s="10">
        <f>IFERROR(G16*MIN(1,'01_Нормативы'!$C$4/SUM(G$2:G$429)),0)</f>
        <v/>
      </c>
      <c r="Q16" s="10">
        <f>IFERROR(H16*MIN(1,'01_Нормативы'!$C$5/SUM(H$2:H$429)),0)</f>
        <v/>
      </c>
      <c r="R16" s="10">
        <f>IFERROR(I16*MIN(1,'01_Нормативы'!$C$6/SUM(I$2:I$429)),0)</f>
        <v/>
      </c>
      <c r="S16" s="10">
        <f>IFERROR(J16*MIN(1,'01_Нормативы'!$C$7/SUM(J$2:J$429)),0)</f>
        <v/>
      </c>
      <c r="T16" s="10">
        <f>IFERROR(K16*MIN(1,'01_Нормативы'!$C$8/SUM(K$2:K$429)),0)</f>
        <v/>
      </c>
      <c r="U16" s="10">
        <f>IFERROR(L16*MIN(1,'01_Нормативы'!$C$9/SUM(L$2:L$429)),0)</f>
        <v/>
      </c>
      <c r="V16" s="10">
        <f>IFERROR(M16*MIN(1,'01_Нормативы'!$C$10/SUM(M$2:M$429)),0)</f>
        <v/>
      </c>
      <c r="W16" s="10">
        <f>IFERROR(N16*MIN(1,'01_Нормативы'!$C$11/SUM(N$2:N$429)),0)</f>
        <v/>
      </c>
      <c r="X16" s="10">
        <f>SUM(P16:W16)</f>
        <v/>
      </c>
      <c r="Y16" s="10">
        <f>MAX(0,C16-X16)</f>
        <v/>
      </c>
      <c r="Z16" s="10">
        <f>IF(D16=0,100,X16/D16*100)</f>
        <v/>
      </c>
      <c r="AA16" s="10">
        <f>'02_Данные'!F16+'02_Данные'!G16</f>
        <v/>
      </c>
      <c r="AB16" s="10">
        <f>MIN('02_Данные'!L16,AA16)</f>
        <v/>
      </c>
      <c r="AC16" s="10">
        <f>AA16-AB16</f>
        <v/>
      </c>
      <c r="AD16" s="10">
        <f>MIN('02_Данные'!M16,AC16)</f>
        <v/>
      </c>
      <c r="AE16" s="10">
        <f>AC16-AD16</f>
        <v/>
      </c>
      <c r="AF16" s="10">
        <f>MIN('02_Данные'!N16,AE16)</f>
        <v/>
      </c>
      <c r="AG16" s="10">
        <f>AE16-AF16</f>
        <v/>
      </c>
      <c r="AH16" s="10">
        <f>MIN('02_Данные'!S16,AG16)</f>
        <v/>
      </c>
      <c r="AI16" s="10">
        <f>AG16-AH16</f>
        <v/>
      </c>
      <c r="AJ16" s="10">
        <f>MIN('02_Данные'!P16,AI16)</f>
        <v/>
      </c>
      <c r="AK16" s="10">
        <f>AI16-AJ16</f>
        <v/>
      </c>
      <c r="AL16" s="10">
        <f>MIN('02_Данные'!O16,AK16)</f>
        <v/>
      </c>
      <c r="AM16" s="10">
        <f>AK16-AL16</f>
        <v/>
      </c>
      <c r="AN16" s="10">
        <f>MIN('02_Данные'!Q16,AM16)</f>
        <v/>
      </c>
      <c r="AO16" s="10">
        <f>AM16-AN16</f>
        <v/>
      </c>
      <c r="AP16" s="10">
        <f>MIN('02_Данные'!R16,AO16)</f>
        <v/>
      </c>
      <c r="AQ16" s="10">
        <f>AO16-AP16</f>
        <v/>
      </c>
      <c r="AR16" s="10">
        <f>AQ16+'02_Данные'!H16</f>
        <v/>
      </c>
      <c r="AS16" s="10">
        <f>MIN('02_Данные'!T16,AR16)</f>
        <v/>
      </c>
      <c r="AT16" s="10">
        <f>AR16-AS16</f>
        <v/>
      </c>
      <c r="AU16" s="10">
        <f>MIN('02_Данные'!U16,AT16)</f>
        <v/>
      </c>
      <c r="AV16" s="10">
        <f>AT16-AU16</f>
        <v/>
      </c>
      <c r="AW16" s="10">
        <f>MIN('02_Данные'!V16,AV16)</f>
        <v/>
      </c>
      <c r="AX16" s="10">
        <f>AV16-AW16</f>
        <v/>
      </c>
      <c r="AY16" s="10">
        <f>MIN('02_Данные'!AA16,AX16)</f>
        <v/>
      </c>
      <c r="AZ16" s="10">
        <f>AX16-AY16</f>
        <v/>
      </c>
      <c r="BA16" s="10">
        <f>MIN('02_Данные'!X16,AZ16)</f>
        <v/>
      </c>
      <c r="BB16" s="10">
        <f>AZ16-BA16</f>
        <v/>
      </c>
      <c r="BC16" s="10">
        <f>MIN('02_Данные'!W16,BB16)</f>
        <v/>
      </c>
      <c r="BD16" s="10">
        <f>BB16-BC16</f>
        <v/>
      </c>
      <c r="BE16" s="10">
        <f>MIN('02_Данные'!Y16,BD16)</f>
        <v/>
      </c>
      <c r="BF16" s="10">
        <f>BD16-BE16</f>
        <v/>
      </c>
      <c r="BG16" s="10">
        <f>MIN('02_Данные'!Z16,BF16)</f>
        <v/>
      </c>
      <c r="BH16" s="10">
        <f>BF16-BG16</f>
        <v/>
      </c>
      <c r="BI16" s="10">
        <f>BH16+'02_Данные'!I16</f>
        <v/>
      </c>
      <c r="BJ16" s="10">
        <f>MIN('02_Данные'!AB16,BI16)</f>
        <v/>
      </c>
      <c r="BK16" s="10">
        <f>BI16-BJ16</f>
        <v/>
      </c>
      <c r="BL16" s="10">
        <f>MIN('02_Данные'!AC16,BK16)</f>
        <v/>
      </c>
      <c r="BM16" s="10">
        <f>BK16-BL16</f>
        <v/>
      </c>
      <c r="BN16" s="10">
        <f>MIN('02_Данные'!AD16,BM16)</f>
        <v/>
      </c>
      <c r="BO16" s="10">
        <f>BM16-BN16</f>
        <v/>
      </c>
      <c r="BP16" s="10">
        <f>MIN('02_Данные'!AI16,BO16)</f>
        <v/>
      </c>
      <c r="BQ16" s="10">
        <f>BO16-BP16</f>
        <v/>
      </c>
      <c r="BR16" s="10">
        <f>MIN('02_Данные'!AF16,BQ16)</f>
        <v/>
      </c>
      <c r="BS16" s="10">
        <f>BQ16-BR16</f>
        <v/>
      </c>
      <c r="BT16" s="10">
        <f>MIN('02_Данные'!AE16,BS16)</f>
        <v/>
      </c>
      <c r="BU16" s="10">
        <f>BS16-BT16</f>
        <v/>
      </c>
      <c r="BV16" s="10">
        <f>MIN('02_Данные'!AG16,BU16)</f>
        <v/>
      </c>
      <c r="BW16" s="10">
        <f>BU16-BV16</f>
        <v/>
      </c>
      <c r="BX16" s="10">
        <f>MIN('02_Данные'!AH16,BW16)</f>
        <v/>
      </c>
      <c r="BY16" s="10">
        <f>BW16-BX16</f>
        <v/>
      </c>
      <c r="BZ16" s="10">
        <f>BY16+'02_Данные'!J16</f>
        <v/>
      </c>
      <c r="CA16" s="10">
        <f>MIN('02_Данные'!AJ16,BZ16)</f>
        <v/>
      </c>
      <c r="CB16" s="10">
        <f>BZ16-CA16</f>
        <v/>
      </c>
      <c r="CC16" s="10">
        <f>MIN('02_Данные'!AK16,CB16)</f>
        <v/>
      </c>
      <c r="CD16" s="10">
        <f>CB16-CC16</f>
        <v/>
      </c>
      <c r="CE16" s="10">
        <f>MIN('02_Данные'!AL16,CD16)</f>
        <v/>
      </c>
      <c r="CF16" s="10">
        <f>CD16-CE16</f>
        <v/>
      </c>
      <c r="CG16" s="10">
        <f>MIN('02_Данные'!AQ16,CF16)</f>
        <v/>
      </c>
      <c r="CH16" s="10">
        <f>CF16-CG16</f>
        <v/>
      </c>
      <c r="CI16" s="10">
        <f>MIN('02_Данные'!AN16,CH16)</f>
        <v/>
      </c>
      <c r="CJ16" s="10">
        <f>CH16-CI16</f>
        <v/>
      </c>
      <c r="CK16" s="10">
        <f>MIN('02_Данные'!AM16,CJ16)</f>
        <v/>
      </c>
      <c r="CL16" s="10">
        <f>CJ16-CK16</f>
        <v/>
      </c>
      <c r="CM16" s="10">
        <f>MIN('02_Данные'!AO16,CL16)</f>
        <v/>
      </c>
      <c r="CN16" s="10">
        <f>CL16-CM16</f>
        <v/>
      </c>
      <c r="CO16" s="10">
        <f>MIN('02_Данные'!AP16,CN16)</f>
        <v/>
      </c>
      <c r="CP16" s="10">
        <f>CN16-CO16</f>
        <v/>
      </c>
      <c r="CQ16" s="10">
        <f>CP16+'02_Данные'!K16</f>
        <v/>
      </c>
      <c r="CR16" s="10">
        <f>MIN('02_Данные'!AR16,CQ16)</f>
        <v/>
      </c>
      <c r="CS16" s="10">
        <f>CQ16-CR16</f>
        <v/>
      </c>
      <c r="CT16" s="10">
        <f>MIN('02_Данные'!AS16,CS16)</f>
        <v/>
      </c>
      <c r="CU16" s="10">
        <f>CS16-CT16</f>
        <v/>
      </c>
      <c r="CV16" s="10">
        <f>MIN('02_Данные'!AT16,CU16)</f>
        <v/>
      </c>
      <c r="CW16" s="10">
        <f>CU16-CV16</f>
        <v/>
      </c>
      <c r="CX16" s="10">
        <f>MIN('02_Данные'!AY16,CW16)</f>
        <v/>
      </c>
      <c r="CY16" s="10">
        <f>CW16-CX16</f>
        <v/>
      </c>
      <c r="CZ16" s="10">
        <f>MIN('02_Данные'!AV16,CY16)</f>
        <v/>
      </c>
      <c r="DA16" s="10">
        <f>CY16-CZ16</f>
        <v/>
      </c>
      <c r="DB16" s="10">
        <f>MIN('02_Данные'!AU16,DA16)</f>
        <v/>
      </c>
      <c r="DC16" s="10">
        <f>DA16-DB16</f>
        <v/>
      </c>
      <c r="DD16" s="10">
        <f>MIN('02_Данные'!AW16,DC16)</f>
        <v/>
      </c>
      <c r="DE16" s="10">
        <f>DC16-DD16</f>
        <v/>
      </c>
      <c r="DF16" s="10">
        <f>MIN('02_Данные'!AX16,DE16)</f>
        <v/>
      </c>
      <c r="DG16" s="10">
        <f>DE16-DF16</f>
        <v/>
      </c>
    </row>
    <row r="17">
      <c r="A17" s="9">
        <f>'02_Данные'!B17</f>
        <v/>
      </c>
      <c r="B17" s="9">
        <f>'02_Данные'!E17</f>
        <v/>
      </c>
      <c r="C17" s="10">
        <f>'02_Данные'!F17+'02_Данные'!G17+'02_Данные'!H17+'02_Данные'!I17+'02_Данные'!J17+'02_Данные'!K17</f>
        <v/>
      </c>
      <c r="D17" s="10">
        <f>SUM('02_Данные'!L17:'02_Данные'!AY17)</f>
        <v/>
      </c>
      <c r="E17" s="10">
        <f>MAX(0,D17-C17)</f>
        <v/>
      </c>
      <c r="F17" s="15">
        <f>IF(E17&gt;0.0001,"ДЕФИЦИТ",IF(Y17&gt;0.0001,"ПРОФИЦИТ","БАЛАНС"))</f>
        <v/>
      </c>
      <c r="G17" s="10">
        <f>AB17+AS17+BJ17+CA17+CR17</f>
        <v/>
      </c>
      <c r="H17" s="10">
        <f>AD17+AU17+BL17+CC17+CT17</f>
        <v/>
      </c>
      <c r="I17" s="10">
        <f>AF17+AW17+BN17+CE17+CV17</f>
        <v/>
      </c>
      <c r="J17" s="10">
        <f>AL17+BC17+BT17+CK17+DB17</f>
        <v/>
      </c>
      <c r="K17" s="10">
        <f>AJ17+BA17+BR17+CI17+CZ17</f>
        <v/>
      </c>
      <c r="L17" s="10">
        <f>AN17+BE17+BV17+CM17+DD17</f>
        <v/>
      </c>
      <c r="M17" s="10">
        <f>AP17+BG17+BX17+CO17+DF17</f>
        <v/>
      </c>
      <c r="N17" s="10">
        <f>AH17+AY17+BP17+CG17+CX17</f>
        <v/>
      </c>
      <c r="O17" s="10">
        <f>SUM(G17:N17)</f>
        <v/>
      </c>
      <c r="P17" s="10">
        <f>IFERROR(G17*MIN(1,'01_Нормативы'!$C$4/SUM(G$2:G$429)),0)</f>
        <v/>
      </c>
      <c r="Q17" s="10">
        <f>IFERROR(H17*MIN(1,'01_Нормативы'!$C$5/SUM(H$2:H$429)),0)</f>
        <v/>
      </c>
      <c r="R17" s="10">
        <f>IFERROR(I17*MIN(1,'01_Нормативы'!$C$6/SUM(I$2:I$429)),0)</f>
        <v/>
      </c>
      <c r="S17" s="10">
        <f>IFERROR(J17*MIN(1,'01_Нормативы'!$C$7/SUM(J$2:J$429)),0)</f>
        <v/>
      </c>
      <c r="T17" s="10">
        <f>IFERROR(K17*MIN(1,'01_Нормативы'!$C$8/SUM(K$2:K$429)),0)</f>
        <v/>
      </c>
      <c r="U17" s="10">
        <f>IFERROR(L17*MIN(1,'01_Нормативы'!$C$9/SUM(L$2:L$429)),0)</f>
        <v/>
      </c>
      <c r="V17" s="10">
        <f>IFERROR(M17*MIN(1,'01_Нормативы'!$C$10/SUM(M$2:M$429)),0)</f>
        <v/>
      </c>
      <c r="W17" s="10">
        <f>IFERROR(N17*MIN(1,'01_Нормативы'!$C$11/SUM(N$2:N$429)),0)</f>
        <v/>
      </c>
      <c r="X17" s="10">
        <f>SUM(P17:W17)</f>
        <v/>
      </c>
      <c r="Y17" s="10">
        <f>MAX(0,C17-X17)</f>
        <v/>
      </c>
      <c r="Z17" s="10">
        <f>IF(D17=0,100,X17/D17*100)</f>
        <v/>
      </c>
      <c r="AA17" s="10">
        <f>'02_Данные'!F17+'02_Данные'!G17</f>
        <v/>
      </c>
      <c r="AB17" s="10">
        <f>MIN('02_Данные'!L17,AA17)</f>
        <v/>
      </c>
      <c r="AC17" s="10">
        <f>AA17-AB17</f>
        <v/>
      </c>
      <c r="AD17" s="10">
        <f>MIN('02_Данные'!M17,AC17)</f>
        <v/>
      </c>
      <c r="AE17" s="10">
        <f>AC17-AD17</f>
        <v/>
      </c>
      <c r="AF17" s="10">
        <f>MIN('02_Данные'!N17,AE17)</f>
        <v/>
      </c>
      <c r="AG17" s="10">
        <f>AE17-AF17</f>
        <v/>
      </c>
      <c r="AH17" s="10">
        <f>MIN('02_Данные'!S17,AG17)</f>
        <v/>
      </c>
      <c r="AI17" s="10">
        <f>AG17-AH17</f>
        <v/>
      </c>
      <c r="AJ17" s="10">
        <f>MIN('02_Данные'!P17,AI17)</f>
        <v/>
      </c>
      <c r="AK17" s="10">
        <f>AI17-AJ17</f>
        <v/>
      </c>
      <c r="AL17" s="10">
        <f>MIN('02_Данные'!O17,AK17)</f>
        <v/>
      </c>
      <c r="AM17" s="10">
        <f>AK17-AL17</f>
        <v/>
      </c>
      <c r="AN17" s="10">
        <f>MIN('02_Данные'!Q17,AM17)</f>
        <v/>
      </c>
      <c r="AO17" s="10">
        <f>AM17-AN17</f>
        <v/>
      </c>
      <c r="AP17" s="10">
        <f>MIN('02_Данные'!R17,AO17)</f>
        <v/>
      </c>
      <c r="AQ17" s="10">
        <f>AO17-AP17</f>
        <v/>
      </c>
      <c r="AR17" s="10">
        <f>AQ17+'02_Данные'!H17</f>
        <v/>
      </c>
      <c r="AS17" s="10">
        <f>MIN('02_Данные'!T17,AR17)</f>
        <v/>
      </c>
      <c r="AT17" s="10">
        <f>AR17-AS17</f>
        <v/>
      </c>
      <c r="AU17" s="10">
        <f>MIN('02_Данные'!U17,AT17)</f>
        <v/>
      </c>
      <c r="AV17" s="10">
        <f>AT17-AU17</f>
        <v/>
      </c>
      <c r="AW17" s="10">
        <f>MIN('02_Данные'!V17,AV17)</f>
        <v/>
      </c>
      <c r="AX17" s="10">
        <f>AV17-AW17</f>
        <v/>
      </c>
      <c r="AY17" s="10">
        <f>MIN('02_Данные'!AA17,AX17)</f>
        <v/>
      </c>
      <c r="AZ17" s="10">
        <f>AX17-AY17</f>
        <v/>
      </c>
      <c r="BA17" s="10">
        <f>MIN('02_Данные'!X17,AZ17)</f>
        <v/>
      </c>
      <c r="BB17" s="10">
        <f>AZ17-BA17</f>
        <v/>
      </c>
      <c r="BC17" s="10">
        <f>MIN('02_Данные'!W17,BB17)</f>
        <v/>
      </c>
      <c r="BD17" s="10">
        <f>BB17-BC17</f>
        <v/>
      </c>
      <c r="BE17" s="10">
        <f>MIN('02_Данные'!Y17,BD17)</f>
        <v/>
      </c>
      <c r="BF17" s="10">
        <f>BD17-BE17</f>
        <v/>
      </c>
      <c r="BG17" s="10">
        <f>MIN('02_Данные'!Z17,BF17)</f>
        <v/>
      </c>
      <c r="BH17" s="10">
        <f>BF17-BG17</f>
        <v/>
      </c>
      <c r="BI17" s="10">
        <f>BH17+'02_Данные'!I17</f>
        <v/>
      </c>
      <c r="BJ17" s="10">
        <f>MIN('02_Данные'!AB17,BI17)</f>
        <v/>
      </c>
      <c r="BK17" s="10">
        <f>BI17-BJ17</f>
        <v/>
      </c>
      <c r="BL17" s="10">
        <f>MIN('02_Данные'!AC17,BK17)</f>
        <v/>
      </c>
      <c r="BM17" s="10">
        <f>BK17-BL17</f>
        <v/>
      </c>
      <c r="BN17" s="10">
        <f>MIN('02_Данные'!AD17,BM17)</f>
        <v/>
      </c>
      <c r="BO17" s="10">
        <f>BM17-BN17</f>
        <v/>
      </c>
      <c r="BP17" s="10">
        <f>MIN('02_Данные'!AI17,BO17)</f>
        <v/>
      </c>
      <c r="BQ17" s="10">
        <f>BO17-BP17</f>
        <v/>
      </c>
      <c r="BR17" s="10">
        <f>MIN('02_Данные'!AF17,BQ17)</f>
        <v/>
      </c>
      <c r="BS17" s="10">
        <f>BQ17-BR17</f>
        <v/>
      </c>
      <c r="BT17" s="10">
        <f>MIN('02_Данные'!AE17,BS17)</f>
        <v/>
      </c>
      <c r="BU17" s="10">
        <f>BS17-BT17</f>
        <v/>
      </c>
      <c r="BV17" s="10">
        <f>MIN('02_Данные'!AG17,BU17)</f>
        <v/>
      </c>
      <c r="BW17" s="10">
        <f>BU17-BV17</f>
        <v/>
      </c>
      <c r="BX17" s="10">
        <f>MIN('02_Данные'!AH17,BW17)</f>
        <v/>
      </c>
      <c r="BY17" s="10">
        <f>BW17-BX17</f>
        <v/>
      </c>
      <c r="BZ17" s="10">
        <f>BY17+'02_Данные'!J17</f>
        <v/>
      </c>
      <c r="CA17" s="10">
        <f>MIN('02_Данные'!AJ17,BZ17)</f>
        <v/>
      </c>
      <c r="CB17" s="10">
        <f>BZ17-CA17</f>
        <v/>
      </c>
      <c r="CC17" s="10">
        <f>MIN('02_Данные'!AK17,CB17)</f>
        <v/>
      </c>
      <c r="CD17" s="10">
        <f>CB17-CC17</f>
        <v/>
      </c>
      <c r="CE17" s="10">
        <f>MIN('02_Данные'!AL17,CD17)</f>
        <v/>
      </c>
      <c r="CF17" s="10">
        <f>CD17-CE17</f>
        <v/>
      </c>
      <c r="CG17" s="10">
        <f>MIN('02_Данные'!AQ17,CF17)</f>
        <v/>
      </c>
      <c r="CH17" s="10">
        <f>CF17-CG17</f>
        <v/>
      </c>
      <c r="CI17" s="10">
        <f>MIN('02_Данные'!AN17,CH17)</f>
        <v/>
      </c>
      <c r="CJ17" s="10">
        <f>CH17-CI17</f>
        <v/>
      </c>
      <c r="CK17" s="10">
        <f>MIN('02_Данные'!AM17,CJ17)</f>
        <v/>
      </c>
      <c r="CL17" s="10">
        <f>CJ17-CK17</f>
        <v/>
      </c>
      <c r="CM17" s="10">
        <f>MIN('02_Данные'!AO17,CL17)</f>
        <v/>
      </c>
      <c r="CN17" s="10">
        <f>CL17-CM17</f>
        <v/>
      </c>
      <c r="CO17" s="10">
        <f>MIN('02_Данные'!AP17,CN17)</f>
        <v/>
      </c>
      <c r="CP17" s="10">
        <f>CN17-CO17</f>
        <v/>
      </c>
      <c r="CQ17" s="10">
        <f>CP17+'02_Данные'!K17</f>
        <v/>
      </c>
      <c r="CR17" s="10">
        <f>MIN('02_Данные'!AR17,CQ17)</f>
        <v/>
      </c>
      <c r="CS17" s="10">
        <f>CQ17-CR17</f>
        <v/>
      </c>
      <c r="CT17" s="10">
        <f>MIN('02_Данные'!AS17,CS17)</f>
        <v/>
      </c>
      <c r="CU17" s="10">
        <f>CS17-CT17</f>
        <v/>
      </c>
      <c r="CV17" s="10">
        <f>MIN('02_Данные'!AT17,CU17)</f>
        <v/>
      </c>
      <c r="CW17" s="10">
        <f>CU17-CV17</f>
        <v/>
      </c>
      <c r="CX17" s="10">
        <f>MIN('02_Данные'!AY17,CW17)</f>
        <v/>
      </c>
      <c r="CY17" s="10">
        <f>CW17-CX17</f>
        <v/>
      </c>
      <c r="CZ17" s="10">
        <f>MIN('02_Данные'!AV17,CY17)</f>
        <v/>
      </c>
      <c r="DA17" s="10">
        <f>CY17-CZ17</f>
        <v/>
      </c>
      <c r="DB17" s="10">
        <f>MIN('02_Данные'!AU17,DA17)</f>
        <v/>
      </c>
      <c r="DC17" s="10">
        <f>DA17-DB17</f>
        <v/>
      </c>
      <c r="DD17" s="10">
        <f>MIN('02_Данные'!AW17,DC17)</f>
        <v/>
      </c>
      <c r="DE17" s="10">
        <f>DC17-DD17</f>
        <v/>
      </c>
      <c r="DF17" s="10">
        <f>MIN('02_Данные'!AX17,DE17)</f>
        <v/>
      </c>
      <c r="DG17" s="10">
        <f>DE17-DF17</f>
        <v/>
      </c>
    </row>
    <row r="18">
      <c r="A18" s="9">
        <f>'02_Данные'!B18</f>
        <v/>
      </c>
      <c r="B18" s="9">
        <f>'02_Данные'!E18</f>
        <v/>
      </c>
      <c r="C18" s="10">
        <f>'02_Данные'!F18+'02_Данные'!G18+'02_Данные'!H18+'02_Данные'!I18+'02_Данные'!J18+'02_Данные'!K18</f>
        <v/>
      </c>
      <c r="D18" s="10">
        <f>SUM('02_Данные'!L18:'02_Данные'!AY18)</f>
        <v/>
      </c>
      <c r="E18" s="10">
        <f>MAX(0,D18-C18)</f>
        <v/>
      </c>
      <c r="F18" s="15">
        <f>IF(E18&gt;0.0001,"ДЕФИЦИТ",IF(Y18&gt;0.0001,"ПРОФИЦИТ","БАЛАНС"))</f>
        <v/>
      </c>
      <c r="G18" s="10">
        <f>AB18+AS18+BJ18+CA18+CR18</f>
        <v/>
      </c>
      <c r="H18" s="10">
        <f>AD18+AU18+BL18+CC18+CT18</f>
        <v/>
      </c>
      <c r="I18" s="10">
        <f>AF18+AW18+BN18+CE18+CV18</f>
        <v/>
      </c>
      <c r="J18" s="10">
        <f>AL18+BC18+BT18+CK18+DB18</f>
        <v/>
      </c>
      <c r="K18" s="10">
        <f>AJ18+BA18+BR18+CI18+CZ18</f>
        <v/>
      </c>
      <c r="L18" s="10">
        <f>AN18+BE18+BV18+CM18+DD18</f>
        <v/>
      </c>
      <c r="M18" s="10">
        <f>AP18+BG18+BX18+CO18+DF18</f>
        <v/>
      </c>
      <c r="N18" s="10">
        <f>AH18+AY18+BP18+CG18+CX18</f>
        <v/>
      </c>
      <c r="O18" s="10">
        <f>SUM(G18:N18)</f>
        <v/>
      </c>
      <c r="P18" s="10">
        <f>IFERROR(G18*MIN(1,'01_Нормативы'!$C$4/SUM(G$2:G$429)),0)</f>
        <v/>
      </c>
      <c r="Q18" s="10">
        <f>IFERROR(H18*MIN(1,'01_Нормативы'!$C$5/SUM(H$2:H$429)),0)</f>
        <v/>
      </c>
      <c r="R18" s="10">
        <f>IFERROR(I18*MIN(1,'01_Нормативы'!$C$6/SUM(I$2:I$429)),0)</f>
        <v/>
      </c>
      <c r="S18" s="10">
        <f>IFERROR(J18*MIN(1,'01_Нормативы'!$C$7/SUM(J$2:J$429)),0)</f>
        <v/>
      </c>
      <c r="T18" s="10">
        <f>IFERROR(K18*MIN(1,'01_Нормативы'!$C$8/SUM(K$2:K$429)),0)</f>
        <v/>
      </c>
      <c r="U18" s="10">
        <f>IFERROR(L18*MIN(1,'01_Нормативы'!$C$9/SUM(L$2:L$429)),0)</f>
        <v/>
      </c>
      <c r="V18" s="10">
        <f>IFERROR(M18*MIN(1,'01_Нормативы'!$C$10/SUM(M$2:M$429)),0)</f>
        <v/>
      </c>
      <c r="W18" s="10">
        <f>IFERROR(N18*MIN(1,'01_Нормативы'!$C$11/SUM(N$2:N$429)),0)</f>
        <v/>
      </c>
      <c r="X18" s="10">
        <f>SUM(P18:W18)</f>
        <v/>
      </c>
      <c r="Y18" s="10">
        <f>MAX(0,C18-X18)</f>
        <v/>
      </c>
      <c r="Z18" s="10">
        <f>IF(D18=0,100,X18/D18*100)</f>
        <v/>
      </c>
      <c r="AA18" s="10">
        <f>'02_Данные'!F18+'02_Данные'!G18</f>
        <v/>
      </c>
      <c r="AB18" s="10">
        <f>MIN('02_Данные'!L18,AA18)</f>
        <v/>
      </c>
      <c r="AC18" s="10">
        <f>AA18-AB18</f>
        <v/>
      </c>
      <c r="AD18" s="10">
        <f>MIN('02_Данные'!M18,AC18)</f>
        <v/>
      </c>
      <c r="AE18" s="10">
        <f>AC18-AD18</f>
        <v/>
      </c>
      <c r="AF18" s="10">
        <f>MIN('02_Данные'!N18,AE18)</f>
        <v/>
      </c>
      <c r="AG18" s="10">
        <f>AE18-AF18</f>
        <v/>
      </c>
      <c r="AH18" s="10">
        <f>MIN('02_Данные'!S18,AG18)</f>
        <v/>
      </c>
      <c r="AI18" s="10">
        <f>AG18-AH18</f>
        <v/>
      </c>
      <c r="AJ18" s="10">
        <f>MIN('02_Данные'!P18,AI18)</f>
        <v/>
      </c>
      <c r="AK18" s="10">
        <f>AI18-AJ18</f>
        <v/>
      </c>
      <c r="AL18" s="10">
        <f>MIN('02_Данные'!O18,AK18)</f>
        <v/>
      </c>
      <c r="AM18" s="10">
        <f>AK18-AL18</f>
        <v/>
      </c>
      <c r="AN18" s="10">
        <f>MIN('02_Данные'!Q18,AM18)</f>
        <v/>
      </c>
      <c r="AO18" s="10">
        <f>AM18-AN18</f>
        <v/>
      </c>
      <c r="AP18" s="10">
        <f>MIN('02_Данные'!R18,AO18)</f>
        <v/>
      </c>
      <c r="AQ18" s="10">
        <f>AO18-AP18</f>
        <v/>
      </c>
      <c r="AR18" s="10">
        <f>AQ18+'02_Данные'!H18</f>
        <v/>
      </c>
      <c r="AS18" s="10">
        <f>MIN('02_Данные'!T18,AR18)</f>
        <v/>
      </c>
      <c r="AT18" s="10">
        <f>AR18-AS18</f>
        <v/>
      </c>
      <c r="AU18" s="10">
        <f>MIN('02_Данные'!U18,AT18)</f>
        <v/>
      </c>
      <c r="AV18" s="10">
        <f>AT18-AU18</f>
        <v/>
      </c>
      <c r="AW18" s="10">
        <f>MIN('02_Данные'!V18,AV18)</f>
        <v/>
      </c>
      <c r="AX18" s="10">
        <f>AV18-AW18</f>
        <v/>
      </c>
      <c r="AY18" s="10">
        <f>MIN('02_Данные'!AA18,AX18)</f>
        <v/>
      </c>
      <c r="AZ18" s="10">
        <f>AX18-AY18</f>
        <v/>
      </c>
      <c r="BA18" s="10">
        <f>MIN('02_Данные'!X18,AZ18)</f>
        <v/>
      </c>
      <c r="BB18" s="10">
        <f>AZ18-BA18</f>
        <v/>
      </c>
      <c r="BC18" s="10">
        <f>MIN('02_Данные'!W18,BB18)</f>
        <v/>
      </c>
      <c r="BD18" s="10">
        <f>BB18-BC18</f>
        <v/>
      </c>
      <c r="BE18" s="10">
        <f>MIN('02_Данные'!Y18,BD18)</f>
        <v/>
      </c>
      <c r="BF18" s="10">
        <f>BD18-BE18</f>
        <v/>
      </c>
      <c r="BG18" s="10">
        <f>MIN('02_Данные'!Z18,BF18)</f>
        <v/>
      </c>
      <c r="BH18" s="10">
        <f>BF18-BG18</f>
        <v/>
      </c>
      <c r="BI18" s="10">
        <f>BH18+'02_Данные'!I18</f>
        <v/>
      </c>
      <c r="BJ18" s="10">
        <f>MIN('02_Данные'!AB18,BI18)</f>
        <v/>
      </c>
      <c r="BK18" s="10">
        <f>BI18-BJ18</f>
        <v/>
      </c>
      <c r="BL18" s="10">
        <f>MIN('02_Данные'!AC18,BK18)</f>
        <v/>
      </c>
      <c r="BM18" s="10">
        <f>BK18-BL18</f>
        <v/>
      </c>
      <c r="BN18" s="10">
        <f>MIN('02_Данные'!AD18,BM18)</f>
        <v/>
      </c>
      <c r="BO18" s="10">
        <f>BM18-BN18</f>
        <v/>
      </c>
      <c r="BP18" s="10">
        <f>MIN('02_Данные'!AI18,BO18)</f>
        <v/>
      </c>
      <c r="BQ18" s="10">
        <f>BO18-BP18</f>
        <v/>
      </c>
      <c r="BR18" s="10">
        <f>MIN('02_Данные'!AF18,BQ18)</f>
        <v/>
      </c>
      <c r="BS18" s="10">
        <f>BQ18-BR18</f>
        <v/>
      </c>
      <c r="BT18" s="10">
        <f>MIN('02_Данные'!AE18,BS18)</f>
        <v/>
      </c>
      <c r="BU18" s="10">
        <f>BS18-BT18</f>
        <v/>
      </c>
      <c r="BV18" s="10">
        <f>MIN('02_Данные'!AG18,BU18)</f>
        <v/>
      </c>
      <c r="BW18" s="10">
        <f>BU18-BV18</f>
        <v/>
      </c>
      <c r="BX18" s="10">
        <f>MIN('02_Данные'!AH18,BW18)</f>
        <v/>
      </c>
      <c r="BY18" s="10">
        <f>BW18-BX18</f>
        <v/>
      </c>
      <c r="BZ18" s="10">
        <f>BY18+'02_Данные'!J18</f>
        <v/>
      </c>
      <c r="CA18" s="10">
        <f>MIN('02_Данные'!AJ18,BZ18)</f>
        <v/>
      </c>
      <c r="CB18" s="10">
        <f>BZ18-CA18</f>
        <v/>
      </c>
      <c r="CC18" s="10">
        <f>MIN('02_Данные'!AK18,CB18)</f>
        <v/>
      </c>
      <c r="CD18" s="10">
        <f>CB18-CC18</f>
        <v/>
      </c>
      <c r="CE18" s="10">
        <f>MIN('02_Данные'!AL18,CD18)</f>
        <v/>
      </c>
      <c r="CF18" s="10">
        <f>CD18-CE18</f>
        <v/>
      </c>
      <c r="CG18" s="10">
        <f>MIN('02_Данные'!AQ18,CF18)</f>
        <v/>
      </c>
      <c r="CH18" s="10">
        <f>CF18-CG18</f>
        <v/>
      </c>
      <c r="CI18" s="10">
        <f>MIN('02_Данные'!AN18,CH18)</f>
        <v/>
      </c>
      <c r="CJ18" s="10">
        <f>CH18-CI18</f>
        <v/>
      </c>
      <c r="CK18" s="10">
        <f>MIN('02_Данные'!AM18,CJ18)</f>
        <v/>
      </c>
      <c r="CL18" s="10">
        <f>CJ18-CK18</f>
        <v/>
      </c>
      <c r="CM18" s="10">
        <f>MIN('02_Данные'!AO18,CL18)</f>
        <v/>
      </c>
      <c r="CN18" s="10">
        <f>CL18-CM18</f>
        <v/>
      </c>
      <c r="CO18" s="10">
        <f>MIN('02_Данные'!AP18,CN18)</f>
        <v/>
      </c>
      <c r="CP18" s="10">
        <f>CN18-CO18</f>
        <v/>
      </c>
      <c r="CQ18" s="10">
        <f>CP18+'02_Данные'!K18</f>
        <v/>
      </c>
      <c r="CR18" s="10">
        <f>MIN('02_Данные'!AR18,CQ18)</f>
        <v/>
      </c>
      <c r="CS18" s="10">
        <f>CQ18-CR18</f>
        <v/>
      </c>
      <c r="CT18" s="10">
        <f>MIN('02_Данные'!AS18,CS18)</f>
        <v/>
      </c>
      <c r="CU18" s="10">
        <f>CS18-CT18</f>
        <v/>
      </c>
      <c r="CV18" s="10">
        <f>MIN('02_Данные'!AT18,CU18)</f>
        <v/>
      </c>
      <c r="CW18" s="10">
        <f>CU18-CV18</f>
        <v/>
      </c>
      <c r="CX18" s="10">
        <f>MIN('02_Данные'!AY18,CW18)</f>
        <v/>
      </c>
      <c r="CY18" s="10">
        <f>CW18-CX18</f>
        <v/>
      </c>
      <c r="CZ18" s="10">
        <f>MIN('02_Данные'!AV18,CY18)</f>
        <v/>
      </c>
      <c r="DA18" s="10">
        <f>CY18-CZ18</f>
        <v/>
      </c>
      <c r="DB18" s="10">
        <f>MIN('02_Данные'!AU18,DA18)</f>
        <v/>
      </c>
      <c r="DC18" s="10">
        <f>DA18-DB18</f>
        <v/>
      </c>
      <c r="DD18" s="10">
        <f>MIN('02_Данные'!AW18,DC18)</f>
        <v/>
      </c>
      <c r="DE18" s="10">
        <f>DC18-DD18</f>
        <v/>
      </c>
      <c r="DF18" s="10">
        <f>MIN('02_Данные'!AX18,DE18)</f>
        <v/>
      </c>
      <c r="DG18" s="10">
        <f>DE18-DF18</f>
        <v/>
      </c>
    </row>
    <row r="19">
      <c r="A19" s="9">
        <f>'02_Данные'!B19</f>
        <v/>
      </c>
      <c r="B19" s="9">
        <f>'02_Данные'!E19</f>
        <v/>
      </c>
      <c r="C19" s="10">
        <f>'02_Данные'!F19+'02_Данные'!G19+'02_Данные'!H19+'02_Данные'!I19+'02_Данные'!J19+'02_Данные'!K19</f>
        <v/>
      </c>
      <c r="D19" s="10">
        <f>SUM('02_Данные'!L19:'02_Данные'!AY19)</f>
        <v/>
      </c>
      <c r="E19" s="10">
        <f>MAX(0,D19-C19)</f>
        <v/>
      </c>
      <c r="F19" s="15">
        <f>IF(E19&gt;0.0001,"ДЕФИЦИТ",IF(Y19&gt;0.0001,"ПРОФИЦИТ","БАЛАНС"))</f>
        <v/>
      </c>
      <c r="G19" s="10">
        <f>AB19+AS19+BJ19+CA19+CR19</f>
        <v/>
      </c>
      <c r="H19" s="10">
        <f>AD19+AU19+BL19+CC19+CT19</f>
        <v/>
      </c>
      <c r="I19" s="10">
        <f>AF19+AW19+BN19+CE19+CV19</f>
        <v/>
      </c>
      <c r="J19" s="10">
        <f>AL19+BC19+BT19+CK19+DB19</f>
        <v/>
      </c>
      <c r="K19" s="10">
        <f>AJ19+BA19+BR19+CI19+CZ19</f>
        <v/>
      </c>
      <c r="L19" s="10">
        <f>AN19+BE19+BV19+CM19+DD19</f>
        <v/>
      </c>
      <c r="M19" s="10">
        <f>AP19+BG19+BX19+CO19+DF19</f>
        <v/>
      </c>
      <c r="N19" s="10">
        <f>AH19+AY19+BP19+CG19+CX19</f>
        <v/>
      </c>
      <c r="O19" s="10">
        <f>SUM(G19:N19)</f>
        <v/>
      </c>
      <c r="P19" s="10">
        <f>IFERROR(G19*MIN(1,'01_Нормативы'!$C$4/SUM(G$2:G$429)),0)</f>
        <v/>
      </c>
      <c r="Q19" s="10">
        <f>IFERROR(H19*MIN(1,'01_Нормативы'!$C$5/SUM(H$2:H$429)),0)</f>
        <v/>
      </c>
      <c r="R19" s="10">
        <f>IFERROR(I19*MIN(1,'01_Нормативы'!$C$6/SUM(I$2:I$429)),0)</f>
        <v/>
      </c>
      <c r="S19" s="10">
        <f>IFERROR(J19*MIN(1,'01_Нормативы'!$C$7/SUM(J$2:J$429)),0)</f>
        <v/>
      </c>
      <c r="T19" s="10">
        <f>IFERROR(K19*MIN(1,'01_Нормативы'!$C$8/SUM(K$2:K$429)),0)</f>
        <v/>
      </c>
      <c r="U19" s="10">
        <f>IFERROR(L19*MIN(1,'01_Нормативы'!$C$9/SUM(L$2:L$429)),0)</f>
        <v/>
      </c>
      <c r="V19" s="10">
        <f>IFERROR(M19*MIN(1,'01_Нормативы'!$C$10/SUM(M$2:M$429)),0)</f>
        <v/>
      </c>
      <c r="W19" s="10">
        <f>IFERROR(N19*MIN(1,'01_Нормативы'!$C$11/SUM(N$2:N$429)),0)</f>
        <v/>
      </c>
      <c r="X19" s="10">
        <f>SUM(P19:W19)</f>
        <v/>
      </c>
      <c r="Y19" s="10">
        <f>MAX(0,C19-X19)</f>
        <v/>
      </c>
      <c r="Z19" s="10">
        <f>IF(D19=0,100,X19/D19*100)</f>
        <v/>
      </c>
      <c r="AA19" s="10">
        <f>'02_Данные'!F19+'02_Данные'!G19</f>
        <v/>
      </c>
      <c r="AB19" s="10">
        <f>MIN('02_Данные'!L19,AA19)</f>
        <v/>
      </c>
      <c r="AC19" s="10">
        <f>AA19-AB19</f>
        <v/>
      </c>
      <c r="AD19" s="10">
        <f>MIN('02_Данные'!M19,AC19)</f>
        <v/>
      </c>
      <c r="AE19" s="10">
        <f>AC19-AD19</f>
        <v/>
      </c>
      <c r="AF19" s="10">
        <f>MIN('02_Данные'!N19,AE19)</f>
        <v/>
      </c>
      <c r="AG19" s="10">
        <f>AE19-AF19</f>
        <v/>
      </c>
      <c r="AH19" s="10">
        <f>MIN('02_Данные'!S19,AG19)</f>
        <v/>
      </c>
      <c r="AI19" s="10">
        <f>AG19-AH19</f>
        <v/>
      </c>
      <c r="AJ19" s="10">
        <f>MIN('02_Данные'!P19,AI19)</f>
        <v/>
      </c>
      <c r="AK19" s="10">
        <f>AI19-AJ19</f>
        <v/>
      </c>
      <c r="AL19" s="10">
        <f>MIN('02_Данные'!O19,AK19)</f>
        <v/>
      </c>
      <c r="AM19" s="10">
        <f>AK19-AL19</f>
        <v/>
      </c>
      <c r="AN19" s="10">
        <f>MIN('02_Данные'!Q19,AM19)</f>
        <v/>
      </c>
      <c r="AO19" s="10">
        <f>AM19-AN19</f>
        <v/>
      </c>
      <c r="AP19" s="10">
        <f>MIN('02_Данные'!R19,AO19)</f>
        <v/>
      </c>
      <c r="AQ19" s="10">
        <f>AO19-AP19</f>
        <v/>
      </c>
      <c r="AR19" s="10">
        <f>AQ19+'02_Данные'!H19</f>
        <v/>
      </c>
      <c r="AS19" s="10">
        <f>MIN('02_Данные'!T19,AR19)</f>
        <v/>
      </c>
      <c r="AT19" s="10">
        <f>AR19-AS19</f>
        <v/>
      </c>
      <c r="AU19" s="10">
        <f>MIN('02_Данные'!U19,AT19)</f>
        <v/>
      </c>
      <c r="AV19" s="10">
        <f>AT19-AU19</f>
        <v/>
      </c>
      <c r="AW19" s="10">
        <f>MIN('02_Данные'!V19,AV19)</f>
        <v/>
      </c>
      <c r="AX19" s="10">
        <f>AV19-AW19</f>
        <v/>
      </c>
      <c r="AY19" s="10">
        <f>MIN('02_Данные'!AA19,AX19)</f>
        <v/>
      </c>
      <c r="AZ19" s="10">
        <f>AX19-AY19</f>
        <v/>
      </c>
      <c r="BA19" s="10">
        <f>MIN('02_Данные'!X19,AZ19)</f>
        <v/>
      </c>
      <c r="BB19" s="10">
        <f>AZ19-BA19</f>
        <v/>
      </c>
      <c r="BC19" s="10">
        <f>MIN('02_Данные'!W19,BB19)</f>
        <v/>
      </c>
      <c r="BD19" s="10">
        <f>BB19-BC19</f>
        <v/>
      </c>
      <c r="BE19" s="10">
        <f>MIN('02_Данные'!Y19,BD19)</f>
        <v/>
      </c>
      <c r="BF19" s="10">
        <f>BD19-BE19</f>
        <v/>
      </c>
      <c r="BG19" s="10">
        <f>MIN('02_Данные'!Z19,BF19)</f>
        <v/>
      </c>
      <c r="BH19" s="10">
        <f>BF19-BG19</f>
        <v/>
      </c>
      <c r="BI19" s="10">
        <f>BH19+'02_Данные'!I19</f>
        <v/>
      </c>
      <c r="BJ19" s="10">
        <f>MIN('02_Данные'!AB19,BI19)</f>
        <v/>
      </c>
      <c r="BK19" s="10">
        <f>BI19-BJ19</f>
        <v/>
      </c>
      <c r="BL19" s="10">
        <f>MIN('02_Данные'!AC19,BK19)</f>
        <v/>
      </c>
      <c r="BM19" s="10">
        <f>BK19-BL19</f>
        <v/>
      </c>
      <c r="BN19" s="10">
        <f>MIN('02_Данные'!AD19,BM19)</f>
        <v/>
      </c>
      <c r="BO19" s="10">
        <f>BM19-BN19</f>
        <v/>
      </c>
      <c r="BP19" s="10">
        <f>MIN('02_Данные'!AI19,BO19)</f>
        <v/>
      </c>
      <c r="BQ19" s="10">
        <f>BO19-BP19</f>
        <v/>
      </c>
      <c r="BR19" s="10">
        <f>MIN('02_Данные'!AF19,BQ19)</f>
        <v/>
      </c>
      <c r="BS19" s="10">
        <f>BQ19-BR19</f>
        <v/>
      </c>
      <c r="BT19" s="10">
        <f>MIN('02_Данные'!AE19,BS19)</f>
        <v/>
      </c>
      <c r="BU19" s="10">
        <f>BS19-BT19</f>
        <v/>
      </c>
      <c r="BV19" s="10">
        <f>MIN('02_Данные'!AG19,BU19)</f>
        <v/>
      </c>
      <c r="BW19" s="10">
        <f>BU19-BV19</f>
        <v/>
      </c>
      <c r="BX19" s="10">
        <f>MIN('02_Данные'!AH19,BW19)</f>
        <v/>
      </c>
      <c r="BY19" s="10">
        <f>BW19-BX19</f>
        <v/>
      </c>
      <c r="BZ19" s="10">
        <f>BY19+'02_Данные'!J19</f>
        <v/>
      </c>
      <c r="CA19" s="10">
        <f>MIN('02_Данные'!AJ19,BZ19)</f>
        <v/>
      </c>
      <c r="CB19" s="10">
        <f>BZ19-CA19</f>
        <v/>
      </c>
      <c r="CC19" s="10">
        <f>MIN('02_Данные'!AK19,CB19)</f>
        <v/>
      </c>
      <c r="CD19" s="10">
        <f>CB19-CC19</f>
        <v/>
      </c>
      <c r="CE19" s="10">
        <f>MIN('02_Данные'!AL19,CD19)</f>
        <v/>
      </c>
      <c r="CF19" s="10">
        <f>CD19-CE19</f>
        <v/>
      </c>
      <c r="CG19" s="10">
        <f>MIN('02_Данные'!AQ19,CF19)</f>
        <v/>
      </c>
      <c r="CH19" s="10">
        <f>CF19-CG19</f>
        <v/>
      </c>
      <c r="CI19" s="10">
        <f>MIN('02_Данные'!AN19,CH19)</f>
        <v/>
      </c>
      <c r="CJ19" s="10">
        <f>CH19-CI19</f>
        <v/>
      </c>
      <c r="CK19" s="10">
        <f>MIN('02_Данные'!AM19,CJ19)</f>
        <v/>
      </c>
      <c r="CL19" s="10">
        <f>CJ19-CK19</f>
        <v/>
      </c>
      <c r="CM19" s="10">
        <f>MIN('02_Данные'!AO19,CL19)</f>
        <v/>
      </c>
      <c r="CN19" s="10">
        <f>CL19-CM19</f>
        <v/>
      </c>
      <c r="CO19" s="10">
        <f>MIN('02_Данные'!AP19,CN19)</f>
        <v/>
      </c>
      <c r="CP19" s="10">
        <f>CN19-CO19</f>
        <v/>
      </c>
      <c r="CQ19" s="10">
        <f>CP19+'02_Данные'!K19</f>
        <v/>
      </c>
      <c r="CR19" s="10">
        <f>MIN('02_Данные'!AR19,CQ19)</f>
        <v/>
      </c>
      <c r="CS19" s="10">
        <f>CQ19-CR19</f>
        <v/>
      </c>
      <c r="CT19" s="10">
        <f>MIN('02_Данные'!AS19,CS19)</f>
        <v/>
      </c>
      <c r="CU19" s="10">
        <f>CS19-CT19</f>
        <v/>
      </c>
      <c r="CV19" s="10">
        <f>MIN('02_Данные'!AT19,CU19)</f>
        <v/>
      </c>
      <c r="CW19" s="10">
        <f>CU19-CV19</f>
        <v/>
      </c>
      <c r="CX19" s="10">
        <f>MIN('02_Данные'!AY19,CW19)</f>
        <v/>
      </c>
      <c r="CY19" s="10">
        <f>CW19-CX19</f>
        <v/>
      </c>
      <c r="CZ19" s="10">
        <f>MIN('02_Данные'!AV19,CY19)</f>
        <v/>
      </c>
      <c r="DA19" s="10">
        <f>CY19-CZ19</f>
        <v/>
      </c>
      <c r="DB19" s="10">
        <f>MIN('02_Данные'!AU19,DA19)</f>
        <v/>
      </c>
      <c r="DC19" s="10">
        <f>DA19-DB19</f>
        <v/>
      </c>
      <c r="DD19" s="10">
        <f>MIN('02_Данные'!AW19,DC19)</f>
        <v/>
      </c>
      <c r="DE19" s="10">
        <f>DC19-DD19</f>
        <v/>
      </c>
      <c r="DF19" s="10">
        <f>MIN('02_Данные'!AX19,DE19)</f>
        <v/>
      </c>
      <c r="DG19" s="10">
        <f>DE19-DF19</f>
        <v/>
      </c>
    </row>
    <row r="20">
      <c r="A20" s="9">
        <f>'02_Данные'!B20</f>
        <v/>
      </c>
      <c r="B20" s="9">
        <f>'02_Данные'!E20</f>
        <v/>
      </c>
      <c r="C20" s="10">
        <f>'02_Данные'!F20+'02_Данные'!G20+'02_Данные'!H20+'02_Данные'!I20+'02_Данные'!J20+'02_Данные'!K20</f>
        <v/>
      </c>
      <c r="D20" s="10">
        <f>SUM('02_Данные'!L20:'02_Данные'!AY20)</f>
        <v/>
      </c>
      <c r="E20" s="10">
        <f>MAX(0,D20-C20)</f>
        <v/>
      </c>
      <c r="F20" s="15">
        <f>IF(E20&gt;0.0001,"ДЕФИЦИТ",IF(Y20&gt;0.0001,"ПРОФИЦИТ","БАЛАНС"))</f>
        <v/>
      </c>
      <c r="G20" s="10">
        <f>AB20+AS20+BJ20+CA20+CR20</f>
        <v/>
      </c>
      <c r="H20" s="10">
        <f>AD20+AU20+BL20+CC20+CT20</f>
        <v/>
      </c>
      <c r="I20" s="10">
        <f>AF20+AW20+BN20+CE20+CV20</f>
        <v/>
      </c>
      <c r="J20" s="10">
        <f>AL20+BC20+BT20+CK20+DB20</f>
        <v/>
      </c>
      <c r="K20" s="10">
        <f>AJ20+BA20+BR20+CI20+CZ20</f>
        <v/>
      </c>
      <c r="L20" s="10">
        <f>AN20+BE20+BV20+CM20+DD20</f>
        <v/>
      </c>
      <c r="M20" s="10">
        <f>AP20+BG20+BX20+CO20+DF20</f>
        <v/>
      </c>
      <c r="N20" s="10">
        <f>AH20+AY20+BP20+CG20+CX20</f>
        <v/>
      </c>
      <c r="O20" s="10">
        <f>SUM(G20:N20)</f>
        <v/>
      </c>
      <c r="P20" s="10">
        <f>IFERROR(G20*MIN(1,'01_Нормативы'!$C$4/SUM(G$2:G$429)),0)</f>
        <v/>
      </c>
      <c r="Q20" s="10">
        <f>IFERROR(H20*MIN(1,'01_Нормативы'!$C$5/SUM(H$2:H$429)),0)</f>
        <v/>
      </c>
      <c r="R20" s="10">
        <f>IFERROR(I20*MIN(1,'01_Нормативы'!$C$6/SUM(I$2:I$429)),0)</f>
        <v/>
      </c>
      <c r="S20" s="10">
        <f>IFERROR(J20*MIN(1,'01_Нормативы'!$C$7/SUM(J$2:J$429)),0)</f>
        <v/>
      </c>
      <c r="T20" s="10">
        <f>IFERROR(K20*MIN(1,'01_Нормативы'!$C$8/SUM(K$2:K$429)),0)</f>
        <v/>
      </c>
      <c r="U20" s="10">
        <f>IFERROR(L20*MIN(1,'01_Нормативы'!$C$9/SUM(L$2:L$429)),0)</f>
        <v/>
      </c>
      <c r="V20" s="10">
        <f>IFERROR(M20*MIN(1,'01_Нормативы'!$C$10/SUM(M$2:M$429)),0)</f>
        <v/>
      </c>
      <c r="W20" s="10">
        <f>IFERROR(N20*MIN(1,'01_Нормативы'!$C$11/SUM(N$2:N$429)),0)</f>
        <v/>
      </c>
      <c r="X20" s="10">
        <f>SUM(P20:W20)</f>
        <v/>
      </c>
      <c r="Y20" s="10">
        <f>MAX(0,C20-X20)</f>
        <v/>
      </c>
      <c r="Z20" s="10">
        <f>IF(D20=0,100,X20/D20*100)</f>
        <v/>
      </c>
      <c r="AA20" s="10">
        <f>'02_Данные'!F20+'02_Данные'!G20</f>
        <v/>
      </c>
      <c r="AB20" s="10">
        <f>MIN('02_Данные'!L20,AA20)</f>
        <v/>
      </c>
      <c r="AC20" s="10">
        <f>AA20-AB20</f>
        <v/>
      </c>
      <c r="AD20" s="10">
        <f>MIN('02_Данные'!M20,AC20)</f>
        <v/>
      </c>
      <c r="AE20" s="10">
        <f>AC20-AD20</f>
        <v/>
      </c>
      <c r="AF20" s="10">
        <f>MIN('02_Данные'!N20,AE20)</f>
        <v/>
      </c>
      <c r="AG20" s="10">
        <f>AE20-AF20</f>
        <v/>
      </c>
      <c r="AH20" s="10">
        <f>MIN('02_Данные'!S20,AG20)</f>
        <v/>
      </c>
      <c r="AI20" s="10">
        <f>AG20-AH20</f>
        <v/>
      </c>
      <c r="AJ20" s="10">
        <f>MIN('02_Данные'!P20,AI20)</f>
        <v/>
      </c>
      <c r="AK20" s="10">
        <f>AI20-AJ20</f>
        <v/>
      </c>
      <c r="AL20" s="10">
        <f>MIN('02_Данные'!O20,AK20)</f>
        <v/>
      </c>
      <c r="AM20" s="10">
        <f>AK20-AL20</f>
        <v/>
      </c>
      <c r="AN20" s="10">
        <f>MIN('02_Данные'!Q20,AM20)</f>
        <v/>
      </c>
      <c r="AO20" s="10">
        <f>AM20-AN20</f>
        <v/>
      </c>
      <c r="AP20" s="10">
        <f>MIN('02_Данные'!R20,AO20)</f>
        <v/>
      </c>
      <c r="AQ20" s="10">
        <f>AO20-AP20</f>
        <v/>
      </c>
      <c r="AR20" s="10">
        <f>AQ20+'02_Данные'!H20</f>
        <v/>
      </c>
      <c r="AS20" s="10">
        <f>MIN('02_Данные'!T20,AR20)</f>
        <v/>
      </c>
      <c r="AT20" s="10">
        <f>AR20-AS20</f>
        <v/>
      </c>
      <c r="AU20" s="10">
        <f>MIN('02_Данные'!U20,AT20)</f>
        <v/>
      </c>
      <c r="AV20" s="10">
        <f>AT20-AU20</f>
        <v/>
      </c>
      <c r="AW20" s="10">
        <f>MIN('02_Данные'!V20,AV20)</f>
        <v/>
      </c>
      <c r="AX20" s="10">
        <f>AV20-AW20</f>
        <v/>
      </c>
      <c r="AY20" s="10">
        <f>MIN('02_Данные'!AA20,AX20)</f>
        <v/>
      </c>
      <c r="AZ20" s="10">
        <f>AX20-AY20</f>
        <v/>
      </c>
      <c r="BA20" s="10">
        <f>MIN('02_Данные'!X20,AZ20)</f>
        <v/>
      </c>
      <c r="BB20" s="10">
        <f>AZ20-BA20</f>
        <v/>
      </c>
      <c r="BC20" s="10">
        <f>MIN('02_Данные'!W20,BB20)</f>
        <v/>
      </c>
      <c r="BD20" s="10">
        <f>BB20-BC20</f>
        <v/>
      </c>
      <c r="BE20" s="10">
        <f>MIN('02_Данные'!Y20,BD20)</f>
        <v/>
      </c>
      <c r="BF20" s="10">
        <f>BD20-BE20</f>
        <v/>
      </c>
      <c r="BG20" s="10">
        <f>MIN('02_Данные'!Z20,BF20)</f>
        <v/>
      </c>
      <c r="BH20" s="10">
        <f>BF20-BG20</f>
        <v/>
      </c>
      <c r="BI20" s="10">
        <f>BH20+'02_Данные'!I20</f>
        <v/>
      </c>
      <c r="BJ20" s="10">
        <f>MIN('02_Данные'!AB20,BI20)</f>
        <v/>
      </c>
      <c r="BK20" s="10">
        <f>BI20-BJ20</f>
        <v/>
      </c>
      <c r="BL20" s="10">
        <f>MIN('02_Данные'!AC20,BK20)</f>
        <v/>
      </c>
      <c r="BM20" s="10">
        <f>BK20-BL20</f>
        <v/>
      </c>
      <c r="BN20" s="10">
        <f>MIN('02_Данные'!AD20,BM20)</f>
        <v/>
      </c>
      <c r="BO20" s="10">
        <f>BM20-BN20</f>
        <v/>
      </c>
      <c r="BP20" s="10">
        <f>MIN('02_Данные'!AI20,BO20)</f>
        <v/>
      </c>
      <c r="BQ20" s="10">
        <f>BO20-BP20</f>
        <v/>
      </c>
      <c r="BR20" s="10">
        <f>MIN('02_Данные'!AF20,BQ20)</f>
        <v/>
      </c>
      <c r="BS20" s="10">
        <f>BQ20-BR20</f>
        <v/>
      </c>
      <c r="BT20" s="10">
        <f>MIN('02_Данные'!AE20,BS20)</f>
        <v/>
      </c>
      <c r="BU20" s="10">
        <f>BS20-BT20</f>
        <v/>
      </c>
      <c r="BV20" s="10">
        <f>MIN('02_Данные'!AG20,BU20)</f>
        <v/>
      </c>
      <c r="BW20" s="10">
        <f>BU20-BV20</f>
        <v/>
      </c>
      <c r="BX20" s="10">
        <f>MIN('02_Данные'!AH20,BW20)</f>
        <v/>
      </c>
      <c r="BY20" s="10">
        <f>BW20-BX20</f>
        <v/>
      </c>
      <c r="BZ20" s="10">
        <f>BY20+'02_Данные'!J20</f>
        <v/>
      </c>
      <c r="CA20" s="10">
        <f>MIN('02_Данные'!AJ20,BZ20)</f>
        <v/>
      </c>
      <c r="CB20" s="10">
        <f>BZ20-CA20</f>
        <v/>
      </c>
      <c r="CC20" s="10">
        <f>MIN('02_Данные'!AK20,CB20)</f>
        <v/>
      </c>
      <c r="CD20" s="10">
        <f>CB20-CC20</f>
        <v/>
      </c>
      <c r="CE20" s="10">
        <f>MIN('02_Данные'!AL20,CD20)</f>
        <v/>
      </c>
      <c r="CF20" s="10">
        <f>CD20-CE20</f>
        <v/>
      </c>
      <c r="CG20" s="10">
        <f>MIN('02_Данные'!AQ20,CF20)</f>
        <v/>
      </c>
      <c r="CH20" s="10">
        <f>CF20-CG20</f>
        <v/>
      </c>
      <c r="CI20" s="10">
        <f>MIN('02_Данные'!AN20,CH20)</f>
        <v/>
      </c>
      <c r="CJ20" s="10">
        <f>CH20-CI20</f>
        <v/>
      </c>
      <c r="CK20" s="10">
        <f>MIN('02_Данные'!AM20,CJ20)</f>
        <v/>
      </c>
      <c r="CL20" s="10">
        <f>CJ20-CK20</f>
        <v/>
      </c>
      <c r="CM20" s="10">
        <f>MIN('02_Данные'!AO20,CL20)</f>
        <v/>
      </c>
      <c r="CN20" s="10">
        <f>CL20-CM20</f>
        <v/>
      </c>
      <c r="CO20" s="10">
        <f>MIN('02_Данные'!AP20,CN20)</f>
        <v/>
      </c>
      <c r="CP20" s="10">
        <f>CN20-CO20</f>
        <v/>
      </c>
      <c r="CQ20" s="10">
        <f>CP20+'02_Данные'!K20</f>
        <v/>
      </c>
      <c r="CR20" s="10">
        <f>MIN('02_Данные'!AR20,CQ20)</f>
        <v/>
      </c>
      <c r="CS20" s="10">
        <f>CQ20-CR20</f>
        <v/>
      </c>
      <c r="CT20" s="10">
        <f>MIN('02_Данные'!AS20,CS20)</f>
        <v/>
      </c>
      <c r="CU20" s="10">
        <f>CS20-CT20</f>
        <v/>
      </c>
      <c r="CV20" s="10">
        <f>MIN('02_Данные'!AT20,CU20)</f>
        <v/>
      </c>
      <c r="CW20" s="10">
        <f>CU20-CV20</f>
        <v/>
      </c>
      <c r="CX20" s="10">
        <f>MIN('02_Данные'!AY20,CW20)</f>
        <v/>
      </c>
      <c r="CY20" s="10">
        <f>CW20-CX20</f>
        <v/>
      </c>
      <c r="CZ20" s="10">
        <f>MIN('02_Данные'!AV20,CY20)</f>
        <v/>
      </c>
      <c r="DA20" s="10">
        <f>CY20-CZ20</f>
        <v/>
      </c>
      <c r="DB20" s="10">
        <f>MIN('02_Данные'!AU20,DA20)</f>
        <v/>
      </c>
      <c r="DC20" s="10">
        <f>DA20-DB20</f>
        <v/>
      </c>
      <c r="DD20" s="10">
        <f>MIN('02_Данные'!AW20,DC20)</f>
        <v/>
      </c>
      <c r="DE20" s="10">
        <f>DC20-DD20</f>
        <v/>
      </c>
      <c r="DF20" s="10">
        <f>MIN('02_Данные'!AX20,DE20)</f>
        <v/>
      </c>
      <c r="DG20" s="10">
        <f>DE20-DF20</f>
        <v/>
      </c>
    </row>
    <row r="21">
      <c r="A21" s="9">
        <f>'02_Данные'!B21</f>
        <v/>
      </c>
      <c r="B21" s="9">
        <f>'02_Данные'!E21</f>
        <v/>
      </c>
      <c r="C21" s="10">
        <f>'02_Данные'!F21+'02_Данные'!G21+'02_Данные'!H21+'02_Данные'!I21+'02_Данные'!J21+'02_Данные'!K21</f>
        <v/>
      </c>
      <c r="D21" s="10">
        <f>SUM('02_Данные'!L21:'02_Данные'!AY21)</f>
        <v/>
      </c>
      <c r="E21" s="10">
        <f>MAX(0,D21-C21)</f>
        <v/>
      </c>
      <c r="F21" s="15">
        <f>IF(E21&gt;0.0001,"ДЕФИЦИТ",IF(Y21&gt;0.0001,"ПРОФИЦИТ","БАЛАНС"))</f>
        <v/>
      </c>
      <c r="G21" s="10">
        <f>AB21+AS21+BJ21+CA21+CR21</f>
        <v/>
      </c>
      <c r="H21" s="10">
        <f>AD21+AU21+BL21+CC21+CT21</f>
        <v/>
      </c>
      <c r="I21" s="10">
        <f>AF21+AW21+BN21+CE21+CV21</f>
        <v/>
      </c>
      <c r="J21" s="10">
        <f>AL21+BC21+BT21+CK21+DB21</f>
        <v/>
      </c>
      <c r="K21" s="10">
        <f>AJ21+BA21+BR21+CI21+CZ21</f>
        <v/>
      </c>
      <c r="L21" s="10">
        <f>AN21+BE21+BV21+CM21+DD21</f>
        <v/>
      </c>
      <c r="M21" s="10">
        <f>AP21+BG21+BX21+CO21+DF21</f>
        <v/>
      </c>
      <c r="N21" s="10">
        <f>AH21+AY21+BP21+CG21+CX21</f>
        <v/>
      </c>
      <c r="O21" s="10">
        <f>SUM(G21:N21)</f>
        <v/>
      </c>
      <c r="P21" s="10">
        <f>IFERROR(G21*MIN(1,'01_Нормативы'!$C$4/SUM(G$2:G$429)),0)</f>
        <v/>
      </c>
      <c r="Q21" s="10">
        <f>IFERROR(H21*MIN(1,'01_Нормативы'!$C$5/SUM(H$2:H$429)),0)</f>
        <v/>
      </c>
      <c r="R21" s="10">
        <f>IFERROR(I21*MIN(1,'01_Нормативы'!$C$6/SUM(I$2:I$429)),0)</f>
        <v/>
      </c>
      <c r="S21" s="10">
        <f>IFERROR(J21*MIN(1,'01_Нормативы'!$C$7/SUM(J$2:J$429)),0)</f>
        <v/>
      </c>
      <c r="T21" s="10">
        <f>IFERROR(K21*MIN(1,'01_Нормативы'!$C$8/SUM(K$2:K$429)),0)</f>
        <v/>
      </c>
      <c r="U21" s="10">
        <f>IFERROR(L21*MIN(1,'01_Нормативы'!$C$9/SUM(L$2:L$429)),0)</f>
        <v/>
      </c>
      <c r="V21" s="10">
        <f>IFERROR(M21*MIN(1,'01_Нормативы'!$C$10/SUM(M$2:M$429)),0)</f>
        <v/>
      </c>
      <c r="W21" s="10">
        <f>IFERROR(N21*MIN(1,'01_Нормативы'!$C$11/SUM(N$2:N$429)),0)</f>
        <v/>
      </c>
      <c r="X21" s="10">
        <f>SUM(P21:W21)</f>
        <v/>
      </c>
      <c r="Y21" s="10">
        <f>MAX(0,C21-X21)</f>
        <v/>
      </c>
      <c r="Z21" s="10">
        <f>IF(D21=0,100,X21/D21*100)</f>
        <v/>
      </c>
      <c r="AA21" s="10">
        <f>'02_Данные'!F21+'02_Данные'!G21</f>
        <v/>
      </c>
      <c r="AB21" s="10">
        <f>MIN('02_Данные'!L21,AA21)</f>
        <v/>
      </c>
      <c r="AC21" s="10">
        <f>AA21-AB21</f>
        <v/>
      </c>
      <c r="AD21" s="10">
        <f>MIN('02_Данные'!M21,AC21)</f>
        <v/>
      </c>
      <c r="AE21" s="10">
        <f>AC21-AD21</f>
        <v/>
      </c>
      <c r="AF21" s="10">
        <f>MIN('02_Данные'!N21,AE21)</f>
        <v/>
      </c>
      <c r="AG21" s="10">
        <f>AE21-AF21</f>
        <v/>
      </c>
      <c r="AH21" s="10">
        <f>MIN('02_Данные'!S21,AG21)</f>
        <v/>
      </c>
      <c r="AI21" s="10">
        <f>AG21-AH21</f>
        <v/>
      </c>
      <c r="AJ21" s="10">
        <f>MIN('02_Данные'!P21,AI21)</f>
        <v/>
      </c>
      <c r="AK21" s="10">
        <f>AI21-AJ21</f>
        <v/>
      </c>
      <c r="AL21" s="10">
        <f>MIN('02_Данные'!O21,AK21)</f>
        <v/>
      </c>
      <c r="AM21" s="10">
        <f>AK21-AL21</f>
        <v/>
      </c>
      <c r="AN21" s="10">
        <f>MIN('02_Данные'!Q21,AM21)</f>
        <v/>
      </c>
      <c r="AO21" s="10">
        <f>AM21-AN21</f>
        <v/>
      </c>
      <c r="AP21" s="10">
        <f>MIN('02_Данные'!R21,AO21)</f>
        <v/>
      </c>
      <c r="AQ21" s="10">
        <f>AO21-AP21</f>
        <v/>
      </c>
      <c r="AR21" s="10">
        <f>AQ21+'02_Данные'!H21</f>
        <v/>
      </c>
      <c r="AS21" s="10">
        <f>MIN('02_Данные'!T21,AR21)</f>
        <v/>
      </c>
      <c r="AT21" s="10">
        <f>AR21-AS21</f>
        <v/>
      </c>
      <c r="AU21" s="10">
        <f>MIN('02_Данные'!U21,AT21)</f>
        <v/>
      </c>
      <c r="AV21" s="10">
        <f>AT21-AU21</f>
        <v/>
      </c>
      <c r="AW21" s="10">
        <f>MIN('02_Данные'!V21,AV21)</f>
        <v/>
      </c>
      <c r="AX21" s="10">
        <f>AV21-AW21</f>
        <v/>
      </c>
      <c r="AY21" s="10">
        <f>MIN('02_Данные'!AA21,AX21)</f>
        <v/>
      </c>
      <c r="AZ21" s="10">
        <f>AX21-AY21</f>
        <v/>
      </c>
      <c r="BA21" s="10">
        <f>MIN('02_Данные'!X21,AZ21)</f>
        <v/>
      </c>
      <c r="BB21" s="10">
        <f>AZ21-BA21</f>
        <v/>
      </c>
      <c r="BC21" s="10">
        <f>MIN('02_Данные'!W21,BB21)</f>
        <v/>
      </c>
      <c r="BD21" s="10">
        <f>BB21-BC21</f>
        <v/>
      </c>
      <c r="BE21" s="10">
        <f>MIN('02_Данные'!Y21,BD21)</f>
        <v/>
      </c>
      <c r="BF21" s="10">
        <f>BD21-BE21</f>
        <v/>
      </c>
      <c r="BG21" s="10">
        <f>MIN('02_Данные'!Z21,BF21)</f>
        <v/>
      </c>
      <c r="BH21" s="10">
        <f>BF21-BG21</f>
        <v/>
      </c>
      <c r="BI21" s="10">
        <f>BH21+'02_Данные'!I21</f>
        <v/>
      </c>
      <c r="BJ21" s="10">
        <f>MIN('02_Данные'!AB21,BI21)</f>
        <v/>
      </c>
      <c r="BK21" s="10">
        <f>BI21-BJ21</f>
        <v/>
      </c>
      <c r="BL21" s="10">
        <f>MIN('02_Данные'!AC21,BK21)</f>
        <v/>
      </c>
      <c r="BM21" s="10">
        <f>BK21-BL21</f>
        <v/>
      </c>
      <c r="BN21" s="10">
        <f>MIN('02_Данные'!AD21,BM21)</f>
        <v/>
      </c>
      <c r="BO21" s="10">
        <f>BM21-BN21</f>
        <v/>
      </c>
      <c r="BP21" s="10">
        <f>MIN('02_Данные'!AI21,BO21)</f>
        <v/>
      </c>
      <c r="BQ21" s="10">
        <f>BO21-BP21</f>
        <v/>
      </c>
      <c r="BR21" s="10">
        <f>MIN('02_Данные'!AF21,BQ21)</f>
        <v/>
      </c>
      <c r="BS21" s="10">
        <f>BQ21-BR21</f>
        <v/>
      </c>
      <c r="BT21" s="10">
        <f>MIN('02_Данные'!AE21,BS21)</f>
        <v/>
      </c>
      <c r="BU21" s="10">
        <f>BS21-BT21</f>
        <v/>
      </c>
      <c r="BV21" s="10">
        <f>MIN('02_Данные'!AG21,BU21)</f>
        <v/>
      </c>
      <c r="BW21" s="10">
        <f>BU21-BV21</f>
        <v/>
      </c>
      <c r="BX21" s="10">
        <f>MIN('02_Данные'!AH21,BW21)</f>
        <v/>
      </c>
      <c r="BY21" s="10">
        <f>BW21-BX21</f>
        <v/>
      </c>
      <c r="BZ21" s="10">
        <f>BY21+'02_Данные'!J21</f>
        <v/>
      </c>
      <c r="CA21" s="10">
        <f>MIN('02_Данные'!AJ21,BZ21)</f>
        <v/>
      </c>
      <c r="CB21" s="10">
        <f>BZ21-CA21</f>
        <v/>
      </c>
      <c r="CC21" s="10">
        <f>MIN('02_Данные'!AK21,CB21)</f>
        <v/>
      </c>
      <c r="CD21" s="10">
        <f>CB21-CC21</f>
        <v/>
      </c>
      <c r="CE21" s="10">
        <f>MIN('02_Данные'!AL21,CD21)</f>
        <v/>
      </c>
      <c r="CF21" s="10">
        <f>CD21-CE21</f>
        <v/>
      </c>
      <c r="CG21" s="10">
        <f>MIN('02_Данные'!AQ21,CF21)</f>
        <v/>
      </c>
      <c r="CH21" s="10">
        <f>CF21-CG21</f>
        <v/>
      </c>
      <c r="CI21" s="10">
        <f>MIN('02_Данные'!AN21,CH21)</f>
        <v/>
      </c>
      <c r="CJ21" s="10">
        <f>CH21-CI21</f>
        <v/>
      </c>
      <c r="CK21" s="10">
        <f>MIN('02_Данные'!AM21,CJ21)</f>
        <v/>
      </c>
      <c r="CL21" s="10">
        <f>CJ21-CK21</f>
        <v/>
      </c>
      <c r="CM21" s="10">
        <f>MIN('02_Данные'!AO21,CL21)</f>
        <v/>
      </c>
      <c r="CN21" s="10">
        <f>CL21-CM21</f>
        <v/>
      </c>
      <c r="CO21" s="10">
        <f>MIN('02_Данные'!AP21,CN21)</f>
        <v/>
      </c>
      <c r="CP21" s="10">
        <f>CN21-CO21</f>
        <v/>
      </c>
      <c r="CQ21" s="10">
        <f>CP21+'02_Данные'!K21</f>
        <v/>
      </c>
      <c r="CR21" s="10">
        <f>MIN('02_Данные'!AR21,CQ21)</f>
        <v/>
      </c>
      <c r="CS21" s="10">
        <f>CQ21-CR21</f>
        <v/>
      </c>
      <c r="CT21" s="10">
        <f>MIN('02_Данные'!AS21,CS21)</f>
        <v/>
      </c>
      <c r="CU21" s="10">
        <f>CS21-CT21</f>
        <v/>
      </c>
      <c r="CV21" s="10">
        <f>MIN('02_Данные'!AT21,CU21)</f>
        <v/>
      </c>
      <c r="CW21" s="10">
        <f>CU21-CV21</f>
        <v/>
      </c>
      <c r="CX21" s="10">
        <f>MIN('02_Данные'!AY21,CW21)</f>
        <v/>
      </c>
      <c r="CY21" s="10">
        <f>CW21-CX21</f>
        <v/>
      </c>
      <c r="CZ21" s="10">
        <f>MIN('02_Данные'!AV21,CY21)</f>
        <v/>
      </c>
      <c r="DA21" s="10">
        <f>CY21-CZ21</f>
        <v/>
      </c>
      <c r="DB21" s="10">
        <f>MIN('02_Данные'!AU21,DA21)</f>
        <v/>
      </c>
      <c r="DC21" s="10">
        <f>DA21-DB21</f>
        <v/>
      </c>
      <c r="DD21" s="10">
        <f>MIN('02_Данные'!AW21,DC21)</f>
        <v/>
      </c>
      <c r="DE21" s="10">
        <f>DC21-DD21</f>
        <v/>
      </c>
      <c r="DF21" s="10">
        <f>MIN('02_Данные'!AX21,DE21)</f>
        <v/>
      </c>
      <c r="DG21" s="10">
        <f>DE21-DF21</f>
        <v/>
      </c>
    </row>
    <row r="22">
      <c r="A22" s="9">
        <f>'02_Данные'!B22</f>
        <v/>
      </c>
      <c r="B22" s="9">
        <f>'02_Данные'!E22</f>
        <v/>
      </c>
      <c r="C22" s="10">
        <f>'02_Данные'!F22+'02_Данные'!G22+'02_Данные'!H22+'02_Данные'!I22+'02_Данные'!J22+'02_Данные'!K22</f>
        <v/>
      </c>
      <c r="D22" s="10">
        <f>SUM('02_Данные'!L22:'02_Данные'!AY22)</f>
        <v/>
      </c>
      <c r="E22" s="10">
        <f>MAX(0,D22-C22)</f>
        <v/>
      </c>
      <c r="F22" s="15">
        <f>IF(E22&gt;0.0001,"ДЕФИЦИТ",IF(Y22&gt;0.0001,"ПРОФИЦИТ","БАЛАНС"))</f>
        <v/>
      </c>
      <c r="G22" s="10">
        <f>AB22+AS22+BJ22+CA22+CR22</f>
        <v/>
      </c>
      <c r="H22" s="10">
        <f>AD22+AU22+BL22+CC22+CT22</f>
        <v/>
      </c>
      <c r="I22" s="10">
        <f>AF22+AW22+BN22+CE22+CV22</f>
        <v/>
      </c>
      <c r="J22" s="10">
        <f>AL22+BC22+BT22+CK22+DB22</f>
        <v/>
      </c>
      <c r="K22" s="10">
        <f>AJ22+BA22+BR22+CI22+CZ22</f>
        <v/>
      </c>
      <c r="L22" s="10">
        <f>AN22+BE22+BV22+CM22+DD22</f>
        <v/>
      </c>
      <c r="M22" s="10">
        <f>AP22+BG22+BX22+CO22+DF22</f>
        <v/>
      </c>
      <c r="N22" s="10">
        <f>AH22+AY22+BP22+CG22+CX22</f>
        <v/>
      </c>
      <c r="O22" s="10">
        <f>SUM(G22:N22)</f>
        <v/>
      </c>
      <c r="P22" s="10">
        <f>IFERROR(G22*MIN(1,'01_Нормативы'!$C$4/SUM(G$2:G$429)),0)</f>
        <v/>
      </c>
      <c r="Q22" s="10">
        <f>IFERROR(H22*MIN(1,'01_Нормативы'!$C$5/SUM(H$2:H$429)),0)</f>
        <v/>
      </c>
      <c r="R22" s="10">
        <f>IFERROR(I22*MIN(1,'01_Нормативы'!$C$6/SUM(I$2:I$429)),0)</f>
        <v/>
      </c>
      <c r="S22" s="10">
        <f>IFERROR(J22*MIN(1,'01_Нормативы'!$C$7/SUM(J$2:J$429)),0)</f>
        <v/>
      </c>
      <c r="T22" s="10">
        <f>IFERROR(K22*MIN(1,'01_Нормативы'!$C$8/SUM(K$2:K$429)),0)</f>
        <v/>
      </c>
      <c r="U22" s="10">
        <f>IFERROR(L22*MIN(1,'01_Нормативы'!$C$9/SUM(L$2:L$429)),0)</f>
        <v/>
      </c>
      <c r="V22" s="10">
        <f>IFERROR(M22*MIN(1,'01_Нормативы'!$C$10/SUM(M$2:M$429)),0)</f>
        <v/>
      </c>
      <c r="W22" s="10">
        <f>IFERROR(N22*MIN(1,'01_Нормативы'!$C$11/SUM(N$2:N$429)),0)</f>
        <v/>
      </c>
      <c r="X22" s="10">
        <f>SUM(P22:W22)</f>
        <v/>
      </c>
      <c r="Y22" s="10">
        <f>MAX(0,C22-X22)</f>
        <v/>
      </c>
      <c r="Z22" s="10">
        <f>IF(D22=0,100,X22/D22*100)</f>
        <v/>
      </c>
      <c r="AA22" s="10">
        <f>'02_Данные'!F22+'02_Данные'!G22</f>
        <v/>
      </c>
      <c r="AB22" s="10">
        <f>MIN('02_Данные'!L22,AA22)</f>
        <v/>
      </c>
      <c r="AC22" s="10">
        <f>AA22-AB22</f>
        <v/>
      </c>
      <c r="AD22" s="10">
        <f>MIN('02_Данные'!M22,AC22)</f>
        <v/>
      </c>
      <c r="AE22" s="10">
        <f>AC22-AD22</f>
        <v/>
      </c>
      <c r="AF22" s="10">
        <f>MIN('02_Данные'!N22,AE22)</f>
        <v/>
      </c>
      <c r="AG22" s="10">
        <f>AE22-AF22</f>
        <v/>
      </c>
      <c r="AH22" s="10">
        <f>MIN('02_Данные'!S22,AG22)</f>
        <v/>
      </c>
      <c r="AI22" s="10">
        <f>AG22-AH22</f>
        <v/>
      </c>
      <c r="AJ22" s="10">
        <f>MIN('02_Данные'!P22,AI22)</f>
        <v/>
      </c>
      <c r="AK22" s="10">
        <f>AI22-AJ22</f>
        <v/>
      </c>
      <c r="AL22" s="10">
        <f>MIN('02_Данные'!O22,AK22)</f>
        <v/>
      </c>
      <c r="AM22" s="10">
        <f>AK22-AL22</f>
        <v/>
      </c>
      <c r="AN22" s="10">
        <f>MIN('02_Данные'!Q22,AM22)</f>
        <v/>
      </c>
      <c r="AO22" s="10">
        <f>AM22-AN22</f>
        <v/>
      </c>
      <c r="AP22" s="10">
        <f>MIN('02_Данные'!R22,AO22)</f>
        <v/>
      </c>
      <c r="AQ22" s="10">
        <f>AO22-AP22</f>
        <v/>
      </c>
      <c r="AR22" s="10">
        <f>AQ22+'02_Данные'!H22</f>
        <v/>
      </c>
      <c r="AS22" s="10">
        <f>MIN('02_Данные'!T22,AR22)</f>
        <v/>
      </c>
      <c r="AT22" s="10">
        <f>AR22-AS22</f>
        <v/>
      </c>
      <c r="AU22" s="10">
        <f>MIN('02_Данные'!U22,AT22)</f>
        <v/>
      </c>
      <c r="AV22" s="10">
        <f>AT22-AU22</f>
        <v/>
      </c>
      <c r="AW22" s="10">
        <f>MIN('02_Данные'!V22,AV22)</f>
        <v/>
      </c>
      <c r="AX22" s="10">
        <f>AV22-AW22</f>
        <v/>
      </c>
      <c r="AY22" s="10">
        <f>MIN('02_Данные'!AA22,AX22)</f>
        <v/>
      </c>
      <c r="AZ22" s="10">
        <f>AX22-AY22</f>
        <v/>
      </c>
      <c r="BA22" s="10">
        <f>MIN('02_Данные'!X22,AZ22)</f>
        <v/>
      </c>
      <c r="BB22" s="10">
        <f>AZ22-BA22</f>
        <v/>
      </c>
      <c r="BC22" s="10">
        <f>MIN('02_Данные'!W22,BB22)</f>
        <v/>
      </c>
      <c r="BD22" s="10">
        <f>BB22-BC22</f>
        <v/>
      </c>
      <c r="BE22" s="10">
        <f>MIN('02_Данные'!Y22,BD22)</f>
        <v/>
      </c>
      <c r="BF22" s="10">
        <f>BD22-BE22</f>
        <v/>
      </c>
      <c r="BG22" s="10">
        <f>MIN('02_Данные'!Z22,BF22)</f>
        <v/>
      </c>
      <c r="BH22" s="10">
        <f>BF22-BG22</f>
        <v/>
      </c>
      <c r="BI22" s="10">
        <f>BH22+'02_Данные'!I22</f>
        <v/>
      </c>
      <c r="BJ22" s="10">
        <f>MIN('02_Данные'!AB22,BI22)</f>
        <v/>
      </c>
      <c r="BK22" s="10">
        <f>BI22-BJ22</f>
        <v/>
      </c>
      <c r="BL22" s="10">
        <f>MIN('02_Данные'!AC22,BK22)</f>
        <v/>
      </c>
      <c r="BM22" s="10">
        <f>BK22-BL22</f>
        <v/>
      </c>
      <c r="BN22" s="10">
        <f>MIN('02_Данные'!AD22,BM22)</f>
        <v/>
      </c>
      <c r="BO22" s="10">
        <f>BM22-BN22</f>
        <v/>
      </c>
      <c r="BP22" s="10">
        <f>MIN('02_Данные'!AI22,BO22)</f>
        <v/>
      </c>
      <c r="BQ22" s="10">
        <f>BO22-BP22</f>
        <v/>
      </c>
      <c r="BR22" s="10">
        <f>MIN('02_Данные'!AF22,BQ22)</f>
        <v/>
      </c>
      <c r="BS22" s="10">
        <f>BQ22-BR22</f>
        <v/>
      </c>
      <c r="BT22" s="10">
        <f>MIN('02_Данные'!AE22,BS22)</f>
        <v/>
      </c>
      <c r="BU22" s="10">
        <f>BS22-BT22</f>
        <v/>
      </c>
      <c r="BV22" s="10">
        <f>MIN('02_Данные'!AG22,BU22)</f>
        <v/>
      </c>
      <c r="BW22" s="10">
        <f>BU22-BV22</f>
        <v/>
      </c>
      <c r="BX22" s="10">
        <f>MIN('02_Данные'!AH22,BW22)</f>
        <v/>
      </c>
      <c r="BY22" s="10">
        <f>BW22-BX22</f>
        <v/>
      </c>
      <c r="BZ22" s="10">
        <f>BY22+'02_Данные'!J22</f>
        <v/>
      </c>
      <c r="CA22" s="10">
        <f>MIN('02_Данные'!AJ22,BZ22)</f>
        <v/>
      </c>
      <c r="CB22" s="10">
        <f>BZ22-CA22</f>
        <v/>
      </c>
      <c r="CC22" s="10">
        <f>MIN('02_Данные'!AK22,CB22)</f>
        <v/>
      </c>
      <c r="CD22" s="10">
        <f>CB22-CC22</f>
        <v/>
      </c>
      <c r="CE22" s="10">
        <f>MIN('02_Данные'!AL22,CD22)</f>
        <v/>
      </c>
      <c r="CF22" s="10">
        <f>CD22-CE22</f>
        <v/>
      </c>
      <c r="CG22" s="10">
        <f>MIN('02_Данные'!AQ22,CF22)</f>
        <v/>
      </c>
      <c r="CH22" s="10">
        <f>CF22-CG22</f>
        <v/>
      </c>
      <c r="CI22" s="10">
        <f>MIN('02_Данные'!AN22,CH22)</f>
        <v/>
      </c>
      <c r="CJ22" s="10">
        <f>CH22-CI22</f>
        <v/>
      </c>
      <c r="CK22" s="10">
        <f>MIN('02_Данные'!AM22,CJ22)</f>
        <v/>
      </c>
      <c r="CL22" s="10">
        <f>CJ22-CK22</f>
        <v/>
      </c>
      <c r="CM22" s="10">
        <f>MIN('02_Данные'!AO22,CL22)</f>
        <v/>
      </c>
      <c r="CN22" s="10">
        <f>CL22-CM22</f>
        <v/>
      </c>
      <c r="CO22" s="10">
        <f>MIN('02_Данные'!AP22,CN22)</f>
        <v/>
      </c>
      <c r="CP22" s="10">
        <f>CN22-CO22</f>
        <v/>
      </c>
      <c r="CQ22" s="10">
        <f>CP22+'02_Данные'!K22</f>
        <v/>
      </c>
      <c r="CR22" s="10">
        <f>MIN('02_Данные'!AR22,CQ22)</f>
        <v/>
      </c>
      <c r="CS22" s="10">
        <f>CQ22-CR22</f>
        <v/>
      </c>
      <c r="CT22" s="10">
        <f>MIN('02_Данные'!AS22,CS22)</f>
        <v/>
      </c>
      <c r="CU22" s="10">
        <f>CS22-CT22</f>
        <v/>
      </c>
      <c r="CV22" s="10">
        <f>MIN('02_Данные'!AT22,CU22)</f>
        <v/>
      </c>
      <c r="CW22" s="10">
        <f>CU22-CV22</f>
        <v/>
      </c>
      <c r="CX22" s="10">
        <f>MIN('02_Данные'!AY22,CW22)</f>
        <v/>
      </c>
      <c r="CY22" s="10">
        <f>CW22-CX22</f>
        <v/>
      </c>
      <c r="CZ22" s="10">
        <f>MIN('02_Данные'!AV22,CY22)</f>
        <v/>
      </c>
      <c r="DA22" s="10">
        <f>CY22-CZ22</f>
        <v/>
      </c>
      <c r="DB22" s="10">
        <f>MIN('02_Данные'!AU22,DA22)</f>
        <v/>
      </c>
      <c r="DC22" s="10">
        <f>DA22-DB22</f>
        <v/>
      </c>
      <c r="DD22" s="10">
        <f>MIN('02_Данные'!AW22,DC22)</f>
        <v/>
      </c>
      <c r="DE22" s="10">
        <f>DC22-DD22</f>
        <v/>
      </c>
      <c r="DF22" s="10">
        <f>MIN('02_Данные'!AX22,DE22)</f>
        <v/>
      </c>
      <c r="DG22" s="10">
        <f>DE22-DF22</f>
        <v/>
      </c>
    </row>
    <row r="23">
      <c r="A23" s="9">
        <f>'02_Данные'!B23</f>
        <v/>
      </c>
      <c r="B23" s="9">
        <f>'02_Данные'!E23</f>
        <v/>
      </c>
      <c r="C23" s="10">
        <f>'02_Данные'!F23+'02_Данные'!G23+'02_Данные'!H23+'02_Данные'!I23+'02_Данные'!J23+'02_Данные'!K23</f>
        <v/>
      </c>
      <c r="D23" s="10">
        <f>SUM('02_Данные'!L23:'02_Данные'!AY23)</f>
        <v/>
      </c>
      <c r="E23" s="10">
        <f>MAX(0,D23-C23)</f>
        <v/>
      </c>
      <c r="F23" s="15">
        <f>IF(E23&gt;0.0001,"ДЕФИЦИТ",IF(Y23&gt;0.0001,"ПРОФИЦИТ","БАЛАНС"))</f>
        <v/>
      </c>
      <c r="G23" s="10">
        <f>AB23+AS23+BJ23+CA23+CR23</f>
        <v/>
      </c>
      <c r="H23" s="10">
        <f>AD23+AU23+BL23+CC23+CT23</f>
        <v/>
      </c>
      <c r="I23" s="10">
        <f>AF23+AW23+BN23+CE23+CV23</f>
        <v/>
      </c>
      <c r="J23" s="10">
        <f>AL23+BC23+BT23+CK23+DB23</f>
        <v/>
      </c>
      <c r="K23" s="10">
        <f>AJ23+BA23+BR23+CI23+CZ23</f>
        <v/>
      </c>
      <c r="L23" s="10">
        <f>AN23+BE23+BV23+CM23+DD23</f>
        <v/>
      </c>
      <c r="M23" s="10">
        <f>AP23+BG23+BX23+CO23+DF23</f>
        <v/>
      </c>
      <c r="N23" s="10">
        <f>AH23+AY23+BP23+CG23+CX23</f>
        <v/>
      </c>
      <c r="O23" s="10">
        <f>SUM(G23:N23)</f>
        <v/>
      </c>
      <c r="P23" s="10">
        <f>IFERROR(G23*MIN(1,'01_Нормативы'!$C$4/SUM(G$2:G$429)),0)</f>
        <v/>
      </c>
      <c r="Q23" s="10">
        <f>IFERROR(H23*MIN(1,'01_Нормативы'!$C$5/SUM(H$2:H$429)),0)</f>
        <v/>
      </c>
      <c r="R23" s="10">
        <f>IFERROR(I23*MIN(1,'01_Нормативы'!$C$6/SUM(I$2:I$429)),0)</f>
        <v/>
      </c>
      <c r="S23" s="10">
        <f>IFERROR(J23*MIN(1,'01_Нормативы'!$C$7/SUM(J$2:J$429)),0)</f>
        <v/>
      </c>
      <c r="T23" s="10">
        <f>IFERROR(K23*MIN(1,'01_Нормативы'!$C$8/SUM(K$2:K$429)),0)</f>
        <v/>
      </c>
      <c r="U23" s="10">
        <f>IFERROR(L23*MIN(1,'01_Нормативы'!$C$9/SUM(L$2:L$429)),0)</f>
        <v/>
      </c>
      <c r="V23" s="10">
        <f>IFERROR(M23*MIN(1,'01_Нормативы'!$C$10/SUM(M$2:M$429)),0)</f>
        <v/>
      </c>
      <c r="W23" s="10">
        <f>IFERROR(N23*MIN(1,'01_Нормативы'!$C$11/SUM(N$2:N$429)),0)</f>
        <v/>
      </c>
      <c r="X23" s="10">
        <f>SUM(P23:W23)</f>
        <v/>
      </c>
      <c r="Y23" s="10">
        <f>MAX(0,C23-X23)</f>
        <v/>
      </c>
      <c r="Z23" s="10">
        <f>IF(D23=0,100,X23/D23*100)</f>
        <v/>
      </c>
      <c r="AA23" s="10">
        <f>'02_Данные'!F23+'02_Данные'!G23</f>
        <v/>
      </c>
      <c r="AB23" s="10">
        <f>MIN('02_Данные'!L23,AA23)</f>
        <v/>
      </c>
      <c r="AC23" s="10">
        <f>AA23-AB23</f>
        <v/>
      </c>
      <c r="AD23" s="10">
        <f>MIN('02_Данные'!M23,AC23)</f>
        <v/>
      </c>
      <c r="AE23" s="10">
        <f>AC23-AD23</f>
        <v/>
      </c>
      <c r="AF23" s="10">
        <f>MIN('02_Данные'!N23,AE23)</f>
        <v/>
      </c>
      <c r="AG23" s="10">
        <f>AE23-AF23</f>
        <v/>
      </c>
      <c r="AH23" s="10">
        <f>MIN('02_Данные'!S23,AG23)</f>
        <v/>
      </c>
      <c r="AI23" s="10">
        <f>AG23-AH23</f>
        <v/>
      </c>
      <c r="AJ23" s="10">
        <f>MIN('02_Данные'!P23,AI23)</f>
        <v/>
      </c>
      <c r="AK23" s="10">
        <f>AI23-AJ23</f>
        <v/>
      </c>
      <c r="AL23" s="10">
        <f>MIN('02_Данные'!O23,AK23)</f>
        <v/>
      </c>
      <c r="AM23" s="10">
        <f>AK23-AL23</f>
        <v/>
      </c>
      <c r="AN23" s="10">
        <f>MIN('02_Данные'!Q23,AM23)</f>
        <v/>
      </c>
      <c r="AO23" s="10">
        <f>AM23-AN23</f>
        <v/>
      </c>
      <c r="AP23" s="10">
        <f>MIN('02_Данные'!R23,AO23)</f>
        <v/>
      </c>
      <c r="AQ23" s="10">
        <f>AO23-AP23</f>
        <v/>
      </c>
      <c r="AR23" s="10">
        <f>AQ23+'02_Данные'!H23</f>
        <v/>
      </c>
      <c r="AS23" s="10">
        <f>MIN('02_Данные'!T23,AR23)</f>
        <v/>
      </c>
      <c r="AT23" s="10">
        <f>AR23-AS23</f>
        <v/>
      </c>
      <c r="AU23" s="10">
        <f>MIN('02_Данные'!U23,AT23)</f>
        <v/>
      </c>
      <c r="AV23" s="10">
        <f>AT23-AU23</f>
        <v/>
      </c>
      <c r="AW23" s="10">
        <f>MIN('02_Данные'!V23,AV23)</f>
        <v/>
      </c>
      <c r="AX23" s="10">
        <f>AV23-AW23</f>
        <v/>
      </c>
      <c r="AY23" s="10">
        <f>MIN('02_Данные'!AA23,AX23)</f>
        <v/>
      </c>
      <c r="AZ23" s="10">
        <f>AX23-AY23</f>
        <v/>
      </c>
      <c r="BA23" s="10">
        <f>MIN('02_Данные'!X23,AZ23)</f>
        <v/>
      </c>
      <c r="BB23" s="10">
        <f>AZ23-BA23</f>
        <v/>
      </c>
      <c r="BC23" s="10">
        <f>MIN('02_Данные'!W23,BB23)</f>
        <v/>
      </c>
      <c r="BD23" s="10">
        <f>BB23-BC23</f>
        <v/>
      </c>
      <c r="BE23" s="10">
        <f>MIN('02_Данные'!Y23,BD23)</f>
        <v/>
      </c>
      <c r="BF23" s="10">
        <f>BD23-BE23</f>
        <v/>
      </c>
      <c r="BG23" s="10">
        <f>MIN('02_Данные'!Z23,BF23)</f>
        <v/>
      </c>
      <c r="BH23" s="10">
        <f>BF23-BG23</f>
        <v/>
      </c>
      <c r="BI23" s="10">
        <f>BH23+'02_Данные'!I23</f>
        <v/>
      </c>
      <c r="BJ23" s="10">
        <f>MIN('02_Данные'!AB23,BI23)</f>
        <v/>
      </c>
      <c r="BK23" s="10">
        <f>BI23-BJ23</f>
        <v/>
      </c>
      <c r="BL23" s="10">
        <f>MIN('02_Данные'!AC23,BK23)</f>
        <v/>
      </c>
      <c r="BM23" s="10">
        <f>BK23-BL23</f>
        <v/>
      </c>
      <c r="BN23" s="10">
        <f>MIN('02_Данные'!AD23,BM23)</f>
        <v/>
      </c>
      <c r="BO23" s="10">
        <f>BM23-BN23</f>
        <v/>
      </c>
      <c r="BP23" s="10">
        <f>MIN('02_Данные'!AI23,BO23)</f>
        <v/>
      </c>
      <c r="BQ23" s="10">
        <f>BO23-BP23</f>
        <v/>
      </c>
      <c r="BR23" s="10">
        <f>MIN('02_Данные'!AF23,BQ23)</f>
        <v/>
      </c>
      <c r="BS23" s="10">
        <f>BQ23-BR23</f>
        <v/>
      </c>
      <c r="BT23" s="10">
        <f>MIN('02_Данные'!AE23,BS23)</f>
        <v/>
      </c>
      <c r="BU23" s="10">
        <f>BS23-BT23</f>
        <v/>
      </c>
      <c r="BV23" s="10">
        <f>MIN('02_Данные'!AG23,BU23)</f>
        <v/>
      </c>
      <c r="BW23" s="10">
        <f>BU23-BV23</f>
        <v/>
      </c>
      <c r="BX23" s="10">
        <f>MIN('02_Данные'!AH23,BW23)</f>
        <v/>
      </c>
      <c r="BY23" s="10">
        <f>BW23-BX23</f>
        <v/>
      </c>
      <c r="BZ23" s="10">
        <f>BY23+'02_Данные'!J23</f>
        <v/>
      </c>
      <c r="CA23" s="10">
        <f>MIN('02_Данные'!AJ23,BZ23)</f>
        <v/>
      </c>
      <c r="CB23" s="10">
        <f>BZ23-CA23</f>
        <v/>
      </c>
      <c r="CC23" s="10">
        <f>MIN('02_Данные'!AK23,CB23)</f>
        <v/>
      </c>
      <c r="CD23" s="10">
        <f>CB23-CC23</f>
        <v/>
      </c>
      <c r="CE23" s="10">
        <f>MIN('02_Данные'!AL23,CD23)</f>
        <v/>
      </c>
      <c r="CF23" s="10">
        <f>CD23-CE23</f>
        <v/>
      </c>
      <c r="CG23" s="10">
        <f>MIN('02_Данные'!AQ23,CF23)</f>
        <v/>
      </c>
      <c r="CH23" s="10">
        <f>CF23-CG23</f>
        <v/>
      </c>
      <c r="CI23" s="10">
        <f>MIN('02_Данные'!AN23,CH23)</f>
        <v/>
      </c>
      <c r="CJ23" s="10">
        <f>CH23-CI23</f>
        <v/>
      </c>
      <c r="CK23" s="10">
        <f>MIN('02_Данные'!AM23,CJ23)</f>
        <v/>
      </c>
      <c r="CL23" s="10">
        <f>CJ23-CK23</f>
        <v/>
      </c>
      <c r="CM23" s="10">
        <f>MIN('02_Данные'!AO23,CL23)</f>
        <v/>
      </c>
      <c r="CN23" s="10">
        <f>CL23-CM23</f>
        <v/>
      </c>
      <c r="CO23" s="10">
        <f>MIN('02_Данные'!AP23,CN23)</f>
        <v/>
      </c>
      <c r="CP23" s="10">
        <f>CN23-CO23</f>
        <v/>
      </c>
      <c r="CQ23" s="10">
        <f>CP23+'02_Данные'!K23</f>
        <v/>
      </c>
      <c r="CR23" s="10">
        <f>MIN('02_Данные'!AR23,CQ23)</f>
        <v/>
      </c>
      <c r="CS23" s="10">
        <f>CQ23-CR23</f>
        <v/>
      </c>
      <c r="CT23" s="10">
        <f>MIN('02_Данные'!AS23,CS23)</f>
        <v/>
      </c>
      <c r="CU23" s="10">
        <f>CS23-CT23</f>
        <v/>
      </c>
      <c r="CV23" s="10">
        <f>MIN('02_Данные'!AT23,CU23)</f>
        <v/>
      </c>
      <c r="CW23" s="10">
        <f>CU23-CV23</f>
        <v/>
      </c>
      <c r="CX23" s="10">
        <f>MIN('02_Данные'!AY23,CW23)</f>
        <v/>
      </c>
      <c r="CY23" s="10">
        <f>CW23-CX23</f>
        <v/>
      </c>
      <c r="CZ23" s="10">
        <f>MIN('02_Данные'!AV23,CY23)</f>
        <v/>
      </c>
      <c r="DA23" s="10">
        <f>CY23-CZ23</f>
        <v/>
      </c>
      <c r="DB23" s="10">
        <f>MIN('02_Данные'!AU23,DA23)</f>
        <v/>
      </c>
      <c r="DC23" s="10">
        <f>DA23-DB23</f>
        <v/>
      </c>
      <c r="DD23" s="10">
        <f>MIN('02_Данные'!AW23,DC23)</f>
        <v/>
      </c>
      <c r="DE23" s="10">
        <f>DC23-DD23</f>
        <v/>
      </c>
      <c r="DF23" s="10">
        <f>MIN('02_Данные'!AX23,DE23)</f>
        <v/>
      </c>
      <c r="DG23" s="10">
        <f>DE23-DF23</f>
        <v/>
      </c>
    </row>
    <row r="24">
      <c r="A24" s="9">
        <f>'02_Данные'!B24</f>
        <v/>
      </c>
      <c r="B24" s="9">
        <f>'02_Данные'!E24</f>
        <v/>
      </c>
      <c r="C24" s="10">
        <f>'02_Данные'!F24+'02_Данные'!G24+'02_Данные'!H24+'02_Данные'!I24+'02_Данные'!J24+'02_Данные'!K24</f>
        <v/>
      </c>
      <c r="D24" s="10">
        <f>SUM('02_Данные'!L24:'02_Данные'!AY24)</f>
        <v/>
      </c>
      <c r="E24" s="10">
        <f>MAX(0,D24-C24)</f>
        <v/>
      </c>
      <c r="F24" s="15">
        <f>IF(E24&gt;0.0001,"ДЕФИЦИТ",IF(Y24&gt;0.0001,"ПРОФИЦИТ","БАЛАНС"))</f>
        <v/>
      </c>
      <c r="G24" s="10">
        <f>AB24+AS24+BJ24+CA24+CR24</f>
        <v/>
      </c>
      <c r="H24" s="10">
        <f>AD24+AU24+BL24+CC24+CT24</f>
        <v/>
      </c>
      <c r="I24" s="10">
        <f>AF24+AW24+BN24+CE24+CV24</f>
        <v/>
      </c>
      <c r="J24" s="10">
        <f>AL24+BC24+BT24+CK24+DB24</f>
        <v/>
      </c>
      <c r="K24" s="10">
        <f>AJ24+BA24+BR24+CI24+CZ24</f>
        <v/>
      </c>
      <c r="L24" s="10">
        <f>AN24+BE24+BV24+CM24+DD24</f>
        <v/>
      </c>
      <c r="M24" s="10">
        <f>AP24+BG24+BX24+CO24+DF24</f>
        <v/>
      </c>
      <c r="N24" s="10">
        <f>AH24+AY24+BP24+CG24+CX24</f>
        <v/>
      </c>
      <c r="O24" s="10">
        <f>SUM(G24:N24)</f>
        <v/>
      </c>
      <c r="P24" s="10">
        <f>IFERROR(G24*MIN(1,'01_Нормативы'!$C$4/SUM(G$2:G$429)),0)</f>
        <v/>
      </c>
      <c r="Q24" s="10">
        <f>IFERROR(H24*MIN(1,'01_Нормативы'!$C$5/SUM(H$2:H$429)),0)</f>
        <v/>
      </c>
      <c r="R24" s="10">
        <f>IFERROR(I24*MIN(1,'01_Нормативы'!$C$6/SUM(I$2:I$429)),0)</f>
        <v/>
      </c>
      <c r="S24" s="10">
        <f>IFERROR(J24*MIN(1,'01_Нормативы'!$C$7/SUM(J$2:J$429)),0)</f>
        <v/>
      </c>
      <c r="T24" s="10">
        <f>IFERROR(K24*MIN(1,'01_Нормативы'!$C$8/SUM(K$2:K$429)),0)</f>
        <v/>
      </c>
      <c r="U24" s="10">
        <f>IFERROR(L24*MIN(1,'01_Нормативы'!$C$9/SUM(L$2:L$429)),0)</f>
        <v/>
      </c>
      <c r="V24" s="10">
        <f>IFERROR(M24*MIN(1,'01_Нормативы'!$C$10/SUM(M$2:M$429)),0)</f>
        <v/>
      </c>
      <c r="W24" s="10">
        <f>IFERROR(N24*MIN(1,'01_Нормативы'!$C$11/SUM(N$2:N$429)),0)</f>
        <v/>
      </c>
      <c r="X24" s="10">
        <f>SUM(P24:W24)</f>
        <v/>
      </c>
      <c r="Y24" s="10">
        <f>MAX(0,C24-X24)</f>
        <v/>
      </c>
      <c r="Z24" s="10">
        <f>IF(D24=0,100,X24/D24*100)</f>
        <v/>
      </c>
      <c r="AA24" s="10">
        <f>'02_Данные'!F24+'02_Данные'!G24</f>
        <v/>
      </c>
      <c r="AB24" s="10">
        <f>MIN('02_Данные'!L24,AA24)</f>
        <v/>
      </c>
      <c r="AC24" s="10">
        <f>AA24-AB24</f>
        <v/>
      </c>
      <c r="AD24" s="10">
        <f>MIN('02_Данные'!M24,AC24)</f>
        <v/>
      </c>
      <c r="AE24" s="10">
        <f>AC24-AD24</f>
        <v/>
      </c>
      <c r="AF24" s="10">
        <f>MIN('02_Данные'!N24,AE24)</f>
        <v/>
      </c>
      <c r="AG24" s="10">
        <f>AE24-AF24</f>
        <v/>
      </c>
      <c r="AH24" s="10">
        <f>MIN('02_Данные'!S24,AG24)</f>
        <v/>
      </c>
      <c r="AI24" s="10">
        <f>AG24-AH24</f>
        <v/>
      </c>
      <c r="AJ24" s="10">
        <f>MIN('02_Данные'!P24,AI24)</f>
        <v/>
      </c>
      <c r="AK24" s="10">
        <f>AI24-AJ24</f>
        <v/>
      </c>
      <c r="AL24" s="10">
        <f>MIN('02_Данные'!O24,AK24)</f>
        <v/>
      </c>
      <c r="AM24" s="10">
        <f>AK24-AL24</f>
        <v/>
      </c>
      <c r="AN24" s="10">
        <f>MIN('02_Данные'!Q24,AM24)</f>
        <v/>
      </c>
      <c r="AO24" s="10">
        <f>AM24-AN24</f>
        <v/>
      </c>
      <c r="AP24" s="10">
        <f>MIN('02_Данные'!R24,AO24)</f>
        <v/>
      </c>
      <c r="AQ24" s="10">
        <f>AO24-AP24</f>
        <v/>
      </c>
      <c r="AR24" s="10">
        <f>AQ24+'02_Данные'!H24</f>
        <v/>
      </c>
      <c r="AS24" s="10">
        <f>MIN('02_Данные'!T24,AR24)</f>
        <v/>
      </c>
      <c r="AT24" s="10">
        <f>AR24-AS24</f>
        <v/>
      </c>
      <c r="AU24" s="10">
        <f>MIN('02_Данные'!U24,AT24)</f>
        <v/>
      </c>
      <c r="AV24" s="10">
        <f>AT24-AU24</f>
        <v/>
      </c>
      <c r="AW24" s="10">
        <f>MIN('02_Данные'!V24,AV24)</f>
        <v/>
      </c>
      <c r="AX24" s="10">
        <f>AV24-AW24</f>
        <v/>
      </c>
      <c r="AY24" s="10">
        <f>MIN('02_Данные'!AA24,AX24)</f>
        <v/>
      </c>
      <c r="AZ24" s="10">
        <f>AX24-AY24</f>
        <v/>
      </c>
      <c r="BA24" s="10">
        <f>MIN('02_Данные'!X24,AZ24)</f>
        <v/>
      </c>
      <c r="BB24" s="10">
        <f>AZ24-BA24</f>
        <v/>
      </c>
      <c r="BC24" s="10">
        <f>MIN('02_Данные'!W24,BB24)</f>
        <v/>
      </c>
      <c r="BD24" s="10">
        <f>BB24-BC24</f>
        <v/>
      </c>
      <c r="BE24" s="10">
        <f>MIN('02_Данные'!Y24,BD24)</f>
        <v/>
      </c>
      <c r="BF24" s="10">
        <f>BD24-BE24</f>
        <v/>
      </c>
      <c r="BG24" s="10">
        <f>MIN('02_Данные'!Z24,BF24)</f>
        <v/>
      </c>
      <c r="BH24" s="10">
        <f>BF24-BG24</f>
        <v/>
      </c>
      <c r="BI24" s="10">
        <f>BH24+'02_Данные'!I24</f>
        <v/>
      </c>
      <c r="BJ24" s="10">
        <f>MIN('02_Данные'!AB24,BI24)</f>
        <v/>
      </c>
      <c r="BK24" s="10">
        <f>BI24-BJ24</f>
        <v/>
      </c>
      <c r="BL24" s="10">
        <f>MIN('02_Данные'!AC24,BK24)</f>
        <v/>
      </c>
      <c r="BM24" s="10">
        <f>BK24-BL24</f>
        <v/>
      </c>
      <c r="BN24" s="10">
        <f>MIN('02_Данные'!AD24,BM24)</f>
        <v/>
      </c>
      <c r="BO24" s="10">
        <f>BM24-BN24</f>
        <v/>
      </c>
      <c r="BP24" s="10">
        <f>MIN('02_Данные'!AI24,BO24)</f>
        <v/>
      </c>
      <c r="BQ24" s="10">
        <f>BO24-BP24</f>
        <v/>
      </c>
      <c r="BR24" s="10">
        <f>MIN('02_Данные'!AF24,BQ24)</f>
        <v/>
      </c>
      <c r="BS24" s="10">
        <f>BQ24-BR24</f>
        <v/>
      </c>
      <c r="BT24" s="10">
        <f>MIN('02_Данные'!AE24,BS24)</f>
        <v/>
      </c>
      <c r="BU24" s="10">
        <f>BS24-BT24</f>
        <v/>
      </c>
      <c r="BV24" s="10">
        <f>MIN('02_Данные'!AG24,BU24)</f>
        <v/>
      </c>
      <c r="BW24" s="10">
        <f>BU24-BV24</f>
        <v/>
      </c>
      <c r="BX24" s="10">
        <f>MIN('02_Данные'!AH24,BW24)</f>
        <v/>
      </c>
      <c r="BY24" s="10">
        <f>BW24-BX24</f>
        <v/>
      </c>
      <c r="BZ24" s="10">
        <f>BY24+'02_Данные'!J24</f>
        <v/>
      </c>
      <c r="CA24" s="10">
        <f>MIN('02_Данные'!AJ24,BZ24)</f>
        <v/>
      </c>
      <c r="CB24" s="10">
        <f>BZ24-CA24</f>
        <v/>
      </c>
      <c r="CC24" s="10">
        <f>MIN('02_Данные'!AK24,CB24)</f>
        <v/>
      </c>
      <c r="CD24" s="10">
        <f>CB24-CC24</f>
        <v/>
      </c>
      <c r="CE24" s="10">
        <f>MIN('02_Данные'!AL24,CD24)</f>
        <v/>
      </c>
      <c r="CF24" s="10">
        <f>CD24-CE24</f>
        <v/>
      </c>
      <c r="CG24" s="10">
        <f>MIN('02_Данные'!AQ24,CF24)</f>
        <v/>
      </c>
      <c r="CH24" s="10">
        <f>CF24-CG24</f>
        <v/>
      </c>
      <c r="CI24" s="10">
        <f>MIN('02_Данные'!AN24,CH24)</f>
        <v/>
      </c>
      <c r="CJ24" s="10">
        <f>CH24-CI24</f>
        <v/>
      </c>
      <c r="CK24" s="10">
        <f>MIN('02_Данные'!AM24,CJ24)</f>
        <v/>
      </c>
      <c r="CL24" s="10">
        <f>CJ24-CK24</f>
        <v/>
      </c>
      <c r="CM24" s="10">
        <f>MIN('02_Данные'!AO24,CL24)</f>
        <v/>
      </c>
      <c r="CN24" s="10">
        <f>CL24-CM24</f>
        <v/>
      </c>
      <c r="CO24" s="10">
        <f>MIN('02_Данные'!AP24,CN24)</f>
        <v/>
      </c>
      <c r="CP24" s="10">
        <f>CN24-CO24</f>
        <v/>
      </c>
      <c r="CQ24" s="10">
        <f>CP24+'02_Данные'!K24</f>
        <v/>
      </c>
      <c r="CR24" s="10">
        <f>MIN('02_Данные'!AR24,CQ24)</f>
        <v/>
      </c>
      <c r="CS24" s="10">
        <f>CQ24-CR24</f>
        <v/>
      </c>
      <c r="CT24" s="10">
        <f>MIN('02_Данные'!AS24,CS24)</f>
        <v/>
      </c>
      <c r="CU24" s="10">
        <f>CS24-CT24</f>
        <v/>
      </c>
      <c r="CV24" s="10">
        <f>MIN('02_Данные'!AT24,CU24)</f>
        <v/>
      </c>
      <c r="CW24" s="10">
        <f>CU24-CV24</f>
        <v/>
      </c>
      <c r="CX24" s="10">
        <f>MIN('02_Данные'!AY24,CW24)</f>
        <v/>
      </c>
      <c r="CY24" s="10">
        <f>CW24-CX24</f>
        <v/>
      </c>
      <c r="CZ24" s="10">
        <f>MIN('02_Данные'!AV24,CY24)</f>
        <v/>
      </c>
      <c r="DA24" s="10">
        <f>CY24-CZ24</f>
        <v/>
      </c>
      <c r="DB24" s="10">
        <f>MIN('02_Данные'!AU24,DA24)</f>
        <v/>
      </c>
      <c r="DC24" s="10">
        <f>DA24-DB24</f>
        <v/>
      </c>
      <c r="DD24" s="10">
        <f>MIN('02_Данные'!AW24,DC24)</f>
        <v/>
      </c>
      <c r="DE24" s="10">
        <f>DC24-DD24</f>
        <v/>
      </c>
      <c r="DF24" s="10">
        <f>MIN('02_Данные'!AX24,DE24)</f>
        <v/>
      </c>
      <c r="DG24" s="10">
        <f>DE24-DF24</f>
        <v/>
      </c>
    </row>
    <row r="25">
      <c r="A25" s="9">
        <f>'02_Данные'!B25</f>
        <v/>
      </c>
      <c r="B25" s="9">
        <f>'02_Данные'!E25</f>
        <v/>
      </c>
      <c r="C25" s="10">
        <f>'02_Данные'!F25+'02_Данные'!G25+'02_Данные'!H25+'02_Данные'!I25+'02_Данные'!J25+'02_Данные'!K25</f>
        <v/>
      </c>
      <c r="D25" s="10">
        <f>SUM('02_Данные'!L25:'02_Данные'!AY25)</f>
        <v/>
      </c>
      <c r="E25" s="10">
        <f>MAX(0,D25-C25)</f>
        <v/>
      </c>
      <c r="F25" s="15">
        <f>IF(E25&gt;0.0001,"ДЕФИЦИТ",IF(Y25&gt;0.0001,"ПРОФИЦИТ","БАЛАНС"))</f>
        <v/>
      </c>
      <c r="G25" s="10">
        <f>AB25+AS25+BJ25+CA25+CR25</f>
        <v/>
      </c>
      <c r="H25" s="10">
        <f>AD25+AU25+BL25+CC25+CT25</f>
        <v/>
      </c>
      <c r="I25" s="10">
        <f>AF25+AW25+BN25+CE25+CV25</f>
        <v/>
      </c>
      <c r="J25" s="10">
        <f>AL25+BC25+BT25+CK25+DB25</f>
        <v/>
      </c>
      <c r="K25" s="10">
        <f>AJ25+BA25+BR25+CI25+CZ25</f>
        <v/>
      </c>
      <c r="L25" s="10">
        <f>AN25+BE25+BV25+CM25+DD25</f>
        <v/>
      </c>
      <c r="M25" s="10">
        <f>AP25+BG25+BX25+CO25+DF25</f>
        <v/>
      </c>
      <c r="N25" s="10">
        <f>AH25+AY25+BP25+CG25+CX25</f>
        <v/>
      </c>
      <c r="O25" s="10">
        <f>SUM(G25:N25)</f>
        <v/>
      </c>
      <c r="P25" s="10">
        <f>IFERROR(G25*MIN(1,'01_Нормативы'!$C$4/SUM(G$2:G$429)),0)</f>
        <v/>
      </c>
      <c r="Q25" s="10">
        <f>IFERROR(H25*MIN(1,'01_Нормативы'!$C$5/SUM(H$2:H$429)),0)</f>
        <v/>
      </c>
      <c r="R25" s="10">
        <f>IFERROR(I25*MIN(1,'01_Нормативы'!$C$6/SUM(I$2:I$429)),0)</f>
        <v/>
      </c>
      <c r="S25" s="10">
        <f>IFERROR(J25*MIN(1,'01_Нормативы'!$C$7/SUM(J$2:J$429)),0)</f>
        <v/>
      </c>
      <c r="T25" s="10">
        <f>IFERROR(K25*MIN(1,'01_Нормативы'!$C$8/SUM(K$2:K$429)),0)</f>
        <v/>
      </c>
      <c r="U25" s="10">
        <f>IFERROR(L25*MIN(1,'01_Нормативы'!$C$9/SUM(L$2:L$429)),0)</f>
        <v/>
      </c>
      <c r="V25" s="10">
        <f>IFERROR(M25*MIN(1,'01_Нормативы'!$C$10/SUM(M$2:M$429)),0)</f>
        <v/>
      </c>
      <c r="W25" s="10">
        <f>IFERROR(N25*MIN(1,'01_Нормативы'!$C$11/SUM(N$2:N$429)),0)</f>
        <v/>
      </c>
      <c r="X25" s="10">
        <f>SUM(P25:W25)</f>
        <v/>
      </c>
      <c r="Y25" s="10">
        <f>MAX(0,C25-X25)</f>
        <v/>
      </c>
      <c r="Z25" s="10">
        <f>IF(D25=0,100,X25/D25*100)</f>
        <v/>
      </c>
      <c r="AA25" s="10">
        <f>'02_Данные'!F25+'02_Данные'!G25</f>
        <v/>
      </c>
      <c r="AB25" s="10">
        <f>MIN('02_Данные'!L25,AA25)</f>
        <v/>
      </c>
      <c r="AC25" s="10">
        <f>AA25-AB25</f>
        <v/>
      </c>
      <c r="AD25" s="10">
        <f>MIN('02_Данные'!M25,AC25)</f>
        <v/>
      </c>
      <c r="AE25" s="10">
        <f>AC25-AD25</f>
        <v/>
      </c>
      <c r="AF25" s="10">
        <f>MIN('02_Данные'!N25,AE25)</f>
        <v/>
      </c>
      <c r="AG25" s="10">
        <f>AE25-AF25</f>
        <v/>
      </c>
      <c r="AH25" s="10">
        <f>MIN('02_Данные'!S25,AG25)</f>
        <v/>
      </c>
      <c r="AI25" s="10">
        <f>AG25-AH25</f>
        <v/>
      </c>
      <c r="AJ25" s="10">
        <f>MIN('02_Данные'!P25,AI25)</f>
        <v/>
      </c>
      <c r="AK25" s="10">
        <f>AI25-AJ25</f>
        <v/>
      </c>
      <c r="AL25" s="10">
        <f>MIN('02_Данные'!O25,AK25)</f>
        <v/>
      </c>
      <c r="AM25" s="10">
        <f>AK25-AL25</f>
        <v/>
      </c>
      <c r="AN25" s="10">
        <f>MIN('02_Данные'!Q25,AM25)</f>
        <v/>
      </c>
      <c r="AO25" s="10">
        <f>AM25-AN25</f>
        <v/>
      </c>
      <c r="AP25" s="10">
        <f>MIN('02_Данные'!R25,AO25)</f>
        <v/>
      </c>
      <c r="AQ25" s="10">
        <f>AO25-AP25</f>
        <v/>
      </c>
      <c r="AR25" s="10">
        <f>AQ25+'02_Данные'!H25</f>
        <v/>
      </c>
      <c r="AS25" s="10">
        <f>MIN('02_Данные'!T25,AR25)</f>
        <v/>
      </c>
      <c r="AT25" s="10">
        <f>AR25-AS25</f>
        <v/>
      </c>
      <c r="AU25" s="10">
        <f>MIN('02_Данные'!U25,AT25)</f>
        <v/>
      </c>
      <c r="AV25" s="10">
        <f>AT25-AU25</f>
        <v/>
      </c>
      <c r="AW25" s="10">
        <f>MIN('02_Данные'!V25,AV25)</f>
        <v/>
      </c>
      <c r="AX25" s="10">
        <f>AV25-AW25</f>
        <v/>
      </c>
      <c r="AY25" s="10">
        <f>MIN('02_Данные'!AA25,AX25)</f>
        <v/>
      </c>
      <c r="AZ25" s="10">
        <f>AX25-AY25</f>
        <v/>
      </c>
      <c r="BA25" s="10">
        <f>MIN('02_Данные'!X25,AZ25)</f>
        <v/>
      </c>
      <c r="BB25" s="10">
        <f>AZ25-BA25</f>
        <v/>
      </c>
      <c r="BC25" s="10">
        <f>MIN('02_Данные'!W25,BB25)</f>
        <v/>
      </c>
      <c r="BD25" s="10">
        <f>BB25-BC25</f>
        <v/>
      </c>
      <c r="BE25" s="10">
        <f>MIN('02_Данные'!Y25,BD25)</f>
        <v/>
      </c>
      <c r="BF25" s="10">
        <f>BD25-BE25</f>
        <v/>
      </c>
      <c r="BG25" s="10">
        <f>MIN('02_Данные'!Z25,BF25)</f>
        <v/>
      </c>
      <c r="BH25" s="10">
        <f>BF25-BG25</f>
        <v/>
      </c>
      <c r="BI25" s="10">
        <f>BH25+'02_Данные'!I25</f>
        <v/>
      </c>
      <c r="BJ25" s="10">
        <f>MIN('02_Данные'!AB25,BI25)</f>
        <v/>
      </c>
      <c r="BK25" s="10">
        <f>BI25-BJ25</f>
        <v/>
      </c>
      <c r="BL25" s="10">
        <f>MIN('02_Данные'!AC25,BK25)</f>
        <v/>
      </c>
      <c r="BM25" s="10">
        <f>BK25-BL25</f>
        <v/>
      </c>
      <c r="BN25" s="10">
        <f>MIN('02_Данные'!AD25,BM25)</f>
        <v/>
      </c>
      <c r="BO25" s="10">
        <f>BM25-BN25</f>
        <v/>
      </c>
      <c r="BP25" s="10">
        <f>MIN('02_Данные'!AI25,BO25)</f>
        <v/>
      </c>
      <c r="BQ25" s="10">
        <f>BO25-BP25</f>
        <v/>
      </c>
      <c r="BR25" s="10">
        <f>MIN('02_Данные'!AF25,BQ25)</f>
        <v/>
      </c>
      <c r="BS25" s="10">
        <f>BQ25-BR25</f>
        <v/>
      </c>
      <c r="BT25" s="10">
        <f>MIN('02_Данные'!AE25,BS25)</f>
        <v/>
      </c>
      <c r="BU25" s="10">
        <f>BS25-BT25</f>
        <v/>
      </c>
      <c r="BV25" s="10">
        <f>MIN('02_Данные'!AG25,BU25)</f>
        <v/>
      </c>
      <c r="BW25" s="10">
        <f>BU25-BV25</f>
        <v/>
      </c>
      <c r="BX25" s="10">
        <f>MIN('02_Данные'!AH25,BW25)</f>
        <v/>
      </c>
      <c r="BY25" s="10">
        <f>BW25-BX25</f>
        <v/>
      </c>
      <c r="BZ25" s="10">
        <f>BY25+'02_Данные'!J25</f>
        <v/>
      </c>
      <c r="CA25" s="10">
        <f>MIN('02_Данные'!AJ25,BZ25)</f>
        <v/>
      </c>
      <c r="CB25" s="10">
        <f>BZ25-CA25</f>
        <v/>
      </c>
      <c r="CC25" s="10">
        <f>MIN('02_Данные'!AK25,CB25)</f>
        <v/>
      </c>
      <c r="CD25" s="10">
        <f>CB25-CC25</f>
        <v/>
      </c>
      <c r="CE25" s="10">
        <f>MIN('02_Данные'!AL25,CD25)</f>
        <v/>
      </c>
      <c r="CF25" s="10">
        <f>CD25-CE25</f>
        <v/>
      </c>
      <c r="CG25" s="10">
        <f>MIN('02_Данные'!AQ25,CF25)</f>
        <v/>
      </c>
      <c r="CH25" s="10">
        <f>CF25-CG25</f>
        <v/>
      </c>
      <c r="CI25" s="10">
        <f>MIN('02_Данные'!AN25,CH25)</f>
        <v/>
      </c>
      <c r="CJ25" s="10">
        <f>CH25-CI25</f>
        <v/>
      </c>
      <c r="CK25" s="10">
        <f>MIN('02_Данные'!AM25,CJ25)</f>
        <v/>
      </c>
      <c r="CL25" s="10">
        <f>CJ25-CK25</f>
        <v/>
      </c>
      <c r="CM25" s="10">
        <f>MIN('02_Данные'!AO25,CL25)</f>
        <v/>
      </c>
      <c r="CN25" s="10">
        <f>CL25-CM25</f>
        <v/>
      </c>
      <c r="CO25" s="10">
        <f>MIN('02_Данные'!AP25,CN25)</f>
        <v/>
      </c>
      <c r="CP25" s="10">
        <f>CN25-CO25</f>
        <v/>
      </c>
      <c r="CQ25" s="10">
        <f>CP25+'02_Данные'!K25</f>
        <v/>
      </c>
      <c r="CR25" s="10">
        <f>MIN('02_Данные'!AR25,CQ25)</f>
        <v/>
      </c>
      <c r="CS25" s="10">
        <f>CQ25-CR25</f>
        <v/>
      </c>
      <c r="CT25" s="10">
        <f>MIN('02_Данные'!AS25,CS25)</f>
        <v/>
      </c>
      <c r="CU25" s="10">
        <f>CS25-CT25</f>
        <v/>
      </c>
      <c r="CV25" s="10">
        <f>MIN('02_Данные'!AT25,CU25)</f>
        <v/>
      </c>
      <c r="CW25" s="10">
        <f>CU25-CV25</f>
        <v/>
      </c>
      <c r="CX25" s="10">
        <f>MIN('02_Данные'!AY25,CW25)</f>
        <v/>
      </c>
      <c r="CY25" s="10">
        <f>CW25-CX25</f>
        <v/>
      </c>
      <c r="CZ25" s="10">
        <f>MIN('02_Данные'!AV25,CY25)</f>
        <v/>
      </c>
      <c r="DA25" s="10">
        <f>CY25-CZ25</f>
        <v/>
      </c>
      <c r="DB25" s="10">
        <f>MIN('02_Данные'!AU25,DA25)</f>
        <v/>
      </c>
      <c r="DC25" s="10">
        <f>DA25-DB25</f>
        <v/>
      </c>
      <c r="DD25" s="10">
        <f>MIN('02_Данные'!AW25,DC25)</f>
        <v/>
      </c>
      <c r="DE25" s="10">
        <f>DC25-DD25</f>
        <v/>
      </c>
      <c r="DF25" s="10">
        <f>MIN('02_Данные'!AX25,DE25)</f>
        <v/>
      </c>
      <c r="DG25" s="10">
        <f>DE25-DF25</f>
        <v/>
      </c>
    </row>
    <row r="26">
      <c r="A26" s="9">
        <f>'02_Данные'!B26</f>
        <v/>
      </c>
      <c r="B26" s="9">
        <f>'02_Данные'!E26</f>
        <v/>
      </c>
      <c r="C26" s="10">
        <f>'02_Данные'!F26+'02_Данные'!G26+'02_Данные'!H26+'02_Данные'!I26+'02_Данные'!J26+'02_Данные'!K26</f>
        <v/>
      </c>
      <c r="D26" s="10">
        <f>SUM('02_Данные'!L26:'02_Данные'!AY26)</f>
        <v/>
      </c>
      <c r="E26" s="10">
        <f>MAX(0,D26-C26)</f>
        <v/>
      </c>
      <c r="F26" s="15">
        <f>IF(E26&gt;0.0001,"ДЕФИЦИТ",IF(Y26&gt;0.0001,"ПРОФИЦИТ","БАЛАНС"))</f>
        <v/>
      </c>
      <c r="G26" s="10">
        <f>AB26+AS26+BJ26+CA26+CR26</f>
        <v/>
      </c>
      <c r="H26" s="10">
        <f>AD26+AU26+BL26+CC26+CT26</f>
        <v/>
      </c>
      <c r="I26" s="10">
        <f>AF26+AW26+BN26+CE26+CV26</f>
        <v/>
      </c>
      <c r="J26" s="10">
        <f>AL26+BC26+BT26+CK26+DB26</f>
        <v/>
      </c>
      <c r="K26" s="10">
        <f>AJ26+BA26+BR26+CI26+CZ26</f>
        <v/>
      </c>
      <c r="L26" s="10">
        <f>AN26+BE26+BV26+CM26+DD26</f>
        <v/>
      </c>
      <c r="M26" s="10">
        <f>AP26+BG26+BX26+CO26+DF26</f>
        <v/>
      </c>
      <c r="N26" s="10">
        <f>AH26+AY26+BP26+CG26+CX26</f>
        <v/>
      </c>
      <c r="O26" s="10">
        <f>SUM(G26:N26)</f>
        <v/>
      </c>
      <c r="P26" s="10">
        <f>IFERROR(G26*MIN(1,'01_Нормативы'!$C$4/SUM(G$2:G$429)),0)</f>
        <v/>
      </c>
      <c r="Q26" s="10">
        <f>IFERROR(H26*MIN(1,'01_Нормативы'!$C$5/SUM(H$2:H$429)),0)</f>
        <v/>
      </c>
      <c r="R26" s="10">
        <f>IFERROR(I26*MIN(1,'01_Нормативы'!$C$6/SUM(I$2:I$429)),0)</f>
        <v/>
      </c>
      <c r="S26" s="10">
        <f>IFERROR(J26*MIN(1,'01_Нормативы'!$C$7/SUM(J$2:J$429)),0)</f>
        <v/>
      </c>
      <c r="T26" s="10">
        <f>IFERROR(K26*MIN(1,'01_Нормативы'!$C$8/SUM(K$2:K$429)),0)</f>
        <v/>
      </c>
      <c r="U26" s="10">
        <f>IFERROR(L26*MIN(1,'01_Нормативы'!$C$9/SUM(L$2:L$429)),0)</f>
        <v/>
      </c>
      <c r="V26" s="10">
        <f>IFERROR(M26*MIN(1,'01_Нормативы'!$C$10/SUM(M$2:M$429)),0)</f>
        <v/>
      </c>
      <c r="W26" s="10">
        <f>IFERROR(N26*MIN(1,'01_Нормативы'!$C$11/SUM(N$2:N$429)),0)</f>
        <v/>
      </c>
      <c r="X26" s="10">
        <f>SUM(P26:W26)</f>
        <v/>
      </c>
      <c r="Y26" s="10">
        <f>MAX(0,C26-X26)</f>
        <v/>
      </c>
      <c r="Z26" s="10">
        <f>IF(D26=0,100,X26/D26*100)</f>
        <v/>
      </c>
      <c r="AA26" s="10">
        <f>'02_Данные'!F26+'02_Данные'!G26</f>
        <v/>
      </c>
      <c r="AB26" s="10">
        <f>MIN('02_Данные'!L26,AA26)</f>
        <v/>
      </c>
      <c r="AC26" s="10">
        <f>AA26-AB26</f>
        <v/>
      </c>
      <c r="AD26" s="10">
        <f>MIN('02_Данные'!M26,AC26)</f>
        <v/>
      </c>
      <c r="AE26" s="10">
        <f>AC26-AD26</f>
        <v/>
      </c>
      <c r="AF26" s="10">
        <f>MIN('02_Данные'!N26,AE26)</f>
        <v/>
      </c>
      <c r="AG26" s="10">
        <f>AE26-AF26</f>
        <v/>
      </c>
      <c r="AH26" s="10">
        <f>MIN('02_Данные'!S26,AG26)</f>
        <v/>
      </c>
      <c r="AI26" s="10">
        <f>AG26-AH26</f>
        <v/>
      </c>
      <c r="AJ26" s="10">
        <f>MIN('02_Данные'!P26,AI26)</f>
        <v/>
      </c>
      <c r="AK26" s="10">
        <f>AI26-AJ26</f>
        <v/>
      </c>
      <c r="AL26" s="10">
        <f>MIN('02_Данные'!O26,AK26)</f>
        <v/>
      </c>
      <c r="AM26" s="10">
        <f>AK26-AL26</f>
        <v/>
      </c>
      <c r="AN26" s="10">
        <f>MIN('02_Данные'!Q26,AM26)</f>
        <v/>
      </c>
      <c r="AO26" s="10">
        <f>AM26-AN26</f>
        <v/>
      </c>
      <c r="AP26" s="10">
        <f>MIN('02_Данные'!R26,AO26)</f>
        <v/>
      </c>
      <c r="AQ26" s="10">
        <f>AO26-AP26</f>
        <v/>
      </c>
      <c r="AR26" s="10">
        <f>AQ26+'02_Данные'!H26</f>
        <v/>
      </c>
      <c r="AS26" s="10">
        <f>MIN('02_Данные'!T26,AR26)</f>
        <v/>
      </c>
      <c r="AT26" s="10">
        <f>AR26-AS26</f>
        <v/>
      </c>
      <c r="AU26" s="10">
        <f>MIN('02_Данные'!U26,AT26)</f>
        <v/>
      </c>
      <c r="AV26" s="10">
        <f>AT26-AU26</f>
        <v/>
      </c>
      <c r="AW26" s="10">
        <f>MIN('02_Данные'!V26,AV26)</f>
        <v/>
      </c>
      <c r="AX26" s="10">
        <f>AV26-AW26</f>
        <v/>
      </c>
      <c r="AY26" s="10">
        <f>MIN('02_Данные'!AA26,AX26)</f>
        <v/>
      </c>
      <c r="AZ26" s="10">
        <f>AX26-AY26</f>
        <v/>
      </c>
      <c r="BA26" s="10">
        <f>MIN('02_Данные'!X26,AZ26)</f>
        <v/>
      </c>
      <c r="BB26" s="10">
        <f>AZ26-BA26</f>
        <v/>
      </c>
      <c r="BC26" s="10">
        <f>MIN('02_Данные'!W26,BB26)</f>
        <v/>
      </c>
      <c r="BD26" s="10">
        <f>BB26-BC26</f>
        <v/>
      </c>
      <c r="BE26" s="10">
        <f>MIN('02_Данные'!Y26,BD26)</f>
        <v/>
      </c>
      <c r="BF26" s="10">
        <f>BD26-BE26</f>
        <v/>
      </c>
      <c r="BG26" s="10">
        <f>MIN('02_Данные'!Z26,BF26)</f>
        <v/>
      </c>
      <c r="BH26" s="10">
        <f>BF26-BG26</f>
        <v/>
      </c>
      <c r="BI26" s="10">
        <f>BH26+'02_Данные'!I26</f>
        <v/>
      </c>
      <c r="BJ26" s="10">
        <f>MIN('02_Данные'!AB26,BI26)</f>
        <v/>
      </c>
      <c r="BK26" s="10">
        <f>BI26-BJ26</f>
        <v/>
      </c>
      <c r="BL26" s="10">
        <f>MIN('02_Данные'!AC26,BK26)</f>
        <v/>
      </c>
      <c r="BM26" s="10">
        <f>BK26-BL26</f>
        <v/>
      </c>
      <c r="BN26" s="10">
        <f>MIN('02_Данные'!AD26,BM26)</f>
        <v/>
      </c>
      <c r="BO26" s="10">
        <f>BM26-BN26</f>
        <v/>
      </c>
      <c r="BP26" s="10">
        <f>MIN('02_Данные'!AI26,BO26)</f>
        <v/>
      </c>
      <c r="BQ26" s="10">
        <f>BO26-BP26</f>
        <v/>
      </c>
      <c r="BR26" s="10">
        <f>MIN('02_Данные'!AF26,BQ26)</f>
        <v/>
      </c>
      <c r="BS26" s="10">
        <f>BQ26-BR26</f>
        <v/>
      </c>
      <c r="BT26" s="10">
        <f>MIN('02_Данные'!AE26,BS26)</f>
        <v/>
      </c>
      <c r="BU26" s="10">
        <f>BS26-BT26</f>
        <v/>
      </c>
      <c r="BV26" s="10">
        <f>MIN('02_Данные'!AG26,BU26)</f>
        <v/>
      </c>
      <c r="BW26" s="10">
        <f>BU26-BV26</f>
        <v/>
      </c>
      <c r="BX26" s="10">
        <f>MIN('02_Данные'!AH26,BW26)</f>
        <v/>
      </c>
      <c r="BY26" s="10">
        <f>BW26-BX26</f>
        <v/>
      </c>
      <c r="BZ26" s="10">
        <f>BY26+'02_Данные'!J26</f>
        <v/>
      </c>
      <c r="CA26" s="10">
        <f>MIN('02_Данные'!AJ26,BZ26)</f>
        <v/>
      </c>
      <c r="CB26" s="10">
        <f>BZ26-CA26</f>
        <v/>
      </c>
      <c r="CC26" s="10">
        <f>MIN('02_Данные'!AK26,CB26)</f>
        <v/>
      </c>
      <c r="CD26" s="10">
        <f>CB26-CC26</f>
        <v/>
      </c>
      <c r="CE26" s="10">
        <f>MIN('02_Данные'!AL26,CD26)</f>
        <v/>
      </c>
      <c r="CF26" s="10">
        <f>CD26-CE26</f>
        <v/>
      </c>
      <c r="CG26" s="10">
        <f>MIN('02_Данные'!AQ26,CF26)</f>
        <v/>
      </c>
      <c r="CH26" s="10">
        <f>CF26-CG26</f>
        <v/>
      </c>
      <c r="CI26" s="10">
        <f>MIN('02_Данные'!AN26,CH26)</f>
        <v/>
      </c>
      <c r="CJ26" s="10">
        <f>CH26-CI26</f>
        <v/>
      </c>
      <c r="CK26" s="10">
        <f>MIN('02_Данные'!AM26,CJ26)</f>
        <v/>
      </c>
      <c r="CL26" s="10">
        <f>CJ26-CK26</f>
        <v/>
      </c>
      <c r="CM26" s="10">
        <f>MIN('02_Данные'!AO26,CL26)</f>
        <v/>
      </c>
      <c r="CN26" s="10">
        <f>CL26-CM26</f>
        <v/>
      </c>
      <c r="CO26" s="10">
        <f>MIN('02_Данные'!AP26,CN26)</f>
        <v/>
      </c>
      <c r="CP26" s="10">
        <f>CN26-CO26</f>
        <v/>
      </c>
      <c r="CQ26" s="10">
        <f>CP26+'02_Данные'!K26</f>
        <v/>
      </c>
      <c r="CR26" s="10">
        <f>MIN('02_Данные'!AR26,CQ26)</f>
        <v/>
      </c>
      <c r="CS26" s="10">
        <f>CQ26-CR26</f>
        <v/>
      </c>
      <c r="CT26" s="10">
        <f>MIN('02_Данные'!AS26,CS26)</f>
        <v/>
      </c>
      <c r="CU26" s="10">
        <f>CS26-CT26</f>
        <v/>
      </c>
      <c r="CV26" s="10">
        <f>MIN('02_Данные'!AT26,CU26)</f>
        <v/>
      </c>
      <c r="CW26" s="10">
        <f>CU26-CV26</f>
        <v/>
      </c>
      <c r="CX26" s="10">
        <f>MIN('02_Данные'!AY26,CW26)</f>
        <v/>
      </c>
      <c r="CY26" s="10">
        <f>CW26-CX26</f>
        <v/>
      </c>
      <c r="CZ26" s="10">
        <f>MIN('02_Данные'!AV26,CY26)</f>
        <v/>
      </c>
      <c r="DA26" s="10">
        <f>CY26-CZ26</f>
        <v/>
      </c>
      <c r="DB26" s="10">
        <f>MIN('02_Данные'!AU26,DA26)</f>
        <v/>
      </c>
      <c r="DC26" s="10">
        <f>DA26-DB26</f>
        <v/>
      </c>
      <c r="DD26" s="10">
        <f>MIN('02_Данные'!AW26,DC26)</f>
        <v/>
      </c>
      <c r="DE26" s="10">
        <f>DC26-DD26</f>
        <v/>
      </c>
      <c r="DF26" s="10">
        <f>MIN('02_Данные'!AX26,DE26)</f>
        <v/>
      </c>
      <c r="DG26" s="10">
        <f>DE26-DF26</f>
        <v/>
      </c>
    </row>
    <row r="27">
      <c r="A27" s="9">
        <f>'02_Данные'!B27</f>
        <v/>
      </c>
      <c r="B27" s="9">
        <f>'02_Данные'!E27</f>
        <v/>
      </c>
      <c r="C27" s="10">
        <f>'02_Данные'!F27+'02_Данные'!G27+'02_Данные'!H27+'02_Данные'!I27+'02_Данные'!J27+'02_Данные'!K27</f>
        <v/>
      </c>
      <c r="D27" s="10">
        <f>SUM('02_Данные'!L27:'02_Данные'!AY27)</f>
        <v/>
      </c>
      <c r="E27" s="10">
        <f>MAX(0,D27-C27)</f>
        <v/>
      </c>
      <c r="F27" s="15">
        <f>IF(E27&gt;0.0001,"ДЕФИЦИТ",IF(Y27&gt;0.0001,"ПРОФИЦИТ","БАЛАНС"))</f>
        <v/>
      </c>
      <c r="G27" s="10">
        <f>AB27+AS27+BJ27+CA27+CR27</f>
        <v/>
      </c>
      <c r="H27" s="10">
        <f>AD27+AU27+BL27+CC27+CT27</f>
        <v/>
      </c>
      <c r="I27" s="10">
        <f>AF27+AW27+BN27+CE27+CV27</f>
        <v/>
      </c>
      <c r="J27" s="10">
        <f>AL27+BC27+BT27+CK27+DB27</f>
        <v/>
      </c>
      <c r="K27" s="10">
        <f>AJ27+BA27+BR27+CI27+CZ27</f>
        <v/>
      </c>
      <c r="L27" s="10">
        <f>AN27+BE27+BV27+CM27+DD27</f>
        <v/>
      </c>
      <c r="M27" s="10">
        <f>AP27+BG27+BX27+CO27+DF27</f>
        <v/>
      </c>
      <c r="N27" s="10">
        <f>AH27+AY27+BP27+CG27+CX27</f>
        <v/>
      </c>
      <c r="O27" s="10">
        <f>SUM(G27:N27)</f>
        <v/>
      </c>
      <c r="P27" s="10">
        <f>IFERROR(G27*MIN(1,'01_Нормативы'!$C$4/SUM(G$2:G$429)),0)</f>
        <v/>
      </c>
      <c r="Q27" s="10">
        <f>IFERROR(H27*MIN(1,'01_Нормативы'!$C$5/SUM(H$2:H$429)),0)</f>
        <v/>
      </c>
      <c r="R27" s="10">
        <f>IFERROR(I27*MIN(1,'01_Нормативы'!$C$6/SUM(I$2:I$429)),0)</f>
        <v/>
      </c>
      <c r="S27" s="10">
        <f>IFERROR(J27*MIN(1,'01_Нормативы'!$C$7/SUM(J$2:J$429)),0)</f>
        <v/>
      </c>
      <c r="T27" s="10">
        <f>IFERROR(K27*MIN(1,'01_Нормативы'!$C$8/SUM(K$2:K$429)),0)</f>
        <v/>
      </c>
      <c r="U27" s="10">
        <f>IFERROR(L27*MIN(1,'01_Нормативы'!$C$9/SUM(L$2:L$429)),0)</f>
        <v/>
      </c>
      <c r="V27" s="10">
        <f>IFERROR(M27*MIN(1,'01_Нормативы'!$C$10/SUM(M$2:M$429)),0)</f>
        <v/>
      </c>
      <c r="W27" s="10">
        <f>IFERROR(N27*MIN(1,'01_Нормативы'!$C$11/SUM(N$2:N$429)),0)</f>
        <v/>
      </c>
      <c r="X27" s="10">
        <f>SUM(P27:W27)</f>
        <v/>
      </c>
      <c r="Y27" s="10">
        <f>MAX(0,C27-X27)</f>
        <v/>
      </c>
      <c r="Z27" s="10">
        <f>IF(D27=0,100,X27/D27*100)</f>
        <v/>
      </c>
      <c r="AA27" s="10">
        <f>'02_Данные'!F27+'02_Данные'!G27</f>
        <v/>
      </c>
      <c r="AB27" s="10">
        <f>MIN('02_Данные'!L27,AA27)</f>
        <v/>
      </c>
      <c r="AC27" s="10">
        <f>AA27-AB27</f>
        <v/>
      </c>
      <c r="AD27" s="10">
        <f>MIN('02_Данные'!M27,AC27)</f>
        <v/>
      </c>
      <c r="AE27" s="10">
        <f>AC27-AD27</f>
        <v/>
      </c>
      <c r="AF27" s="10">
        <f>MIN('02_Данные'!N27,AE27)</f>
        <v/>
      </c>
      <c r="AG27" s="10">
        <f>AE27-AF27</f>
        <v/>
      </c>
      <c r="AH27" s="10">
        <f>MIN('02_Данные'!S27,AG27)</f>
        <v/>
      </c>
      <c r="AI27" s="10">
        <f>AG27-AH27</f>
        <v/>
      </c>
      <c r="AJ27" s="10">
        <f>MIN('02_Данные'!P27,AI27)</f>
        <v/>
      </c>
      <c r="AK27" s="10">
        <f>AI27-AJ27</f>
        <v/>
      </c>
      <c r="AL27" s="10">
        <f>MIN('02_Данные'!O27,AK27)</f>
        <v/>
      </c>
      <c r="AM27" s="10">
        <f>AK27-AL27</f>
        <v/>
      </c>
      <c r="AN27" s="10">
        <f>MIN('02_Данные'!Q27,AM27)</f>
        <v/>
      </c>
      <c r="AO27" s="10">
        <f>AM27-AN27</f>
        <v/>
      </c>
      <c r="AP27" s="10">
        <f>MIN('02_Данные'!R27,AO27)</f>
        <v/>
      </c>
      <c r="AQ27" s="10">
        <f>AO27-AP27</f>
        <v/>
      </c>
      <c r="AR27" s="10">
        <f>AQ27+'02_Данные'!H27</f>
        <v/>
      </c>
      <c r="AS27" s="10">
        <f>MIN('02_Данные'!T27,AR27)</f>
        <v/>
      </c>
      <c r="AT27" s="10">
        <f>AR27-AS27</f>
        <v/>
      </c>
      <c r="AU27" s="10">
        <f>MIN('02_Данные'!U27,AT27)</f>
        <v/>
      </c>
      <c r="AV27" s="10">
        <f>AT27-AU27</f>
        <v/>
      </c>
      <c r="AW27" s="10">
        <f>MIN('02_Данные'!V27,AV27)</f>
        <v/>
      </c>
      <c r="AX27" s="10">
        <f>AV27-AW27</f>
        <v/>
      </c>
      <c r="AY27" s="10">
        <f>MIN('02_Данные'!AA27,AX27)</f>
        <v/>
      </c>
      <c r="AZ27" s="10">
        <f>AX27-AY27</f>
        <v/>
      </c>
      <c r="BA27" s="10">
        <f>MIN('02_Данные'!X27,AZ27)</f>
        <v/>
      </c>
      <c r="BB27" s="10">
        <f>AZ27-BA27</f>
        <v/>
      </c>
      <c r="BC27" s="10">
        <f>MIN('02_Данные'!W27,BB27)</f>
        <v/>
      </c>
      <c r="BD27" s="10">
        <f>BB27-BC27</f>
        <v/>
      </c>
      <c r="BE27" s="10">
        <f>MIN('02_Данные'!Y27,BD27)</f>
        <v/>
      </c>
      <c r="BF27" s="10">
        <f>BD27-BE27</f>
        <v/>
      </c>
      <c r="BG27" s="10">
        <f>MIN('02_Данные'!Z27,BF27)</f>
        <v/>
      </c>
      <c r="BH27" s="10">
        <f>BF27-BG27</f>
        <v/>
      </c>
      <c r="BI27" s="10">
        <f>BH27+'02_Данные'!I27</f>
        <v/>
      </c>
      <c r="BJ27" s="10">
        <f>MIN('02_Данные'!AB27,BI27)</f>
        <v/>
      </c>
      <c r="BK27" s="10">
        <f>BI27-BJ27</f>
        <v/>
      </c>
      <c r="BL27" s="10">
        <f>MIN('02_Данные'!AC27,BK27)</f>
        <v/>
      </c>
      <c r="BM27" s="10">
        <f>BK27-BL27</f>
        <v/>
      </c>
      <c r="BN27" s="10">
        <f>MIN('02_Данные'!AD27,BM27)</f>
        <v/>
      </c>
      <c r="BO27" s="10">
        <f>BM27-BN27</f>
        <v/>
      </c>
      <c r="BP27" s="10">
        <f>MIN('02_Данные'!AI27,BO27)</f>
        <v/>
      </c>
      <c r="BQ27" s="10">
        <f>BO27-BP27</f>
        <v/>
      </c>
      <c r="BR27" s="10">
        <f>MIN('02_Данные'!AF27,BQ27)</f>
        <v/>
      </c>
      <c r="BS27" s="10">
        <f>BQ27-BR27</f>
        <v/>
      </c>
      <c r="BT27" s="10">
        <f>MIN('02_Данные'!AE27,BS27)</f>
        <v/>
      </c>
      <c r="BU27" s="10">
        <f>BS27-BT27</f>
        <v/>
      </c>
      <c r="BV27" s="10">
        <f>MIN('02_Данные'!AG27,BU27)</f>
        <v/>
      </c>
      <c r="BW27" s="10">
        <f>BU27-BV27</f>
        <v/>
      </c>
      <c r="BX27" s="10">
        <f>MIN('02_Данные'!AH27,BW27)</f>
        <v/>
      </c>
      <c r="BY27" s="10">
        <f>BW27-BX27</f>
        <v/>
      </c>
      <c r="BZ27" s="10">
        <f>BY27+'02_Данные'!J27</f>
        <v/>
      </c>
      <c r="CA27" s="10">
        <f>MIN('02_Данные'!AJ27,BZ27)</f>
        <v/>
      </c>
      <c r="CB27" s="10">
        <f>BZ27-CA27</f>
        <v/>
      </c>
      <c r="CC27" s="10">
        <f>MIN('02_Данные'!AK27,CB27)</f>
        <v/>
      </c>
      <c r="CD27" s="10">
        <f>CB27-CC27</f>
        <v/>
      </c>
      <c r="CE27" s="10">
        <f>MIN('02_Данные'!AL27,CD27)</f>
        <v/>
      </c>
      <c r="CF27" s="10">
        <f>CD27-CE27</f>
        <v/>
      </c>
      <c r="CG27" s="10">
        <f>MIN('02_Данные'!AQ27,CF27)</f>
        <v/>
      </c>
      <c r="CH27" s="10">
        <f>CF27-CG27</f>
        <v/>
      </c>
      <c r="CI27" s="10">
        <f>MIN('02_Данные'!AN27,CH27)</f>
        <v/>
      </c>
      <c r="CJ27" s="10">
        <f>CH27-CI27</f>
        <v/>
      </c>
      <c r="CK27" s="10">
        <f>MIN('02_Данные'!AM27,CJ27)</f>
        <v/>
      </c>
      <c r="CL27" s="10">
        <f>CJ27-CK27</f>
        <v/>
      </c>
      <c r="CM27" s="10">
        <f>MIN('02_Данные'!AO27,CL27)</f>
        <v/>
      </c>
      <c r="CN27" s="10">
        <f>CL27-CM27</f>
        <v/>
      </c>
      <c r="CO27" s="10">
        <f>MIN('02_Данные'!AP27,CN27)</f>
        <v/>
      </c>
      <c r="CP27" s="10">
        <f>CN27-CO27</f>
        <v/>
      </c>
      <c r="CQ27" s="10">
        <f>CP27+'02_Данные'!K27</f>
        <v/>
      </c>
      <c r="CR27" s="10">
        <f>MIN('02_Данные'!AR27,CQ27)</f>
        <v/>
      </c>
      <c r="CS27" s="10">
        <f>CQ27-CR27</f>
        <v/>
      </c>
      <c r="CT27" s="10">
        <f>MIN('02_Данные'!AS27,CS27)</f>
        <v/>
      </c>
      <c r="CU27" s="10">
        <f>CS27-CT27</f>
        <v/>
      </c>
      <c r="CV27" s="10">
        <f>MIN('02_Данные'!AT27,CU27)</f>
        <v/>
      </c>
      <c r="CW27" s="10">
        <f>CU27-CV27</f>
        <v/>
      </c>
      <c r="CX27" s="10">
        <f>MIN('02_Данные'!AY27,CW27)</f>
        <v/>
      </c>
      <c r="CY27" s="10">
        <f>CW27-CX27</f>
        <v/>
      </c>
      <c r="CZ27" s="10">
        <f>MIN('02_Данные'!AV27,CY27)</f>
        <v/>
      </c>
      <c r="DA27" s="10">
        <f>CY27-CZ27</f>
        <v/>
      </c>
      <c r="DB27" s="10">
        <f>MIN('02_Данные'!AU27,DA27)</f>
        <v/>
      </c>
      <c r="DC27" s="10">
        <f>DA27-DB27</f>
        <v/>
      </c>
      <c r="DD27" s="10">
        <f>MIN('02_Данные'!AW27,DC27)</f>
        <v/>
      </c>
      <c r="DE27" s="10">
        <f>DC27-DD27</f>
        <v/>
      </c>
      <c r="DF27" s="10">
        <f>MIN('02_Данные'!AX27,DE27)</f>
        <v/>
      </c>
      <c r="DG27" s="10">
        <f>DE27-DF27</f>
        <v/>
      </c>
    </row>
    <row r="28">
      <c r="A28" s="9">
        <f>'02_Данные'!B28</f>
        <v/>
      </c>
      <c r="B28" s="9">
        <f>'02_Данные'!E28</f>
        <v/>
      </c>
      <c r="C28" s="10">
        <f>'02_Данные'!F28+'02_Данные'!G28+'02_Данные'!H28+'02_Данные'!I28+'02_Данные'!J28+'02_Данные'!K28</f>
        <v/>
      </c>
      <c r="D28" s="10">
        <f>SUM('02_Данные'!L28:'02_Данные'!AY28)</f>
        <v/>
      </c>
      <c r="E28" s="10">
        <f>MAX(0,D28-C28)</f>
        <v/>
      </c>
      <c r="F28" s="15">
        <f>IF(E28&gt;0.0001,"ДЕФИЦИТ",IF(Y28&gt;0.0001,"ПРОФИЦИТ","БАЛАНС"))</f>
        <v/>
      </c>
      <c r="G28" s="10">
        <f>AB28+AS28+BJ28+CA28+CR28</f>
        <v/>
      </c>
      <c r="H28" s="10">
        <f>AD28+AU28+BL28+CC28+CT28</f>
        <v/>
      </c>
      <c r="I28" s="10">
        <f>AF28+AW28+BN28+CE28+CV28</f>
        <v/>
      </c>
      <c r="J28" s="10">
        <f>AL28+BC28+BT28+CK28+DB28</f>
        <v/>
      </c>
      <c r="K28" s="10">
        <f>AJ28+BA28+BR28+CI28+CZ28</f>
        <v/>
      </c>
      <c r="L28" s="10">
        <f>AN28+BE28+BV28+CM28+DD28</f>
        <v/>
      </c>
      <c r="M28" s="10">
        <f>AP28+BG28+BX28+CO28+DF28</f>
        <v/>
      </c>
      <c r="N28" s="10">
        <f>AH28+AY28+BP28+CG28+CX28</f>
        <v/>
      </c>
      <c r="O28" s="10">
        <f>SUM(G28:N28)</f>
        <v/>
      </c>
      <c r="P28" s="10">
        <f>IFERROR(G28*MIN(1,'01_Нормативы'!$C$4/SUM(G$2:G$429)),0)</f>
        <v/>
      </c>
      <c r="Q28" s="10">
        <f>IFERROR(H28*MIN(1,'01_Нормативы'!$C$5/SUM(H$2:H$429)),0)</f>
        <v/>
      </c>
      <c r="R28" s="10">
        <f>IFERROR(I28*MIN(1,'01_Нормативы'!$C$6/SUM(I$2:I$429)),0)</f>
        <v/>
      </c>
      <c r="S28" s="10">
        <f>IFERROR(J28*MIN(1,'01_Нормативы'!$C$7/SUM(J$2:J$429)),0)</f>
        <v/>
      </c>
      <c r="T28" s="10">
        <f>IFERROR(K28*MIN(1,'01_Нормативы'!$C$8/SUM(K$2:K$429)),0)</f>
        <v/>
      </c>
      <c r="U28" s="10">
        <f>IFERROR(L28*MIN(1,'01_Нормативы'!$C$9/SUM(L$2:L$429)),0)</f>
        <v/>
      </c>
      <c r="V28" s="10">
        <f>IFERROR(M28*MIN(1,'01_Нормативы'!$C$10/SUM(M$2:M$429)),0)</f>
        <v/>
      </c>
      <c r="W28" s="10">
        <f>IFERROR(N28*MIN(1,'01_Нормативы'!$C$11/SUM(N$2:N$429)),0)</f>
        <v/>
      </c>
      <c r="X28" s="10">
        <f>SUM(P28:W28)</f>
        <v/>
      </c>
      <c r="Y28" s="10">
        <f>MAX(0,C28-X28)</f>
        <v/>
      </c>
      <c r="Z28" s="10">
        <f>IF(D28=0,100,X28/D28*100)</f>
        <v/>
      </c>
      <c r="AA28" s="10">
        <f>'02_Данные'!F28+'02_Данные'!G28</f>
        <v/>
      </c>
      <c r="AB28" s="10">
        <f>MIN('02_Данные'!L28,AA28)</f>
        <v/>
      </c>
      <c r="AC28" s="10">
        <f>AA28-AB28</f>
        <v/>
      </c>
      <c r="AD28" s="10">
        <f>MIN('02_Данные'!M28,AC28)</f>
        <v/>
      </c>
      <c r="AE28" s="10">
        <f>AC28-AD28</f>
        <v/>
      </c>
      <c r="AF28" s="10">
        <f>MIN('02_Данные'!N28,AE28)</f>
        <v/>
      </c>
      <c r="AG28" s="10">
        <f>AE28-AF28</f>
        <v/>
      </c>
      <c r="AH28" s="10">
        <f>MIN('02_Данные'!S28,AG28)</f>
        <v/>
      </c>
      <c r="AI28" s="10">
        <f>AG28-AH28</f>
        <v/>
      </c>
      <c r="AJ28" s="10">
        <f>MIN('02_Данные'!P28,AI28)</f>
        <v/>
      </c>
      <c r="AK28" s="10">
        <f>AI28-AJ28</f>
        <v/>
      </c>
      <c r="AL28" s="10">
        <f>MIN('02_Данные'!O28,AK28)</f>
        <v/>
      </c>
      <c r="AM28" s="10">
        <f>AK28-AL28</f>
        <v/>
      </c>
      <c r="AN28" s="10">
        <f>MIN('02_Данные'!Q28,AM28)</f>
        <v/>
      </c>
      <c r="AO28" s="10">
        <f>AM28-AN28</f>
        <v/>
      </c>
      <c r="AP28" s="10">
        <f>MIN('02_Данные'!R28,AO28)</f>
        <v/>
      </c>
      <c r="AQ28" s="10">
        <f>AO28-AP28</f>
        <v/>
      </c>
      <c r="AR28" s="10">
        <f>AQ28+'02_Данные'!H28</f>
        <v/>
      </c>
      <c r="AS28" s="10">
        <f>MIN('02_Данные'!T28,AR28)</f>
        <v/>
      </c>
      <c r="AT28" s="10">
        <f>AR28-AS28</f>
        <v/>
      </c>
      <c r="AU28" s="10">
        <f>MIN('02_Данные'!U28,AT28)</f>
        <v/>
      </c>
      <c r="AV28" s="10">
        <f>AT28-AU28</f>
        <v/>
      </c>
      <c r="AW28" s="10">
        <f>MIN('02_Данные'!V28,AV28)</f>
        <v/>
      </c>
      <c r="AX28" s="10">
        <f>AV28-AW28</f>
        <v/>
      </c>
      <c r="AY28" s="10">
        <f>MIN('02_Данные'!AA28,AX28)</f>
        <v/>
      </c>
      <c r="AZ28" s="10">
        <f>AX28-AY28</f>
        <v/>
      </c>
      <c r="BA28" s="10">
        <f>MIN('02_Данные'!X28,AZ28)</f>
        <v/>
      </c>
      <c r="BB28" s="10">
        <f>AZ28-BA28</f>
        <v/>
      </c>
      <c r="BC28" s="10">
        <f>MIN('02_Данные'!W28,BB28)</f>
        <v/>
      </c>
      <c r="BD28" s="10">
        <f>BB28-BC28</f>
        <v/>
      </c>
      <c r="BE28" s="10">
        <f>MIN('02_Данные'!Y28,BD28)</f>
        <v/>
      </c>
      <c r="BF28" s="10">
        <f>BD28-BE28</f>
        <v/>
      </c>
      <c r="BG28" s="10">
        <f>MIN('02_Данные'!Z28,BF28)</f>
        <v/>
      </c>
      <c r="BH28" s="10">
        <f>BF28-BG28</f>
        <v/>
      </c>
      <c r="BI28" s="10">
        <f>BH28+'02_Данные'!I28</f>
        <v/>
      </c>
      <c r="BJ28" s="10">
        <f>MIN('02_Данные'!AB28,BI28)</f>
        <v/>
      </c>
      <c r="BK28" s="10">
        <f>BI28-BJ28</f>
        <v/>
      </c>
      <c r="BL28" s="10">
        <f>MIN('02_Данные'!AC28,BK28)</f>
        <v/>
      </c>
      <c r="BM28" s="10">
        <f>BK28-BL28</f>
        <v/>
      </c>
      <c r="BN28" s="10">
        <f>MIN('02_Данные'!AD28,BM28)</f>
        <v/>
      </c>
      <c r="BO28" s="10">
        <f>BM28-BN28</f>
        <v/>
      </c>
      <c r="BP28" s="10">
        <f>MIN('02_Данные'!AI28,BO28)</f>
        <v/>
      </c>
      <c r="BQ28" s="10">
        <f>BO28-BP28</f>
        <v/>
      </c>
      <c r="BR28" s="10">
        <f>MIN('02_Данные'!AF28,BQ28)</f>
        <v/>
      </c>
      <c r="BS28" s="10">
        <f>BQ28-BR28</f>
        <v/>
      </c>
      <c r="BT28" s="10">
        <f>MIN('02_Данные'!AE28,BS28)</f>
        <v/>
      </c>
      <c r="BU28" s="10">
        <f>BS28-BT28</f>
        <v/>
      </c>
      <c r="BV28" s="10">
        <f>MIN('02_Данные'!AG28,BU28)</f>
        <v/>
      </c>
      <c r="BW28" s="10">
        <f>BU28-BV28</f>
        <v/>
      </c>
      <c r="BX28" s="10">
        <f>MIN('02_Данные'!AH28,BW28)</f>
        <v/>
      </c>
      <c r="BY28" s="10">
        <f>BW28-BX28</f>
        <v/>
      </c>
      <c r="BZ28" s="10">
        <f>BY28+'02_Данные'!J28</f>
        <v/>
      </c>
      <c r="CA28" s="10">
        <f>MIN('02_Данные'!AJ28,BZ28)</f>
        <v/>
      </c>
      <c r="CB28" s="10">
        <f>BZ28-CA28</f>
        <v/>
      </c>
      <c r="CC28" s="10">
        <f>MIN('02_Данные'!AK28,CB28)</f>
        <v/>
      </c>
      <c r="CD28" s="10">
        <f>CB28-CC28</f>
        <v/>
      </c>
      <c r="CE28" s="10">
        <f>MIN('02_Данные'!AL28,CD28)</f>
        <v/>
      </c>
      <c r="CF28" s="10">
        <f>CD28-CE28</f>
        <v/>
      </c>
      <c r="CG28" s="10">
        <f>MIN('02_Данные'!AQ28,CF28)</f>
        <v/>
      </c>
      <c r="CH28" s="10">
        <f>CF28-CG28</f>
        <v/>
      </c>
      <c r="CI28" s="10">
        <f>MIN('02_Данные'!AN28,CH28)</f>
        <v/>
      </c>
      <c r="CJ28" s="10">
        <f>CH28-CI28</f>
        <v/>
      </c>
      <c r="CK28" s="10">
        <f>MIN('02_Данные'!AM28,CJ28)</f>
        <v/>
      </c>
      <c r="CL28" s="10">
        <f>CJ28-CK28</f>
        <v/>
      </c>
      <c r="CM28" s="10">
        <f>MIN('02_Данные'!AO28,CL28)</f>
        <v/>
      </c>
      <c r="CN28" s="10">
        <f>CL28-CM28</f>
        <v/>
      </c>
      <c r="CO28" s="10">
        <f>MIN('02_Данные'!AP28,CN28)</f>
        <v/>
      </c>
      <c r="CP28" s="10">
        <f>CN28-CO28</f>
        <v/>
      </c>
      <c r="CQ28" s="10">
        <f>CP28+'02_Данные'!K28</f>
        <v/>
      </c>
      <c r="CR28" s="10">
        <f>MIN('02_Данные'!AR28,CQ28)</f>
        <v/>
      </c>
      <c r="CS28" s="10">
        <f>CQ28-CR28</f>
        <v/>
      </c>
      <c r="CT28" s="10">
        <f>MIN('02_Данные'!AS28,CS28)</f>
        <v/>
      </c>
      <c r="CU28" s="10">
        <f>CS28-CT28</f>
        <v/>
      </c>
      <c r="CV28" s="10">
        <f>MIN('02_Данные'!AT28,CU28)</f>
        <v/>
      </c>
      <c r="CW28" s="10">
        <f>CU28-CV28</f>
        <v/>
      </c>
      <c r="CX28" s="10">
        <f>MIN('02_Данные'!AY28,CW28)</f>
        <v/>
      </c>
      <c r="CY28" s="10">
        <f>CW28-CX28</f>
        <v/>
      </c>
      <c r="CZ28" s="10">
        <f>MIN('02_Данные'!AV28,CY28)</f>
        <v/>
      </c>
      <c r="DA28" s="10">
        <f>CY28-CZ28</f>
        <v/>
      </c>
      <c r="DB28" s="10">
        <f>MIN('02_Данные'!AU28,DA28)</f>
        <v/>
      </c>
      <c r="DC28" s="10">
        <f>DA28-DB28</f>
        <v/>
      </c>
      <c r="DD28" s="10">
        <f>MIN('02_Данные'!AW28,DC28)</f>
        <v/>
      </c>
      <c r="DE28" s="10">
        <f>DC28-DD28</f>
        <v/>
      </c>
      <c r="DF28" s="10">
        <f>MIN('02_Данные'!AX28,DE28)</f>
        <v/>
      </c>
      <c r="DG28" s="10">
        <f>DE28-DF28</f>
        <v/>
      </c>
    </row>
    <row r="29">
      <c r="A29" s="9">
        <f>'02_Данные'!B29</f>
        <v/>
      </c>
      <c r="B29" s="9">
        <f>'02_Данные'!E29</f>
        <v/>
      </c>
      <c r="C29" s="10">
        <f>'02_Данные'!F29+'02_Данные'!G29+'02_Данные'!H29+'02_Данные'!I29+'02_Данные'!J29+'02_Данные'!K29</f>
        <v/>
      </c>
      <c r="D29" s="10">
        <f>SUM('02_Данные'!L29:'02_Данные'!AY29)</f>
        <v/>
      </c>
      <c r="E29" s="10">
        <f>MAX(0,D29-C29)</f>
        <v/>
      </c>
      <c r="F29" s="15">
        <f>IF(E29&gt;0.0001,"ДЕФИЦИТ",IF(Y29&gt;0.0001,"ПРОФИЦИТ","БАЛАНС"))</f>
        <v/>
      </c>
      <c r="G29" s="10">
        <f>AB29+AS29+BJ29+CA29+CR29</f>
        <v/>
      </c>
      <c r="H29" s="10">
        <f>AD29+AU29+BL29+CC29+CT29</f>
        <v/>
      </c>
      <c r="I29" s="10">
        <f>AF29+AW29+BN29+CE29+CV29</f>
        <v/>
      </c>
      <c r="J29" s="10">
        <f>AL29+BC29+BT29+CK29+DB29</f>
        <v/>
      </c>
      <c r="K29" s="10">
        <f>AJ29+BA29+BR29+CI29+CZ29</f>
        <v/>
      </c>
      <c r="L29" s="10">
        <f>AN29+BE29+BV29+CM29+DD29</f>
        <v/>
      </c>
      <c r="M29" s="10">
        <f>AP29+BG29+BX29+CO29+DF29</f>
        <v/>
      </c>
      <c r="N29" s="10">
        <f>AH29+AY29+BP29+CG29+CX29</f>
        <v/>
      </c>
      <c r="O29" s="10">
        <f>SUM(G29:N29)</f>
        <v/>
      </c>
      <c r="P29" s="10">
        <f>IFERROR(G29*MIN(1,'01_Нормативы'!$C$4/SUM(G$2:G$429)),0)</f>
        <v/>
      </c>
      <c r="Q29" s="10">
        <f>IFERROR(H29*MIN(1,'01_Нормативы'!$C$5/SUM(H$2:H$429)),0)</f>
        <v/>
      </c>
      <c r="R29" s="10">
        <f>IFERROR(I29*MIN(1,'01_Нормативы'!$C$6/SUM(I$2:I$429)),0)</f>
        <v/>
      </c>
      <c r="S29" s="10">
        <f>IFERROR(J29*MIN(1,'01_Нормативы'!$C$7/SUM(J$2:J$429)),0)</f>
        <v/>
      </c>
      <c r="T29" s="10">
        <f>IFERROR(K29*MIN(1,'01_Нормативы'!$C$8/SUM(K$2:K$429)),0)</f>
        <v/>
      </c>
      <c r="U29" s="10">
        <f>IFERROR(L29*MIN(1,'01_Нормативы'!$C$9/SUM(L$2:L$429)),0)</f>
        <v/>
      </c>
      <c r="V29" s="10">
        <f>IFERROR(M29*MIN(1,'01_Нормативы'!$C$10/SUM(M$2:M$429)),0)</f>
        <v/>
      </c>
      <c r="W29" s="10">
        <f>IFERROR(N29*MIN(1,'01_Нормативы'!$C$11/SUM(N$2:N$429)),0)</f>
        <v/>
      </c>
      <c r="X29" s="10">
        <f>SUM(P29:W29)</f>
        <v/>
      </c>
      <c r="Y29" s="10">
        <f>MAX(0,C29-X29)</f>
        <v/>
      </c>
      <c r="Z29" s="10">
        <f>IF(D29=0,100,X29/D29*100)</f>
        <v/>
      </c>
      <c r="AA29" s="10">
        <f>'02_Данные'!F29+'02_Данные'!G29</f>
        <v/>
      </c>
      <c r="AB29" s="10">
        <f>MIN('02_Данные'!L29,AA29)</f>
        <v/>
      </c>
      <c r="AC29" s="10">
        <f>AA29-AB29</f>
        <v/>
      </c>
      <c r="AD29" s="10">
        <f>MIN('02_Данные'!M29,AC29)</f>
        <v/>
      </c>
      <c r="AE29" s="10">
        <f>AC29-AD29</f>
        <v/>
      </c>
      <c r="AF29" s="10">
        <f>MIN('02_Данные'!N29,AE29)</f>
        <v/>
      </c>
      <c r="AG29" s="10">
        <f>AE29-AF29</f>
        <v/>
      </c>
      <c r="AH29" s="10">
        <f>MIN('02_Данные'!S29,AG29)</f>
        <v/>
      </c>
      <c r="AI29" s="10">
        <f>AG29-AH29</f>
        <v/>
      </c>
      <c r="AJ29" s="10">
        <f>MIN('02_Данные'!P29,AI29)</f>
        <v/>
      </c>
      <c r="AK29" s="10">
        <f>AI29-AJ29</f>
        <v/>
      </c>
      <c r="AL29" s="10">
        <f>MIN('02_Данные'!O29,AK29)</f>
        <v/>
      </c>
      <c r="AM29" s="10">
        <f>AK29-AL29</f>
        <v/>
      </c>
      <c r="AN29" s="10">
        <f>MIN('02_Данные'!Q29,AM29)</f>
        <v/>
      </c>
      <c r="AO29" s="10">
        <f>AM29-AN29</f>
        <v/>
      </c>
      <c r="AP29" s="10">
        <f>MIN('02_Данные'!R29,AO29)</f>
        <v/>
      </c>
      <c r="AQ29" s="10">
        <f>AO29-AP29</f>
        <v/>
      </c>
      <c r="AR29" s="10">
        <f>AQ29+'02_Данные'!H29</f>
        <v/>
      </c>
      <c r="AS29" s="10">
        <f>MIN('02_Данные'!T29,AR29)</f>
        <v/>
      </c>
      <c r="AT29" s="10">
        <f>AR29-AS29</f>
        <v/>
      </c>
      <c r="AU29" s="10">
        <f>MIN('02_Данные'!U29,AT29)</f>
        <v/>
      </c>
      <c r="AV29" s="10">
        <f>AT29-AU29</f>
        <v/>
      </c>
      <c r="AW29" s="10">
        <f>MIN('02_Данные'!V29,AV29)</f>
        <v/>
      </c>
      <c r="AX29" s="10">
        <f>AV29-AW29</f>
        <v/>
      </c>
      <c r="AY29" s="10">
        <f>MIN('02_Данные'!AA29,AX29)</f>
        <v/>
      </c>
      <c r="AZ29" s="10">
        <f>AX29-AY29</f>
        <v/>
      </c>
      <c r="BA29" s="10">
        <f>MIN('02_Данные'!X29,AZ29)</f>
        <v/>
      </c>
      <c r="BB29" s="10">
        <f>AZ29-BA29</f>
        <v/>
      </c>
      <c r="BC29" s="10">
        <f>MIN('02_Данные'!W29,BB29)</f>
        <v/>
      </c>
      <c r="BD29" s="10">
        <f>BB29-BC29</f>
        <v/>
      </c>
      <c r="BE29" s="10">
        <f>MIN('02_Данные'!Y29,BD29)</f>
        <v/>
      </c>
      <c r="BF29" s="10">
        <f>BD29-BE29</f>
        <v/>
      </c>
      <c r="BG29" s="10">
        <f>MIN('02_Данные'!Z29,BF29)</f>
        <v/>
      </c>
      <c r="BH29" s="10">
        <f>BF29-BG29</f>
        <v/>
      </c>
      <c r="BI29" s="10">
        <f>BH29+'02_Данные'!I29</f>
        <v/>
      </c>
      <c r="BJ29" s="10">
        <f>MIN('02_Данные'!AB29,BI29)</f>
        <v/>
      </c>
      <c r="BK29" s="10">
        <f>BI29-BJ29</f>
        <v/>
      </c>
      <c r="BL29" s="10">
        <f>MIN('02_Данные'!AC29,BK29)</f>
        <v/>
      </c>
      <c r="BM29" s="10">
        <f>BK29-BL29</f>
        <v/>
      </c>
      <c r="BN29" s="10">
        <f>MIN('02_Данные'!AD29,BM29)</f>
        <v/>
      </c>
      <c r="BO29" s="10">
        <f>BM29-BN29</f>
        <v/>
      </c>
      <c r="BP29" s="10">
        <f>MIN('02_Данные'!AI29,BO29)</f>
        <v/>
      </c>
      <c r="BQ29" s="10">
        <f>BO29-BP29</f>
        <v/>
      </c>
      <c r="BR29" s="10">
        <f>MIN('02_Данные'!AF29,BQ29)</f>
        <v/>
      </c>
      <c r="BS29" s="10">
        <f>BQ29-BR29</f>
        <v/>
      </c>
      <c r="BT29" s="10">
        <f>MIN('02_Данные'!AE29,BS29)</f>
        <v/>
      </c>
      <c r="BU29" s="10">
        <f>BS29-BT29</f>
        <v/>
      </c>
      <c r="BV29" s="10">
        <f>MIN('02_Данные'!AG29,BU29)</f>
        <v/>
      </c>
      <c r="BW29" s="10">
        <f>BU29-BV29</f>
        <v/>
      </c>
      <c r="BX29" s="10">
        <f>MIN('02_Данные'!AH29,BW29)</f>
        <v/>
      </c>
      <c r="BY29" s="10">
        <f>BW29-BX29</f>
        <v/>
      </c>
      <c r="BZ29" s="10">
        <f>BY29+'02_Данные'!J29</f>
        <v/>
      </c>
      <c r="CA29" s="10">
        <f>MIN('02_Данные'!AJ29,BZ29)</f>
        <v/>
      </c>
      <c r="CB29" s="10">
        <f>BZ29-CA29</f>
        <v/>
      </c>
      <c r="CC29" s="10">
        <f>MIN('02_Данные'!AK29,CB29)</f>
        <v/>
      </c>
      <c r="CD29" s="10">
        <f>CB29-CC29</f>
        <v/>
      </c>
      <c r="CE29" s="10">
        <f>MIN('02_Данные'!AL29,CD29)</f>
        <v/>
      </c>
      <c r="CF29" s="10">
        <f>CD29-CE29</f>
        <v/>
      </c>
      <c r="CG29" s="10">
        <f>MIN('02_Данные'!AQ29,CF29)</f>
        <v/>
      </c>
      <c r="CH29" s="10">
        <f>CF29-CG29</f>
        <v/>
      </c>
      <c r="CI29" s="10">
        <f>MIN('02_Данные'!AN29,CH29)</f>
        <v/>
      </c>
      <c r="CJ29" s="10">
        <f>CH29-CI29</f>
        <v/>
      </c>
      <c r="CK29" s="10">
        <f>MIN('02_Данные'!AM29,CJ29)</f>
        <v/>
      </c>
      <c r="CL29" s="10">
        <f>CJ29-CK29</f>
        <v/>
      </c>
      <c r="CM29" s="10">
        <f>MIN('02_Данные'!AO29,CL29)</f>
        <v/>
      </c>
      <c r="CN29" s="10">
        <f>CL29-CM29</f>
        <v/>
      </c>
      <c r="CO29" s="10">
        <f>MIN('02_Данные'!AP29,CN29)</f>
        <v/>
      </c>
      <c r="CP29" s="10">
        <f>CN29-CO29</f>
        <v/>
      </c>
      <c r="CQ29" s="10">
        <f>CP29+'02_Данные'!K29</f>
        <v/>
      </c>
      <c r="CR29" s="10">
        <f>MIN('02_Данные'!AR29,CQ29)</f>
        <v/>
      </c>
      <c r="CS29" s="10">
        <f>CQ29-CR29</f>
        <v/>
      </c>
      <c r="CT29" s="10">
        <f>MIN('02_Данные'!AS29,CS29)</f>
        <v/>
      </c>
      <c r="CU29" s="10">
        <f>CS29-CT29</f>
        <v/>
      </c>
      <c r="CV29" s="10">
        <f>MIN('02_Данные'!AT29,CU29)</f>
        <v/>
      </c>
      <c r="CW29" s="10">
        <f>CU29-CV29</f>
        <v/>
      </c>
      <c r="CX29" s="10">
        <f>MIN('02_Данные'!AY29,CW29)</f>
        <v/>
      </c>
      <c r="CY29" s="10">
        <f>CW29-CX29</f>
        <v/>
      </c>
      <c r="CZ29" s="10">
        <f>MIN('02_Данные'!AV29,CY29)</f>
        <v/>
      </c>
      <c r="DA29" s="10">
        <f>CY29-CZ29</f>
        <v/>
      </c>
      <c r="DB29" s="10">
        <f>MIN('02_Данные'!AU29,DA29)</f>
        <v/>
      </c>
      <c r="DC29" s="10">
        <f>DA29-DB29</f>
        <v/>
      </c>
      <c r="DD29" s="10">
        <f>MIN('02_Данные'!AW29,DC29)</f>
        <v/>
      </c>
      <c r="DE29" s="10">
        <f>DC29-DD29</f>
        <v/>
      </c>
      <c r="DF29" s="10">
        <f>MIN('02_Данные'!AX29,DE29)</f>
        <v/>
      </c>
      <c r="DG29" s="10">
        <f>DE29-DF29</f>
        <v/>
      </c>
    </row>
    <row r="30">
      <c r="A30" s="9">
        <f>'02_Данные'!B30</f>
        <v/>
      </c>
      <c r="B30" s="9">
        <f>'02_Данные'!E30</f>
        <v/>
      </c>
      <c r="C30" s="10">
        <f>'02_Данные'!F30+'02_Данные'!G30+'02_Данные'!H30+'02_Данные'!I30+'02_Данные'!J30+'02_Данные'!K30</f>
        <v/>
      </c>
      <c r="D30" s="10">
        <f>SUM('02_Данные'!L30:'02_Данные'!AY30)</f>
        <v/>
      </c>
      <c r="E30" s="10">
        <f>MAX(0,D30-C30)</f>
        <v/>
      </c>
      <c r="F30" s="15">
        <f>IF(E30&gt;0.0001,"ДЕФИЦИТ",IF(Y30&gt;0.0001,"ПРОФИЦИТ","БАЛАНС"))</f>
        <v/>
      </c>
      <c r="G30" s="10">
        <f>AB30+AS30+BJ30+CA30+CR30</f>
        <v/>
      </c>
      <c r="H30" s="10">
        <f>AD30+AU30+BL30+CC30+CT30</f>
        <v/>
      </c>
      <c r="I30" s="10">
        <f>AF30+AW30+BN30+CE30+CV30</f>
        <v/>
      </c>
      <c r="J30" s="10">
        <f>AL30+BC30+BT30+CK30+DB30</f>
        <v/>
      </c>
      <c r="K30" s="10">
        <f>AJ30+BA30+BR30+CI30+CZ30</f>
        <v/>
      </c>
      <c r="L30" s="10">
        <f>AN30+BE30+BV30+CM30+DD30</f>
        <v/>
      </c>
      <c r="M30" s="10">
        <f>AP30+BG30+BX30+CO30+DF30</f>
        <v/>
      </c>
      <c r="N30" s="10">
        <f>AH30+AY30+BP30+CG30+CX30</f>
        <v/>
      </c>
      <c r="O30" s="10">
        <f>SUM(G30:N30)</f>
        <v/>
      </c>
      <c r="P30" s="10">
        <f>IFERROR(G30*MIN(1,'01_Нормативы'!$C$4/SUM(G$2:G$429)),0)</f>
        <v/>
      </c>
      <c r="Q30" s="10">
        <f>IFERROR(H30*MIN(1,'01_Нормативы'!$C$5/SUM(H$2:H$429)),0)</f>
        <v/>
      </c>
      <c r="R30" s="10">
        <f>IFERROR(I30*MIN(1,'01_Нормативы'!$C$6/SUM(I$2:I$429)),0)</f>
        <v/>
      </c>
      <c r="S30" s="10">
        <f>IFERROR(J30*MIN(1,'01_Нормативы'!$C$7/SUM(J$2:J$429)),0)</f>
        <v/>
      </c>
      <c r="T30" s="10">
        <f>IFERROR(K30*MIN(1,'01_Нормативы'!$C$8/SUM(K$2:K$429)),0)</f>
        <v/>
      </c>
      <c r="U30" s="10">
        <f>IFERROR(L30*MIN(1,'01_Нормативы'!$C$9/SUM(L$2:L$429)),0)</f>
        <v/>
      </c>
      <c r="V30" s="10">
        <f>IFERROR(M30*MIN(1,'01_Нормативы'!$C$10/SUM(M$2:M$429)),0)</f>
        <v/>
      </c>
      <c r="W30" s="10">
        <f>IFERROR(N30*MIN(1,'01_Нормативы'!$C$11/SUM(N$2:N$429)),0)</f>
        <v/>
      </c>
      <c r="X30" s="10">
        <f>SUM(P30:W30)</f>
        <v/>
      </c>
      <c r="Y30" s="10">
        <f>MAX(0,C30-X30)</f>
        <v/>
      </c>
      <c r="Z30" s="10">
        <f>IF(D30=0,100,X30/D30*100)</f>
        <v/>
      </c>
      <c r="AA30" s="10">
        <f>'02_Данные'!F30+'02_Данные'!G30</f>
        <v/>
      </c>
      <c r="AB30" s="10">
        <f>MIN('02_Данные'!L30,AA30)</f>
        <v/>
      </c>
      <c r="AC30" s="10">
        <f>AA30-AB30</f>
        <v/>
      </c>
      <c r="AD30" s="10">
        <f>MIN('02_Данные'!M30,AC30)</f>
        <v/>
      </c>
      <c r="AE30" s="10">
        <f>AC30-AD30</f>
        <v/>
      </c>
      <c r="AF30" s="10">
        <f>MIN('02_Данные'!N30,AE30)</f>
        <v/>
      </c>
      <c r="AG30" s="10">
        <f>AE30-AF30</f>
        <v/>
      </c>
      <c r="AH30" s="10">
        <f>MIN('02_Данные'!S30,AG30)</f>
        <v/>
      </c>
      <c r="AI30" s="10">
        <f>AG30-AH30</f>
        <v/>
      </c>
      <c r="AJ30" s="10">
        <f>MIN('02_Данные'!P30,AI30)</f>
        <v/>
      </c>
      <c r="AK30" s="10">
        <f>AI30-AJ30</f>
        <v/>
      </c>
      <c r="AL30" s="10">
        <f>MIN('02_Данные'!O30,AK30)</f>
        <v/>
      </c>
      <c r="AM30" s="10">
        <f>AK30-AL30</f>
        <v/>
      </c>
      <c r="AN30" s="10">
        <f>MIN('02_Данные'!Q30,AM30)</f>
        <v/>
      </c>
      <c r="AO30" s="10">
        <f>AM30-AN30</f>
        <v/>
      </c>
      <c r="AP30" s="10">
        <f>MIN('02_Данные'!R30,AO30)</f>
        <v/>
      </c>
      <c r="AQ30" s="10">
        <f>AO30-AP30</f>
        <v/>
      </c>
      <c r="AR30" s="10">
        <f>AQ30+'02_Данные'!H30</f>
        <v/>
      </c>
      <c r="AS30" s="10">
        <f>MIN('02_Данные'!T30,AR30)</f>
        <v/>
      </c>
      <c r="AT30" s="10">
        <f>AR30-AS30</f>
        <v/>
      </c>
      <c r="AU30" s="10">
        <f>MIN('02_Данные'!U30,AT30)</f>
        <v/>
      </c>
      <c r="AV30" s="10">
        <f>AT30-AU30</f>
        <v/>
      </c>
      <c r="AW30" s="10">
        <f>MIN('02_Данные'!V30,AV30)</f>
        <v/>
      </c>
      <c r="AX30" s="10">
        <f>AV30-AW30</f>
        <v/>
      </c>
      <c r="AY30" s="10">
        <f>MIN('02_Данные'!AA30,AX30)</f>
        <v/>
      </c>
      <c r="AZ30" s="10">
        <f>AX30-AY30</f>
        <v/>
      </c>
      <c r="BA30" s="10">
        <f>MIN('02_Данные'!X30,AZ30)</f>
        <v/>
      </c>
      <c r="BB30" s="10">
        <f>AZ30-BA30</f>
        <v/>
      </c>
      <c r="BC30" s="10">
        <f>MIN('02_Данные'!W30,BB30)</f>
        <v/>
      </c>
      <c r="BD30" s="10">
        <f>BB30-BC30</f>
        <v/>
      </c>
      <c r="BE30" s="10">
        <f>MIN('02_Данные'!Y30,BD30)</f>
        <v/>
      </c>
      <c r="BF30" s="10">
        <f>BD30-BE30</f>
        <v/>
      </c>
      <c r="BG30" s="10">
        <f>MIN('02_Данные'!Z30,BF30)</f>
        <v/>
      </c>
      <c r="BH30" s="10">
        <f>BF30-BG30</f>
        <v/>
      </c>
      <c r="BI30" s="10">
        <f>BH30+'02_Данные'!I30</f>
        <v/>
      </c>
      <c r="BJ30" s="10">
        <f>MIN('02_Данные'!AB30,BI30)</f>
        <v/>
      </c>
      <c r="BK30" s="10">
        <f>BI30-BJ30</f>
        <v/>
      </c>
      <c r="BL30" s="10">
        <f>MIN('02_Данные'!AC30,BK30)</f>
        <v/>
      </c>
      <c r="BM30" s="10">
        <f>BK30-BL30</f>
        <v/>
      </c>
      <c r="BN30" s="10">
        <f>MIN('02_Данные'!AD30,BM30)</f>
        <v/>
      </c>
      <c r="BO30" s="10">
        <f>BM30-BN30</f>
        <v/>
      </c>
      <c r="BP30" s="10">
        <f>MIN('02_Данные'!AI30,BO30)</f>
        <v/>
      </c>
      <c r="BQ30" s="10">
        <f>BO30-BP30</f>
        <v/>
      </c>
      <c r="BR30" s="10">
        <f>MIN('02_Данные'!AF30,BQ30)</f>
        <v/>
      </c>
      <c r="BS30" s="10">
        <f>BQ30-BR30</f>
        <v/>
      </c>
      <c r="BT30" s="10">
        <f>MIN('02_Данные'!AE30,BS30)</f>
        <v/>
      </c>
      <c r="BU30" s="10">
        <f>BS30-BT30</f>
        <v/>
      </c>
      <c r="BV30" s="10">
        <f>MIN('02_Данные'!AG30,BU30)</f>
        <v/>
      </c>
      <c r="BW30" s="10">
        <f>BU30-BV30</f>
        <v/>
      </c>
      <c r="BX30" s="10">
        <f>MIN('02_Данные'!AH30,BW30)</f>
        <v/>
      </c>
      <c r="BY30" s="10">
        <f>BW30-BX30</f>
        <v/>
      </c>
      <c r="BZ30" s="10">
        <f>BY30+'02_Данные'!J30</f>
        <v/>
      </c>
      <c r="CA30" s="10">
        <f>MIN('02_Данные'!AJ30,BZ30)</f>
        <v/>
      </c>
      <c r="CB30" s="10">
        <f>BZ30-CA30</f>
        <v/>
      </c>
      <c r="CC30" s="10">
        <f>MIN('02_Данные'!AK30,CB30)</f>
        <v/>
      </c>
      <c r="CD30" s="10">
        <f>CB30-CC30</f>
        <v/>
      </c>
      <c r="CE30" s="10">
        <f>MIN('02_Данные'!AL30,CD30)</f>
        <v/>
      </c>
      <c r="CF30" s="10">
        <f>CD30-CE30</f>
        <v/>
      </c>
      <c r="CG30" s="10">
        <f>MIN('02_Данные'!AQ30,CF30)</f>
        <v/>
      </c>
      <c r="CH30" s="10">
        <f>CF30-CG30</f>
        <v/>
      </c>
      <c r="CI30" s="10">
        <f>MIN('02_Данные'!AN30,CH30)</f>
        <v/>
      </c>
      <c r="CJ30" s="10">
        <f>CH30-CI30</f>
        <v/>
      </c>
      <c r="CK30" s="10">
        <f>MIN('02_Данные'!AM30,CJ30)</f>
        <v/>
      </c>
      <c r="CL30" s="10">
        <f>CJ30-CK30</f>
        <v/>
      </c>
      <c r="CM30" s="10">
        <f>MIN('02_Данные'!AO30,CL30)</f>
        <v/>
      </c>
      <c r="CN30" s="10">
        <f>CL30-CM30</f>
        <v/>
      </c>
      <c r="CO30" s="10">
        <f>MIN('02_Данные'!AP30,CN30)</f>
        <v/>
      </c>
      <c r="CP30" s="10">
        <f>CN30-CO30</f>
        <v/>
      </c>
      <c r="CQ30" s="10">
        <f>CP30+'02_Данные'!K30</f>
        <v/>
      </c>
      <c r="CR30" s="10">
        <f>MIN('02_Данные'!AR30,CQ30)</f>
        <v/>
      </c>
      <c r="CS30" s="10">
        <f>CQ30-CR30</f>
        <v/>
      </c>
      <c r="CT30" s="10">
        <f>MIN('02_Данные'!AS30,CS30)</f>
        <v/>
      </c>
      <c r="CU30" s="10">
        <f>CS30-CT30</f>
        <v/>
      </c>
      <c r="CV30" s="10">
        <f>MIN('02_Данные'!AT30,CU30)</f>
        <v/>
      </c>
      <c r="CW30" s="10">
        <f>CU30-CV30</f>
        <v/>
      </c>
      <c r="CX30" s="10">
        <f>MIN('02_Данные'!AY30,CW30)</f>
        <v/>
      </c>
      <c r="CY30" s="10">
        <f>CW30-CX30</f>
        <v/>
      </c>
      <c r="CZ30" s="10">
        <f>MIN('02_Данные'!AV30,CY30)</f>
        <v/>
      </c>
      <c r="DA30" s="10">
        <f>CY30-CZ30</f>
        <v/>
      </c>
      <c r="DB30" s="10">
        <f>MIN('02_Данные'!AU30,DA30)</f>
        <v/>
      </c>
      <c r="DC30" s="10">
        <f>DA30-DB30</f>
        <v/>
      </c>
      <c r="DD30" s="10">
        <f>MIN('02_Данные'!AW30,DC30)</f>
        <v/>
      </c>
      <c r="DE30" s="10">
        <f>DC30-DD30</f>
        <v/>
      </c>
      <c r="DF30" s="10">
        <f>MIN('02_Данные'!AX30,DE30)</f>
        <v/>
      </c>
      <c r="DG30" s="10">
        <f>DE30-DF30</f>
        <v/>
      </c>
    </row>
    <row r="31">
      <c r="A31" s="9">
        <f>'02_Данные'!B31</f>
        <v/>
      </c>
      <c r="B31" s="9">
        <f>'02_Данные'!E31</f>
        <v/>
      </c>
      <c r="C31" s="10">
        <f>'02_Данные'!F31+'02_Данные'!G31+'02_Данные'!H31+'02_Данные'!I31+'02_Данные'!J31+'02_Данные'!K31</f>
        <v/>
      </c>
      <c r="D31" s="10">
        <f>SUM('02_Данные'!L31:'02_Данные'!AY31)</f>
        <v/>
      </c>
      <c r="E31" s="10">
        <f>MAX(0,D31-C31)</f>
        <v/>
      </c>
      <c r="F31" s="15">
        <f>IF(E31&gt;0.0001,"ДЕФИЦИТ",IF(Y31&gt;0.0001,"ПРОФИЦИТ","БАЛАНС"))</f>
        <v/>
      </c>
      <c r="G31" s="10">
        <f>AB31+AS31+BJ31+CA31+CR31</f>
        <v/>
      </c>
      <c r="H31" s="10">
        <f>AD31+AU31+BL31+CC31+CT31</f>
        <v/>
      </c>
      <c r="I31" s="10">
        <f>AF31+AW31+BN31+CE31+CV31</f>
        <v/>
      </c>
      <c r="J31" s="10">
        <f>AL31+BC31+BT31+CK31+DB31</f>
        <v/>
      </c>
      <c r="K31" s="10">
        <f>AJ31+BA31+BR31+CI31+CZ31</f>
        <v/>
      </c>
      <c r="L31" s="10">
        <f>AN31+BE31+BV31+CM31+DD31</f>
        <v/>
      </c>
      <c r="M31" s="10">
        <f>AP31+BG31+BX31+CO31+DF31</f>
        <v/>
      </c>
      <c r="N31" s="10">
        <f>AH31+AY31+BP31+CG31+CX31</f>
        <v/>
      </c>
      <c r="O31" s="10">
        <f>SUM(G31:N31)</f>
        <v/>
      </c>
      <c r="P31" s="10">
        <f>IFERROR(G31*MIN(1,'01_Нормативы'!$C$4/SUM(G$2:G$429)),0)</f>
        <v/>
      </c>
      <c r="Q31" s="10">
        <f>IFERROR(H31*MIN(1,'01_Нормативы'!$C$5/SUM(H$2:H$429)),0)</f>
        <v/>
      </c>
      <c r="R31" s="10">
        <f>IFERROR(I31*MIN(1,'01_Нормативы'!$C$6/SUM(I$2:I$429)),0)</f>
        <v/>
      </c>
      <c r="S31" s="10">
        <f>IFERROR(J31*MIN(1,'01_Нормативы'!$C$7/SUM(J$2:J$429)),0)</f>
        <v/>
      </c>
      <c r="T31" s="10">
        <f>IFERROR(K31*MIN(1,'01_Нормативы'!$C$8/SUM(K$2:K$429)),0)</f>
        <v/>
      </c>
      <c r="U31" s="10">
        <f>IFERROR(L31*MIN(1,'01_Нормативы'!$C$9/SUM(L$2:L$429)),0)</f>
        <v/>
      </c>
      <c r="V31" s="10">
        <f>IFERROR(M31*MIN(1,'01_Нормативы'!$C$10/SUM(M$2:M$429)),0)</f>
        <v/>
      </c>
      <c r="W31" s="10">
        <f>IFERROR(N31*MIN(1,'01_Нормативы'!$C$11/SUM(N$2:N$429)),0)</f>
        <v/>
      </c>
      <c r="X31" s="10">
        <f>SUM(P31:W31)</f>
        <v/>
      </c>
      <c r="Y31" s="10">
        <f>MAX(0,C31-X31)</f>
        <v/>
      </c>
      <c r="Z31" s="10">
        <f>IF(D31=0,100,X31/D31*100)</f>
        <v/>
      </c>
      <c r="AA31" s="10">
        <f>'02_Данные'!F31+'02_Данные'!G31</f>
        <v/>
      </c>
      <c r="AB31" s="10">
        <f>MIN('02_Данные'!L31,AA31)</f>
        <v/>
      </c>
      <c r="AC31" s="10">
        <f>AA31-AB31</f>
        <v/>
      </c>
      <c r="AD31" s="10">
        <f>MIN('02_Данные'!M31,AC31)</f>
        <v/>
      </c>
      <c r="AE31" s="10">
        <f>AC31-AD31</f>
        <v/>
      </c>
      <c r="AF31" s="10">
        <f>MIN('02_Данные'!N31,AE31)</f>
        <v/>
      </c>
      <c r="AG31" s="10">
        <f>AE31-AF31</f>
        <v/>
      </c>
      <c r="AH31" s="10">
        <f>MIN('02_Данные'!S31,AG31)</f>
        <v/>
      </c>
      <c r="AI31" s="10">
        <f>AG31-AH31</f>
        <v/>
      </c>
      <c r="AJ31" s="10">
        <f>MIN('02_Данные'!P31,AI31)</f>
        <v/>
      </c>
      <c r="AK31" s="10">
        <f>AI31-AJ31</f>
        <v/>
      </c>
      <c r="AL31" s="10">
        <f>MIN('02_Данные'!O31,AK31)</f>
        <v/>
      </c>
      <c r="AM31" s="10">
        <f>AK31-AL31</f>
        <v/>
      </c>
      <c r="AN31" s="10">
        <f>MIN('02_Данные'!Q31,AM31)</f>
        <v/>
      </c>
      <c r="AO31" s="10">
        <f>AM31-AN31</f>
        <v/>
      </c>
      <c r="AP31" s="10">
        <f>MIN('02_Данные'!R31,AO31)</f>
        <v/>
      </c>
      <c r="AQ31" s="10">
        <f>AO31-AP31</f>
        <v/>
      </c>
      <c r="AR31" s="10">
        <f>AQ31+'02_Данные'!H31</f>
        <v/>
      </c>
      <c r="AS31" s="10">
        <f>MIN('02_Данные'!T31,AR31)</f>
        <v/>
      </c>
      <c r="AT31" s="10">
        <f>AR31-AS31</f>
        <v/>
      </c>
      <c r="AU31" s="10">
        <f>MIN('02_Данные'!U31,AT31)</f>
        <v/>
      </c>
      <c r="AV31" s="10">
        <f>AT31-AU31</f>
        <v/>
      </c>
      <c r="AW31" s="10">
        <f>MIN('02_Данные'!V31,AV31)</f>
        <v/>
      </c>
      <c r="AX31" s="10">
        <f>AV31-AW31</f>
        <v/>
      </c>
      <c r="AY31" s="10">
        <f>MIN('02_Данные'!AA31,AX31)</f>
        <v/>
      </c>
      <c r="AZ31" s="10">
        <f>AX31-AY31</f>
        <v/>
      </c>
      <c r="BA31" s="10">
        <f>MIN('02_Данные'!X31,AZ31)</f>
        <v/>
      </c>
      <c r="BB31" s="10">
        <f>AZ31-BA31</f>
        <v/>
      </c>
      <c r="BC31" s="10">
        <f>MIN('02_Данные'!W31,BB31)</f>
        <v/>
      </c>
      <c r="BD31" s="10">
        <f>BB31-BC31</f>
        <v/>
      </c>
      <c r="BE31" s="10">
        <f>MIN('02_Данные'!Y31,BD31)</f>
        <v/>
      </c>
      <c r="BF31" s="10">
        <f>BD31-BE31</f>
        <v/>
      </c>
      <c r="BG31" s="10">
        <f>MIN('02_Данные'!Z31,BF31)</f>
        <v/>
      </c>
      <c r="BH31" s="10">
        <f>BF31-BG31</f>
        <v/>
      </c>
      <c r="BI31" s="10">
        <f>BH31+'02_Данные'!I31</f>
        <v/>
      </c>
      <c r="BJ31" s="10">
        <f>MIN('02_Данные'!AB31,BI31)</f>
        <v/>
      </c>
      <c r="BK31" s="10">
        <f>BI31-BJ31</f>
        <v/>
      </c>
      <c r="BL31" s="10">
        <f>MIN('02_Данные'!AC31,BK31)</f>
        <v/>
      </c>
      <c r="BM31" s="10">
        <f>BK31-BL31</f>
        <v/>
      </c>
      <c r="BN31" s="10">
        <f>MIN('02_Данные'!AD31,BM31)</f>
        <v/>
      </c>
      <c r="BO31" s="10">
        <f>BM31-BN31</f>
        <v/>
      </c>
      <c r="BP31" s="10">
        <f>MIN('02_Данные'!AI31,BO31)</f>
        <v/>
      </c>
      <c r="BQ31" s="10">
        <f>BO31-BP31</f>
        <v/>
      </c>
      <c r="BR31" s="10">
        <f>MIN('02_Данные'!AF31,BQ31)</f>
        <v/>
      </c>
      <c r="BS31" s="10">
        <f>BQ31-BR31</f>
        <v/>
      </c>
      <c r="BT31" s="10">
        <f>MIN('02_Данные'!AE31,BS31)</f>
        <v/>
      </c>
      <c r="BU31" s="10">
        <f>BS31-BT31</f>
        <v/>
      </c>
      <c r="BV31" s="10">
        <f>MIN('02_Данные'!AG31,BU31)</f>
        <v/>
      </c>
      <c r="BW31" s="10">
        <f>BU31-BV31</f>
        <v/>
      </c>
      <c r="BX31" s="10">
        <f>MIN('02_Данные'!AH31,BW31)</f>
        <v/>
      </c>
      <c r="BY31" s="10">
        <f>BW31-BX31</f>
        <v/>
      </c>
      <c r="BZ31" s="10">
        <f>BY31+'02_Данные'!J31</f>
        <v/>
      </c>
      <c r="CA31" s="10">
        <f>MIN('02_Данные'!AJ31,BZ31)</f>
        <v/>
      </c>
      <c r="CB31" s="10">
        <f>BZ31-CA31</f>
        <v/>
      </c>
      <c r="CC31" s="10">
        <f>MIN('02_Данные'!AK31,CB31)</f>
        <v/>
      </c>
      <c r="CD31" s="10">
        <f>CB31-CC31</f>
        <v/>
      </c>
      <c r="CE31" s="10">
        <f>MIN('02_Данные'!AL31,CD31)</f>
        <v/>
      </c>
      <c r="CF31" s="10">
        <f>CD31-CE31</f>
        <v/>
      </c>
      <c r="CG31" s="10">
        <f>MIN('02_Данные'!AQ31,CF31)</f>
        <v/>
      </c>
      <c r="CH31" s="10">
        <f>CF31-CG31</f>
        <v/>
      </c>
      <c r="CI31" s="10">
        <f>MIN('02_Данные'!AN31,CH31)</f>
        <v/>
      </c>
      <c r="CJ31" s="10">
        <f>CH31-CI31</f>
        <v/>
      </c>
      <c r="CK31" s="10">
        <f>MIN('02_Данные'!AM31,CJ31)</f>
        <v/>
      </c>
      <c r="CL31" s="10">
        <f>CJ31-CK31</f>
        <v/>
      </c>
      <c r="CM31" s="10">
        <f>MIN('02_Данные'!AO31,CL31)</f>
        <v/>
      </c>
      <c r="CN31" s="10">
        <f>CL31-CM31</f>
        <v/>
      </c>
      <c r="CO31" s="10">
        <f>MIN('02_Данные'!AP31,CN31)</f>
        <v/>
      </c>
      <c r="CP31" s="10">
        <f>CN31-CO31</f>
        <v/>
      </c>
      <c r="CQ31" s="10">
        <f>CP31+'02_Данные'!K31</f>
        <v/>
      </c>
      <c r="CR31" s="10">
        <f>MIN('02_Данные'!AR31,CQ31)</f>
        <v/>
      </c>
      <c r="CS31" s="10">
        <f>CQ31-CR31</f>
        <v/>
      </c>
      <c r="CT31" s="10">
        <f>MIN('02_Данные'!AS31,CS31)</f>
        <v/>
      </c>
      <c r="CU31" s="10">
        <f>CS31-CT31</f>
        <v/>
      </c>
      <c r="CV31" s="10">
        <f>MIN('02_Данные'!AT31,CU31)</f>
        <v/>
      </c>
      <c r="CW31" s="10">
        <f>CU31-CV31</f>
        <v/>
      </c>
      <c r="CX31" s="10">
        <f>MIN('02_Данные'!AY31,CW31)</f>
        <v/>
      </c>
      <c r="CY31" s="10">
        <f>CW31-CX31</f>
        <v/>
      </c>
      <c r="CZ31" s="10">
        <f>MIN('02_Данные'!AV31,CY31)</f>
        <v/>
      </c>
      <c r="DA31" s="10">
        <f>CY31-CZ31</f>
        <v/>
      </c>
      <c r="DB31" s="10">
        <f>MIN('02_Данные'!AU31,DA31)</f>
        <v/>
      </c>
      <c r="DC31" s="10">
        <f>DA31-DB31</f>
        <v/>
      </c>
      <c r="DD31" s="10">
        <f>MIN('02_Данные'!AW31,DC31)</f>
        <v/>
      </c>
      <c r="DE31" s="10">
        <f>DC31-DD31</f>
        <v/>
      </c>
      <c r="DF31" s="10">
        <f>MIN('02_Данные'!AX31,DE31)</f>
        <v/>
      </c>
      <c r="DG31" s="10">
        <f>DE31-DF31</f>
        <v/>
      </c>
    </row>
    <row r="32">
      <c r="A32" s="9">
        <f>'02_Данные'!B32</f>
        <v/>
      </c>
      <c r="B32" s="9">
        <f>'02_Данные'!E32</f>
        <v/>
      </c>
      <c r="C32" s="10">
        <f>'02_Данные'!F32+'02_Данные'!G32+'02_Данные'!H32+'02_Данные'!I32+'02_Данные'!J32+'02_Данные'!K32</f>
        <v/>
      </c>
      <c r="D32" s="10">
        <f>SUM('02_Данные'!L32:'02_Данные'!AY32)</f>
        <v/>
      </c>
      <c r="E32" s="10">
        <f>MAX(0,D32-C32)</f>
        <v/>
      </c>
      <c r="F32" s="15">
        <f>IF(E32&gt;0.0001,"ДЕФИЦИТ",IF(Y32&gt;0.0001,"ПРОФИЦИТ","БАЛАНС"))</f>
        <v/>
      </c>
      <c r="G32" s="10">
        <f>AB32+AS32+BJ32+CA32+CR32</f>
        <v/>
      </c>
      <c r="H32" s="10">
        <f>AD32+AU32+BL32+CC32+CT32</f>
        <v/>
      </c>
      <c r="I32" s="10">
        <f>AF32+AW32+BN32+CE32+CV32</f>
        <v/>
      </c>
      <c r="J32" s="10">
        <f>AL32+BC32+BT32+CK32+DB32</f>
        <v/>
      </c>
      <c r="K32" s="10">
        <f>AJ32+BA32+BR32+CI32+CZ32</f>
        <v/>
      </c>
      <c r="L32" s="10">
        <f>AN32+BE32+BV32+CM32+DD32</f>
        <v/>
      </c>
      <c r="M32" s="10">
        <f>AP32+BG32+BX32+CO32+DF32</f>
        <v/>
      </c>
      <c r="N32" s="10">
        <f>AH32+AY32+BP32+CG32+CX32</f>
        <v/>
      </c>
      <c r="O32" s="10">
        <f>SUM(G32:N32)</f>
        <v/>
      </c>
      <c r="P32" s="10">
        <f>IFERROR(G32*MIN(1,'01_Нормативы'!$C$4/SUM(G$2:G$429)),0)</f>
        <v/>
      </c>
      <c r="Q32" s="10">
        <f>IFERROR(H32*MIN(1,'01_Нормативы'!$C$5/SUM(H$2:H$429)),0)</f>
        <v/>
      </c>
      <c r="R32" s="10">
        <f>IFERROR(I32*MIN(1,'01_Нормативы'!$C$6/SUM(I$2:I$429)),0)</f>
        <v/>
      </c>
      <c r="S32" s="10">
        <f>IFERROR(J32*MIN(1,'01_Нормативы'!$C$7/SUM(J$2:J$429)),0)</f>
        <v/>
      </c>
      <c r="T32" s="10">
        <f>IFERROR(K32*MIN(1,'01_Нормативы'!$C$8/SUM(K$2:K$429)),0)</f>
        <v/>
      </c>
      <c r="U32" s="10">
        <f>IFERROR(L32*MIN(1,'01_Нормативы'!$C$9/SUM(L$2:L$429)),0)</f>
        <v/>
      </c>
      <c r="V32" s="10">
        <f>IFERROR(M32*MIN(1,'01_Нормативы'!$C$10/SUM(M$2:M$429)),0)</f>
        <v/>
      </c>
      <c r="W32" s="10">
        <f>IFERROR(N32*MIN(1,'01_Нормативы'!$C$11/SUM(N$2:N$429)),0)</f>
        <v/>
      </c>
      <c r="X32" s="10">
        <f>SUM(P32:W32)</f>
        <v/>
      </c>
      <c r="Y32" s="10">
        <f>MAX(0,C32-X32)</f>
        <v/>
      </c>
      <c r="Z32" s="10">
        <f>IF(D32=0,100,X32/D32*100)</f>
        <v/>
      </c>
      <c r="AA32" s="10">
        <f>'02_Данные'!F32+'02_Данные'!G32</f>
        <v/>
      </c>
      <c r="AB32" s="10">
        <f>MIN('02_Данные'!L32,AA32)</f>
        <v/>
      </c>
      <c r="AC32" s="10">
        <f>AA32-AB32</f>
        <v/>
      </c>
      <c r="AD32" s="10">
        <f>MIN('02_Данные'!M32,AC32)</f>
        <v/>
      </c>
      <c r="AE32" s="10">
        <f>AC32-AD32</f>
        <v/>
      </c>
      <c r="AF32" s="10">
        <f>MIN('02_Данные'!N32,AE32)</f>
        <v/>
      </c>
      <c r="AG32" s="10">
        <f>AE32-AF32</f>
        <v/>
      </c>
      <c r="AH32" s="10">
        <f>MIN('02_Данные'!S32,AG32)</f>
        <v/>
      </c>
      <c r="AI32" s="10">
        <f>AG32-AH32</f>
        <v/>
      </c>
      <c r="AJ32" s="10">
        <f>MIN('02_Данные'!P32,AI32)</f>
        <v/>
      </c>
      <c r="AK32" s="10">
        <f>AI32-AJ32</f>
        <v/>
      </c>
      <c r="AL32" s="10">
        <f>MIN('02_Данные'!O32,AK32)</f>
        <v/>
      </c>
      <c r="AM32" s="10">
        <f>AK32-AL32</f>
        <v/>
      </c>
      <c r="AN32" s="10">
        <f>MIN('02_Данные'!Q32,AM32)</f>
        <v/>
      </c>
      <c r="AO32" s="10">
        <f>AM32-AN32</f>
        <v/>
      </c>
      <c r="AP32" s="10">
        <f>MIN('02_Данные'!R32,AO32)</f>
        <v/>
      </c>
      <c r="AQ32" s="10">
        <f>AO32-AP32</f>
        <v/>
      </c>
      <c r="AR32" s="10">
        <f>AQ32+'02_Данные'!H32</f>
        <v/>
      </c>
      <c r="AS32" s="10">
        <f>MIN('02_Данные'!T32,AR32)</f>
        <v/>
      </c>
      <c r="AT32" s="10">
        <f>AR32-AS32</f>
        <v/>
      </c>
      <c r="AU32" s="10">
        <f>MIN('02_Данные'!U32,AT32)</f>
        <v/>
      </c>
      <c r="AV32" s="10">
        <f>AT32-AU32</f>
        <v/>
      </c>
      <c r="AW32" s="10">
        <f>MIN('02_Данные'!V32,AV32)</f>
        <v/>
      </c>
      <c r="AX32" s="10">
        <f>AV32-AW32</f>
        <v/>
      </c>
      <c r="AY32" s="10">
        <f>MIN('02_Данные'!AA32,AX32)</f>
        <v/>
      </c>
      <c r="AZ32" s="10">
        <f>AX32-AY32</f>
        <v/>
      </c>
      <c r="BA32" s="10">
        <f>MIN('02_Данные'!X32,AZ32)</f>
        <v/>
      </c>
      <c r="BB32" s="10">
        <f>AZ32-BA32</f>
        <v/>
      </c>
      <c r="BC32" s="10">
        <f>MIN('02_Данные'!W32,BB32)</f>
        <v/>
      </c>
      <c r="BD32" s="10">
        <f>BB32-BC32</f>
        <v/>
      </c>
      <c r="BE32" s="10">
        <f>MIN('02_Данные'!Y32,BD32)</f>
        <v/>
      </c>
      <c r="BF32" s="10">
        <f>BD32-BE32</f>
        <v/>
      </c>
      <c r="BG32" s="10">
        <f>MIN('02_Данные'!Z32,BF32)</f>
        <v/>
      </c>
      <c r="BH32" s="10">
        <f>BF32-BG32</f>
        <v/>
      </c>
      <c r="BI32" s="10">
        <f>BH32+'02_Данные'!I32</f>
        <v/>
      </c>
      <c r="BJ32" s="10">
        <f>MIN('02_Данные'!AB32,BI32)</f>
        <v/>
      </c>
      <c r="BK32" s="10">
        <f>BI32-BJ32</f>
        <v/>
      </c>
      <c r="BL32" s="10">
        <f>MIN('02_Данные'!AC32,BK32)</f>
        <v/>
      </c>
      <c r="BM32" s="10">
        <f>BK32-BL32</f>
        <v/>
      </c>
      <c r="BN32" s="10">
        <f>MIN('02_Данные'!AD32,BM32)</f>
        <v/>
      </c>
      <c r="BO32" s="10">
        <f>BM32-BN32</f>
        <v/>
      </c>
      <c r="BP32" s="10">
        <f>MIN('02_Данные'!AI32,BO32)</f>
        <v/>
      </c>
      <c r="BQ32" s="10">
        <f>BO32-BP32</f>
        <v/>
      </c>
      <c r="BR32" s="10">
        <f>MIN('02_Данные'!AF32,BQ32)</f>
        <v/>
      </c>
      <c r="BS32" s="10">
        <f>BQ32-BR32</f>
        <v/>
      </c>
      <c r="BT32" s="10">
        <f>MIN('02_Данные'!AE32,BS32)</f>
        <v/>
      </c>
      <c r="BU32" s="10">
        <f>BS32-BT32</f>
        <v/>
      </c>
      <c r="BV32" s="10">
        <f>MIN('02_Данные'!AG32,BU32)</f>
        <v/>
      </c>
      <c r="BW32" s="10">
        <f>BU32-BV32</f>
        <v/>
      </c>
      <c r="BX32" s="10">
        <f>MIN('02_Данные'!AH32,BW32)</f>
        <v/>
      </c>
      <c r="BY32" s="10">
        <f>BW32-BX32</f>
        <v/>
      </c>
      <c r="BZ32" s="10">
        <f>BY32+'02_Данные'!J32</f>
        <v/>
      </c>
      <c r="CA32" s="10">
        <f>MIN('02_Данные'!AJ32,BZ32)</f>
        <v/>
      </c>
      <c r="CB32" s="10">
        <f>BZ32-CA32</f>
        <v/>
      </c>
      <c r="CC32" s="10">
        <f>MIN('02_Данные'!AK32,CB32)</f>
        <v/>
      </c>
      <c r="CD32" s="10">
        <f>CB32-CC32</f>
        <v/>
      </c>
      <c r="CE32" s="10">
        <f>MIN('02_Данные'!AL32,CD32)</f>
        <v/>
      </c>
      <c r="CF32" s="10">
        <f>CD32-CE32</f>
        <v/>
      </c>
      <c r="CG32" s="10">
        <f>MIN('02_Данные'!AQ32,CF32)</f>
        <v/>
      </c>
      <c r="CH32" s="10">
        <f>CF32-CG32</f>
        <v/>
      </c>
      <c r="CI32" s="10">
        <f>MIN('02_Данные'!AN32,CH32)</f>
        <v/>
      </c>
      <c r="CJ32" s="10">
        <f>CH32-CI32</f>
        <v/>
      </c>
      <c r="CK32" s="10">
        <f>MIN('02_Данные'!AM32,CJ32)</f>
        <v/>
      </c>
      <c r="CL32" s="10">
        <f>CJ32-CK32</f>
        <v/>
      </c>
      <c r="CM32" s="10">
        <f>MIN('02_Данные'!AO32,CL32)</f>
        <v/>
      </c>
      <c r="CN32" s="10">
        <f>CL32-CM32</f>
        <v/>
      </c>
      <c r="CO32" s="10">
        <f>MIN('02_Данные'!AP32,CN32)</f>
        <v/>
      </c>
      <c r="CP32" s="10">
        <f>CN32-CO32</f>
        <v/>
      </c>
      <c r="CQ32" s="10">
        <f>CP32+'02_Данные'!K32</f>
        <v/>
      </c>
      <c r="CR32" s="10">
        <f>MIN('02_Данные'!AR32,CQ32)</f>
        <v/>
      </c>
      <c r="CS32" s="10">
        <f>CQ32-CR32</f>
        <v/>
      </c>
      <c r="CT32" s="10">
        <f>MIN('02_Данные'!AS32,CS32)</f>
        <v/>
      </c>
      <c r="CU32" s="10">
        <f>CS32-CT32</f>
        <v/>
      </c>
      <c r="CV32" s="10">
        <f>MIN('02_Данные'!AT32,CU32)</f>
        <v/>
      </c>
      <c r="CW32" s="10">
        <f>CU32-CV32</f>
        <v/>
      </c>
      <c r="CX32" s="10">
        <f>MIN('02_Данные'!AY32,CW32)</f>
        <v/>
      </c>
      <c r="CY32" s="10">
        <f>CW32-CX32</f>
        <v/>
      </c>
      <c r="CZ32" s="10">
        <f>MIN('02_Данные'!AV32,CY32)</f>
        <v/>
      </c>
      <c r="DA32" s="10">
        <f>CY32-CZ32</f>
        <v/>
      </c>
      <c r="DB32" s="10">
        <f>MIN('02_Данные'!AU32,DA32)</f>
        <v/>
      </c>
      <c r="DC32" s="10">
        <f>DA32-DB32</f>
        <v/>
      </c>
      <c r="DD32" s="10">
        <f>MIN('02_Данные'!AW32,DC32)</f>
        <v/>
      </c>
      <c r="DE32" s="10">
        <f>DC32-DD32</f>
        <v/>
      </c>
      <c r="DF32" s="10">
        <f>MIN('02_Данные'!AX32,DE32)</f>
        <v/>
      </c>
      <c r="DG32" s="10">
        <f>DE32-DF32</f>
        <v/>
      </c>
    </row>
    <row r="33">
      <c r="A33" s="9">
        <f>'02_Данные'!B33</f>
        <v/>
      </c>
      <c r="B33" s="9">
        <f>'02_Данные'!E33</f>
        <v/>
      </c>
      <c r="C33" s="10">
        <f>'02_Данные'!F33+'02_Данные'!G33+'02_Данные'!H33+'02_Данные'!I33+'02_Данные'!J33+'02_Данные'!K33</f>
        <v/>
      </c>
      <c r="D33" s="10">
        <f>SUM('02_Данные'!L33:'02_Данные'!AY33)</f>
        <v/>
      </c>
      <c r="E33" s="10">
        <f>MAX(0,D33-C33)</f>
        <v/>
      </c>
      <c r="F33" s="15">
        <f>IF(E33&gt;0.0001,"ДЕФИЦИТ",IF(Y33&gt;0.0001,"ПРОФИЦИТ","БАЛАНС"))</f>
        <v/>
      </c>
      <c r="G33" s="10">
        <f>AB33+AS33+BJ33+CA33+CR33</f>
        <v/>
      </c>
      <c r="H33" s="10">
        <f>AD33+AU33+BL33+CC33+CT33</f>
        <v/>
      </c>
      <c r="I33" s="10">
        <f>AF33+AW33+BN33+CE33+CV33</f>
        <v/>
      </c>
      <c r="J33" s="10">
        <f>AL33+BC33+BT33+CK33+DB33</f>
        <v/>
      </c>
      <c r="K33" s="10">
        <f>AJ33+BA33+BR33+CI33+CZ33</f>
        <v/>
      </c>
      <c r="L33" s="10">
        <f>AN33+BE33+BV33+CM33+DD33</f>
        <v/>
      </c>
      <c r="M33" s="10">
        <f>AP33+BG33+BX33+CO33+DF33</f>
        <v/>
      </c>
      <c r="N33" s="10">
        <f>AH33+AY33+BP33+CG33+CX33</f>
        <v/>
      </c>
      <c r="O33" s="10">
        <f>SUM(G33:N33)</f>
        <v/>
      </c>
      <c r="P33" s="10">
        <f>IFERROR(G33*MIN(1,'01_Нормативы'!$C$4/SUM(G$2:G$429)),0)</f>
        <v/>
      </c>
      <c r="Q33" s="10">
        <f>IFERROR(H33*MIN(1,'01_Нормативы'!$C$5/SUM(H$2:H$429)),0)</f>
        <v/>
      </c>
      <c r="R33" s="10">
        <f>IFERROR(I33*MIN(1,'01_Нормативы'!$C$6/SUM(I$2:I$429)),0)</f>
        <v/>
      </c>
      <c r="S33" s="10">
        <f>IFERROR(J33*MIN(1,'01_Нормативы'!$C$7/SUM(J$2:J$429)),0)</f>
        <v/>
      </c>
      <c r="T33" s="10">
        <f>IFERROR(K33*MIN(1,'01_Нормативы'!$C$8/SUM(K$2:K$429)),0)</f>
        <v/>
      </c>
      <c r="U33" s="10">
        <f>IFERROR(L33*MIN(1,'01_Нормативы'!$C$9/SUM(L$2:L$429)),0)</f>
        <v/>
      </c>
      <c r="V33" s="10">
        <f>IFERROR(M33*MIN(1,'01_Нормативы'!$C$10/SUM(M$2:M$429)),0)</f>
        <v/>
      </c>
      <c r="W33" s="10">
        <f>IFERROR(N33*MIN(1,'01_Нормативы'!$C$11/SUM(N$2:N$429)),0)</f>
        <v/>
      </c>
      <c r="X33" s="10">
        <f>SUM(P33:W33)</f>
        <v/>
      </c>
      <c r="Y33" s="10">
        <f>MAX(0,C33-X33)</f>
        <v/>
      </c>
      <c r="Z33" s="10">
        <f>IF(D33=0,100,X33/D33*100)</f>
        <v/>
      </c>
      <c r="AA33" s="10">
        <f>'02_Данные'!F33+'02_Данные'!G33</f>
        <v/>
      </c>
      <c r="AB33" s="10">
        <f>MIN('02_Данные'!L33,AA33)</f>
        <v/>
      </c>
      <c r="AC33" s="10">
        <f>AA33-AB33</f>
        <v/>
      </c>
      <c r="AD33" s="10">
        <f>MIN('02_Данные'!M33,AC33)</f>
        <v/>
      </c>
      <c r="AE33" s="10">
        <f>AC33-AD33</f>
        <v/>
      </c>
      <c r="AF33" s="10">
        <f>MIN('02_Данные'!N33,AE33)</f>
        <v/>
      </c>
      <c r="AG33" s="10">
        <f>AE33-AF33</f>
        <v/>
      </c>
      <c r="AH33" s="10">
        <f>MIN('02_Данные'!S33,AG33)</f>
        <v/>
      </c>
      <c r="AI33" s="10">
        <f>AG33-AH33</f>
        <v/>
      </c>
      <c r="AJ33" s="10">
        <f>MIN('02_Данные'!P33,AI33)</f>
        <v/>
      </c>
      <c r="AK33" s="10">
        <f>AI33-AJ33</f>
        <v/>
      </c>
      <c r="AL33" s="10">
        <f>MIN('02_Данные'!O33,AK33)</f>
        <v/>
      </c>
      <c r="AM33" s="10">
        <f>AK33-AL33</f>
        <v/>
      </c>
      <c r="AN33" s="10">
        <f>MIN('02_Данные'!Q33,AM33)</f>
        <v/>
      </c>
      <c r="AO33" s="10">
        <f>AM33-AN33</f>
        <v/>
      </c>
      <c r="AP33" s="10">
        <f>MIN('02_Данные'!R33,AO33)</f>
        <v/>
      </c>
      <c r="AQ33" s="10">
        <f>AO33-AP33</f>
        <v/>
      </c>
      <c r="AR33" s="10">
        <f>AQ33+'02_Данные'!H33</f>
        <v/>
      </c>
      <c r="AS33" s="10">
        <f>MIN('02_Данные'!T33,AR33)</f>
        <v/>
      </c>
      <c r="AT33" s="10">
        <f>AR33-AS33</f>
        <v/>
      </c>
      <c r="AU33" s="10">
        <f>MIN('02_Данные'!U33,AT33)</f>
        <v/>
      </c>
      <c r="AV33" s="10">
        <f>AT33-AU33</f>
        <v/>
      </c>
      <c r="AW33" s="10">
        <f>MIN('02_Данные'!V33,AV33)</f>
        <v/>
      </c>
      <c r="AX33" s="10">
        <f>AV33-AW33</f>
        <v/>
      </c>
      <c r="AY33" s="10">
        <f>MIN('02_Данные'!AA33,AX33)</f>
        <v/>
      </c>
      <c r="AZ33" s="10">
        <f>AX33-AY33</f>
        <v/>
      </c>
      <c r="BA33" s="10">
        <f>MIN('02_Данные'!X33,AZ33)</f>
        <v/>
      </c>
      <c r="BB33" s="10">
        <f>AZ33-BA33</f>
        <v/>
      </c>
      <c r="BC33" s="10">
        <f>MIN('02_Данные'!W33,BB33)</f>
        <v/>
      </c>
      <c r="BD33" s="10">
        <f>BB33-BC33</f>
        <v/>
      </c>
      <c r="BE33" s="10">
        <f>MIN('02_Данные'!Y33,BD33)</f>
        <v/>
      </c>
      <c r="BF33" s="10">
        <f>BD33-BE33</f>
        <v/>
      </c>
      <c r="BG33" s="10">
        <f>MIN('02_Данные'!Z33,BF33)</f>
        <v/>
      </c>
      <c r="BH33" s="10">
        <f>BF33-BG33</f>
        <v/>
      </c>
      <c r="BI33" s="10">
        <f>BH33+'02_Данные'!I33</f>
        <v/>
      </c>
      <c r="BJ33" s="10">
        <f>MIN('02_Данные'!AB33,BI33)</f>
        <v/>
      </c>
      <c r="BK33" s="10">
        <f>BI33-BJ33</f>
        <v/>
      </c>
      <c r="BL33" s="10">
        <f>MIN('02_Данные'!AC33,BK33)</f>
        <v/>
      </c>
      <c r="BM33" s="10">
        <f>BK33-BL33</f>
        <v/>
      </c>
      <c r="BN33" s="10">
        <f>MIN('02_Данные'!AD33,BM33)</f>
        <v/>
      </c>
      <c r="BO33" s="10">
        <f>BM33-BN33</f>
        <v/>
      </c>
      <c r="BP33" s="10">
        <f>MIN('02_Данные'!AI33,BO33)</f>
        <v/>
      </c>
      <c r="BQ33" s="10">
        <f>BO33-BP33</f>
        <v/>
      </c>
      <c r="BR33" s="10">
        <f>MIN('02_Данные'!AF33,BQ33)</f>
        <v/>
      </c>
      <c r="BS33" s="10">
        <f>BQ33-BR33</f>
        <v/>
      </c>
      <c r="BT33" s="10">
        <f>MIN('02_Данные'!AE33,BS33)</f>
        <v/>
      </c>
      <c r="BU33" s="10">
        <f>BS33-BT33</f>
        <v/>
      </c>
      <c r="BV33" s="10">
        <f>MIN('02_Данные'!AG33,BU33)</f>
        <v/>
      </c>
      <c r="BW33" s="10">
        <f>BU33-BV33</f>
        <v/>
      </c>
      <c r="BX33" s="10">
        <f>MIN('02_Данные'!AH33,BW33)</f>
        <v/>
      </c>
      <c r="BY33" s="10">
        <f>BW33-BX33</f>
        <v/>
      </c>
      <c r="BZ33" s="10">
        <f>BY33+'02_Данные'!J33</f>
        <v/>
      </c>
      <c r="CA33" s="10">
        <f>MIN('02_Данные'!AJ33,BZ33)</f>
        <v/>
      </c>
      <c r="CB33" s="10">
        <f>BZ33-CA33</f>
        <v/>
      </c>
      <c r="CC33" s="10">
        <f>MIN('02_Данные'!AK33,CB33)</f>
        <v/>
      </c>
      <c r="CD33" s="10">
        <f>CB33-CC33</f>
        <v/>
      </c>
      <c r="CE33" s="10">
        <f>MIN('02_Данные'!AL33,CD33)</f>
        <v/>
      </c>
      <c r="CF33" s="10">
        <f>CD33-CE33</f>
        <v/>
      </c>
      <c r="CG33" s="10">
        <f>MIN('02_Данные'!AQ33,CF33)</f>
        <v/>
      </c>
      <c r="CH33" s="10">
        <f>CF33-CG33</f>
        <v/>
      </c>
      <c r="CI33" s="10">
        <f>MIN('02_Данные'!AN33,CH33)</f>
        <v/>
      </c>
      <c r="CJ33" s="10">
        <f>CH33-CI33</f>
        <v/>
      </c>
      <c r="CK33" s="10">
        <f>MIN('02_Данные'!AM33,CJ33)</f>
        <v/>
      </c>
      <c r="CL33" s="10">
        <f>CJ33-CK33</f>
        <v/>
      </c>
      <c r="CM33" s="10">
        <f>MIN('02_Данные'!AO33,CL33)</f>
        <v/>
      </c>
      <c r="CN33" s="10">
        <f>CL33-CM33</f>
        <v/>
      </c>
      <c r="CO33" s="10">
        <f>MIN('02_Данные'!AP33,CN33)</f>
        <v/>
      </c>
      <c r="CP33" s="10">
        <f>CN33-CO33</f>
        <v/>
      </c>
      <c r="CQ33" s="10">
        <f>CP33+'02_Данные'!K33</f>
        <v/>
      </c>
      <c r="CR33" s="10">
        <f>MIN('02_Данные'!AR33,CQ33)</f>
        <v/>
      </c>
      <c r="CS33" s="10">
        <f>CQ33-CR33</f>
        <v/>
      </c>
      <c r="CT33" s="10">
        <f>MIN('02_Данные'!AS33,CS33)</f>
        <v/>
      </c>
      <c r="CU33" s="10">
        <f>CS33-CT33</f>
        <v/>
      </c>
      <c r="CV33" s="10">
        <f>MIN('02_Данные'!AT33,CU33)</f>
        <v/>
      </c>
      <c r="CW33" s="10">
        <f>CU33-CV33</f>
        <v/>
      </c>
      <c r="CX33" s="10">
        <f>MIN('02_Данные'!AY33,CW33)</f>
        <v/>
      </c>
      <c r="CY33" s="10">
        <f>CW33-CX33</f>
        <v/>
      </c>
      <c r="CZ33" s="10">
        <f>MIN('02_Данные'!AV33,CY33)</f>
        <v/>
      </c>
      <c r="DA33" s="10">
        <f>CY33-CZ33</f>
        <v/>
      </c>
      <c r="DB33" s="10">
        <f>MIN('02_Данные'!AU33,DA33)</f>
        <v/>
      </c>
      <c r="DC33" s="10">
        <f>DA33-DB33</f>
        <v/>
      </c>
      <c r="DD33" s="10">
        <f>MIN('02_Данные'!AW33,DC33)</f>
        <v/>
      </c>
      <c r="DE33" s="10">
        <f>DC33-DD33</f>
        <v/>
      </c>
      <c r="DF33" s="10">
        <f>MIN('02_Данные'!AX33,DE33)</f>
        <v/>
      </c>
      <c r="DG33" s="10">
        <f>DE33-DF33</f>
        <v/>
      </c>
    </row>
    <row r="34">
      <c r="A34" s="9">
        <f>'02_Данные'!B34</f>
        <v/>
      </c>
      <c r="B34" s="9">
        <f>'02_Данные'!E34</f>
        <v/>
      </c>
      <c r="C34" s="10">
        <f>'02_Данные'!F34+'02_Данные'!G34+'02_Данные'!H34+'02_Данные'!I34+'02_Данные'!J34+'02_Данные'!K34</f>
        <v/>
      </c>
      <c r="D34" s="10">
        <f>SUM('02_Данные'!L34:'02_Данные'!AY34)</f>
        <v/>
      </c>
      <c r="E34" s="10">
        <f>MAX(0,D34-C34)</f>
        <v/>
      </c>
      <c r="F34" s="15">
        <f>IF(E34&gt;0.0001,"ДЕФИЦИТ",IF(Y34&gt;0.0001,"ПРОФИЦИТ","БАЛАНС"))</f>
        <v/>
      </c>
      <c r="G34" s="10">
        <f>AB34+AS34+BJ34+CA34+CR34</f>
        <v/>
      </c>
      <c r="H34" s="10">
        <f>AD34+AU34+BL34+CC34+CT34</f>
        <v/>
      </c>
      <c r="I34" s="10">
        <f>AF34+AW34+BN34+CE34+CV34</f>
        <v/>
      </c>
      <c r="J34" s="10">
        <f>AL34+BC34+BT34+CK34+DB34</f>
        <v/>
      </c>
      <c r="K34" s="10">
        <f>AJ34+BA34+BR34+CI34+CZ34</f>
        <v/>
      </c>
      <c r="L34" s="10">
        <f>AN34+BE34+BV34+CM34+DD34</f>
        <v/>
      </c>
      <c r="M34" s="10">
        <f>AP34+BG34+BX34+CO34+DF34</f>
        <v/>
      </c>
      <c r="N34" s="10">
        <f>AH34+AY34+BP34+CG34+CX34</f>
        <v/>
      </c>
      <c r="O34" s="10">
        <f>SUM(G34:N34)</f>
        <v/>
      </c>
      <c r="P34" s="10">
        <f>IFERROR(G34*MIN(1,'01_Нормативы'!$C$4/SUM(G$2:G$429)),0)</f>
        <v/>
      </c>
      <c r="Q34" s="10">
        <f>IFERROR(H34*MIN(1,'01_Нормативы'!$C$5/SUM(H$2:H$429)),0)</f>
        <v/>
      </c>
      <c r="R34" s="10">
        <f>IFERROR(I34*MIN(1,'01_Нормативы'!$C$6/SUM(I$2:I$429)),0)</f>
        <v/>
      </c>
      <c r="S34" s="10">
        <f>IFERROR(J34*MIN(1,'01_Нормативы'!$C$7/SUM(J$2:J$429)),0)</f>
        <v/>
      </c>
      <c r="T34" s="10">
        <f>IFERROR(K34*MIN(1,'01_Нормативы'!$C$8/SUM(K$2:K$429)),0)</f>
        <v/>
      </c>
      <c r="U34" s="10">
        <f>IFERROR(L34*MIN(1,'01_Нормативы'!$C$9/SUM(L$2:L$429)),0)</f>
        <v/>
      </c>
      <c r="V34" s="10">
        <f>IFERROR(M34*MIN(1,'01_Нормативы'!$C$10/SUM(M$2:M$429)),0)</f>
        <v/>
      </c>
      <c r="W34" s="10">
        <f>IFERROR(N34*MIN(1,'01_Нормативы'!$C$11/SUM(N$2:N$429)),0)</f>
        <v/>
      </c>
      <c r="X34" s="10">
        <f>SUM(P34:W34)</f>
        <v/>
      </c>
      <c r="Y34" s="10">
        <f>MAX(0,C34-X34)</f>
        <v/>
      </c>
      <c r="Z34" s="10">
        <f>IF(D34=0,100,X34/D34*100)</f>
        <v/>
      </c>
      <c r="AA34" s="10">
        <f>'02_Данные'!F34+'02_Данные'!G34</f>
        <v/>
      </c>
      <c r="AB34" s="10">
        <f>MIN('02_Данные'!L34,AA34)</f>
        <v/>
      </c>
      <c r="AC34" s="10">
        <f>AA34-AB34</f>
        <v/>
      </c>
      <c r="AD34" s="10">
        <f>MIN('02_Данные'!M34,AC34)</f>
        <v/>
      </c>
      <c r="AE34" s="10">
        <f>AC34-AD34</f>
        <v/>
      </c>
      <c r="AF34" s="10">
        <f>MIN('02_Данные'!N34,AE34)</f>
        <v/>
      </c>
      <c r="AG34" s="10">
        <f>AE34-AF34</f>
        <v/>
      </c>
      <c r="AH34" s="10">
        <f>MIN('02_Данные'!S34,AG34)</f>
        <v/>
      </c>
      <c r="AI34" s="10">
        <f>AG34-AH34</f>
        <v/>
      </c>
      <c r="AJ34" s="10">
        <f>MIN('02_Данные'!P34,AI34)</f>
        <v/>
      </c>
      <c r="AK34" s="10">
        <f>AI34-AJ34</f>
        <v/>
      </c>
      <c r="AL34" s="10">
        <f>MIN('02_Данные'!O34,AK34)</f>
        <v/>
      </c>
      <c r="AM34" s="10">
        <f>AK34-AL34</f>
        <v/>
      </c>
      <c r="AN34" s="10">
        <f>MIN('02_Данные'!Q34,AM34)</f>
        <v/>
      </c>
      <c r="AO34" s="10">
        <f>AM34-AN34</f>
        <v/>
      </c>
      <c r="AP34" s="10">
        <f>MIN('02_Данные'!R34,AO34)</f>
        <v/>
      </c>
      <c r="AQ34" s="10">
        <f>AO34-AP34</f>
        <v/>
      </c>
      <c r="AR34" s="10">
        <f>AQ34+'02_Данные'!H34</f>
        <v/>
      </c>
      <c r="AS34" s="10">
        <f>MIN('02_Данные'!T34,AR34)</f>
        <v/>
      </c>
      <c r="AT34" s="10">
        <f>AR34-AS34</f>
        <v/>
      </c>
      <c r="AU34" s="10">
        <f>MIN('02_Данные'!U34,AT34)</f>
        <v/>
      </c>
      <c r="AV34" s="10">
        <f>AT34-AU34</f>
        <v/>
      </c>
      <c r="AW34" s="10">
        <f>MIN('02_Данные'!V34,AV34)</f>
        <v/>
      </c>
      <c r="AX34" s="10">
        <f>AV34-AW34</f>
        <v/>
      </c>
      <c r="AY34" s="10">
        <f>MIN('02_Данные'!AA34,AX34)</f>
        <v/>
      </c>
      <c r="AZ34" s="10">
        <f>AX34-AY34</f>
        <v/>
      </c>
      <c r="BA34" s="10">
        <f>MIN('02_Данные'!X34,AZ34)</f>
        <v/>
      </c>
      <c r="BB34" s="10">
        <f>AZ34-BA34</f>
        <v/>
      </c>
      <c r="BC34" s="10">
        <f>MIN('02_Данные'!W34,BB34)</f>
        <v/>
      </c>
      <c r="BD34" s="10">
        <f>BB34-BC34</f>
        <v/>
      </c>
      <c r="BE34" s="10">
        <f>MIN('02_Данные'!Y34,BD34)</f>
        <v/>
      </c>
      <c r="BF34" s="10">
        <f>BD34-BE34</f>
        <v/>
      </c>
      <c r="BG34" s="10">
        <f>MIN('02_Данные'!Z34,BF34)</f>
        <v/>
      </c>
      <c r="BH34" s="10">
        <f>BF34-BG34</f>
        <v/>
      </c>
      <c r="BI34" s="10">
        <f>BH34+'02_Данные'!I34</f>
        <v/>
      </c>
      <c r="BJ34" s="10">
        <f>MIN('02_Данные'!AB34,BI34)</f>
        <v/>
      </c>
      <c r="BK34" s="10">
        <f>BI34-BJ34</f>
        <v/>
      </c>
      <c r="BL34" s="10">
        <f>MIN('02_Данные'!AC34,BK34)</f>
        <v/>
      </c>
      <c r="BM34" s="10">
        <f>BK34-BL34</f>
        <v/>
      </c>
      <c r="BN34" s="10">
        <f>MIN('02_Данные'!AD34,BM34)</f>
        <v/>
      </c>
      <c r="BO34" s="10">
        <f>BM34-BN34</f>
        <v/>
      </c>
      <c r="BP34" s="10">
        <f>MIN('02_Данные'!AI34,BO34)</f>
        <v/>
      </c>
      <c r="BQ34" s="10">
        <f>BO34-BP34</f>
        <v/>
      </c>
      <c r="BR34" s="10">
        <f>MIN('02_Данные'!AF34,BQ34)</f>
        <v/>
      </c>
      <c r="BS34" s="10">
        <f>BQ34-BR34</f>
        <v/>
      </c>
      <c r="BT34" s="10">
        <f>MIN('02_Данные'!AE34,BS34)</f>
        <v/>
      </c>
      <c r="BU34" s="10">
        <f>BS34-BT34</f>
        <v/>
      </c>
      <c r="BV34" s="10">
        <f>MIN('02_Данные'!AG34,BU34)</f>
        <v/>
      </c>
      <c r="BW34" s="10">
        <f>BU34-BV34</f>
        <v/>
      </c>
      <c r="BX34" s="10">
        <f>MIN('02_Данные'!AH34,BW34)</f>
        <v/>
      </c>
      <c r="BY34" s="10">
        <f>BW34-BX34</f>
        <v/>
      </c>
      <c r="BZ34" s="10">
        <f>BY34+'02_Данные'!J34</f>
        <v/>
      </c>
      <c r="CA34" s="10">
        <f>MIN('02_Данные'!AJ34,BZ34)</f>
        <v/>
      </c>
      <c r="CB34" s="10">
        <f>BZ34-CA34</f>
        <v/>
      </c>
      <c r="CC34" s="10">
        <f>MIN('02_Данные'!AK34,CB34)</f>
        <v/>
      </c>
      <c r="CD34" s="10">
        <f>CB34-CC34</f>
        <v/>
      </c>
      <c r="CE34" s="10">
        <f>MIN('02_Данные'!AL34,CD34)</f>
        <v/>
      </c>
      <c r="CF34" s="10">
        <f>CD34-CE34</f>
        <v/>
      </c>
      <c r="CG34" s="10">
        <f>MIN('02_Данные'!AQ34,CF34)</f>
        <v/>
      </c>
      <c r="CH34" s="10">
        <f>CF34-CG34</f>
        <v/>
      </c>
      <c r="CI34" s="10">
        <f>MIN('02_Данные'!AN34,CH34)</f>
        <v/>
      </c>
      <c r="CJ34" s="10">
        <f>CH34-CI34</f>
        <v/>
      </c>
      <c r="CK34" s="10">
        <f>MIN('02_Данные'!AM34,CJ34)</f>
        <v/>
      </c>
      <c r="CL34" s="10">
        <f>CJ34-CK34</f>
        <v/>
      </c>
      <c r="CM34" s="10">
        <f>MIN('02_Данные'!AO34,CL34)</f>
        <v/>
      </c>
      <c r="CN34" s="10">
        <f>CL34-CM34</f>
        <v/>
      </c>
      <c r="CO34" s="10">
        <f>MIN('02_Данные'!AP34,CN34)</f>
        <v/>
      </c>
      <c r="CP34" s="10">
        <f>CN34-CO34</f>
        <v/>
      </c>
      <c r="CQ34" s="10">
        <f>CP34+'02_Данные'!K34</f>
        <v/>
      </c>
      <c r="CR34" s="10">
        <f>MIN('02_Данные'!AR34,CQ34)</f>
        <v/>
      </c>
      <c r="CS34" s="10">
        <f>CQ34-CR34</f>
        <v/>
      </c>
      <c r="CT34" s="10">
        <f>MIN('02_Данные'!AS34,CS34)</f>
        <v/>
      </c>
      <c r="CU34" s="10">
        <f>CS34-CT34</f>
        <v/>
      </c>
      <c r="CV34" s="10">
        <f>MIN('02_Данные'!AT34,CU34)</f>
        <v/>
      </c>
      <c r="CW34" s="10">
        <f>CU34-CV34</f>
        <v/>
      </c>
      <c r="CX34" s="10">
        <f>MIN('02_Данные'!AY34,CW34)</f>
        <v/>
      </c>
      <c r="CY34" s="10">
        <f>CW34-CX34</f>
        <v/>
      </c>
      <c r="CZ34" s="10">
        <f>MIN('02_Данные'!AV34,CY34)</f>
        <v/>
      </c>
      <c r="DA34" s="10">
        <f>CY34-CZ34</f>
        <v/>
      </c>
      <c r="DB34" s="10">
        <f>MIN('02_Данные'!AU34,DA34)</f>
        <v/>
      </c>
      <c r="DC34" s="10">
        <f>DA34-DB34</f>
        <v/>
      </c>
      <c r="DD34" s="10">
        <f>MIN('02_Данные'!AW34,DC34)</f>
        <v/>
      </c>
      <c r="DE34" s="10">
        <f>DC34-DD34</f>
        <v/>
      </c>
      <c r="DF34" s="10">
        <f>MIN('02_Данные'!AX34,DE34)</f>
        <v/>
      </c>
      <c r="DG34" s="10">
        <f>DE34-DF34</f>
        <v/>
      </c>
    </row>
    <row r="35">
      <c r="A35" s="9">
        <f>'02_Данные'!B35</f>
        <v/>
      </c>
      <c r="B35" s="9">
        <f>'02_Данные'!E35</f>
        <v/>
      </c>
      <c r="C35" s="10">
        <f>'02_Данные'!F35+'02_Данные'!G35+'02_Данные'!H35+'02_Данные'!I35+'02_Данные'!J35+'02_Данные'!K35</f>
        <v/>
      </c>
      <c r="D35" s="10">
        <f>SUM('02_Данные'!L35:'02_Данные'!AY35)</f>
        <v/>
      </c>
      <c r="E35" s="10">
        <f>MAX(0,D35-C35)</f>
        <v/>
      </c>
      <c r="F35" s="15">
        <f>IF(E35&gt;0.0001,"ДЕФИЦИТ",IF(Y35&gt;0.0001,"ПРОФИЦИТ","БАЛАНС"))</f>
        <v/>
      </c>
      <c r="G35" s="10">
        <f>AB35+AS35+BJ35+CA35+CR35</f>
        <v/>
      </c>
      <c r="H35" s="10">
        <f>AD35+AU35+BL35+CC35+CT35</f>
        <v/>
      </c>
      <c r="I35" s="10">
        <f>AF35+AW35+BN35+CE35+CV35</f>
        <v/>
      </c>
      <c r="J35" s="10">
        <f>AL35+BC35+BT35+CK35+DB35</f>
        <v/>
      </c>
      <c r="K35" s="10">
        <f>AJ35+BA35+BR35+CI35+CZ35</f>
        <v/>
      </c>
      <c r="L35" s="10">
        <f>AN35+BE35+BV35+CM35+DD35</f>
        <v/>
      </c>
      <c r="M35" s="10">
        <f>AP35+BG35+BX35+CO35+DF35</f>
        <v/>
      </c>
      <c r="N35" s="10">
        <f>AH35+AY35+BP35+CG35+CX35</f>
        <v/>
      </c>
      <c r="O35" s="10">
        <f>SUM(G35:N35)</f>
        <v/>
      </c>
      <c r="P35" s="10">
        <f>IFERROR(G35*MIN(1,'01_Нормативы'!$C$4/SUM(G$2:G$429)),0)</f>
        <v/>
      </c>
      <c r="Q35" s="10">
        <f>IFERROR(H35*MIN(1,'01_Нормативы'!$C$5/SUM(H$2:H$429)),0)</f>
        <v/>
      </c>
      <c r="R35" s="10">
        <f>IFERROR(I35*MIN(1,'01_Нормативы'!$C$6/SUM(I$2:I$429)),0)</f>
        <v/>
      </c>
      <c r="S35" s="10">
        <f>IFERROR(J35*MIN(1,'01_Нормативы'!$C$7/SUM(J$2:J$429)),0)</f>
        <v/>
      </c>
      <c r="T35" s="10">
        <f>IFERROR(K35*MIN(1,'01_Нормативы'!$C$8/SUM(K$2:K$429)),0)</f>
        <v/>
      </c>
      <c r="U35" s="10">
        <f>IFERROR(L35*MIN(1,'01_Нормативы'!$C$9/SUM(L$2:L$429)),0)</f>
        <v/>
      </c>
      <c r="V35" s="10">
        <f>IFERROR(M35*MIN(1,'01_Нормативы'!$C$10/SUM(M$2:M$429)),0)</f>
        <v/>
      </c>
      <c r="W35" s="10">
        <f>IFERROR(N35*MIN(1,'01_Нормативы'!$C$11/SUM(N$2:N$429)),0)</f>
        <v/>
      </c>
      <c r="X35" s="10">
        <f>SUM(P35:W35)</f>
        <v/>
      </c>
      <c r="Y35" s="10">
        <f>MAX(0,C35-X35)</f>
        <v/>
      </c>
      <c r="Z35" s="10">
        <f>IF(D35=0,100,X35/D35*100)</f>
        <v/>
      </c>
      <c r="AA35" s="10">
        <f>'02_Данные'!F35+'02_Данные'!G35</f>
        <v/>
      </c>
      <c r="AB35" s="10">
        <f>MIN('02_Данные'!L35,AA35)</f>
        <v/>
      </c>
      <c r="AC35" s="10">
        <f>AA35-AB35</f>
        <v/>
      </c>
      <c r="AD35" s="10">
        <f>MIN('02_Данные'!M35,AC35)</f>
        <v/>
      </c>
      <c r="AE35" s="10">
        <f>AC35-AD35</f>
        <v/>
      </c>
      <c r="AF35" s="10">
        <f>MIN('02_Данные'!N35,AE35)</f>
        <v/>
      </c>
      <c r="AG35" s="10">
        <f>AE35-AF35</f>
        <v/>
      </c>
      <c r="AH35" s="10">
        <f>MIN('02_Данные'!S35,AG35)</f>
        <v/>
      </c>
      <c r="AI35" s="10">
        <f>AG35-AH35</f>
        <v/>
      </c>
      <c r="AJ35" s="10">
        <f>MIN('02_Данные'!P35,AI35)</f>
        <v/>
      </c>
      <c r="AK35" s="10">
        <f>AI35-AJ35</f>
        <v/>
      </c>
      <c r="AL35" s="10">
        <f>MIN('02_Данные'!O35,AK35)</f>
        <v/>
      </c>
      <c r="AM35" s="10">
        <f>AK35-AL35</f>
        <v/>
      </c>
      <c r="AN35" s="10">
        <f>MIN('02_Данные'!Q35,AM35)</f>
        <v/>
      </c>
      <c r="AO35" s="10">
        <f>AM35-AN35</f>
        <v/>
      </c>
      <c r="AP35" s="10">
        <f>MIN('02_Данные'!R35,AO35)</f>
        <v/>
      </c>
      <c r="AQ35" s="10">
        <f>AO35-AP35</f>
        <v/>
      </c>
      <c r="AR35" s="10">
        <f>AQ35+'02_Данные'!H35</f>
        <v/>
      </c>
      <c r="AS35" s="10">
        <f>MIN('02_Данные'!T35,AR35)</f>
        <v/>
      </c>
      <c r="AT35" s="10">
        <f>AR35-AS35</f>
        <v/>
      </c>
      <c r="AU35" s="10">
        <f>MIN('02_Данные'!U35,AT35)</f>
        <v/>
      </c>
      <c r="AV35" s="10">
        <f>AT35-AU35</f>
        <v/>
      </c>
      <c r="AW35" s="10">
        <f>MIN('02_Данные'!V35,AV35)</f>
        <v/>
      </c>
      <c r="AX35" s="10">
        <f>AV35-AW35</f>
        <v/>
      </c>
      <c r="AY35" s="10">
        <f>MIN('02_Данные'!AA35,AX35)</f>
        <v/>
      </c>
      <c r="AZ35" s="10">
        <f>AX35-AY35</f>
        <v/>
      </c>
      <c r="BA35" s="10">
        <f>MIN('02_Данные'!X35,AZ35)</f>
        <v/>
      </c>
      <c r="BB35" s="10">
        <f>AZ35-BA35</f>
        <v/>
      </c>
      <c r="BC35" s="10">
        <f>MIN('02_Данные'!W35,BB35)</f>
        <v/>
      </c>
      <c r="BD35" s="10">
        <f>BB35-BC35</f>
        <v/>
      </c>
      <c r="BE35" s="10">
        <f>MIN('02_Данные'!Y35,BD35)</f>
        <v/>
      </c>
      <c r="BF35" s="10">
        <f>BD35-BE35</f>
        <v/>
      </c>
      <c r="BG35" s="10">
        <f>MIN('02_Данные'!Z35,BF35)</f>
        <v/>
      </c>
      <c r="BH35" s="10">
        <f>BF35-BG35</f>
        <v/>
      </c>
      <c r="BI35" s="10">
        <f>BH35+'02_Данные'!I35</f>
        <v/>
      </c>
      <c r="BJ35" s="10">
        <f>MIN('02_Данные'!AB35,BI35)</f>
        <v/>
      </c>
      <c r="BK35" s="10">
        <f>BI35-BJ35</f>
        <v/>
      </c>
      <c r="BL35" s="10">
        <f>MIN('02_Данные'!AC35,BK35)</f>
        <v/>
      </c>
      <c r="BM35" s="10">
        <f>BK35-BL35</f>
        <v/>
      </c>
      <c r="BN35" s="10">
        <f>MIN('02_Данные'!AD35,BM35)</f>
        <v/>
      </c>
      <c r="BO35" s="10">
        <f>BM35-BN35</f>
        <v/>
      </c>
      <c r="BP35" s="10">
        <f>MIN('02_Данные'!AI35,BO35)</f>
        <v/>
      </c>
      <c r="BQ35" s="10">
        <f>BO35-BP35</f>
        <v/>
      </c>
      <c r="BR35" s="10">
        <f>MIN('02_Данные'!AF35,BQ35)</f>
        <v/>
      </c>
      <c r="BS35" s="10">
        <f>BQ35-BR35</f>
        <v/>
      </c>
      <c r="BT35" s="10">
        <f>MIN('02_Данные'!AE35,BS35)</f>
        <v/>
      </c>
      <c r="BU35" s="10">
        <f>BS35-BT35</f>
        <v/>
      </c>
      <c r="BV35" s="10">
        <f>MIN('02_Данные'!AG35,BU35)</f>
        <v/>
      </c>
      <c r="BW35" s="10">
        <f>BU35-BV35</f>
        <v/>
      </c>
      <c r="BX35" s="10">
        <f>MIN('02_Данные'!AH35,BW35)</f>
        <v/>
      </c>
      <c r="BY35" s="10">
        <f>BW35-BX35</f>
        <v/>
      </c>
      <c r="BZ35" s="10">
        <f>BY35+'02_Данные'!J35</f>
        <v/>
      </c>
      <c r="CA35" s="10">
        <f>MIN('02_Данные'!AJ35,BZ35)</f>
        <v/>
      </c>
      <c r="CB35" s="10">
        <f>BZ35-CA35</f>
        <v/>
      </c>
      <c r="CC35" s="10">
        <f>MIN('02_Данные'!AK35,CB35)</f>
        <v/>
      </c>
      <c r="CD35" s="10">
        <f>CB35-CC35</f>
        <v/>
      </c>
      <c r="CE35" s="10">
        <f>MIN('02_Данные'!AL35,CD35)</f>
        <v/>
      </c>
      <c r="CF35" s="10">
        <f>CD35-CE35</f>
        <v/>
      </c>
      <c r="CG35" s="10">
        <f>MIN('02_Данные'!AQ35,CF35)</f>
        <v/>
      </c>
      <c r="CH35" s="10">
        <f>CF35-CG35</f>
        <v/>
      </c>
      <c r="CI35" s="10">
        <f>MIN('02_Данные'!AN35,CH35)</f>
        <v/>
      </c>
      <c r="CJ35" s="10">
        <f>CH35-CI35</f>
        <v/>
      </c>
      <c r="CK35" s="10">
        <f>MIN('02_Данные'!AM35,CJ35)</f>
        <v/>
      </c>
      <c r="CL35" s="10">
        <f>CJ35-CK35</f>
        <v/>
      </c>
      <c r="CM35" s="10">
        <f>MIN('02_Данные'!AO35,CL35)</f>
        <v/>
      </c>
      <c r="CN35" s="10">
        <f>CL35-CM35</f>
        <v/>
      </c>
      <c r="CO35" s="10">
        <f>MIN('02_Данные'!AP35,CN35)</f>
        <v/>
      </c>
      <c r="CP35" s="10">
        <f>CN35-CO35</f>
        <v/>
      </c>
      <c r="CQ35" s="10">
        <f>CP35+'02_Данные'!K35</f>
        <v/>
      </c>
      <c r="CR35" s="10">
        <f>MIN('02_Данные'!AR35,CQ35)</f>
        <v/>
      </c>
      <c r="CS35" s="10">
        <f>CQ35-CR35</f>
        <v/>
      </c>
      <c r="CT35" s="10">
        <f>MIN('02_Данные'!AS35,CS35)</f>
        <v/>
      </c>
      <c r="CU35" s="10">
        <f>CS35-CT35</f>
        <v/>
      </c>
      <c r="CV35" s="10">
        <f>MIN('02_Данные'!AT35,CU35)</f>
        <v/>
      </c>
      <c r="CW35" s="10">
        <f>CU35-CV35</f>
        <v/>
      </c>
      <c r="CX35" s="10">
        <f>MIN('02_Данные'!AY35,CW35)</f>
        <v/>
      </c>
      <c r="CY35" s="10">
        <f>CW35-CX35</f>
        <v/>
      </c>
      <c r="CZ35" s="10">
        <f>MIN('02_Данные'!AV35,CY35)</f>
        <v/>
      </c>
      <c r="DA35" s="10">
        <f>CY35-CZ35</f>
        <v/>
      </c>
      <c r="DB35" s="10">
        <f>MIN('02_Данные'!AU35,DA35)</f>
        <v/>
      </c>
      <c r="DC35" s="10">
        <f>DA35-DB35</f>
        <v/>
      </c>
      <c r="DD35" s="10">
        <f>MIN('02_Данные'!AW35,DC35)</f>
        <v/>
      </c>
      <c r="DE35" s="10">
        <f>DC35-DD35</f>
        <v/>
      </c>
      <c r="DF35" s="10">
        <f>MIN('02_Данные'!AX35,DE35)</f>
        <v/>
      </c>
      <c r="DG35" s="10">
        <f>DE35-DF35</f>
        <v/>
      </c>
    </row>
    <row r="36">
      <c r="A36" s="9">
        <f>'02_Данные'!B36</f>
        <v/>
      </c>
      <c r="B36" s="9">
        <f>'02_Данные'!E36</f>
        <v/>
      </c>
      <c r="C36" s="10">
        <f>'02_Данные'!F36+'02_Данные'!G36+'02_Данные'!H36+'02_Данные'!I36+'02_Данные'!J36+'02_Данные'!K36</f>
        <v/>
      </c>
      <c r="D36" s="10">
        <f>SUM('02_Данные'!L36:'02_Данные'!AY36)</f>
        <v/>
      </c>
      <c r="E36" s="10">
        <f>MAX(0,D36-C36)</f>
        <v/>
      </c>
      <c r="F36" s="15">
        <f>IF(E36&gt;0.0001,"ДЕФИЦИТ",IF(Y36&gt;0.0001,"ПРОФИЦИТ","БАЛАНС"))</f>
        <v/>
      </c>
      <c r="G36" s="10">
        <f>AB36+AS36+BJ36+CA36+CR36</f>
        <v/>
      </c>
      <c r="H36" s="10">
        <f>AD36+AU36+BL36+CC36+CT36</f>
        <v/>
      </c>
      <c r="I36" s="10">
        <f>AF36+AW36+BN36+CE36+CV36</f>
        <v/>
      </c>
      <c r="J36" s="10">
        <f>AL36+BC36+BT36+CK36+DB36</f>
        <v/>
      </c>
      <c r="K36" s="10">
        <f>AJ36+BA36+BR36+CI36+CZ36</f>
        <v/>
      </c>
      <c r="L36" s="10">
        <f>AN36+BE36+BV36+CM36+DD36</f>
        <v/>
      </c>
      <c r="M36" s="10">
        <f>AP36+BG36+BX36+CO36+DF36</f>
        <v/>
      </c>
      <c r="N36" s="10">
        <f>AH36+AY36+BP36+CG36+CX36</f>
        <v/>
      </c>
      <c r="O36" s="10">
        <f>SUM(G36:N36)</f>
        <v/>
      </c>
      <c r="P36" s="10">
        <f>IFERROR(G36*MIN(1,'01_Нормативы'!$C$4/SUM(G$2:G$429)),0)</f>
        <v/>
      </c>
      <c r="Q36" s="10">
        <f>IFERROR(H36*MIN(1,'01_Нормативы'!$C$5/SUM(H$2:H$429)),0)</f>
        <v/>
      </c>
      <c r="R36" s="10">
        <f>IFERROR(I36*MIN(1,'01_Нормативы'!$C$6/SUM(I$2:I$429)),0)</f>
        <v/>
      </c>
      <c r="S36" s="10">
        <f>IFERROR(J36*MIN(1,'01_Нормативы'!$C$7/SUM(J$2:J$429)),0)</f>
        <v/>
      </c>
      <c r="T36" s="10">
        <f>IFERROR(K36*MIN(1,'01_Нормативы'!$C$8/SUM(K$2:K$429)),0)</f>
        <v/>
      </c>
      <c r="U36" s="10">
        <f>IFERROR(L36*MIN(1,'01_Нормативы'!$C$9/SUM(L$2:L$429)),0)</f>
        <v/>
      </c>
      <c r="V36" s="10">
        <f>IFERROR(M36*MIN(1,'01_Нормативы'!$C$10/SUM(M$2:M$429)),0)</f>
        <v/>
      </c>
      <c r="W36" s="10">
        <f>IFERROR(N36*MIN(1,'01_Нормативы'!$C$11/SUM(N$2:N$429)),0)</f>
        <v/>
      </c>
      <c r="X36" s="10">
        <f>SUM(P36:W36)</f>
        <v/>
      </c>
      <c r="Y36" s="10">
        <f>MAX(0,C36-X36)</f>
        <v/>
      </c>
      <c r="Z36" s="10">
        <f>IF(D36=0,100,X36/D36*100)</f>
        <v/>
      </c>
      <c r="AA36" s="10">
        <f>'02_Данные'!F36+'02_Данные'!G36</f>
        <v/>
      </c>
      <c r="AB36" s="10">
        <f>MIN('02_Данные'!L36,AA36)</f>
        <v/>
      </c>
      <c r="AC36" s="10">
        <f>AA36-AB36</f>
        <v/>
      </c>
      <c r="AD36" s="10">
        <f>MIN('02_Данные'!M36,AC36)</f>
        <v/>
      </c>
      <c r="AE36" s="10">
        <f>AC36-AD36</f>
        <v/>
      </c>
      <c r="AF36" s="10">
        <f>MIN('02_Данные'!N36,AE36)</f>
        <v/>
      </c>
      <c r="AG36" s="10">
        <f>AE36-AF36</f>
        <v/>
      </c>
      <c r="AH36" s="10">
        <f>MIN('02_Данные'!S36,AG36)</f>
        <v/>
      </c>
      <c r="AI36" s="10">
        <f>AG36-AH36</f>
        <v/>
      </c>
      <c r="AJ36" s="10">
        <f>MIN('02_Данные'!P36,AI36)</f>
        <v/>
      </c>
      <c r="AK36" s="10">
        <f>AI36-AJ36</f>
        <v/>
      </c>
      <c r="AL36" s="10">
        <f>MIN('02_Данные'!O36,AK36)</f>
        <v/>
      </c>
      <c r="AM36" s="10">
        <f>AK36-AL36</f>
        <v/>
      </c>
      <c r="AN36" s="10">
        <f>MIN('02_Данные'!Q36,AM36)</f>
        <v/>
      </c>
      <c r="AO36" s="10">
        <f>AM36-AN36</f>
        <v/>
      </c>
      <c r="AP36" s="10">
        <f>MIN('02_Данные'!R36,AO36)</f>
        <v/>
      </c>
      <c r="AQ36" s="10">
        <f>AO36-AP36</f>
        <v/>
      </c>
      <c r="AR36" s="10">
        <f>AQ36+'02_Данные'!H36</f>
        <v/>
      </c>
      <c r="AS36" s="10">
        <f>MIN('02_Данные'!T36,AR36)</f>
        <v/>
      </c>
      <c r="AT36" s="10">
        <f>AR36-AS36</f>
        <v/>
      </c>
      <c r="AU36" s="10">
        <f>MIN('02_Данные'!U36,AT36)</f>
        <v/>
      </c>
      <c r="AV36" s="10">
        <f>AT36-AU36</f>
        <v/>
      </c>
      <c r="AW36" s="10">
        <f>MIN('02_Данные'!V36,AV36)</f>
        <v/>
      </c>
      <c r="AX36" s="10">
        <f>AV36-AW36</f>
        <v/>
      </c>
      <c r="AY36" s="10">
        <f>MIN('02_Данные'!AA36,AX36)</f>
        <v/>
      </c>
      <c r="AZ36" s="10">
        <f>AX36-AY36</f>
        <v/>
      </c>
      <c r="BA36" s="10">
        <f>MIN('02_Данные'!X36,AZ36)</f>
        <v/>
      </c>
      <c r="BB36" s="10">
        <f>AZ36-BA36</f>
        <v/>
      </c>
      <c r="BC36" s="10">
        <f>MIN('02_Данные'!W36,BB36)</f>
        <v/>
      </c>
      <c r="BD36" s="10">
        <f>BB36-BC36</f>
        <v/>
      </c>
      <c r="BE36" s="10">
        <f>MIN('02_Данные'!Y36,BD36)</f>
        <v/>
      </c>
      <c r="BF36" s="10">
        <f>BD36-BE36</f>
        <v/>
      </c>
      <c r="BG36" s="10">
        <f>MIN('02_Данные'!Z36,BF36)</f>
        <v/>
      </c>
      <c r="BH36" s="10">
        <f>BF36-BG36</f>
        <v/>
      </c>
      <c r="BI36" s="10">
        <f>BH36+'02_Данные'!I36</f>
        <v/>
      </c>
      <c r="BJ36" s="10">
        <f>MIN('02_Данные'!AB36,BI36)</f>
        <v/>
      </c>
      <c r="BK36" s="10">
        <f>BI36-BJ36</f>
        <v/>
      </c>
      <c r="BL36" s="10">
        <f>MIN('02_Данные'!AC36,BK36)</f>
        <v/>
      </c>
      <c r="BM36" s="10">
        <f>BK36-BL36</f>
        <v/>
      </c>
      <c r="BN36" s="10">
        <f>MIN('02_Данные'!AD36,BM36)</f>
        <v/>
      </c>
      <c r="BO36" s="10">
        <f>BM36-BN36</f>
        <v/>
      </c>
      <c r="BP36" s="10">
        <f>MIN('02_Данные'!AI36,BO36)</f>
        <v/>
      </c>
      <c r="BQ36" s="10">
        <f>BO36-BP36</f>
        <v/>
      </c>
      <c r="BR36" s="10">
        <f>MIN('02_Данные'!AF36,BQ36)</f>
        <v/>
      </c>
      <c r="BS36" s="10">
        <f>BQ36-BR36</f>
        <v/>
      </c>
      <c r="BT36" s="10">
        <f>MIN('02_Данные'!AE36,BS36)</f>
        <v/>
      </c>
      <c r="BU36" s="10">
        <f>BS36-BT36</f>
        <v/>
      </c>
      <c r="BV36" s="10">
        <f>MIN('02_Данные'!AG36,BU36)</f>
        <v/>
      </c>
      <c r="BW36" s="10">
        <f>BU36-BV36</f>
        <v/>
      </c>
      <c r="BX36" s="10">
        <f>MIN('02_Данные'!AH36,BW36)</f>
        <v/>
      </c>
      <c r="BY36" s="10">
        <f>BW36-BX36</f>
        <v/>
      </c>
      <c r="BZ36" s="10">
        <f>BY36+'02_Данные'!J36</f>
        <v/>
      </c>
      <c r="CA36" s="10">
        <f>MIN('02_Данные'!AJ36,BZ36)</f>
        <v/>
      </c>
      <c r="CB36" s="10">
        <f>BZ36-CA36</f>
        <v/>
      </c>
      <c r="CC36" s="10">
        <f>MIN('02_Данные'!AK36,CB36)</f>
        <v/>
      </c>
      <c r="CD36" s="10">
        <f>CB36-CC36</f>
        <v/>
      </c>
      <c r="CE36" s="10">
        <f>MIN('02_Данные'!AL36,CD36)</f>
        <v/>
      </c>
      <c r="CF36" s="10">
        <f>CD36-CE36</f>
        <v/>
      </c>
      <c r="CG36" s="10">
        <f>MIN('02_Данные'!AQ36,CF36)</f>
        <v/>
      </c>
      <c r="CH36" s="10">
        <f>CF36-CG36</f>
        <v/>
      </c>
      <c r="CI36" s="10">
        <f>MIN('02_Данные'!AN36,CH36)</f>
        <v/>
      </c>
      <c r="CJ36" s="10">
        <f>CH36-CI36</f>
        <v/>
      </c>
      <c r="CK36" s="10">
        <f>MIN('02_Данные'!AM36,CJ36)</f>
        <v/>
      </c>
      <c r="CL36" s="10">
        <f>CJ36-CK36</f>
        <v/>
      </c>
      <c r="CM36" s="10">
        <f>MIN('02_Данные'!AO36,CL36)</f>
        <v/>
      </c>
      <c r="CN36" s="10">
        <f>CL36-CM36</f>
        <v/>
      </c>
      <c r="CO36" s="10">
        <f>MIN('02_Данные'!AP36,CN36)</f>
        <v/>
      </c>
      <c r="CP36" s="10">
        <f>CN36-CO36</f>
        <v/>
      </c>
      <c r="CQ36" s="10">
        <f>CP36+'02_Данные'!K36</f>
        <v/>
      </c>
      <c r="CR36" s="10">
        <f>MIN('02_Данные'!AR36,CQ36)</f>
        <v/>
      </c>
      <c r="CS36" s="10">
        <f>CQ36-CR36</f>
        <v/>
      </c>
      <c r="CT36" s="10">
        <f>MIN('02_Данные'!AS36,CS36)</f>
        <v/>
      </c>
      <c r="CU36" s="10">
        <f>CS36-CT36</f>
        <v/>
      </c>
      <c r="CV36" s="10">
        <f>MIN('02_Данные'!AT36,CU36)</f>
        <v/>
      </c>
      <c r="CW36" s="10">
        <f>CU36-CV36</f>
        <v/>
      </c>
      <c r="CX36" s="10">
        <f>MIN('02_Данные'!AY36,CW36)</f>
        <v/>
      </c>
      <c r="CY36" s="10">
        <f>CW36-CX36</f>
        <v/>
      </c>
      <c r="CZ36" s="10">
        <f>MIN('02_Данные'!AV36,CY36)</f>
        <v/>
      </c>
      <c r="DA36" s="10">
        <f>CY36-CZ36</f>
        <v/>
      </c>
      <c r="DB36" s="10">
        <f>MIN('02_Данные'!AU36,DA36)</f>
        <v/>
      </c>
      <c r="DC36" s="10">
        <f>DA36-DB36</f>
        <v/>
      </c>
      <c r="DD36" s="10">
        <f>MIN('02_Данные'!AW36,DC36)</f>
        <v/>
      </c>
      <c r="DE36" s="10">
        <f>DC36-DD36</f>
        <v/>
      </c>
      <c r="DF36" s="10">
        <f>MIN('02_Данные'!AX36,DE36)</f>
        <v/>
      </c>
      <c r="DG36" s="10">
        <f>DE36-DF36</f>
        <v/>
      </c>
    </row>
    <row r="37">
      <c r="A37" s="9">
        <f>'02_Данные'!B37</f>
        <v/>
      </c>
      <c r="B37" s="9">
        <f>'02_Данные'!E37</f>
        <v/>
      </c>
      <c r="C37" s="10">
        <f>'02_Данные'!F37+'02_Данные'!G37+'02_Данные'!H37+'02_Данные'!I37+'02_Данные'!J37+'02_Данные'!K37</f>
        <v/>
      </c>
      <c r="D37" s="10">
        <f>SUM('02_Данные'!L37:'02_Данные'!AY37)</f>
        <v/>
      </c>
      <c r="E37" s="10">
        <f>MAX(0,D37-C37)</f>
        <v/>
      </c>
      <c r="F37" s="15">
        <f>IF(E37&gt;0.0001,"ДЕФИЦИТ",IF(Y37&gt;0.0001,"ПРОФИЦИТ","БАЛАНС"))</f>
        <v/>
      </c>
      <c r="G37" s="10">
        <f>AB37+AS37+BJ37+CA37+CR37</f>
        <v/>
      </c>
      <c r="H37" s="10">
        <f>AD37+AU37+BL37+CC37+CT37</f>
        <v/>
      </c>
      <c r="I37" s="10">
        <f>AF37+AW37+BN37+CE37+CV37</f>
        <v/>
      </c>
      <c r="J37" s="10">
        <f>AL37+BC37+BT37+CK37+DB37</f>
        <v/>
      </c>
      <c r="K37" s="10">
        <f>AJ37+BA37+BR37+CI37+CZ37</f>
        <v/>
      </c>
      <c r="L37" s="10">
        <f>AN37+BE37+BV37+CM37+DD37</f>
        <v/>
      </c>
      <c r="M37" s="10">
        <f>AP37+BG37+BX37+CO37+DF37</f>
        <v/>
      </c>
      <c r="N37" s="10">
        <f>AH37+AY37+BP37+CG37+CX37</f>
        <v/>
      </c>
      <c r="O37" s="10">
        <f>SUM(G37:N37)</f>
        <v/>
      </c>
      <c r="P37" s="10">
        <f>IFERROR(G37*MIN(1,'01_Нормативы'!$C$4/SUM(G$2:G$429)),0)</f>
        <v/>
      </c>
      <c r="Q37" s="10">
        <f>IFERROR(H37*MIN(1,'01_Нормативы'!$C$5/SUM(H$2:H$429)),0)</f>
        <v/>
      </c>
      <c r="R37" s="10">
        <f>IFERROR(I37*MIN(1,'01_Нормативы'!$C$6/SUM(I$2:I$429)),0)</f>
        <v/>
      </c>
      <c r="S37" s="10">
        <f>IFERROR(J37*MIN(1,'01_Нормативы'!$C$7/SUM(J$2:J$429)),0)</f>
        <v/>
      </c>
      <c r="T37" s="10">
        <f>IFERROR(K37*MIN(1,'01_Нормативы'!$C$8/SUM(K$2:K$429)),0)</f>
        <v/>
      </c>
      <c r="U37" s="10">
        <f>IFERROR(L37*MIN(1,'01_Нормативы'!$C$9/SUM(L$2:L$429)),0)</f>
        <v/>
      </c>
      <c r="V37" s="10">
        <f>IFERROR(M37*MIN(1,'01_Нормативы'!$C$10/SUM(M$2:M$429)),0)</f>
        <v/>
      </c>
      <c r="W37" s="10">
        <f>IFERROR(N37*MIN(1,'01_Нормативы'!$C$11/SUM(N$2:N$429)),0)</f>
        <v/>
      </c>
      <c r="X37" s="10">
        <f>SUM(P37:W37)</f>
        <v/>
      </c>
      <c r="Y37" s="10">
        <f>MAX(0,C37-X37)</f>
        <v/>
      </c>
      <c r="Z37" s="10">
        <f>IF(D37=0,100,X37/D37*100)</f>
        <v/>
      </c>
      <c r="AA37" s="10">
        <f>'02_Данные'!F37+'02_Данные'!G37</f>
        <v/>
      </c>
      <c r="AB37" s="10">
        <f>MIN('02_Данные'!L37,AA37)</f>
        <v/>
      </c>
      <c r="AC37" s="10">
        <f>AA37-AB37</f>
        <v/>
      </c>
      <c r="AD37" s="10">
        <f>MIN('02_Данные'!M37,AC37)</f>
        <v/>
      </c>
      <c r="AE37" s="10">
        <f>AC37-AD37</f>
        <v/>
      </c>
      <c r="AF37" s="10">
        <f>MIN('02_Данные'!N37,AE37)</f>
        <v/>
      </c>
      <c r="AG37" s="10">
        <f>AE37-AF37</f>
        <v/>
      </c>
      <c r="AH37" s="10">
        <f>MIN('02_Данные'!S37,AG37)</f>
        <v/>
      </c>
      <c r="AI37" s="10">
        <f>AG37-AH37</f>
        <v/>
      </c>
      <c r="AJ37" s="10">
        <f>MIN('02_Данные'!P37,AI37)</f>
        <v/>
      </c>
      <c r="AK37" s="10">
        <f>AI37-AJ37</f>
        <v/>
      </c>
      <c r="AL37" s="10">
        <f>MIN('02_Данные'!O37,AK37)</f>
        <v/>
      </c>
      <c r="AM37" s="10">
        <f>AK37-AL37</f>
        <v/>
      </c>
      <c r="AN37" s="10">
        <f>MIN('02_Данные'!Q37,AM37)</f>
        <v/>
      </c>
      <c r="AO37" s="10">
        <f>AM37-AN37</f>
        <v/>
      </c>
      <c r="AP37" s="10">
        <f>MIN('02_Данные'!R37,AO37)</f>
        <v/>
      </c>
      <c r="AQ37" s="10">
        <f>AO37-AP37</f>
        <v/>
      </c>
      <c r="AR37" s="10">
        <f>AQ37+'02_Данные'!H37</f>
        <v/>
      </c>
      <c r="AS37" s="10">
        <f>MIN('02_Данные'!T37,AR37)</f>
        <v/>
      </c>
      <c r="AT37" s="10">
        <f>AR37-AS37</f>
        <v/>
      </c>
      <c r="AU37" s="10">
        <f>MIN('02_Данные'!U37,AT37)</f>
        <v/>
      </c>
      <c r="AV37" s="10">
        <f>AT37-AU37</f>
        <v/>
      </c>
      <c r="AW37" s="10">
        <f>MIN('02_Данные'!V37,AV37)</f>
        <v/>
      </c>
      <c r="AX37" s="10">
        <f>AV37-AW37</f>
        <v/>
      </c>
      <c r="AY37" s="10">
        <f>MIN('02_Данные'!AA37,AX37)</f>
        <v/>
      </c>
      <c r="AZ37" s="10">
        <f>AX37-AY37</f>
        <v/>
      </c>
      <c r="BA37" s="10">
        <f>MIN('02_Данные'!X37,AZ37)</f>
        <v/>
      </c>
      <c r="BB37" s="10">
        <f>AZ37-BA37</f>
        <v/>
      </c>
      <c r="BC37" s="10">
        <f>MIN('02_Данные'!W37,BB37)</f>
        <v/>
      </c>
      <c r="BD37" s="10">
        <f>BB37-BC37</f>
        <v/>
      </c>
      <c r="BE37" s="10">
        <f>MIN('02_Данные'!Y37,BD37)</f>
        <v/>
      </c>
      <c r="BF37" s="10">
        <f>BD37-BE37</f>
        <v/>
      </c>
      <c r="BG37" s="10">
        <f>MIN('02_Данные'!Z37,BF37)</f>
        <v/>
      </c>
      <c r="BH37" s="10">
        <f>BF37-BG37</f>
        <v/>
      </c>
      <c r="BI37" s="10">
        <f>BH37+'02_Данные'!I37</f>
        <v/>
      </c>
      <c r="BJ37" s="10">
        <f>MIN('02_Данные'!AB37,BI37)</f>
        <v/>
      </c>
      <c r="BK37" s="10">
        <f>BI37-BJ37</f>
        <v/>
      </c>
      <c r="BL37" s="10">
        <f>MIN('02_Данные'!AC37,BK37)</f>
        <v/>
      </c>
      <c r="BM37" s="10">
        <f>BK37-BL37</f>
        <v/>
      </c>
      <c r="BN37" s="10">
        <f>MIN('02_Данные'!AD37,BM37)</f>
        <v/>
      </c>
      <c r="BO37" s="10">
        <f>BM37-BN37</f>
        <v/>
      </c>
      <c r="BP37" s="10">
        <f>MIN('02_Данные'!AI37,BO37)</f>
        <v/>
      </c>
      <c r="BQ37" s="10">
        <f>BO37-BP37</f>
        <v/>
      </c>
      <c r="BR37" s="10">
        <f>MIN('02_Данные'!AF37,BQ37)</f>
        <v/>
      </c>
      <c r="BS37" s="10">
        <f>BQ37-BR37</f>
        <v/>
      </c>
      <c r="BT37" s="10">
        <f>MIN('02_Данные'!AE37,BS37)</f>
        <v/>
      </c>
      <c r="BU37" s="10">
        <f>BS37-BT37</f>
        <v/>
      </c>
      <c r="BV37" s="10">
        <f>MIN('02_Данные'!AG37,BU37)</f>
        <v/>
      </c>
      <c r="BW37" s="10">
        <f>BU37-BV37</f>
        <v/>
      </c>
      <c r="BX37" s="10">
        <f>MIN('02_Данные'!AH37,BW37)</f>
        <v/>
      </c>
      <c r="BY37" s="10">
        <f>BW37-BX37</f>
        <v/>
      </c>
      <c r="BZ37" s="10">
        <f>BY37+'02_Данные'!J37</f>
        <v/>
      </c>
      <c r="CA37" s="10">
        <f>MIN('02_Данные'!AJ37,BZ37)</f>
        <v/>
      </c>
      <c r="CB37" s="10">
        <f>BZ37-CA37</f>
        <v/>
      </c>
      <c r="CC37" s="10">
        <f>MIN('02_Данные'!AK37,CB37)</f>
        <v/>
      </c>
      <c r="CD37" s="10">
        <f>CB37-CC37</f>
        <v/>
      </c>
      <c r="CE37" s="10">
        <f>MIN('02_Данные'!AL37,CD37)</f>
        <v/>
      </c>
      <c r="CF37" s="10">
        <f>CD37-CE37</f>
        <v/>
      </c>
      <c r="CG37" s="10">
        <f>MIN('02_Данные'!AQ37,CF37)</f>
        <v/>
      </c>
      <c r="CH37" s="10">
        <f>CF37-CG37</f>
        <v/>
      </c>
      <c r="CI37" s="10">
        <f>MIN('02_Данные'!AN37,CH37)</f>
        <v/>
      </c>
      <c r="CJ37" s="10">
        <f>CH37-CI37</f>
        <v/>
      </c>
      <c r="CK37" s="10">
        <f>MIN('02_Данные'!AM37,CJ37)</f>
        <v/>
      </c>
      <c r="CL37" s="10">
        <f>CJ37-CK37</f>
        <v/>
      </c>
      <c r="CM37" s="10">
        <f>MIN('02_Данные'!AO37,CL37)</f>
        <v/>
      </c>
      <c r="CN37" s="10">
        <f>CL37-CM37</f>
        <v/>
      </c>
      <c r="CO37" s="10">
        <f>MIN('02_Данные'!AP37,CN37)</f>
        <v/>
      </c>
      <c r="CP37" s="10">
        <f>CN37-CO37</f>
        <v/>
      </c>
      <c r="CQ37" s="10">
        <f>CP37+'02_Данные'!K37</f>
        <v/>
      </c>
      <c r="CR37" s="10">
        <f>MIN('02_Данные'!AR37,CQ37)</f>
        <v/>
      </c>
      <c r="CS37" s="10">
        <f>CQ37-CR37</f>
        <v/>
      </c>
      <c r="CT37" s="10">
        <f>MIN('02_Данные'!AS37,CS37)</f>
        <v/>
      </c>
      <c r="CU37" s="10">
        <f>CS37-CT37</f>
        <v/>
      </c>
      <c r="CV37" s="10">
        <f>MIN('02_Данные'!AT37,CU37)</f>
        <v/>
      </c>
      <c r="CW37" s="10">
        <f>CU37-CV37</f>
        <v/>
      </c>
      <c r="CX37" s="10">
        <f>MIN('02_Данные'!AY37,CW37)</f>
        <v/>
      </c>
      <c r="CY37" s="10">
        <f>CW37-CX37</f>
        <v/>
      </c>
      <c r="CZ37" s="10">
        <f>MIN('02_Данные'!AV37,CY37)</f>
        <v/>
      </c>
      <c r="DA37" s="10">
        <f>CY37-CZ37</f>
        <v/>
      </c>
      <c r="DB37" s="10">
        <f>MIN('02_Данные'!AU37,DA37)</f>
        <v/>
      </c>
      <c r="DC37" s="10">
        <f>DA37-DB37</f>
        <v/>
      </c>
      <c r="DD37" s="10">
        <f>MIN('02_Данные'!AW37,DC37)</f>
        <v/>
      </c>
      <c r="DE37" s="10">
        <f>DC37-DD37</f>
        <v/>
      </c>
      <c r="DF37" s="10">
        <f>MIN('02_Данные'!AX37,DE37)</f>
        <v/>
      </c>
      <c r="DG37" s="10">
        <f>DE37-DF37</f>
        <v/>
      </c>
    </row>
    <row r="38">
      <c r="A38" s="9">
        <f>'02_Данные'!B38</f>
        <v/>
      </c>
      <c r="B38" s="9">
        <f>'02_Данные'!E38</f>
        <v/>
      </c>
      <c r="C38" s="10">
        <f>'02_Данные'!F38+'02_Данные'!G38+'02_Данные'!H38+'02_Данные'!I38+'02_Данные'!J38+'02_Данные'!K38</f>
        <v/>
      </c>
      <c r="D38" s="10">
        <f>SUM('02_Данные'!L38:'02_Данные'!AY38)</f>
        <v/>
      </c>
      <c r="E38" s="10">
        <f>MAX(0,D38-C38)</f>
        <v/>
      </c>
      <c r="F38" s="15">
        <f>IF(E38&gt;0.0001,"ДЕФИЦИТ",IF(Y38&gt;0.0001,"ПРОФИЦИТ","БАЛАНС"))</f>
        <v/>
      </c>
      <c r="G38" s="10">
        <f>AB38+AS38+BJ38+CA38+CR38</f>
        <v/>
      </c>
      <c r="H38" s="10">
        <f>AD38+AU38+BL38+CC38+CT38</f>
        <v/>
      </c>
      <c r="I38" s="10">
        <f>AF38+AW38+BN38+CE38+CV38</f>
        <v/>
      </c>
      <c r="J38" s="10">
        <f>AL38+BC38+BT38+CK38+DB38</f>
        <v/>
      </c>
      <c r="K38" s="10">
        <f>AJ38+BA38+BR38+CI38+CZ38</f>
        <v/>
      </c>
      <c r="L38" s="10">
        <f>AN38+BE38+BV38+CM38+DD38</f>
        <v/>
      </c>
      <c r="M38" s="10">
        <f>AP38+BG38+BX38+CO38+DF38</f>
        <v/>
      </c>
      <c r="N38" s="10">
        <f>AH38+AY38+BP38+CG38+CX38</f>
        <v/>
      </c>
      <c r="O38" s="10">
        <f>SUM(G38:N38)</f>
        <v/>
      </c>
      <c r="P38" s="10">
        <f>IFERROR(G38*MIN(1,'01_Нормативы'!$C$4/SUM(G$2:G$429)),0)</f>
        <v/>
      </c>
      <c r="Q38" s="10">
        <f>IFERROR(H38*MIN(1,'01_Нормативы'!$C$5/SUM(H$2:H$429)),0)</f>
        <v/>
      </c>
      <c r="R38" s="10">
        <f>IFERROR(I38*MIN(1,'01_Нормативы'!$C$6/SUM(I$2:I$429)),0)</f>
        <v/>
      </c>
      <c r="S38" s="10">
        <f>IFERROR(J38*MIN(1,'01_Нормативы'!$C$7/SUM(J$2:J$429)),0)</f>
        <v/>
      </c>
      <c r="T38" s="10">
        <f>IFERROR(K38*MIN(1,'01_Нормативы'!$C$8/SUM(K$2:K$429)),0)</f>
        <v/>
      </c>
      <c r="U38" s="10">
        <f>IFERROR(L38*MIN(1,'01_Нормативы'!$C$9/SUM(L$2:L$429)),0)</f>
        <v/>
      </c>
      <c r="V38" s="10">
        <f>IFERROR(M38*MIN(1,'01_Нормативы'!$C$10/SUM(M$2:M$429)),0)</f>
        <v/>
      </c>
      <c r="W38" s="10">
        <f>IFERROR(N38*MIN(1,'01_Нормативы'!$C$11/SUM(N$2:N$429)),0)</f>
        <v/>
      </c>
      <c r="X38" s="10">
        <f>SUM(P38:W38)</f>
        <v/>
      </c>
      <c r="Y38" s="10">
        <f>MAX(0,C38-X38)</f>
        <v/>
      </c>
      <c r="Z38" s="10">
        <f>IF(D38=0,100,X38/D38*100)</f>
        <v/>
      </c>
      <c r="AA38" s="10">
        <f>'02_Данные'!F38+'02_Данные'!G38</f>
        <v/>
      </c>
      <c r="AB38" s="10">
        <f>MIN('02_Данные'!L38,AA38)</f>
        <v/>
      </c>
      <c r="AC38" s="10">
        <f>AA38-AB38</f>
        <v/>
      </c>
      <c r="AD38" s="10">
        <f>MIN('02_Данные'!M38,AC38)</f>
        <v/>
      </c>
      <c r="AE38" s="10">
        <f>AC38-AD38</f>
        <v/>
      </c>
      <c r="AF38" s="10">
        <f>MIN('02_Данные'!N38,AE38)</f>
        <v/>
      </c>
      <c r="AG38" s="10">
        <f>AE38-AF38</f>
        <v/>
      </c>
      <c r="AH38" s="10">
        <f>MIN('02_Данные'!S38,AG38)</f>
        <v/>
      </c>
      <c r="AI38" s="10">
        <f>AG38-AH38</f>
        <v/>
      </c>
      <c r="AJ38" s="10">
        <f>MIN('02_Данные'!P38,AI38)</f>
        <v/>
      </c>
      <c r="AK38" s="10">
        <f>AI38-AJ38</f>
        <v/>
      </c>
      <c r="AL38" s="10">
        <f>MIN('02_Данные'!O38,AK38)</f>
        <v/>
      </c>
      <c r="AM38" s="10">
        <f>AK38-AL38</f>
        <v/>
      </c>
      <c r="AN38" s="10">
        <f>MIN('02_Данные'!Q38,AM38)</f>
        <v/>
      </c>
      <c r="AO38" s="10">
        <f>AM38-AN38</f>
        <v/>
      </c>
      <c r="AP38" s="10">
        <f>MIN('02_Данные'!R38,AO38)</f>
        <v/>
      </c>
      <c r="AQ38" s="10">
        <f>AO38-AP38</f>
        <v/>
      </c>
      <c r="AR38" s="10">
        <f>AQ38+'02_Данные'!H38</f>
        <v/>
      </c>
      <c r="AS38" s="10">
        <f>MIN('02_Данные'!T38,AR38)</f>
        <v/>
      </c>
      <c r="AT38" s="10">
        <f>AR38-AS38</f>
        <v/>
      </c>
      <c r="AU38" s="10">
        <f>MIN('02_Данные'!U38,AT38)</f>
        <v/>
      </c>
      <c r="AV38" s="10">
        <f>AT38-AU38</f>
        <v/>
      </c>
      <c r="AW38" s="10">
        <f>MIN('02_Данные'!V38,AV38)</f>
        <v/>
      </c>
      <c r="AX38" s="10">
        <f>AV38-AW38</f>
        <v/>
      </c>
      <c r="AY38" s="10">
        <f>MIN('02_Данные'!AA38,AX38)</f>
        <v/>
      </c>
      <c r="AZ38" s="10">
        <f>AX38-AY38</f>
        <v/>
      </c>
      <c r="BA38" s="10">
        <f>MIN('02_Данные'!X38,AZ38)</f>
        <v/>
      </c>
      <c r="BB38" s="10">
        <f>AZ38-BA38</f>
        <v/>
      </c>
      <c r="BC38" s="10">
        <f>MIN('02_Данные'!W38,BB38)</f>
        <v/>
      </c>
      <c r="BD38" s="10">
        <f>BB38-BC38</f>
        <v/>
      </c>
      <c r="BE38" s="10">
        <f>MIN('02_Данные'!Y38,BD38)</f>
        <v/>
      </c>
      <c r="BF38" s="10">
        <f>BD38-BE38</f>
        <v/>
      </c>
      <c r="BG38" s="10">
        <f>MIN('02_Данные'!Z38,BF38)</f>
        <v/>
      </c>
      <c r="BH38" s="10">
        <f>BF38-BG38</f>
        <v/>
      </c>
      <c r="BI38" s="10">
        <f>BH38+'02_Данные'!I38</f>
        <v/>
      </c>
      <c r="BJ38" s="10">
        <f>MIN('02_Данные'!AB38,BI38)</f>
        <v/>
      </c>
      <c r="BK38" s="10">
        <f>BI38-BJ38</f>
        <v/>
      </c>
      <c r="BL38" s="10">
        <f>MIN('02_Данные'!AC38,BK38)</f>
        <v/>
      </c>
      <c r="BM38" s="10">
        <f>BK38-BL38</f>
        <v/>
      </c>
      <c r="BN38" s="10">
        <f>MIN('02_Данные'!AD38,BM38)</f>
        <v/>
      </c>
      <c r="BO38" s="10">
        <f>BM38-BN38</f>
        <v/>
      </c>
      <c r="BP38" s="10">
        <f>MIN('02_Данные'!AI38,BO38)</f>
        <v/>
      </c>
      <c r="BQ38" s="10">
        <f>BO38-BP38</f>
        <v/>
      </c>
      <c r="BR38" s="10">
        <f>MIN('02_Данные'!AF38,BQ38)</f>
        <v/>
      </c>
      <c r="BS38" s="10">
        <f>BQ38-BR38</f>
        <v/>
      </c>
      <c r="BT38" s="10">
        <f>MIN('02_Данные'!AE38,BS38)</f>
        <v/>
      </c>
      <c r="BU38" s="10">
        <f>BS38-BT38</f>
        <v/>
      </c>
      <c r="BV38" s="10">
        <f>MIN('02_Данные'!AG38,BU38)</f>
        <v/>
      </c>
      <c r="BW38" s="10">
        <f>BU38-BV38</f>
        <v/>
      </c>
      <c r="BX38" s="10">
        <f>MIN('02_Данные'!AH38,BW38)</f>
        <v/>
      </c>
      <c r="BY38" s="10">
        <f>BW38-BX38</f>
        <v/>
      </c>
      <c r="BZ38" s="10">
        <f>BY38+'02_Данные'!J38</f>
        <v/>
      </c>
      <c r="CA38" s="10">
        <f>MIN('02_Данные'!AJ38,BZ38)</f>
        <v/>
      </c>
      <c r="CB38" s="10">
        <f>BZ38-CA38</f>
        <v/>
      </c>
      <c r="CC38" s="10">
        <f>MIN('02_Данные'!AK38,CB38)</f>
        <v/>
      </c>
      <c r="CD38" s="10">
        <f>CB38-CC38</f>
        <v/>
      </c>
      <c r="CE38" s="10">
        <f>MIN('02_Данные'!AL38,CD38)</f>
        <v/>
      </c>
      <c r="CF38" s="10">
        <f>CD38-CE38</f>
        <v/>
      </c>
      <c r="CG38" s="10">
        <f>MIN('02_Данные'!AQ38,CF38)</f>
        <v/>
      </c>
      <c r="CH38" s="10">
        <f>CF38-CG38</f>
        <v/>
      </c>
      <c r="CI38" s="10">
        <f>MIN('02_Данные'!AN38,CH38)</f>
        <v/>
      </c>
      <c r="CJ38" s="10">
        <f>CH38-CI38</f>
        <v/>
      </c>
      <c r="CK38" s="10">
        <f>MIN('02_Данные'!AM38,CJ38)</f>
        <v/>
      </c>
      <c r="CL38" s="10">
        <f>CJ38-CK38</f>
        <v/>
      </c>
      <c r="CM38" s="10">
        <f>MIN('02_Данные'!AO38,CL38)</f>
        <v/>
      </c>
      <c r="CN38" s="10">
        <f>CL38-CM38</f>
        <v/>
      </c>
      <c r="CO38" s="10">
        <f>MIN('02_Данные'!AP38,CN38)</f>
        <v/>
      </c>
      <c r="CP38" s="10">
        <f>CN38-CO38</f>
        <v/>
      </c>
      <c r="CQ38" s="10">
        <f>CP38+'02_Данные'!K38</f>
        <v/>
      </c>
      <c r="CR38" s="10">
        <f>MIN('02_Данные'!AR38,CQ38)</f>
        <v/>
      </c>
      <c r="CS38" s="10">
        <f>CQ38-CR38</f>
        <v/>
      </c>
      <c r="CT38" s="10">
        <f>MIN('02_Данные'!AS38,CS38)</f>
        <v/>
      </c>
      <c r="CU38" s="10">
        <f>CS38-CT38</f>
        <v/>
      </c>
      <c r="CV38" s="10">
        <f>MIN('02_Данные'!AT38,CU38)</f>
        <v/>
      </c>
      <c r="CW38" s="10">
        <f>CU38-CV38</f>
        <v/>
      </c>
      <c r="CX38" s="10">
        <f>MIN('02_Данные'!AY38,CW38)</f>
        <v/>
      </c>
      <c r="CY38" s="10">
        <f>CW38-CX38</f>
        <v/>
      </c>
      <c r="CZ38" s="10">
        <f>MIN('02_Данные'!AV38,CY38)</f>
        <v/>
      </c>
      <c r="DA38" s="10">
        <f>CY38-CZ38</f>
        <v/>
      </c>
      <c r="DB38" s="10">
        <f>MIN('02_Данные'!AU38,DA38)</f>
        <v/>
      </c>
      <c r="DC38" s="10">
        <f>DA38-DB38</f>
        <v/>
      </c>
      <c r="DD38" s="10">
        <f>MIN('02_Данные'!AW38,DC38)</f>
        <v/>
      </c>
      <c r="DE38" s="10">
        <f>DC38-DD38</f>
        <v/>
      </c>
      <c r="DF38" s="10">
        <f>MIN('02_Данные'!AX38,DE38)</f>
        <v/>
      </c>
      <c r="DG38" s="10">
        <f>DE38-DF38</f>
        <v/>
      </c>
    </row>
    <row r="39">
      <c r="A39" s="9">
        <f>'02_Данные'!B39</f>
        <v/>
      </c>
      <c r="B39" s="9">
        <f>'02_Данные'!E39</f>
        <v/>
      </c>
      <c r="C39" s="10">
        <f>'02_Данные'!F39+'02_Данные'!G39+'02_Данные'!H39+'02_Данные'!I39+'02_Данные'!J39+'02_Данные'!K39</f>
        <v/>
      </c>
      <c r="D39" s="10">
        <f>SUM('02_Данные'!L39:'02_Данные'!AY39)</f>
        <v/>
      </c>
      <c r="E39" s="10">
        <f>MAX(0,D39-C39)</f>
        <v/>
      </c>
      <c r="F39" s="15">
        <f>IF(E39&gt;0.0001,"ДЕФИЦИТ",IF(Y39&gt;0.0001,"ПРОФИЦИТ","БАЛАНС"))</f>
        <v/>
      </c>
      <c r="G39" s="10">
        <f>AB39+AS39+BJ39+CA39+CR39</f>
        <v/>
      </c>
      <c r="H39" s="10">
        <f>AD39+AU39+BL39+CC39+CT39</f>
        <v/>
      </c>
      <c r="I39" s="10">
        <f>AF39+AW39+BN39+CE39+CV39</f>
        <v/>
      </c>
      <c r="J39" s="10">
        <f>AL39+BC39+BT39+CK39+DB39</f>
        <v/>
      </c>
      <c r="K39" s="10">
        <f>AJ39+BA39+BR39+CI39+CZ39</f>
        <v/>
      </c>
      <c r="L39" s="10">
        <f>AN39+BE39+BV39+CM39+DD39</f>
        <v/>
      </c>
      <c r="M39" s="10">
        <f>AP39+BG39+BX39+CO39+DF39</f>
        <v/>
      </c>
      <c r="N39" s="10">
        <f>AH39+AY39+BP39+CG39+CX39</f>
        <v/>
      </c>
      <c r="O39" s="10">
        <f>SUM(G39:N39)</f>
        <v/>
      </c>
      <c r="P39" s="10">
        <f>IFERROR(G39*MIN(1,'01_Нормативы'!$C$4/SUM(G$2:G$429)),0)</f>
        <v/>
      </c>
      <c r="Q39" s="10">
        <f>IFERROR(H39*MIN(1,'01_Нормативы'!$C$5/SUM(H$2:H$429)),0)</f>
        <v/>
      </c>
      <c r="R39" s="10">
        <f>IFERROR(I39*MIN(1,'01_Нормативы'!$C$6/SUM(I$2:I$429)),0)</f>
        <v/>
      </c>
      <c r="S39" s="10">
        <f>IFERROR(J39*MIN(1,'01_Нормативы'!$C$7/SUM(J$2:J$429)),0)</f>
        <v/>
      </c>
      <c r="T39" s="10">
        <f>IFERROR(K39*MIN(1,'01_Нормативы'!$C$8/SUM(K$2:K$429)),0)</f>
        <v/>
      </c>
      <c r="U39" s="10">
        <f>IFERROR(L39*MIN(1,'01_Нормативы'!$C$9/SUM(L$2:L$429)),0)</f>
        <v/>
      </c>
      <c r="V39" s="10">
        <f>IFERROR(M39*MIN(1,'01_Нормативы'!$C$10/SUM(M$2:M$429)),0)</f>
        <v/>
      </c>
      <c r="W39" s="10">
        <f>IFERROR(N39*MIN(1,'01_Нормативы'!$C$11/SUM(N$2:N$429)),0)</f>
        <v/>
      </c>
      <c r="X39" s="10">
        <f>SUM(P39:W39)</f>
        <v/>
      </c>
      <c r="Y39" s="10">
        <f>MAX(0,C39-X39)</f>
        <v/>
      </c>
      <c r="Z39" s="10">
        <f>IF(D39=0,100,X39/D39*100)</f>
        <v/>
      </c>
      <c r="AA39" s="10">
        <f>'02_Данные'!F39+'02_Данные'!G39</f>
        <v/>
      </c>
      <c r="AB39" s="10">
        <f>MIN('02_Данные'!L39,AA39)</f>
        <v/>
      </c>
      <c r="AC39" s="10">
        <f>AA39-AB39</f>
        <v/>
      </c>
      <c r="AD39" s="10">
        <f>MIN('02_Данные'!M39,AC39)</f>
        <v/>
      </c>
      <c r="AE39" s="10">
        <f>AC39-AD39</f>
        <v/>
      </c>
      <c r="AF39" s="10">
        <f>MIN('02_Данные'!N39,AE39)</f>
        <v/>
      </c>
      <c r="AG39" s="10">
        <f>AE39-AF39</f>
        <v/>
      </c>
      <c r="AH39" s="10">
        <f>MIN('02_Данные'!S39,AG39)</f>
        <v/>
      </c>
      <c r="AI39" s="10">
        <f>AG39-AH39</f>
        <v/>
      </c>
      <c r="AJ39" s="10">
        <f>MIN('02_Данные'!P39,AI39)</f>
        <v/>
      </c>
      <c r="AK39" s="10">
        <f>AI39-AJ39</f>
        <v/>
      </c>
      <c r="AL39" s="10">
        <f>MIN('02_Данные'!O39,AK39)</f>
        <v/>
      </c>
      <c r="AM39" s="10">
        <f>AK39-AL39</f>
        <v/>
      </c>
      <c r="AN39" s="10">
        <f>MIN('02_Данные'!Q39,AM39)</f>
        <v/>
      </c>
      <c r="AO39" s="10">
        <f>AM39-AN39</f>
        <v/>
      </c>
      <c r="AP39" s="10">
        <f>MIN('02_Данные'!R39,AO39)</f>
        <v/>
      </c>
      <c r="AQ39" s="10">
        <f>AO39-AP39</f>
        <v/>
      </c>
      <c r="AR39" s="10">
        <f>AQ39+'02_Данные'!H39</f>
        <v/>
      </c>
      <c r="AS39" s="10">
        <f>MIN('02_Данные'!T39,AR39)</f>
        <v/>
      </c>
      <c r="AT39" s="10">
        <f>AR39-AS39</f>
        <v/>
      </c>
      <c r="AU39" s="10">
        <f>MIN('02_Данные'!U39,AT39)</f>
        <v/>
      </c>
      <c r="AV39" s="10">
        <f>AT39-AU39</f>
        <v/>
      </c>
      <c r="AW39" s="10">
        <f>MIN('02_Данные'!V39,AV39)</f>
        <v/>
      </c>
      <c r="AX39" s="10">
        <f>AV39-AW39</f>
        <v/>
      </c>
      <c r="AY39" s="10">
        <f>MIN('02_Данные'!AA39,AX39)</f>
        <v/>
      </c>
      <c r="AZ39" s="10">
        <f>AX39-AY39</f>
        <v/>
      </c>
      <c r="BA39" s="10">
        <f>MIN('02_Данные'!X39,AZ39)</f>
        <v/>
      </c>
      <c r="BB39" s="10">
        <f>AZ39-BA39</f>
        <v/>
      </c>
      <c r="BC39" s="10">
        <f>MIN('02_Данные'!W39,BB39)</f>
        <v/>
      </c>
      <c r="BD39" s="10">
        <f>BB39-BC39</f>
        <v/>
      </c>
      <c r="BE39" s="10">
        <f>MIN('02_Данные'!Y39,BD39)</f>
        <v/>
      </c>
      <c r="BF39" s="10">
        <f>BD39-BE39</f>
        <v/>
      </c>
      <c r="BG39" s="10">
        <f>MIN('02_Данные'!Z39,BF39)</f>
        <v/>
      </c>
      <c r="BH39" s="10">
        <f>BF39-BG39</f>
        <v/>
      </c>
      <c r="BI39" s="10">
        <f>BH39+'02_Данные'!I39</f>
        <v/>
      </c>
      <c r="BJ39" s="10">
        <f>MIN('02_Данные'!AB39,BI39)</f>
        <v/>
      </c>
      <c r="BK39" s="10">
        <f>BI39-BJ39</f>
        <v/>
      </c>
      <c r="BL39" s="10">
        <f>MIN('02_Данные'!AC39,BK39)</f>
        <v/>
      </c>
      <c r="BM39" s="10">
        <f>BK39-BL39</f>
        <v/>
      </c>
      <c r="BN39" s="10">
        <f>MIN('02_Данные'!AD39,BM39)</f>
        <v/>
      </c>
      <c r="BO39" s="10">
        <f>BM39-BN39</f>
        <v/>
      </c>
      <c r="BP39" s="10">
        <f>MIN('02_Данные'!AI39,BO39)</f>
        <v/>
      </c>
      <c r="BQ39" s="10">
        <f>BO39-BP39</f>
        <v/>
      </c>
      <c r="BR39" s="10">
        <f>MIN('02_Данные'!AF39,BQ39)</f>
        <v/>
      </c>
      <c r="BS39" s="10">
        <f>BQ39-BR39</f>
        <v/>
      </c>
      <c r="BT39" s="10">
        <f>MIN('02_Данные'!AE39,BS39)</f>
        <v/>
      </c>
      <c r="BU39" s="10">
        <f>BS39-BT39</f>
        <v/>
      </c>
      <c r="BV39" s="10">
        <f>MIN('02_Данные'!AG39,BU39)</f>
        <v/>
      </c>
      <c r="BW39" s="10">
        <f>BU39-BV39</f>
        <v/>
      </c>
      <c r="BX39" s="10">
        <f>MIN('02_Данные'!AH39,BW39)</f>
        <v/>
      </c>
      <c r="BY39" s="10">
        <f>BW39-BX39</f>
        <v/>
      </c>
      <c r="BZ39" s="10">
        <f>BY39+'02_Данные'!J39</f>
        <v/>
      </c>
      <c r="CA39" s="10">
        <f>MIN('02_Данные'!AJ39,BZ39)</f>
        <v/>
      </c>
      <c r="CB39" s="10">
        <f>BZ39-CA39</f>
        <v/>
      </c>
      <c r="CC39" s="10">
        <f>MIN('02_Данные'!AK39,CB39)</f>
        <v/>
      </c>
      <c r="CD39" s="10">
        <f>CB39-CC39</f>
        <v/>
      </c>
      <c r="CE39" s="10">
        <f>MIN('02_Данные'!AL39,CD39)</f>
        <v/>
      </c>
      <c r="CF39" s="10">
        <f>CD39-CE39</f>
        <v/>
      </c>
      <c r="CG39" s="10">
        <f>MIN('02_Данные'!AQ39,CF39)</f>
        <v/>
      </c>
      <c r="CH39" s="10">
        <f>CF39-CG39</f>
        <v/>
      </c>
      <c r="CI39" s="10">
        <f>MIN('02_Данные'!AN39,CH39)</f>
        <v/>
      </c>
      <c r="CJ39" s="10">
        <f>CH39-CI39</f>
        <v/>
      </c>
      <c r="CK39" s="10">
        <f>MIN('02_Данные'!AM39,CJ39)</f>
        <v/>
      </c>
      <c r="CL39" s="10">
        <f>CJ39-CK39</f>
        <v/>
      </c>
      <c r="CM39" s="10">
        <f>MIN('02_Данные'!AO39,CL39)</f>
        <v/>
      </c>
      <c r="CN39" s="10">
        <f>CL39-CM39</f>
        <v/>
      </c>
      <c r="CO39" s="10">
        <f>MIN('02_Данные'!AP39,CN39)</f>
        <v/>
      </c>
      <c r="CP39" s="10">
        <f>CN39-CO39</f>
        <v/>
      </c>
      <c r="CQ39" s="10">
        <f>CP39+'02_Данные'!K39</f>
        <v/>
      </c>
      <c r="CR39" s="10">
        <f>MIN('02_Данные'!AR39,CQ39)</f>
        <v/>
      </c>
      <c r="CS39" s="10">
        <f>CQ39-CR39</f>
        <v/>
      </c>
      <c r="CT39" s="10">
        <f>MIN('02_Данные'!AS39,CS39)</f>
        <v/>
      </c>
      <c r="CU39" s="10">
        <f>CS39-CT39</f>
        <v/>
      </c>
      <c r="CV39" s="10">
        <f>MIN('02_Данные'!AT39,CU39)</f>
        <v/>
      </c>
      <c r="CW39" s="10">
        <f>CU39-CV39</f>
        <v/>
      </c>
      <c r="CX39" s="10">
        <f>MIN('02_Данные'!AY39,CW39)</f>
        <v/>
      </c>
      <c r="CY39" s="10">
        <f>CW39-CX39</f>
        <v/>
      </c>
      <c r="CZ39" s="10">
        <f>MIN('02_Данные'!AV39,CY39)</f>
        <v/>
      </c>
      <c r="DA39" s="10">
        <f>CY39-CZ39</f>
        <v/>
      </c>
      <c r="DB39" s="10">
        <f>MIN('02_Данные'!AU39,DA39)</f>
        <v/>
      </c>
      <c r="DC39" s="10">
        <f>DA39-DB39</f>
        <v/>
      </c>
      <c r="DD39" s="10">
        <f>MIN('02_Данные'!AW39,DC39)</f>
        <v/>
      </c>
      <c r="DE39" s="10">
        <f>DC39-DD39</f>
        <v/>
      </c>
      <c r="DF39" s="10">
        <f>MIN('02_Данные'!AX39,DE39)</f>
        <v/>
      </c>
      <c r="DG39" s="10">
        <f>DE39-DF39</f>
        <v/>
      </c>
    </row>
    <row r="40">
      <c r="A40" s="9">
        <f>'02_Данные'!B40</f>
        <v/>
      </c>
      <c r="B40" s="9">
        <f>'02_Данные'!E40</f>
        <v/>
      </c>
      <c r="C40" s="10">
        <f>'02_Данные'!F40+'02_Данные'!G40+'02_Данные'!H40+'02_Данные'!I40+'02_Данные'!J40+'02_Данные'!K40</f>
        <v/>
      </c>
      <c r="D40" s="10">
        <f>SUM('02_Данные'!L40:'02_Данные'!AY40)</f>
        <v/>
      </c>
      <c r="E40" s="10">
        <f>MAX(0,D40-C40)</f>
        <v/>
      </c>
      <c r="F40" s="15">
        <f>IF(E40&gt;0.0001,"ДЕФИЦИТ",IF(Y40&gt;0.0001,"ПРОФИЦИТ","БАЛАНС"))</f>
        <v/>
      </c>
      <c r="G40" s="10">
        <f>AB40+AS40+BJ40+CA40+CR40</f>
        <v/>
      </c>
      <c r="H40" s="10">
        <f>AD40+AU40+BL40+CC40+CT40</f>
        <v/>
      </c>
      <c r="I40" s="10">
        <f>AF40+AW40+BN40+CE40+CV40</f>
        <v/>
      </c>
      <c r="J40" s="10">
        <f>AL40+BC40+BT40+CK40+DB40</f>
        <v/>
      </c>
      <c r="K40" s="10">
        <f>AJ40+BA40+BR40+CI40+CZ40</f>
        <v/>
      </c>
      <c r="L40" s="10">
        <f>AN40+BE40+BV40+CM40+DD40</f>
        <v/>
      </c>
      <c r="M40" s="10">
        <f>AP40+BG40+BX40+CO40+DF40</f>
        <v/>
      </c>
      <c r="N40" s="10">
        <f>AH40+AY40+BP40+CG40+CX40</f>
        <v/>
      </c>
      <c r="O40" s="10">
        <f>SUM(G40:N40)</f>
        <v/>
      </c>
      <c r="P40" s="10">
        <f>IFERROR(G40*MIN(1,'01_Нормативы'!$C$4/SUM(G$2:G$429)),0)</f>
        <v/>
      </c>
      <c r="Q40" s="10">
        <f>IFERROR(H40*MIN(1,'01_Нормативы'!$C$5/SUM(H$2:H$429)),0)</f>
        <v/>
      </c>
      <c r="R40" s="10">
        <f>IFERROR(I40*MIN(1,'01_Нормативы'!$C$6/SUM(I$2:I$429)),0)</f>
        <v/>
      </c>
      <c r="S40" s="10">
        <f>IFERROR(J40*MIN(1,'01_Нормативы'!$C$7/SUM(J$2:J$429)),0)</f>
        <v/>
      </c>
      <c r="T40" s="10">
        <f>IFERROR(K40*MIN(1,'01_Нормативы'!$C$8/SUM(K$2:K$429)),0)</f>
        <v/>
      </c>
      <c r="U40" s="10">
        <f>IFERROR(L40*MIN(1,'01_Нормативы'!$C$9/SUM(L$2:L$429)),0)</f>
        <v/>
      </c>
      <c r="V40" s="10">
        <f>IFERROR(M40*MIN(1,'01_Нормативы'!$C$10/SUM(M$2:M$429)),0)</f>
        <v/>
      </c>
      <c r="W40" s="10">
        <f>IFERROR(N40*MIN(1,'01_Нормативы'!$C$11/SUM(N$2:N$429)),0)</f>
        <v/>
      </c>
      <c r="X40" s="10">
        <f>SUM(P40:W40)</f>
        <v/>
      </c>
      <c r="Y40" s="10">
        <f>MAX(0,C40-X40)</f>
        <v/>
      </c>
      <c r="Z40" s="10">
        <f>IF(D40=0,100,X40/D40*100)</f>
        <v/>
      </c>
      <c r="AA40" s="10">
        <f>'02_Данные'!F40+'02_Данные'!G40</f>
        <v/>
      </c>
      <c r="AB40" s="10">
        <f>MIN('02_Данные'!L40,AA40)</f>
        <v/>
      </c>
      <c r="AC40" s="10">
        <f>AA40-AB40</f>
        <v/>
      </c>
      <c r="AD40" s="10">
        <f>MIN('02_Данные'!M40,AC40)</f>
        <v/>
      </c>
      <c r="AE40" s="10">
        <f>AC40-AD40</f>
        <v/>
      </c>
      <c r="AF40" s="10">
        <f>MIN('02_Данные'!N40,AE40)</f>
        <v/>
      </c>
      <c r="AG40" s="10">
        <f>AE40-AF40</f>
        <v/>
      </c>
      <c r="AH40" s="10">
        <f>MIN('02_Данные'!S40,AG40)</f>
        <v/>
      </c>
      <c r="AI40" s="10">
        <f>AG40-AH40</f>
        <v/>
      </c>
      <c r="AJ40" s="10">
        <f>MIN('02_Данные'!P40,AI40)</f>
        <v/>
      </c>
      <c r="AK40" s="10">
        <f>AI40-AJ40</f>
        <v/>
      </c>
      <c r="AL40" s="10">
        <f>MIN('02_Данные'!O40,AK40)</f>
        <v/>
      </c>
      <c r="AM40" s="10">
        <f>AK40-AL40</f>
        <v/>
      </c>
      <c r="AN40" s="10">
        <f>MIN('02_Данные'!Q40,AM40)</f>
        <v/>
      </c>
      <c r="AO40" s="10">
        <f>AM40-AN40</f>
        <v/>
      </c>
      <c r="AP40" s="10">
        <f>MIN('02_Данные'!R40,AO40)</f>
        <v/>
      </c>
      <c r="AQ40" s="10">
        <f>AO40-AP40</f>
        <v/>
      </c>
      <c r="AR40" s="10">
        <f>AQ40+'02_Данные'!H40</f>
        <v/>
      </c>
      <c r="AS40" s="10">
        <f>MIN('02_Данные'!T40,AR40)</f>
        <v/>
      </c>
      <c r="AT40" s="10">
        <f>AR40-AS40</f>
        <v/>
      </c>
      <c r="AU40" s="10">
        <f>MIN('02_Данные'!U40,AT40)</f>
        <v/>
      </c>
      <c r="AV40" s="10">
        <f>AT40-AU40</f>
        <v/>
      </c>
      <c r="AW40" s="10">
        <f>MIN('02_Данные'!V40,AV40)</f>
        <v/>
      </c>
      <c r="AX40" s="10">
        <f>AV40-AW40</f>
        <v/>
      </c>
      <c r="AY40" s="10">
        <f>MIN('02_Данные'!AA40,AX40)</f>
        <v/>
      </c>
      <c r="AZ40" s="10">
        <f>AX40-AY40</f>
        <v/>
      </c>
      <c r="BA40" s="10">
        <f>MIN('02_Данные'!X40,AZ40)</f>
        <v/>
      </c>
      <c r="BB40" s="10">
        <f>AZ40-BA40</f>
        <v/>
      </c>
      <c r="BC40" s="10">
        <f>MIN('02_Данные'!W40,BB40)</f>
        <v/>
      </c>
      <c r="BD40" s="10">
        <f>BB40-BC40</f>
        <v/>
      </c>
      <c r="BE40" s="10">
        <f>MIN('02_Данные'!Y40,BD40)</f>
        <v/>
      </c>
      <c r="BF40" s="10">
        <f>BD40-BE40</f>
        <v/>
      </c>
      <c r="BG40" s="10">
        <f>MIN('02_Данные'!Z40,BF40)</f>
        <v/>
      </c>
      <c r="BH40" s="10">
        <f>BF40-BG40</f>
        <v/>
      </c>
      <c r="BI40" s="10">
        <f>BH40+'02_Данные'!I40</f>
        <v/>
      </c>
      <c r="BJ40" s="10">
        <f>MIN('02_Данные'!AB40,BI40)</f>
        <v/>
      </c>
      <c r="BK40" s="10">
        <f>BI40-BJ40</f>
        <v/>
      </c>
      <c r="BL40" s="10">
        <f>MIN('02_Данные'!AC40,BK40)</f>
        <v/>
      </c>
      <c r="BM40" s="10">
        <f>BK40-BL40</f>
        <v/>
      </c>
      <c r="BN40" s="10">
        <f>MIN('02_Данные'!AD40,BM40)</f>
        <v/>
      </c>
      <c r="BO40" s="10">
        <f>BM40-BN40</f>
        <v/>
      </c>
      <c r="BP40" s="10">
        <f>MIN('02_Данные'!AI40,BO40)</f>
        <v/>
      </c>
      <c r="BQ40" s="10">
        <f>BO40-BP40</f>
        <v/>
      </c>
      <c r="BR40" s="10">
        <f>MIN('02_Данные'!AF40,BQ40)</f>
        <v/>
      </c>
      <c r="BS40" s="10">
        <f>BQ40-BR40</f>
        <v/>
      </c>
      <c r="BT40" s="10">
        <f>MIN('02_Данные'!AE40,BS40)</f>
        <v/>
      </c>
      <c r="BU40" s="10">
        <f>BS40-BT40</f>
        <v/>
      </c>
      <c r="BV40" s="10">
        <f>MIN('02_Данные'!AG40,BU40)</f>
        <v/>
      </c>
      <c r="BW40" s="10">
        <f>BU40-BV40</f>
        <v/>
      </c>
      <c r="BX40" s="10">
        <f>MIN('02_Данные'!AH40,BW40)</f>
        <v/>
      </c>
      <c r="BY40" s="10">
        <f>BW40-BX40</f>
        <v/>
      </c>
      <c r="BZ40" s="10">
        <f>BY40+'02_Данные'!J40</f>
        <v/>
      </c>
      <c r="CA40" s="10">
        <f>MIN('02_Данные'!AJ40,BZ40)</f>
        <v/>
      </c>
      <c r="CB40" s="10">
        <f>BZ40-CA40</f>
        <v/>
      </c>
      <c r="CC40" s="10">
        <f>MIN('02_Данные'!AK40,CB40)</f>
        <v/>
      </c>
      <c r="CD40" s="10">
        <f>CB40-CC40</f>
        <v/>
      </c>
      <c r="CE40" s="10">
        <f>MIN('02_Данные'!AL40,CD40)</f>
        <v/>
      </c>
      <c r="CF40" s="10">
        <f>CD40-CE40</f>
        <v/>
      </c>
      <c r="CG40" s="10">
        <f>MIN('02_Данные'!AQ40,CF40)</f>
        <v/>
      </c>
      <c r="CH40" s="10">
        <f>CF40-CG40</f>
        <v/>
      </c>
      <c r="CI40" s="10">
        <f>MIN('02_Данные'!AN40,CH40)</f>
        <v/>
      </c>
      <c r="CJ40" s="10">
        <f>CH40-CI40</f>
        <v/>
      </c>
      <c r="CK40" s="10">
        <f>MIN('02_Данные'!AM40,CJ40)</f>
        <v/>
      </c>
      <c r="CL40" s="10">
        <f>CJ40-CK40</f>
        <v/>
      </c>
      <c r="CM40" s="10">
        <f>MIN('02_Данные'!AO40,CL40)</f>
        <v/>
      </c>
      <c r="CN40" s="10">
        <f>CL40-CM40</f>
        <v/>
      </c>
      <c r="CO40" s="10">
        <f>MIN('02_Данные'!AP40,CN40)</f>
        <v/>
      </c>
      <c r="CP40" s="10">
        <f>CN40-CO40</f>
        <v/>
      </c>
      <c r="CQ40" s="10">
        <f>CP40+'02_Данные'!K40</f>
        <v/>
      </c>
      <c r="CR40" s="10">
        <f>MIN('02_Данные'!AR40,CQ40)</f>
        <v/>
      </c>
      <c r="CS40" s="10">
        <f>CQ40-CR40</f>
        <v/>
      </c>
      <c r="CT40" s="10">
        <f>MIN('02_Данные'!AS40,CS40)</f>
        <v/>
      </c>
      <c r="CU40" s="10">
        <f>CS40-CT40</f>
        <v/>
      </c>
      <c r="CV40" s="10">
        <f>MIN('02_Данные'!AT40,CU40)</f>
        <v/>
      </c>
      <c r="CW40" s="10">
        <f>CU40-CV40</f>
        <v/>
      </c>
      <c r="CX40" s="10">
        <f>MIN('02_Данные'!AY40,CW40)</f>
        <v/>
      </c>
      <c r="CY40" s="10">
        <f>CW40-CX40</f>
        <v/>
      </c>
      <c r="CZ40" s="10">
        <f>MIN('02_Данные'!AV40,CY40)</f>
        <v/>
      </c>
      <c r="DA40" s="10">
        <f>CY40-CZ40</f>
        <v/>
      </c>
      <c r="DB40" s="10">
        <f>MIN('02_Данные'!AU40,DA40)</f>
        <v/>
      </c>
      <c r="DC40" s="10">
        <f>DA40-DB40</f>
        <v/>
      </c>
      <c r="DD40" s="10">
        <f>MIN('02_Данные'!AW40,DC40)</f>
        <v/>
      </c>
      <c r="DE40" s="10">
        <f>DC40-DD40</f>
        <v/>
      </c>
      <c r="DF40" s="10">
        <f>MIN('02_Данные'!AX40,DE40)</f>
        <v/>
      </c>
      <c r="DG40" s="10">
        <f>DE40-DF40</f>
        <v/>
      </c>
    </row>
    <row r="41">
      <c r="A41" s="9">
        <f>'02_Данные'!B41</f>
        <v/>
      </c>
      <c r="B41" s="9">
        <f>'02_Данные'!E41</f>
        <v/>
      </c>
      <c r="C41" s="10">
        <f>'02_Данные'!F41+'02_Данные'!G41+'02_Данные'!H41+'02_Данные'!I41+'02_Данные'!J41+'02_Данные'!K41</f>
        <v/>
      </c>
      <c r="D41" s="10">
        <f>SUM('02_Данные'!L41:'02_Данные'!AY41)</f>
        <v/>
      </c>
      <c r="E41" s="10">
        <f>MAX(0,D41-C41)</f>
        <v/>
      </c>
      <c r="F41" s="15">
        <f>IF(E41&gt;0.0001,"ДЕФИЦИТ",IF(Y41&gt;0.0001,"ПРОФИЦИТ","БАЛАНС"))</f>
        <v/>
      </c>
      <c r="G41" s="10">
        <f>AB41+AS41+BJ41+CA41+CR41</f>
        <v/>
      </c>
      <c r="H41" s="10">
        <f>AD41+AU41+BL41+CC41+CT41</f>
        <v/>
      </c>
      <c r="I41" s="10">
        <f>AF41+AW41+BN41+CE41+CV41</f>
        <v/>
      </c>
      <c r="J41" s="10">
        <f>AL41+BC41+BT41+CK41+DB41</f>
        <v/>
      </c>
      <c r="K41" s="10">
        <f>AJ41+BA41+BR41+CI41+CZ41</f>
        <v/>
      </c>
      <c r="L41" s="10">
        <f>AN41+BE41+BV41+CM41+DD41</f>
        <v/>
      </c>
      <c r="M41" s="10">
        <f>AP41+BG41+BX41+CO41+DF41</f>
        <v/>
      </c>
      <c r="N41" s="10">
        <f>AH41+AY41+BP41+CG41+CX41</f>
        <v/>
      </c>
      <c r="O41" s="10">
        <f>SUM(G41:N41)</f>
        <v/>
      </c>
      <c r="P41" s="10">
        <f>IFERROR(G41*MIN(1,'01_Нормативы'!$C$4/SUM(G$2:G$429)),0)</f>
        <v/>
      </c>
      <c r="Q41" s="10">
        <f>IFERROR(H41*MIN(1,'01_Нормативы'!$C$5/SUM(H$2:H$429)),0)</f>
        <v/>
      </c>
      <c r="R41" s="10">
        <f>IFERROR(I41*MIN(1,'01_Нормативы'!$C$6/SUM(I$2:I$429)),0)</f>
        <v/>
      </c>
      <c r="S41" s="10">
        <f>IFERROR(J41*MIN(1,'01_Нормативы'!$C$7/SUM(J$2:J$429)),0)</f>
        <v/>
      </c>
      <c r="T41" s="10">
        <f>IFERROR(K41*MIN(1,'01_Нормативы'!$C$8/SUM(K$2:K$429)),0)</f>
        <v/>
      </c>
      <c r="U41" s="10">
        <f>IFERROR(L41*MIN(1,'01_Нормативы'!$C$9/SUM(L$2:L$429)),0)</f>
        <v/>
      </c>
      <c r="V41" s="10">
        <f>IFERROR(M41*MIN(1,'01_Нормативы'!$C$10/SUM(M$2:M$429)),0)</f>
        <v/>
      </c>
      <c r="W41" s="10">
        <f>IFERROR(N41*MIN(1,'01_Нормативы'!$C$11/SUM(N$2:N$429)),0)</f>
        <v/>
      </c>
      <c r="X41" s="10">
        <f>SUM(P41:W41)</f>
        <v/>
      </c>
      <c r="Y41" s="10">
        <f>MAX(0,C41-X41)</f>
        <v/>
      </c>
      <c r="Z41" s="10">
        <f>IF(D41=0,100,X41/D41*100)</f>
        <v/>
      </c>
      <c r="AA41" s="10">
        <f>'02_Данные'!F41+'02_Данные'!G41</f>
        <v/>
      </c>
      <c r="AB41" s="10">
        <f>MIN('02_Данные'!L41,AA41)</f>
        <v/>
      </c>
      <c r="AC41" s="10">
        <f>AA41-AB41</f>
        <v/>
      </c>
      <c r="AD41" s="10">
        <f>MIN('02_Данные'!M41,AC41)</f>
        <v/>
      </c>
      <c r="AE41" s="10">
        <f>AC41-AD41</f>
        <v/>
      </c>
      <c r="AF41" s="10">
        <f>MIN('02_Данные'!N41,AE41)</f>
        <v/>
      </c>
      <c r="AG41" s="10">
        <f>AE41-AF41</f>
        <v/>
      </c>
      <c r="AH41" s="10">
        <f>MIN('02_Данные'!S41,AG41)</f>
        <v/>
      </c>
      <c r="AI41" s="10">
        <f>AG41-AH41</f>
        <v/>
      </c>
      <c r="AJ41" s="10">
        <f>MIN('02_Данные'!P41,AI41)</f>
        <v/>
      </c>
      <c r="AK41" s="10">
        <f>AI41-AJ41</f>
        <v/>
      </c>
      <c r="AL41" s="10">
        <f>MIN('02_Данные'!O41,AK41)</f>
        <v/>
      </c>
      <c r="AM41" s="10">
        <f>AK41-AL41</f>
        <v/>
      </c>
      <c r="AN41" s="10">
        <f>MIN('02_Данные'!Q41,AM41)</f>
        <v/>
      </c>
      <c r="AO41" s="10">
        <f>AM41-AN41</f>
        <v/>
      </c>
      <c r="AP41" s="10">
        <f>MIN('02_Данные'!R41,AO41)</f>
        <v/>
      </c>
      <c r="AQ41" s="10">
        <f>AO41-AP41</f>
        <v/>
      </c>
      <c r="AR41" s="10">
        <f>AQ41+'02_Данные'!H41</f>
        <v/>
      </c>
      <c r="AS41" s="10">
        <f>MIN('02_Данные'!T41,AR41)</f>
        <v/>
      </c>
      <c r="AT41" s="10">
        <f>AR41-AS41</f>
        <v/>
      </c>
      <c r="AU41" s="10">
        <f>MIN('02_Данные'!U41,AT41)</f>
        <v/>
      </c>
      <c r="AV41" s="10">
        <f>AT41-AU41</f>
        <v/>
      </c>
      <c r="AW41" s="10">
        <f>MIN('02_Данные'!V41,AV41)</f>
        <v/>
      </c>
      <c r="AX41" s="10">
        <f>AV41-AW41</f>
        <v/>
      </c>
      <c r="AY41" s="10">
        <f>MIN('02_Данные'!AA41,AX41)</f>
        <v/>
      </c>
      <c r="AZ41" s="10">
        <f>AX41-AY41</f>
        <v/>
      </c>
      <c r="BA41" s="10">
        <f>MIN('02_Данные'!X41,AZ41)</f>
        <v/>
      </c>
      <c r="BB41" s="10">
        <f>AZ41-BA41</f>
        <v/>
      </c>
      <c r="BC41" s="10">
        <f>MIN('02_Данные'!W41,BB41)</f>
        <v/>
      </c>
      <c r="BD41" s="10">
        <f>BB41-BC41</f>
        <v/>
      </c>
      <c r="BE41" s="10">
        <f>MIN('02_Данные'!Y41,BD41)</f>
        <v/>
      </c>
      <c r="BF41" s="10">
        <f>BD41-BE41</f>
        <v/>
      </c>
      <c r="BG41" s="10">
        <f>MIN('02_Данные'!Z41,BF41)</f>
        <v/>
      </c>
      <c r="BH41" s="10">
        <f>BF41-BG41</f>
        <v/>
      </c>
      <c r="BI41" s="10">
        <f>BH41+'02_Данные'!I41</f>
        <v/>
      </c>
      <c r="BJ41" s="10">
        <f>MIN('02_Данные'!AB41,BI41)</f>
        <v/>
      </c>
      <c r="BK41" s="10">
        <f>BI41-BJ41</f>
        <v/>
      </c>
      <c r="BL41" s="10">
        <f>MIN('02_Данные'!AC41,BK41)</f>
        <v/>
      </c>
      <c r="BM41" s="10">
        <f>BK41-BL41</f>
        <v/>
      </c>
      <c r="BN41" s="10">
        <f>MIN('02_Данные'!AD41,BM41)</f>
        <v/>
      </c>
      <c r="BO41" s="10">
        <f>BM41-BN41</f>
        <v/>
      </c>
      <c r="BP41" s="10">
        <f>MIN('02_Данные'!AI41,BO41)</f>
        <v/>
      </c>
      <c r="BQ41" s="10">
        <f>BO41-BP41</f>
        <v/>
      </c>
      <c r="BR41" s="10">
        <f>MIN('02_Данные'!AF41,BQ41)</f>
        <v/>
      </c>
      <c r="BS41" s="10">
        <f>BQ41-BR41</f>
        <v/>
      </c>
      <c r="BT41" s="10">
        <f>MIN('02_Данные'!AE41,BS41)</f>
        <v/>
      </c>
      <c r="BU41" s="10">
        <f>BS41-BT41</f>
        <v/>
      </c>
      <c r="BV41" s="10">
        <f>MIN('02_Данные'!AG41,BU41)</f>
        <v/>
      </c>
      <c r="BW41" s="10">
        <f>BU41-BV41</f>
        <v/>
      </c>
      <c r="BX41" s="10">
        <f>MIN('02_Данные'!AH41,BW41)</f>
        <v/>
      </c>
      <c r="BY41" s="10">
        <f>BW41-BX41</f>
        <v/>
      </c>
      <c r="BZ41" s="10">
        <f>BY41+'02_Данные'!J41</f>
        <v/>
      </c>
      <c r="CA41" s="10">
        <f>MIN('02_Данные'!AJ41,BZ41)</f>
        <v/>
      </c>
      <c r="CB41" s="10">
        <f>BZ41-CA41</f>
        <v/>
      </c>
      <c r="CC41" s="10">
        <f>MIN('02_Данные'!AK41,CB41)</f>
        <v/>
      </c>
      <c r="CD41" s="10">
        <f>CB41-CC41</f>
        <v/>
      </c>
      <c r="CE41" s="10">
        <f>MIN('02_Данные'!AL41,CD41)</f>
        <v/>
      </c>
      <c r="CF41" s="10">
        <f>CD41-CE41</f>
        <v/>
      </c>
      <c r="CG41" s="10">
        <f>MIN('02_Данные'!AQ41,CF41)</f>
        <v/>
      </c>
      <c r="CH41" s="10">
        <f>CF41-CG41</f>
        <v/>
      </c>
      <c r="CI41" s="10">
        <f>MIN('02_Данные'!AN41,CH41)</f>
        <v/>
      </c>
      <c r="CJ41" s="10">
        <f>CH41-CI41</f>
        <v/>
      </c>
      <c r="CK41" s="10">
        <f>MIN('02_Данные'!AM41,CJ41)</f>
        <v/>
      </c>
      <c r="CL41" s="10">
        <f>CJ41-CK41</f>
        <v/>
      </c>
      <c r="CM41" s="10">
        <f>MIN('02_Данные'!AO41,CL41)</f>
        <v/>
      </c>
      <c r="CN41" s="10">
        <f>CL41-CM41</f>
        <v/>
      </c>
      <c r="CO41" s="10">
        <f>MIN('02_Данные'!AP41,CN41)</f>
        <v/>
      </c>
      <c r="CP41" s="10">
        <f>CN41-CO41</f>
        <v/>
      </c>
      <c r="CQ41" s="10">
        <f>CP41+'02_Данные'!K41</f>
        <v/>
      </c>
      <c r="CR41" s="10">
        <f>MIN('02_Данные'!AR41,CQ41)</f>
        <v/>
      </c>
      <c r="CS41" s="10">
        <f>CQ41-CR41</f>
        <v/>
      </c>
      <c r="CT41" s="10">
        <f>MIN('02_Данные'!AS41,CS41)</f>
        <v/>
      </c>
      <c r="CU41" s="10">
        <f>CS41-CT41</f>
        <v/>
      </c>
      <c r="CV41" s="10">
        <f>MIN('02_Данные'!AT41,CU41)</f>
        <v/>
      </c>
      <c r="CW41" s="10">
        <f>CU41-CV41</f>
        <v/>
      </c>
      <c r="CX41" s="10">
        <f>MIN('02_Данные'!AY41,CW41)</f>
        <v/>
      </c>
      <c r="CY41" s="10">
        <f>CW41-CX41</f>
        <v/>
      </c>
      <c r="CZ41" s="10">
        <f>MIN('02_Данные'!AV41,CY41)</f>
        <v/>
      </c>
      <c r="DA41" s="10">
        <f>CY41-CZ41</f>
        <v/>
      </c>
      <c r="DB41" s="10">
        <f>MIN('02_Данные'!AU41,DA41)</f>
        <v/>
      </c>
      <c r="DC41" s="10">
        <f>DA41-DB41</f>
        <v/>
      </c>
      <c r="DD41" s="10">
        <f>MIN('02_Данные'!AW41,DC41)</f>
        <v/>
      </c>
      <c r="DE41" s="10">
        <f>DC41-DD41</f>
        <v/>
      </c>
      <c r="DF41" s="10">
        <f>MIN('02_Данные'!AX41,DE41)</f>
        <v/>
      </c>
      <c r="DG41" s="10">
        <f>DE41-DF41</f>
        <v/>
      </c>
    </row>
    <row r="42">
      <c r="A42" s="9">
        <f>'02_Данные'!B42</f>
        <v/>
      </c>
      <c r="B42" s="9">
        <f>'02_Данные'!E42</f>
        <v/>
      </c>
      <c r="C42" s="10">
        <f>'02_Данные'!F42+'02_Данные'!G42+'02_Данные'!H42+'02_Данные'!I42+'02_Данные'!J42+'02_Данные'!K42</f>
        <v/>
      </c>
      <c r="D42" s="10">
        <f>SUM('02_Данные'!L42:'02_Данные'!AY42)</f>
        <v/>
      </c>
      <c r="E42" s="10">
        <f>MAX(0,D42-C42)</f>
        <v/>
      </c>
      <c r="F42" s="15">
        <f>IF(E42&gt;0.0001,"ДЕФИЦИТ",IF(Y42&gt;0.0001,"ПРОФИЦИТ","БАЛАНС"))</f>
        <v/>
      </c>
      <c r="G42" s="10">
        <f>AB42+AS42+BJ42+CA42+CR42</f>
        <v/>
      </c>
      <c r="H42" s="10">
        <f>AD42+AU42+BL42+CC42+CT42</f>
        <v/>
      </c>
      <c r="I42" s="10">
        <f>AF42+AW42+BN42+CE42+CV42</f>
        <v/>
      </c>
      <c r="J42" s="10">
        <f>AL42+BC42+BT42+CK42+DB42</f>
        <v/>
      </c>
      <c r="K42" s="10">
        <f>AJ42+BA42+BR42+CI42+CZ42</f>
        <v/>
      </c>
      <c r="L42" s="10">
        <f>AN42+BE42+BV42+CM42+DD42</f>
        <v/>
      </c>
      <c r="M42" s="10">
        <f>AP42+BG42+BX42+CO42+DF42</f>
        <v/>
      </c>
      <c r="N42" s="10">
        <f>AH42+AY42+BP42+CG42+CX42</f>
        <v/>
      </c>
      <c r="O42" s="10">
        <f>SUM(G42:N42)</f>
        <v/>
      </c>
      <c r="P42" s="10">
        <f>IFERROR(G42*MIN(1,'01_Нормативы'!$C$4/SUM(G$2:G$429)),0)</f>
        <v/>
      </c>
      <c r="Q42" s="10">
        <f>IFERROR(H42*MIN(1,'01_Нормативы'!$C$5/SUM(H$2:H$429)),0)</f>
        <v/>
      </c>
      <c r="R42" s="10">
        <f>IFERROR(I42*MIN(1,'01_Нормативы'!$C$6/SUM(I$2:I$429)),0)</f>
        <v/>
      </c>
      <c r="S42" s="10">
        <f>IFERROR(J42*MIN(1,'01_Нормативы'!$C$7/SUM(J$2:J$429)),0)</f>
        <v/>
      </c>
      <c r="T42" s="10">
        <f>IFERROR(K42*MIN(1,'01_Нормативы'!$C$8/SUM(K$2:K$429)),0)</f>
        <v/>
      </c>
      <c r="U42" s="10">
        <f>IFERROR(L42*MIN(1,'01_Нормативы'!$C$9/SUM(L$2:L$429)),0)</f>
        <v/>
      </c>
      <c r="V42" s="10">
        <f>IFERROR(M42*MIN(1,'01_Нормативы'!$C$10/SUM(M$2:M$429)),0)</f>
        <v/>
      </c>
      <c r="W42" s="10">
        <f>IFERROR(N42*MIN(1,'01_Нормативы'!$C$11/SUM(N$2:N$429)),0)</f>
        <v/>
      </c>
      <c r="X42" s="10">
        <f>SUM(P42:W42)</f>
        <v/>
      </c>
      <c r="Y42" s="10">
        <f>MAX(0,C42-X42)</f>
        <v/>
      </c>
      <c r="Z42" s="10">
        <f>IF(D42=0,100,X42/D42*100)</f>
        <v/>
      </c>
      <c r="AA42" s="10">
        <f>'02_Данные'!F42+'02_Данные'!G42</f>
        <v/>
      </c>
      <c r="AB42" s="10">
        <f>MIN('02_Данные'!L42,AA42)</f>
        <v/>
      </c>
      <c r="AC42" s="10">
        <f>AA42-AB42</f>
        <v/>
      </c>
      <c r="AD42" s="10">
        <f>MIN('02_Данные'!M42,AC42)</f>
        <v/>
      </c>
      <c r="AE42" s="10">
        <f>AC42-AD42</f>
        <v/>
      </c>
      <c r="AF42" s="10">
        <f>MIN('02_Данные'!N42,AE42)</f>
        <v/>
      </c>
      <c r="AG42" s="10">
        <f>AE42-AF42</f>
        <v/>
      </c>
      <c r="AH42" s="10">
        <f>MIN('02_Данные'!S42,AG42)</f>
        <v/>
      </c>
      <c r="AI42" s="10">
        <f>AG42-AH42</f>
        <v/>
      </c>
      <c r="AJ42" s="10">
        <f>MIN('02_Данные'!P42,AI42)</f>
        <v/>
      </c>
      <c r="AK42" s="10">
        <f>AI42-AJ42</f>
        <v/>
      </c>
      <c r="AL42" s="10">
        <f>MIN('02_Данные'!O42,AK42)</f>
        <v/>
      </c>
      <c r="AM42" s="10">
        <f>AK42-AL42</f>
        <v/>
      </c>
      <c r="AN42" s="10">
        <f>MIN('02_Данные'!Q42,AM42)</f>
        <v/>
      </c>
      <c r="AO42" s="10">
        <f>AM42-AN42</f>
        <v/>
      </c>
      <c r="AP42" s="10">
        <f>MIN('02_Данные'!R42,AO42)</f>
        <v/>
      </c>
      <c r="AQ42" s="10">
        <f>AO42-AP42</f>
        <v/>
      </c>
      <c r="AR42" s="10">
        <f>AQ42+'02_Данные'!H42</f>
        <v/>
      </c>
      <c r="AS42" s="10">
        <f>MIN('02_Данные'!T42,AR42)</f>
        <v/>
      </c>
      <c r="AT42" s="10">
        <f>AR42-AS42</f>
        <v/>
      </c>
      <c r="AU42" s="10">
        <f>MIN('02_Данные'!U42,AT42)</f>
        <v/>
      </c>
      <c r="AV42" s="10">
        <f>AT42-AU42</f>
        <v/>
      </c>
      <c r="AW42" s="10">
        <f>MIN('02_Данные'!V42,AV42)</f>
        <v/>
      </c>
      <c r="AX42" s="10">
        <f>AV42-AW42</f>
        <v/>
      </c>
      <c r="AY42" s="10">
        <f>MIN('02_Данные'!AA42,AX42)</f>
        <v/>
      </c>
      <c r="AZ42" s="10">
        <f>AX42-AY42</f>
        <v/>
      </c>
      <c r="BA42" s="10">
        <f>MIN('02_Данные'!X42,AZ42)</f>
        <v/>
      </c>
      <c r="BB42" s="10">
        <f>AZ42-BA42</f>
        <v/>
      </c>
      <c r="BC42" s="10">
        <f>MIN('02_Данные'!W42,BB42)</f>
        <v/>
      </c>
      <c r="BD42" s="10">
        <f>BB42-BC42</f>
        <v/>
      </c>
      <c r="BE42" s="10">
        <f>MIN('02_Данные'!Y42,BD42)</f>
        <v/>
      </c>
      <c r="BF42" s="10">
        <f>BD42-BE42</f>
        <v/>
      </c>
      <c r="BG42" s="10">
        <f>MIN('02_Данные'!Z42,BF42)</f>
        <v/>
      </c>
      <c r="BH42" s="10">
        <f>BF42-BG42</f>
        <v/>
      </c>
      <c r="BI42" s="10">
        <f>BH42+'02_Данные'!I42</f>
        <v/>
      </c>
      <c r="BJ42" s="10">
        <f>MIN('02_Данные'!AB42,BI42)</f>
        <v/>
      </c>
      <c r="BK42" s="10">
        <f>BI42-BJ42</f>
        <v/>
      </c>
      <c r="BL42" s="10">
        <f>MIN('02_Данные'!AC42,BK42)</f>
        <v/>
      </c>
      <c r="BM42" s="10">
        <f>BK42-BL42</f>
        <v/>
      </c>
      <c r="BN42" s="10">
        <f>MIN('02_Данные'!AD42,BM42)</f>
        <v/>
      </c>
      <c r="BO42" s="10">
        <f>BM42-BN42</f>
        <v/>
      </c>
      <c r="BP42" s="10">
        <f>MIN('02_Данные'!AI42,BO42)</f>
        <v/>
      </c>
      <c r="BQ42" s="10">
        <f>BO42-BP42</f>
        <v/>
      </c>
      <c r="BR42" s="10">
        <f>MIN('02_Данные'!AF42,BQ42)</f>
        <v/>
      </c>
      <c r="BS42" s="10">
        <f>BQ42-BR42</f>
        <v/>
      </c>
      <c r="BT42" s="10">
        <f>MIN('02_Данные'!AE42,BS42)</f>
        <v/>
      </c>
      <c r="BU42" s="10">
        <f>BS42-BT42</f>
        <v/>
      </c>
      <c r="BV42" s="10">
        <f>MIN('02_Данные'!AG42,BU42)</f>
        <v/>
      </c>
      <c r="BW42" s="10">
        <f>BU42-BV42</f>
        <v/>
      </c>
      <c r="BX42" s="10">
        <f>MIN('02_Данные'!AH42,BW42)</f>
        <v/>
      </c>
      <c r="BY42" s="10">
        <f>BW42-BX42</f>
        <v/>
      </c>
      <c r="BZ42" s="10">
        <f>BY42+'02_Данные'!J42</f>
        <v/>
      </c>
      <c r="CA42" s="10">
        <f>MIN('02_Данные'!AJ42,BZ42)</f>
        <v/>
      </c>
      <c r="CB42" s="10">
        <f>BZ42-CA42</f>
        <v/>
      </c>
      <c r="CC42" s="10">
        <f>MIN('02_Данные'!AK42,CB42)</f>
        <v/>
      </c>
      <c r="CD42" s="10">
        <f>CB42-CC42</f>
        <v/>
      </c>
      <c r="CE42" s="10">
        <f>MIN('02_Данные'!AL42,CD42)</f>
        <v/>
      </c>
      <c r="CF42" s="10">
        <f>CD42-CE42</f>
        <v/>
      </c>
      <c r="CG42" s="10">
        <f>MIN('02_Данные'!AQ42,CF42)</f>
        <v/>
      </c>
      <c r="CH42" s="10">
        <f>CF42-CG42</f>
        <v/>
      </c>
      <c r="CI42" s="10">
        <f>MIN('02_Данные'!AN42,CH42)</f>
        <v/>
      </c>
      <c r="CJ42" s="10">
        <f>CH42-CI42</f>
        <v/>
      </c>
      <c r="CK42" s="10">
        <f>MIN('02_Данные'!AM42,CJ42)</f>
        <v/>
      </c>
      <c r="CL42" s="10">
        <f>CJ42-CK42</f>
        <v/>
      </c>
      <c r="CM42" s="10">
        <f>MIN('02_Данные'!AO42,CL42)</f>
        <v/>
      </c>
      <c r="CN42" s="10">
        <f>CL42-CM42</f>
        <v/>
      </c>
      <c r="CO42" s="10">
        <f>MIN('02_Данные'!AP42,CN42)</f>
        <v/>
      </c>
      <c r="CP42" s="10">
        <f>CN42-CO42</f>
        <v/>
      </c>
      <c r="CQ42" s="10">
        <f>CP42+'02_Данные'!K42</f>
        <v/>
      </c>
      <c r="CR42" s="10">
        <f>MIN('02_Данные'!AR42,CQ42)</f>
        <v/>
      </c>
      <c r="CS42" s="10">
        <f>CQ42-CR42</f>
        <v/>
      </c>
      <c r="CT42" s="10">
        <f>MIN('02_Данные'!AS42,CS42)</f>
        <v/>
      </c>
      <c r="CU42" s="10">
        <f>CS42-CT42</f>
        <v/>
      </c>
      <c r="CV42" s="10">
        <f>MIN('02_Данные'!AT42,CU42)</f>
        <v/>
      </c>
      <c r="CW42" s="10">
        <f>CU42-CV42</f>
        <v/>
      </c>
      <c r="CX42" s="10">
        <f>MIN('02_Данные'!AY42,CW42)</f>
        <v/>
      </c>
      <c r="CY42" s="10">
        <f>CW42-CX42</f>
        <v/>
      </c>
      <c r="CZ42" s="10">
        <f>MIN('02_Данные'!AV42,CY42)</f>
        <v/>
      </c>
      <c r="DA42" s="10">
        <f>CY42-CZ42</f>
        <v/>
      </c>
      <c r="DB42" s="10">
        <f>MIN('02_Данные'!AU42,DA42)</f>
        <v/>
      </c>
      <c r="DC42" s="10">
        <f>DA42-DB42</f>
        <v/>
      </c>
      <c r="DD42" s="10">
        <f>MIN('02_Данные'!AW42,DC42)</f>
        <v/>
      </c>
      <c r="DE42" s="10">
        <f>DC42-DD42</f>
        <v/>
      </c>
      <c r="DF42" s="10">
        <f>MIN('02_Данные'!AX42,DE42)</f>
        <v/>
      </c>
      <c r="DG42" s="10">
        <f>DE42-DF42</f>
        <v/>
      </c>
    </row>
    <row r="43">
      <c r="A43" s="9">
        <f>'02_Данные'!B43</f>
        <v/>
      </c>
      <c r="B43" s="9">
        <f>'02_Данные'!E43</f>
        <v/>
      </c>
      <c r="C43" s="10">
        <f>'02_Данные'!F43+'02_Данные'!G43+'02_Данные'!H43+'02_Данные'!I43+'02_Данные'!J43+'02_Данные'!K43</f>
        <v/>
      </c>
      <c r="D43" s="10">
        <f>SUM('02_Данные'!L43:'02_Данные'!AY43)</f>
        <v/>
      </c>
      <c r="E43" s="10">
        <f>MAX(0,D43-C43)</f>
        <v/>
      </c>
      <c r="F43" s="15">
        <f>IF(E43&gt;0.0001,"ДЕФИЦИТ",IF(Y43&gt;0.0001,"ПРОФИЦИТ","БАЛАНС"))</f>
        <v/>
      </c>
      <c r="G43" s="10">
        <f>AB43+AS43+BJ43+CA43+CR43</f>
        <v/>
      </c>
      <c r="H43" s="10">
        <f>AD43+AU43+BL43+CC43+CT43</f>
        <v/>
      </c>
      <c r="I43" s="10">
        <f>AF43+AW43+BN43+CE43+CV43</f>
        <v/>
      </c>
      <c r="J43" s="10">
        <f>AL43+BC43+BT43+CK43+DB43</f>
        <v/>
      </c>
      <c r="K43" s="10">
        <f>AJ43+BA43+BR43+CI43+CZ43</f>
        <v/>
      </c>
      <c r="L43" s="10">
        <f>AN43+BE43+BV43+CM43+DD43</f>
        <v/>
      </c>
      <c r="M43" s="10">
        <f>AP43+BG43+BX43+CO43+DF43</f>
        <v/>
      </c>
      <c r="N43" s="10">
        <f>AH43+AY43+BP43+CG43+CX43</f>
        <v/>
      </c>
      <c r="O43" s="10">
        <f>SUM(G43:N43)</f>
        <v/>
      </c>
      <c r="P43" s="10">
        <f>IFERROR(G43*MIN(1,'01_Нормативы'!$C$4/SUM(G$2:G$429)),0)</f>
        <v/>
      </c>
      <c r="Q43" s="10">
        <f>IFERROR(H43*MIN(1,'01_Нормативы'!$C$5/SUM(H$2:H$429)),0)</f>
        <v/>
      </c>
      <c r="R43" s="10">
        <f>IFERROR(I43*MIN(1,'01_Нормативы'!$C$6/SUM(I$2:I$429)),0)</f>
        <v/>
      </c>
      <c r="S43" s="10">
        <f>IFERROR(J43*MIN(1,'01_Нормативы'!$C$7/SUM(J$2:J$429)),0)</f>
        <v/>
      </c>
      <c r="T43" s="10">
        <f>IFERROR(K43*MIN(1,'01_Нормативы'!$C$8/SUM(K$2:K$429)),0)</f>
        <v/>
      </c>
      <c r="U43" s="10">
        <f>IFERROR(L43*MIN(1,'01_Нормативы'!$C$9/SUM(L$2:L$429)),0)</f>
        <v/>
      </c>
      <c r="V43" s="10">
        <f>IFERROR(M43*MIN(1,'01_Нормативы'!$C$10/SUM(M$2:M$429)),0)</f>
        <v/>
      </c>
      <c r="W43" s="10">
        <f>IFERROR(N43*MIN(1,'01_Нормативы'!$C$11/SUM(N$2:N$429)),0)</f>
        <v/>
      </c>
      <c r="X43" s="10">
        <f>SUM(P43:W43)</f>
        <v/>
      </c>
      <c r="Y43" s="10">
        <f>MAX(0,C43-X43)</f>
        <v/>
      </c>
      <c r="Z43" s="10">
        <f>IF(D43=0,100,X43/D43*100)</f>
        <v/>
      </c>
      <c r="AA43" s="10">
        <f>'02_Данные'!F43+'02_Данные'!G43</f>
        <v/>
      </c>
      <c r="AB43" s="10">
        <f>MIN('02_Данные'!L43,AA43)</f>
        <v/>
      </c>
      <c r="AC43" s="10">
        <f>AA43-AB43</f>
        <v/>
      </c>
      <c r="AD43" s="10">
        <f>MIN('02_Данные'!M43,AC43)</f>
        <v/>
      </c>
      <c r="AE43" s="10">
        <f>AC43-AD43</f>
        <v/>
      </c>
      <c r="AF43" s="10">
        <f>MIN('02_Данные'!N43,AE43)</f>
        <v/>
      </c>
      <c r="AG43" s="10">
        <f>AE43-AF43</f>
        <v/>
      </c>
      <c r="AH43" s="10">
        <f>MIN('02_Данные'!S43,AG43)</f>
        <v/>
      </c>
      <c r="AI43" s="10">
        <f>AG43-AH43</f>
        <v/>
      </c>
      <c r="AJ43" s="10">
        <f>MIN('02_Данные'!P43,AI43)</f>
        <v/>
      </c>
      <c r="AK43" s="10">
        <f>AI43-AJ43</f>
        <v/>
      </c>
      <c r="AL43" s="10">
        <f>MIN('02_Данные'!O43,AK43)</f>
        <v/>
      </c>
      <c r="AM43" s="10">
        <f>AK43-AL43</f>
        <v/>
      </c>
      <c r="AN43" s="10">
        <f>MIN('02_Данные'!Q43,AM43)</f>
        <v/>
      </c>
      <c r="AO43" s="10">
        <f>AM43-AN43</f>
        <v/>
      </c>
      <c r="AP43" s="10">
        <f>MIN('02_Данные'!R43,AO43)</f>
        <v/>
      </c>
      <c r="AQ43" s="10">
        <f>AO43-AP43</f>
        <v/>
      </c>
      <c r="AR43" s="10">
        <f>AQ43+'02_Данные'!H43</f>
        <v/>
      </c>
      <c r="AS43" s="10">
        <f>MIN('02_Данные'!T43,AR43)</f>
        <v/>
      </c>
      <c r="AT43" s="10">
        <f>AR43-AS43</f>
        <v/>
      </c>
      <c r="AU43" s="10">
        <f>MIN('02_Данные'!U43,AT43)</f>
        <v/>
      </c>
      <c r="AV43" s="10">
        <f>AT43-AU43</f>
        <v/>
      </c>
      <c r="AW43" s="10">
        <f>MIN('02_Данные'!V43,AV43)</f>
        <v/>
      </c>
      <c r="AX43" s="10">
        <f>AV43-AW43</f>
        <v/>
      </c>
      <c r="AY43" s="10">
        <f>MIN('02_Данные'!AA43,AX43)</f>
        <v/>
      </c>
      <c r="AZ43" s="10">
        <f>AX43-AY43</f>
        <v/>
      </c>
      <c r="BA43" s="10">
        <f>MIN('02_Данные'!X43,AZ43)</f>
        <v/>
      </c>
      <c r="BB43" s="10">
        <f>AZ43-BA43</f>
        <v/>
      </c>
      <c r="BC43" s="10">
        <f>MIN('02_Данные'!W43,BB43)</f>
        <v/>
      </c>
      <c r="BD43" s="10">
        <f>BB43-BC43</f>
        <v/>
      </c>
      <c r="BE43" s="10">
        <f>MIN('02_Данные'!Y43,BD43)</f>
        <v/>
      </c>
      <c r="BF43" s="10">
        <f>BD43-BE43</f>
        <v/>
      </c>
      <c r="BG43" s="10">
        <f>MIN('02_Данные'!Z43,BF43)</f>
        <v/>
      </c>
      <c r="BH43" s="10">
        <f>BF43-BG43</f>
        <v/>
      </c>
      <c r="BI43" s="10">
        <f>BH43+'02_Данные'!I43</f>
        <v/>
      </c>
      <c r="BJ43" s="10">
        <f>MIN('02_Данные'!AB43,BI43)</f>
        <v/>
      </c>
      <c r="BK43" s="10">
        <f>BI43-BJ43</f>
        <v/>
      </c>
      <c r="BL43" s="10">
        <f>MIN('02_Данные'!AC43,BK43)</f>
        <v/>
      </c>
      <c r="BM43" s="10">
        <f>BK43-BL43</f>
        <v/>
      </c>
      <c r="BN43" s="10">
        <f>MIN('02_Данные'!AD43,BM43)</f>
        <v/>
      </c>
      <c r="BO43" s="10">
        <f>BM43-BN43</f>
        <v/>
      </c>
      <c r="BP43" s="10">
        <f>MIN('02_Данные'!AI43,BO43)</f>
        <v/>
      </c>
      <c r="BQ43" s="10">
        <f>BO43-BP43</f>
        <v/>
      </c>
      <c r="BR43" s="10">
        <f>MIN('02_Данные'!AF43,BQ43)</f>
        <v/>
      </c>
      <c r="BS43" s="10">
        <f>BQ43-BR43</f>
        <v/>
      </c>
      <c r="BT43" s="10">
        <f>MIN('02_Данные'!AE43,BS43)</f>
        <v/>
      </c>
      <c r="BU43" s="10">
        <f>BS43-BT43</f>
        <v/>
      </c>
      <c r="BV43" s="10">
        <f>MIN('02_Данные'!AG43,BU43)</f>
        <v/>
      </c>
      <c r="BW43" s="10">
        <f>BU43-BV43</f>
        <v/>
      </c>
      <c r="BX43" s="10">
        <f>MIN('02_Данные'!AH43,BW43)</f>
        <v/>
      </c>
      <c r="BY43" s="10">
        <f>BW43-BX43</f>
        <v/>
      </c>
      <c r="BZ43" s="10">
        <f>BY43+'02_Данные'!J43</f>
        <v/>
      </c>
      <c r="CA43" s="10">
        <f>MIN('02_Данные'!AJ43,BZ43)</f>
        <v/>
      </c>
      <c r="CB43" s="10">
        <f>BZ43-CA43</f>
        <v/>
      </c>
      <c r="CC43" s="10">
        <f>MIN('02_Данные'!AK43,CB43)</f>
        <v/>
      </c>
      <c r="CD43" s="10">
        <f>CB43-CC43</f>
        <v/>
      </c>
      <c r="CE43" s="10">
        <f>MIN('02_Данные'!AL43,CD43)</f>
        <v/>
      </c>
      <c r="CF43" s="10">
        <f>CD43-CE43</f>
        <v/>
      </c>
      <c r="CG43" s="10">
        <f>MIN('02_Данные'!AQ43,CF43)</f>
        <v/>
      </c>
      <c r="CH43" s="10">
        <f>CF43-CG43</f>
        <v/>
      </c>
      <c r="CI43" s="10">
        <f>MIN('02_Данные'!AN43,CH43)</f>
        <v/>
      </c>
      <c r="CJ43" s="10">
        <f>CH43-CI43</f>
        <v/>
      </c>
      <c r="CK43" s="10">
        <f>MIN('02_Данные'!AM43,CJ43)</f>
        <v/>
      </c>
      <c r="CL43" s="10">
        <f>CJ43-CK43</f>
        <v/>
      </c>
      <c r="CM43" s="10">
        <f>MIN('02_Данные'!AO43,CL43)</f>
        <v/>
      </c>
      <c r="CN43" s="10">
        <f>CL43-CM43</f>
        <v/>
      </c>
      <c r="CO43" s="10">
        <f>MIN('02_Данные'!AP43,CN43)</f>
        <v/>
      </c>
      <c r="CP43" s="10">
        <f>CN43-CO43</f>
        <v/>
      </c>
      <c r="CQ43" s="10">
        <f>CP43+'02_Данные'!K43</f>
        <v/>
      </c>
      <c r="CR43" s="10">
        <f>MIN('02_Данные'!AR43,CQ43)</f>
        <v/>
      </c>
      <c r="CS43" s="10">
        <f>CQ43-CR43</f>
        <v/>
      </c>
      <c r="CT43" s="10">
        <f>MIN('02_Данные'!AS43,CS43)</f>
        <v/>
      </c>
      <c r="CU43" s="10">
        <f>CS43-CT43</f>
        <v/>
      </c>
      <c r="CV43" s="10">
        <f>MIN('02_Данные'!AT43,CU43)</f>
        <v/>
      </c>
      <c r="CW43" s="10">
        <f>CU43-CV43</f>
        <v/>
      </c>
      <c r="CX43" s="10">
        <f>MIN('02_Данные'!AY43,CW43)</f>
        <v/>
      </c>
      <c r="CY43" s="10">
        <f>CW43-CX43</f>
        <v/>
      </c>
      <c r="CZ43" s="10">
        <f>MIN('02_Данные'!AV43,CY43)</f>
        <v/>
      </c>
      <c r="DA43" s="10">
        <f>CY43-CZ43</f>
        <v/>
      </c>
      <c r="DB43" s="10">
        <f>MIN('02_Данные'!AU43,DA43)</f>
        <v/>
      </c>
      <c r="DC43" s="10">
        <f>DA43-DB43</f>
        <v/>
      </c>
      <c r="DD43" s="10">
        <f>MIN('02_Данные'!AW43,DC43)</f>
        <v/>
      </c>
      <c r="DE43" s="10">
        <f>DC43-DD43</f>
        <v/>
      </c>
      <c r="DF43" s="10">
        <f>MIN('02_Данные'!AX43,DE43)</f>
        <v/>
      </c>
      <c r="DG43" s="10">
        <f>DE43-DF43</f>
        <v/>
      </c>
    </row>
    <row r="44">
      <c r="A44" s="9">
        <f>'02_Данные'!B44</f>
        <v/>
      </c>
      <c r="B44" s="9">
        <f>'02_Данные'!E44</f>
        <v/>
      </c>
      <c r="C44" s="10">
        <f>'02_Данные'!F44+'02_Данные'!G44+'02_Данные'!H44+'02_Данные'!I44+'02_Данные'!J44+'02_Данные'!K44</f>
        <v/>
      </c>
      <c r="D44" s="10">
        <f>SUM('02_Данные'!L44:'02_Данные'!AY44)</f>
        <v/>
      </c>
      <c r="E44" s="10">
        <f>MAX(0,D44-C44)</f>
        <v/>
      </c>
      <c r="F44" s="15">
        <f>IF(E44&gt;0.0001,"ДЕФИЦИТ",IF(Y44&gt;0.0001,"ПРОФИЦИТ","БАЛАНС"))</f>
        <v/>
      </c>
      <c r="G44" s="10">
        <f>AB44+AS44+BJ44+CA44+CR44</f>
        <v/>
      </c>
      <c r="H44" s="10">
        <f>AD44+AU44+BL44+CC44+CT44</f>
        <v/>
      </c>
      <c r="I44" s="10">
        <f>AF44+AW44+BN44+CE44+CV44</f>
        <v/>
      </c>
      <c r="J44" s="10">
        <f>AL44+BC44+BT44+CK44+DB44</f>
        <v/>
      </c>
      <c r="K44" s="10">
        <f>AJ44+BA44+BR44+CI44+CZ44</f>
        <v/>
      </c>
      <c r="L44" s="10">
        <f>AN44+BE44+BV44+CM44+DD44</f>
        <v/>
      </c>
      <c r="M44" s="10">
        <f>AP44+BG44+BX44+CO44+DF44</f>
        <v/>
      </c>
      <c r="N44" s="10">
        <f>AH44+AY44+BP44+CG44+CX44</f>
        <v/>
      </c>
      <c r="O44" s="10">
        <f>SUM(G44:N44)</f>
        <v/>
      </c>
      <c r="P44" s="10">
        <f>IFERROR(G44*MIN(1,'01_Нормативы'!$C$4/SUM(G$2:G$429)),0)</f>
        <v/>
      </c>
      <c r="Q44" s="10">
        <f>IFERROR(H44*MIN(1,'01_Нормативы'!$C$5/SUM(H$2:H$429)),0)</f>
        <v/>
      </c>
      <c r="R44" s="10">
        <f>IFERROR(I44*MIN(1,'01_Нормативы'!$C$6/SUM(I$2:I$429)),0)</f>
        <v/>
      </c>
      <c r="S44" s="10">
        <f>IFERROR(J44*MIN(1,'01_Нормативы'!$C$7/SUM(J$2:J$429)),0)</f>
        <v/>
      </c>
      <c r="T44" s="10">
        <f>IFERROR(K44*MIN(1,'01_Нормативы'!$C$8/SUM(K$2:K$429)),0)</f>
        <v/>
      </c>
      <c r="U44" s="10">
        <f>IFERROR(L44*MIN(1,'01_Нормативы'!$C$9/SUM(L$2:L$429)),0)</f>
        <v/>
      </c>
      <c r="V44" s="10">
        <f>IFERROR(M44*MIN(1,'01_Нормативы'!$C$10/SUM(M$2:M$429)),0)</f>
        <v/>
      </c>
      <c r="W44" s="10">
        <f>IFERROR(N44*MIN(1,'01_Нормативы'!$C$11/SUM(N$2:N$429)),0)</f>
        <v/>
      </c>
      <c r="X44" s="10">
        <f>SUM(P44:W44)</f>
        <v/>
      </c>
      <c r="Y44" s="10">
        <f>MAX(0,C44-X44)</f>
        <v/>
      </c>
      <c r="Z44" s="10">
        <f>IF(D44=0,100,X44/D44*100)</f>
        <v/>
      </c>
      <c r="AA44" s="10">
        <f>'02_Данные'!F44+'02_Данные'!G44</f>
        <v/>
      </c>
      <c r="AB44" s="10">
        <f>MIN('02_Данные'!L44,AA44)</f>
        <v/>
      </c>
      <c r="AC44" s="10">
        <f>AA44-AB44</f>
        <v/>
      </c>
      <c r="AD44" s="10">
        <f>MIN('02_Данные'!M44,AC44)</f>
        <v/>
      </c>
      <c r="AE44" s="10">
        <f>AC44-AD44</f>
        <v/>
      </c>
      <c r="AF44" s="10">
        <f>MIN('02_Данные'!N44,AE44)</f>
        <v/>
      </c>
      <c r="AG44" s="10">
        <f>AE44-AF44</f>
        <v/>
      </c>
      <c r="AH44" s="10">
        <f>MIN('02_Данные'!S44,AG44)</f>
        <v/>
      </c>
      <c r="AI44" s="10">
        <f>AG44-AH44</f>
        <v/>
      </c>
      <c r="AJ44" s="10">
        <f>MIN('02_Данные'!P44,AI44)</f>
        <v/>
      </c>
      <c r="AK44" s="10">
        <f>AI44-AJ44</f>
        <v/>
      </c>
      <c r="AL44" s="10">
        <f>MIN('02_Данные'!O44,AK44)</f>
        <v/>
      </c>
      <c r="AM44" s="10">
        <f>AK44-AL44</f>
        <v/>
      </c>
      <c r="AN44" s="10">
        <f>MIN('02_Данные'!Q44,AM44)</f>
        <v/>
      </c>
      <c r="AO44" s="10">
        <f>AM44-AN44</f>
        <v/>
      </c>
      <c r="AP44" s="10">
        <f>MIN('02_Данные'!R44,AO44)</f>
        <v/>
      </c>
      <c r="AQ44" s="10">
        <f>AO44-AP44</f>
        <v/>
      </c>
      <c r="AR44" s="10">
        <f>AQ44+'02_Данные'!H44</f>
        <v/>
      </c>
      <c r="AS44" s="10">
        <f>MIN('02_Данные'!T44,AR44)</f>
        <v/>
      </c>
      <c r="AT44" s="10">
        <f>AR44-AS44</f>
        <v/>
      </c>
      <c r="AU44" s="10">
        <f>MIN('02_Данные'!U44,AT44)</f>
        <v/>
      </c>
      <c r="AV44" s="10">
        <f>AT44-AU44</f>
        <v/>
      </c>
      <c r="AW44" s="10">
        <f>MIN('02_Данные'!V44,AV44)</f>
        <v/>
      </c>
      <c r="AX44" s="10">
        <f>AV44-AW44</f>
        <v/>
      </c>
      <c r="AY44" s="10">
        <f>MIN('02_Данные'!AA44,AX44)</f>
        <v/>
      </c>
      <c r="AZ44" s="10">
        <f>AX44-AY44</f>
        <v/>
      </c>
      <c r="BA44" s="10">
        <f>MIN('02_Данные'!X44,AZ44)</f>
        <v/>
      </c>
      <c r="BB44" s="10">
        <f>AZ44-BA44</f>
        <v/>
      </c>
      <c r="BC44" s="10">
        <f>MIN('02_Данные'!W44,BB44)</f>
        <v/>
      </c>
      <c r="BD44" s="10">
        <f>BB44-BC44</f>
        <v/>
      </c>
      <c r="BE44" s="10">
        <f>MIN('02_Данные'!Y44,BD44)</f>
        <v/>
      </c>
      <c r="BF44" s="10">
        <f>BD44-BE44</f>
        <v/>
      </c>
      <c r="BG44" s="10">
        <f>MIN('02_Данные'!Z44,BF44)</f>
        <v/>
      </c>
      <c r="BH44" s="10">
        <f>BF44-BG44</f>
        <v/>
      </c>
      <c r="BI44" s="10">
        <f>BH44+'02_Данные'!I44</f>
        <v/>
      </c>
      <c r="BJ44" s="10">
        <f>MIN('02_Данные'!AB44,BI44)</f>
        <v/>
      </c>
      <c r="BK44" s="10">
        <f>BI44-BJ44</f>
        <v/>
      </c>
      <c r="BL44" s="10">
        <f>MIN('02_Данные'!AC44,BK44)</f>
        <v/>
      </c>
      <c r="BM44" s="10">
        <f>BK44-BL44</f>
        <v/>
      </c>
      <c r="BN44" s="10">
        <f>MIN('02_Данные'!AD44,BM44)</f>
        <v/>
      </c>
      <c r="BO44" s="10">
        <f>BM44-BN44</f>
        <v/>
      </c>
      <c r="BP44" s="10">
        <f>MIN('02_Данные'!AI44,BO44)</f>
        <v/>
      </c>
      <c r="BQ44" s="10">
        <f>BO44-BP44</f>
        <v/>
      </c>
      <c r="BR44" s="10">
        <f>MIN('02_Данные'!AF44,BQ44)</f>
        <v/>
      </c>
      <c r="BS44" s="10">
        <f>BQ44-BR44</f>
        <v/>
      </c>
      <c r="BT44" s="10">
        <f>MIN('02_Данные'!AE44,BS44)</f>
        <v/>
      </c>
      <c r="BU44" s="10">
        <f>BS44-BT44</f>
        <v/>
      </c>
      <c r="BV44" s="10">
        <f>MIN('02_Данные'!AG44,BU44)</f>
        <v/>
      </c>
      <c r="BW44" s="10">
        <f>BU44-BV44</f>
        <v/>
      </c>
      <c r="BX44" s="10">
        <f>MIN('02_Данные'!AH44,BW44)</f>
        <v/>
      </c>
      <c r="BY44" s="10">
        <f>BW44-BX44</f>
        <v/>
      </c>
      <c r="BZ44" s="10">
        <f>BY44+'02_Данные'!J44</f>
        <v/>
      </c>
      <c r="CA44" s="10">
        <f>MIN('02_Данные'!AJ44,BZ44)</f>
        <v/>
      </c>
      <c r="CB44" s="10">
        <f>BZ44-CA44</f>
        <v/>
      </c>
      <c r="CC44" s="10">
        <f>MIN('02_Данные'!AK44,CB44)</f>
        <v/>
      </c>
      <c r="CD44" s="10">
        <f>CB44-CC44</f>
        <v/>
      </c>
      <c r="CE44" s="10">
        <f>MIN('02_Данные'!AL44,CD44)</f>
        <v/>
      </c>
      <c r="CF44" s="10">
        <f>CD44-CE44</f>
        <v/>
      </c>
      <c r="CG44" s="10">
        <f>MIN('02_Данные'!AQ44,CF44)</f>
        <v/>
      </c>
      <c r="CH44" s="10">
        <f>CF44-CG44</f>
        <v/>
      </c>
      <c r="CI44" s="10">
        <f>MIN('02_Данные'!AN44,CH44)</f>
        <v/>
      </c>
      <c r="CJ44" s="10">
        <f>CH44-CI44</f>
        <v/>
      </c>
      <c r="CK44" s="10">
        <f>MIN('02_Данные'!AM44,CJ44)</f>
        <v/>
      </c>
      <c r="CL44" s="10">
        <f>CJ44-CK44</f>
        <v/>
      </c>
      <c r="CM44" s="10">
        <f>MIN('02_Данные'!AO44,CL44)</f>
        <v/>
      </c>
      <c r="CN44" s="10">
        <f>CL44-CM44</f>
        <v/>
      </c>
      <c r="CO44" s="10">
        <f>MIN('02_Данные'!AP44,CN44)</f>
        <v/>
      </c>
      <c r="CP44" s="10">
        <f>CN44-CO44</f>
        <v/>
      </c>
      <c r="CQ44" s="10">
        <f>CP44+'02_Данные'!K44</f>
        <v/>
      </c>
      <c r="CR44" s="10">
        <f>MIN('02_Данные'!AR44,CQ44)</f>
        <v/>
      </c>
      <c r="CS44" s="10">
        <f>CQ44-CR44</f>
        <v/>
      </c>
      <c r="CT44" s="10">
        <f>MIN('02_Данные'!AS44,CS44)</f>
        <v/>
      </c>
      <c r="CU44" s="10">
        <f>CS44-CT44</f>
        <v/>
      </c>
      <c r="CV44" s="10">
        <f>MIN('02_Данные'!AT44,CU44)</f>
        <v/>
      </c>
      <c r="CW44" s="10">
        <f>CU44-CV44</f>
        <v/>
      </c>
      <c r="CX44" s="10">
        <f>MIN('02_Данные'!AY44,CW44)</f>
        <v/>
      </c>
      <c r="CY44" s="10">
        <f>CW44-CX44</f>
        <v/>
      </c>
      <c r="CZ44" s="10">
        <f>MIN('02_Данные'!AV44,CY44)</f>
        <v/>
      </c>
      <c r="DA44" s="10">
        <f>CY44-CZ44</f>
        <v/>
      </c>
      <c r="DB44" s="10">
        <f>MIN('02_Данные'!AU44,DA44)</f>
        <v/>
      </c>
      <c r="DC44" s="10">
        <f>DA44-DB44</f>
        <v/>
      </c>
      <c r="DD44" s="10">
        <f>MIN('02_Данные'!AW44,DC44)</f>
        <v/>
      </c>
      <c r="DE44" s="10">
        <f>DC44-DD44</f>
        <v/>
      </c>
      <c r="DF44" s="10">
        <f>MIN('02_Данные'!AX44,DE44)</f>
        <v/>
      </c>
      <c r="DG44" s="10">
        <f>DE44-DF44</f>
        <v/>
      </c>
    </row>
    <row r="45">
      <c r="A45" s="9">
        <f>'02_Данные'!B45</f>
        <v/>
      </c>
      <c r="B45" s="9">
        <f>'02_Данные'!E45</f>
        <v/>
      </c>
      <c r="C45" s="10">
        <f>'02_Данные'!F45+'02_Данные'!G45+'02_Данные'!H45+'02_Данные'!I45+'02_Данные'!J45+'02_Данные'!K45</f>
        <v/>
      </c>
      <c r="D45" s="10">
        <f>SUM('02_Данные'!L45:'02_Данные'!AY45)</f>
        <v/>
      </c>
      <c r="E45" s="10">
        <f>MAX(0,D45-C45)</f>
        <v/>
      </c>
      <c r="F45" s="15">
        <f>IF(E45&gt;0.0001,"ДЕФИЦИТ",IF(Y45&gt;0.0001,"ПРОФИЦИТ","БАЛАНС"))</f>
        <v/>
      </c>
      <c r="G45" s="10">
        <f>AB45+AS45+BJ45+CA45+CR45</f>
        <v/>
      </c>
      <c r="H45" s="10">
        <f>AD45+AU45+BL45+CC45+CT45</f>
        <v/>
      </c>
      <c r="I45" s="10">
        <f>AF45+AW45+BN45+CE45+CV45</f>
        <v/>
      </c>
      <c r="J45" s="10">
        <f>AL45+BC45+BT45+CK45+DB45</f>
        <v/>
      </c>
      <c r="K45" s="10">
        <f>AJ45+BA45+BR45+CI45+CZ45</f>
        <v/>
      </c>
      <c r="L45" s="10">
        <f>AN45+BE45+BV45+CM45+DD45</f>
        <v/>
      </c>
      <c r="M45" s="10">
        <f>AP45+BG45+BX45+CO45+DF45</f>
        <v/>
      </c>
      <c r="N45" s="10">
        <f>AH45+AY45+BP45+CG45+CX45</f>
        <v/>
      </c>
      <c r="O45" s="10">
        <f>SUM(G45:N45)</f>
        <v/>
      </c>
      <c r="P45" s="10">
        <f>IFERROR(G45*MIN(1,'01_Нормативы'!$C$4/SUM(G$2:G$429)),0)</f>
        <v/>
      </c>
      <c r="Q45" s="10">
        <f>IFERROR(H45*MIN(1,'01_Нормативы'!$C$5/SUM(H$2:H$429)),0)</f>
        <v/>
      </c>
      <c r="R45" s="10">
        <f>IFERROR(I45*MIN(1,'01_Нормативы'!$C$6/SUM(I$2:I$429)),0)</f>
        <v/>
      </c>
      <c r="S45" s="10">
        <f>IFERROR(J45*MIN(1,'01_Нормативы'!$C$7/SUM(J$2:J$429)),0)</f>
        <v/>
      </c>
      <c r="T45" s="10">
        <f>IFERROR(K45*MIN(1,'01_Нормативы'!$C$8/SUM(K$2:K$429)),0)</f>
        <v/>
      </c>
      <c r="U45" s="10">
        <f>IFERROR(L45*MIN(1,'01_Нормативы'!$C$9/SUM(L$2:L$429)),0)</f>
        <v/>
      </c>
      <c r="V45" s="10">
        <f>IFERROR(M45*MIN(1,'01_Нормативы'!$C$10/SUM(M$2:M$429)),0)</f>
        <v/>
      </c>
      <c r="W45" s="10">
        <f>IFERROR(N45*MIN(1,'01_Нормативы'!$C$11/SUM(N$2:N$429)),0)</f>
        <v/>
      </c>
      <c r="X45" s="10">
        <f>SUM(P45:W45)</f>
        <v/>
      </c>
      <c r="Y45" s="10">
        <f>MAX(0,C45-X45)</f>
        <v/>
      </c>
      <c r="Z45" s="10">
        <f>IF(D45=0,100,X45/D45*100)</f>
        <v/>
      </c>
      <c r="AA45" s="10">
        <f>'02_Данные'!F45+'02_Данные'!G45</f>
        <v/>
      </c>
      <c r="AB45" s="10">
        <f>MIN('02_Данные'!L45,AA45)</f>
        <v/>
      </c>
      <c r="AC45" s="10">
        <f>AA45-AB45</f>
        <v/>
      </c>
      <c r="AD45" s="10">
        <f>MIN('02_Данные'!M45,AC45)</f>
        <v/>
      </c>
      <c r="AE45" s="10">
        <f>AC45-AD45</f>
        <v/>
      </c>
      <c r="AF45" s="10">
        <f>MIN('02_Данные'!N45,AE45)</f>
        <v/>
      </c>
      <c r="AG45" s="10">
        <f>AE45-AF45</f>
        <v/>
      </c>
      <c r="AH45" s="10">
        <f>MIN('02_Данные'!S45,AG45)</f>
        <v/>
      </c>
      <c r="AI45" s="10">
        <f>AG45-AH45</f>
        <v/>
      </c>
      <c r="AJ45" s="10">
        <f>MIN('02_Данные'!P45,AI45)</f>
        <v/>
      </c>
      <c r="AK45" s="10">
        <f>AI45-AJ45</f>
        <v/>
      </c>
      <c r="AL45" s="10">
        <f>MIN('02_Данные'!O45,AK45)</f>
        <v/>
      </c>
      <c r="AM45" s="10">
        <f>AK45-AL45</f>
        <v/>
      </c>
      <c r="AN45" s="10">
        <f>MIN('02_Данные'!Q45,AM45)</f>
        <v/>
      </c>
      <c r="AO45" s="10">
        <f>AM45-AN45</f>
        <v/>
      </c>
      <c r="AP45" s="10">
        <f>MIN('02_Данные'!R45,AO45)</f>
        <v/>
      </c>
      <c r="AQ45" s="10">
        <f>AO45-AP45</f>
        <v/>
      </c>
      <c r="AR45" s="10">
        <f>AQ45+'02_Данные'!H45</f>
        <v/>
      </c>
      <c r="AS45" s="10">
        <f>MIN('02_Данные'!T45,AR45)</f>
        <v/>
      </c>
      <c r="AT45" s="10">
        <f>AR45-AS45</f>
        <v/>
      </c>
      <c r="AU45" s="10">
        <f>MIN('02_Данные'!U45,AT45)</f>
        <v/>
      </c>
      <c r="AV45" s="10">
        <f>AT45-AU45</f>
        <v/>
      </c>
      <c r="AW45" s="10">
        <f>MIN('02_Данные'!V45,AV45)</f>
        <v/>
      </c>
      <c r="AX45" s="10">
        <f>AV45-AW45</f>
        <v/>
      </c>
      <c r="AY45" s="10">
        <f>MIN('02_Данные'!AA45,AX45)</f>
        <v/>
      </c>
      <c r="AZ45" s="10">
        <f>AX45-AY45</f>
        <v/>
      </c>
      <c r="BA45" s="10">
        <f>MIN('02_Данные'!X45,AZ45)</f>
        <v/>
      </c>
      <c r="BB45" s="10">
        <f>AZ45-BA45</f>
        <v/>
      </c>
      <c r="BC45" s="10">
        <f>MIN('02_Данные'!W45,BB45)</f>
        <v/>
      </c>
      <c r="BD45" s="10">
        <f>BB45-BC45</f>
        <v/>
      </c>
      <c r="BE45" s="10">
        <f>MIN('02_Данные'!Y45,BD45)</f>
        <v/>
      </c>
      <c r="BF45" s="10">
        <f>BD45-BE45</f>
        <v/>
      </c>
      <c r="BG45" s="10">
        <f>MIN('02_Данные'!Z45,BF45)</f>
        <v/>
      </c>
      <c r="BH45" s="10">
        <f>BF45-BG45</f>
        <v/>
      </c>
      <c r="BI45" s="10">
        <f>BH45+'02_Данные'!I45</f>
        <v/>
      </c>
      <c r="BJ45" s="10">
        <f>MIN('02_Данные'!AB45,BI45)</f>
        <v/>
      </c>
      <c r="BK45" s="10">
        <f>BI45-BJ45</f>
        <v/>
      </c>
      <c r="BL45" s="10">
        <f>MIN('02_Данные'!AC45,BK45)</f>
        <v/>
      </c>
      <c r="BM45" s="10">
        <f>BK45-BL45</f>
        <v/>
      </c>
      <c r="BN45" s="10">
        <f>MIN('02_Данные'!AD45,BM45)</f>
        <v/>
      </c>
      <c r="BO45" s="10">
        <f>BM45-BN45</f>
        <v/>
      </c>
      <c r="BP45" s="10">
        <f>MIN('02_Данные'!AI45,BO45)</f>
        <v/>
      </c>
      <c r="BQ45" s="10">
        <f>BO45-BP45</f>
        <v/>
      </c>
      <c r="BR45" s="10">
        <f>MIN('02_Данные'!AF45,BQ45)</f>
        <v/>
      </c>
      <c r="BS45" s="10">
        <f>BQ45-BR45</f>
        <v/>
      </c>
      <c r="BT45" s="10">
        <f>MIN('02_Данные'!AE45,BS45)</f>
        <v/>
      </c>
      <c r="BU45" s="10">
        <f>BS45-BT45</f>
        <v/>
      </c>
      <c r="BV45" s="10">
        <f>MIN('02_Данные'!AG45,BU45)</f>
        <v/>
      </c>
      <c r="BW45" s="10">
        <f>BU45-BV45</f>
        <v/>
      </c>
      <c r="BX45" s="10">
        <f>MIN('02_Данные'!AH45,BW45)</f>
        <v/>
      </c>
      <c r="BY45" s="10">
        <f>BW45-BX45</f>
        <v/>
      </c>
      <c r="BZ45" s="10">
        <f>BY45+'02_Данные'!J45</f>
        <v/>
      </c>
      <c r="CA45" s="10">
        <f>MIN('02_Данные'!AJ45,BZ45)</f>
        <v/>
      </c>
      <c r="CB45" s="10">
        <f>BZ45-CA45</f>
        <v/>
      </c>
      <c r="CC45" s="10">
        <f>MIN('02_Данные'!AK45,CB45)</f>
        <v/>
      </c>
      <c r="CD45" s="10">
        <f>CB45-CC45</f>
        <v/>
      </c>
      <c r="CE45" s="10">
        <f>MIN('02_Данные'!AL45,CD45)</f>
        <v/>
      </c>
      <c r="CF45" s="10">
        <f>CD45-CE45</f>
        <v/>
      </c>
      <c r="CG45" s="10">
        <f>MIN('02_Данные'!AQ45,CF45)</f>
        <v/>
      </c>
      <c r="CH45" s="10">
        <f>CF45-CG45</f>
        <v/>
      </c>
      <c r="CI45" s="10">
        <f>MIN('02_Данные'!AN45,CH45)</f>
        <v/>
      </c>
      <c r="CJ45" s="10">
        <f>CH45-CI45</f>
        <v/>
      </c>
      <c r="CK45" s="10">
        <f>MIN('02_Данные'!AM45,CJ45)</f>
        <v/>
      </c>
      <c r="CL45" s="10">
        <f>CJ45-CK45</f>
        <v/>
      </c>
      <c r="CM45" s="10">
        <f>MIN('02_Данные'!AO45,CL45)</f>
        <v/>
      </c>
      <c r="CN45" s="10">
        <f>CL45-CM45</f>
        <v/>
      </c>
      <c r="CO45" s="10">
        <f>MIN('02_Данные'!AP45,CN45)</f>
        <v/>
      </c>
      <c r="CP45" s="10">
        <f>CN45-CO45</f>
        <v/>
      </c>
      <c r="CQ45" s="10">
        <f>CP45+'02_Данные'!K45</f>
        <v/>
      </c>
      <c r="CR45" s="10">
        <f>MIN('02_Данные'!AR45,CQ45)</f>
        <v/>
      </c>
      <c r="CS45" s="10">
        <f>CQ45-CR45</f>
        <v/>
      </c>
      <c r="CT45" s="10">
        <f>MIN('02_Данные'!AS45,CS45)</f>
        <v/>
      </c>
      <c r="CU45" s="10">
        <f>CS45-CT45</f>
        <v/>
      </c>
      <c r="CV45" s="10">
        <f>MIN('02_Данные'!AT45,CU45)</f>
        <v/>
      </c>
      <c r="CW45" s="10">
        <f>CU45-CV45</f>
        <v/>
      </c>
      <c r="CX45" s="10">
        <f>MIN('02_Данные'!AY45,CW45)</f>
        <v/>
      </c>
      <c r="CY45" s="10">
        <f>CW45-CX45</f>
        <v/>
      </c>
      <c r="CZ45" s="10">
        <f>MIN('02_Данные'!AV45,CY45)</f>
        <v/>
      </c>
      <c r="DA45" s="10">
        <f>CY45-CZ45</f>
        <v/>
      </c>
      <c r="DB45" s="10">
        <f>MIN('02_Данные'!AU45,DA45)</f>
        <v/>
      </c>
      <c r="DC45" s="10">
        <f>DA45-DB45</f>
        <v/>
      </c>
      <c r="DD45" s="10">
        <f>MIN('02_Данные'!AW45,DC45)</f>
        <v/>
      </c>
      <c r="DE45" s="10">
        <f>DC45-DD45</f>
        <v/>
      </c>
      <c r="DF45" s="10">
        <f>MIN('02_Данные'!AX45,DE45)</f>
        <v/>
      </c>
      <c r="DG45" s="10">
        <f>DE45-DF45</f>
        <v/>
      </c>
    </row>
    <row r="46">
      <c r="A46" s="9">
        <f>'02_Данные'!B46</f>
        <v/>
      </c>
      <c r="B46" s="9">
        <f>'02_Данные'!E46</f>
        <v/>
      </c>
      <c r="C46" s="10">
        <f>'02_Данные'!F46+'02_Данные'!G46+'02_Данные'!H46+'02_Данные'!I46+'02_Данные'!J46+'02_Данные'!K46</f>
        <v/>
      </c>
      <c r="D46" s="10">
        <f>SUM('02_Данные'!L46:'02_Данные'!AY46)</f>
        <v/>
      </c>
      <c r="E46" s="10">
        <f>MAX(0,D46-C46)</f>
        <v/>
      </c>
      <c r="F46" s="15">
        <f>IF(E46&gt;0.0001,"ДЕФИЦИТ",IF(Y46&gt;0.0001,"ПРОФИЦИТ","БАЛАНС"))</f>
        <v/>
      </c>
      <c r="G46" s="10">
        <f>AB46+AS46+BJ46+CA46+CR46</f>
        <v/>
      </c>
      <c r="H46" s="10">
        <f>AD46+AU46+BL46+CC46+CT46</f>
        <v/>
      </c>
      <c r="I46" s="10">
        <f>AF46+AW46+BN46+CE46+CV46</f>
        <v/>
      </c>
      <c r="J46" s="10">
        <f>AL46+BC46+BT46+CK46+DB46</f>
        <v/>
      </c>
      <c r="K46" s="10">
        <f>AJ46+BA46+BR46+CI46+CZ46</f>
        <v/>
      </c>
      <c r="L46" s="10">
        <f>AN46+BE46+BV46+CM46+DD46</f>
        <v/>
      </c>
      <c r="M46" s="10">
        <f>AP46+BG46+BX46+CO46+DF46</f>
        <v/>
      </c>
      <c r="N46" s="10">
        <f>AH46+AY46+BP46+CG46+CX46</f>
        <v/>
      </c>
      <c r="O46" s="10">
        <f>SUM(G46:N46)</f>
        <v/>
      </c>
      <c r="P46" s="10">
        <f>IFERROR(G46*MIN(1,'01_Нормативы'!$C$4/SUM(G$2:G$429)),0)</f>
        <v/>
      </c>
      <c r="Q46" s="10">
        <f>IFERROR(H46*MIN(1,'01_Нормативы'!$C$5/SUM(H$2:H$429)),0)</f>
        <v/>
      </c>
      <c r="R46" s="10">
        <f>IFERROR(I46*MIN(1,'01_Нормативы'!$C$6/SUM(I$2:I$429)),0)</f>
        <v/>
      </c>
      <c r="S46" s="10">
        <f>IFERROR(J46*MIN(1,'01_Нормативы'!$C$7/SUM(J$2:J$429)),0)</f>
        <v/>
      </c>
      <c r="T46" s="10">
        <f>IFERROR(K46*MIN(1,'01_Нормативы'!$C$8/SUM(K$2:K$429)),0)</f>
        <v/>
      </c>
      <c r="U46" s="10">
        <f>IFERROR(L46*MIN(1,'01_Нормативы'!$C$9/SUM(L$2:L$429)),0)</f>
        <v/>
      </c>
      <c r="V46" s="10">
        <f>IFERROR(M46*MIN(1,'01_Нормативы'!$C$10/SUM(M$2:M$429)),0)</f>
        <v/>
      </c>
      <c r="W46" s="10">
        <f>IFERROR(N46*MIN(1,'01_Нормативы'!$C$11/SUM(N$2:N$429)),0)</f>
        <v/>
      </c>
      <c r="X46" s="10">
        <f>SUM(P46:W46)</f>
        <v/>
      </c>
      <c r="Y46" s="10">
        <f>MAX(0,C46-X46)</f>
        <v/>
      </c>
      <c r="Z46" s="10">
        <f>IF(D46=0,100,X46/D46*100)</f>
        <v/>
      </c>
      <c r="AA46" s="10">
        <f>'02_Данные'!F46+'02_Данные'!G46</f>
        <v/>
      </c>
      <c r="AB46" s="10">
        <f>MIN('02_Данные'!L46,AA46)</f>
        <v/>
      </c>
      <c r="AC46" s="10">
        <f>AA46-AB46</f>
        <v/>
      </c>
      <c r="AD46" s="10">
        <f>MIN('02_Данные'!M46,AC46)</f>
        <v/>
      </c>
      <c r="AE46" s="10">
        <f>AC46-AD46</f>
        <v/>
      </c>
      <c r="AF46" s="10">
        <f>MIN('02_Данные'!N46,AE46)</f>
        <v/>
      </c>
      <c r="AG46" s="10">
        <f>AE46-AF46</f>
        <v/>
      </c>
      <c r="AH46" s="10">
        <f>MIN('02_Данные'!S46,AG46)</f>
        <v/>
      </c>
      <c r="AI46" s="10">
        <f>AG46-AH46</f>
        <v/>
      </c>
      <c r="AJ46" s="10">
        <f>MIN('02_Данные'!P46,AI46)</f>
        <v/>
      </c>
      <c r="AK46" s="10">
        <f>AI46-AJ46</f>
        <v/>
      </c>
      <c r="AL46" s="10">
        <f>MIN('02_Данные'!O46,AK46)</f>
        <v/>
      </c>
      <c r="AM46" s="10">
        <f>AK46-AL46</f>
        <v/>
      </c>
      <c r="AN46" s="10">
        <f>MIN('02_Данные'!Q46,AM46)</f>
        <v/>
      </c>
      <c r="AO46" s="10">
        <f>AM46-AN46</f>
        <v/>
      </c>
      <c r="AP46" s="10">
        <f>MIN('02_Данные'!R46,AO46)</f>
        <v/>
      </c>
      <c r="AQ46" s="10">
        <f>AO46-AP46</f>
        <v/>
      </c>
      <c r="AR46" s="10">
        <f>AQ46+'02_Данные'!H46</f>
        <v/>
      </c>
      <c r="AS46" s="10">
        <f>MIN('02_Данные'!T46,AR46)</f>
        <v/>
      </c>
      <c r="AT46" s="10">
        <f>AR46-AS46</f>
        <v/>
      </c>
      <c r="AU46" s="10">
        <f>MIN('02_Данные'!U46,AT46)</f>
        <v/>
      </c>
      <c r="AV46" s="10">
        <f>AT46-AU46</f>
        <v/>
      </c>
      <c r="AW46" s="10">
        <f>MIN('02_Данные'!V46,AV46)</f>
        <v/>
      </c>
      <c r="AX46" s="10">
        <f>AV46-AW46</f>
        <v/>
      </c>
      <c r="AY46" s="10">
        <f>MIN('02_Данные'!AA46,AX46)</f>
        <v/>
      </c>
      <c r="AZ46" s="10">
        <f>AX46-AY46</f>
        <v/>
      </c>
      <c r="BA46" s="10">
        <f>MIN('02_Данные'!X46,AZ46)</f>
        <v/>
      </c>
      <c r="BB46" s="10">
        <f>AZ46-BA46</f>
        <v/>
      </c>
      <c r="BC46" s="10">
        <f>MIN('02_Данные'!W46,BB46)</f>
        <v/>
      </c>
      <c r="BD46" s="10">
        <f>BB46-BC46</f>
        <v/>
      </c>
      <c r="BE46" s="10">
        <f>MIN('02_Данные'!Y46,BD46)</f>
        <v/>
      </c>
      <c r="BF46" s="10">
        <f>BD46-BE46</f>
        <v/>
      </c>
      <c r="BG46" s="10">
        <f>MIN('02_Данные'!Z46,BF46)</f>
        <v/>
      </c>
      <c r="BH46" s="10">
        <f>BF46-BG46</f>
        <v/>
      </c>
      <c r="BI46" s="10">
        <f>BH46+'02_Данные'!I46</f>
        <v/>
      </c>
      <c r="BJ46" s="10">
        <f>MIN('02_Данные'!AB46,BI46)</f>
        <v/>
      </c>
      <c r="BK46" s="10">
        <f>BI46-BJ46</f>
        <v/>
      </c>
      <c r="BL46" s="10">
        <f>MIN('02_Данные'!AC46,BK46)</f>
        <v/>
      </c>
      <c r="BM46" s="10">
        <f>BK46-BL46</f>
        <v/>
      </c>
      <c r="BN46" s="10">
        <f>MIN('02_Данные'!AD46,BM46)</f>
        <v/>
      </c>
      <c r="BO46" s="10">
        <f>BM46-BN46</f>
        <v/>
      </c>
      <c r="BP46" s="10">
        <f>MIN('02_Данные'!AI46,BO46)</f>
        <v/>
      </c>
      <c r="BQ46" s="10">
        <f>BO46-BP46</f>
        <v/>
      </c>
      <c r="BR46" s="10">
        <f>MIN('02_Данные'!AF46,BQ46)</f>
        <v/>
      </c>
      <c r="BS46" s="10">
        <f>BQ46-BR46</f>
        <v/>
      </c>
      <c r="BT46" s="10">
        <f>MIN('02_Данные'!AE46,BS46)</f>
        <v/>
      </c>
      <c r="BU46" s="10">
        <f>BS46-BT46</f>
        <v/>
      </c>
      <c r="BV46" s="10">
        <f>MIN('02_Данные'!AG46,BU46)</f>
        <v/>
      </c>
      <c r="BW46" s="10">
        <f>BU46-BV46</f>
        <v/>
      </c>
      <c r="BX46" s="10">
        <f>MIN('02_Данные'!AH46,BW46)</f>
        <v/>
      </c>
      <c r="BY46" s="10">
        <f>BW46-BX46</f>
        <v/>
      </c>
      <c r="BZ46" s="10">
        <f>BY46+'02_Данные'!J46</f>
        <v/>
      </c>
      <c r="CA46" s="10">
        <f>MIN('02_Данные'!AJ46,BZ46)</f>
        <v/>
      </c>
      <c r="CB46" s="10">
        <f>BZ46-CA46</f>
        <v/>
      </c>
      <c r="CC46" s="10">
        <f>MIN('02_Данные'!AK46,CB46)</f>
        <v/>
      </c>
      <c r="CD46" s="10">
        <f>CB46-CC46</f>
        <v/>
      </c>
      <c r="CE46" s="10">
        <f>MIN('02_Данные'!AL46,CD46)</f>
        <v/>
      </c>
      <c r="CF46" s="10">
        <f>CD46-CE46</f>
        <v/>
      </c>
      <c r="CG46" s="10">
        <f>MIN('02_Данные'!AQ46,CF46)</f>
        <v/>
      </c>
      <c r="CH46" s="10">
        <f>CF46-CG46</f>
        <v/>
      </c>
      <c r="CI46" s="10">
        <f>MIN('02_Данные'!AN46,CH46)</f>
        <v/>
      </c>
      <c r="CJ46" s="10">
        <f>CH46-CI46</f>
        <v/>
      </c>
      <c r="CK46" s="10">
        <f>MIN('02_Данные'!AM46,CJ46)</f>
        <v/>
      </c>
      <c r="CL46" s="10">
        <f>CJ46-CK46</f>
        <v/>
      </c>
      <c r="CM46" s="10">
        <f>MIN('02_Данные'!AO46,CL46)</f>
        <v/>
      </c>
      <c r="CN46" s="10">
        <f>CL46-CM46</f>
        <v/>
      </c>
      <c r="CO46" s="10">
        <f>MIN('02_Данные'!AP46,CN46)</f>
        <v/>
      </c>
      <c r="CP46" s="10">
        <f>CN46-CO46</f>
        <v/>
      </c>
      <c r="CQ46" s="10">
        <f>CP46+'02_Данные'!K46</f>
        <v/>
      </c>
      <c r="CR46" s="10">
        <f>MIN('02_Данные'!AR46,CQ46)</f>
        <v/>
      </c>
      <c r="CS46" s="10">
        <f>CQ46-CR46</f>
        <v/>
      </c>
      <c r="CT46" s="10">
        <f>MIN('02_Данные'!AS46,CS46)</f>
        <v/>
      </c>
      <c r="CU46" s="10">
        <f>CS46-CT46</f>
        <v/>
      </c>
      <c r="CV46" s="10">
        <f>MIN('02_Данные'!AT46,CU46)</f>
        <v/>
      </c>
      <c r="CW46" s="10">
        <f>CU46-CV46</f>
        <v/>
      </c>
      <c r="CX46" s="10">
        <f>MIN('02_Данные'!AY46,CW46)</f>
        <v/>
      </c>
      <c r="CY46" s="10">
        <f>CW46-CX46</f>
        <v/>
      </c>
      <c r="CZ46" s="10">
        <f>MIN('02_Данные'!AV46,CY46)</f>
        <v/>
      </c>
      <c r="DA46" s="10">
        <f>CY46-CZ46</f>
        <v/>
      </c>
      <c r="DB46" s="10">
        <f>MIN('02_Данные'!AU46,DA46)</f>
        <v/>
      </c>
      <c r="DC46" s="10">
        <f>DA46-DB46</f>
        <v/>
      </c>
      <c r="DD46" s="10">
        <f>MIN('02_Данные'!AW46,DC46)</f>
        <v/>
      </c>
      <c r="DE46" s="10">
        <f>DC46-DD46</f>
        <v/>
      </c>
      <c r="DF46" s="10">
        <f>MIN('02_Данные'!AX46,DE46)</f>
        <v/>
      </c>
      <c r="DG46" s="10">
        <f>DE46-DF46</f>
        <v/>
      </c>
    </row>
    <row r="47">
      <c r="A47" s="9">
        <f>'02_Данные'!B47</f>
        <v/>
      </c>
      <c r="B47" s="9">
        <f>'02_Данные'!E47</f>
        <v/>
      </c>
      <c r="C47" s="10">
        <f>'02_Данные'!F47+'02_Данные'!G47+'02_Данные'!H47+'02_Данные'!I47+'02_Данные'!J47+'02_Данные'!K47</f>
        <v/>
      </c>
      <c r="D47" s="10">
        <f>SUM('02_Данные'!L47:'02_Данные'!AY47)</f>
        <v/>
      </c>
      <c r="E47" s="10">
        <f>MAX(0,D47-C47)</f>
        <v/>
      </c>
      <c r="F47" s="15">
        <f>IF(E47&gt;0.0001,"ДЕФИЦИТ",IF(Y47&gt;0.0001,"ПРОФИЦИТ","БАЛАНС"))</f>
        <v/>
      </c>
      <c r="G47" s="10">
        <f>AB47+AS47+BJ47+CA47+CR47</f>
        <v/>
      </c>
      <c r="H47" s="10">
        <f>AD47+AU47+BL47+CC47+CT47</f>
        <v/>
      </c>
      <c r="I47" s="10">
        <f>AF47+AW47+BN47+CE47+CV47</f>
        <v/>
      </c>
      <c r="J47" s="10">
        <f>AL47+BC47+BT47+CK47+DB47</f>
        <v/>
      </c>
      <c r="K47" s="10">
        <f>AJ47+BA47+BR47+CI47+CZ47</f>
        <v/>
      </c>
      <c r="L47" s="10">
        <f>AN47+BE47+BV47+CM47+DD47</f>
        <v/>
      </c>
      <c r="M47" s="10">
        <f>AP47+BG47+BX47+CO47+DF47</f>
        <v/>
      </c>
      <c r="N47" s="10">
        <f>AH47+AY47+BP47+CG47+CX47</f>
        <v/>
      </c>
      <c r="O47" s="10">
        <f>SUM(G47:N47)</f>
        <v/>
      </c>
      <c r="P47" s="10">
        <f>IFERROR(G47*MIN(1,'01_Нормативы'!$C$4/SUM(G$2:G$429)),0)</f>
        <v/>
      </c>
      <c r="Q47" s="10">
        <f>IFERROR(H47*MIN(1,'01_Нормативы'!$C$5/SUM(H$2:H$429)),0)</f>
        <v/>
      </c>
      <c r="R47" s="10">
        <f>IFERROR(I47*MIN(1,'01_Нормативы'!$C$6/SUM(I$2:I$429)),0)</f>
        <v/>
      </c>
      <c r="S47" s="10">
        <f>IFERROR(J47*MIN(1,'01_Нормативы'!$C$7/SUM(J$2:J$429)),0)</f>
        <v/>
      </c>
      <c r="T47" s="10">
        <f>IFERROR(K47*MIN(1,'01_Нормативы'!$C$8/SUM(K$2:K$429)),0)</f>
        <v/>
      </c>
      <c r="U47" s="10">
        <f>IFERROR(L47*MIN(1,'01_Нормативы'!$C$9/SUM(L$2:L$429)),0)</f>
        <v/>
      </c>
      <c r="V47" s="10">
        <f>IFERROR(M47*MIN(1,'01_Нормативы'!$C$10/SUM(M$2:M$429)),0)</f>
        <v/>
      </c>
      <c r="W47" s="10">
        <f>IFERROR(N47*MIN(1,'01_Нормативы'!$C$11/SUM(N$2:N$429)),0)</f>
        <v/>
      </c>
      <c r="X47" s="10">
        <f>SUM(P47:W47)</f>
        <v/>
      </c>
      <c r="Y47" s="10">
        <f>MAX(0,C47-X47)</f>
        <v/>
      </c>
      <c r="Z47" s="10">
        <f>IF(D47=0,100,X47/D47*100)</f>
        <v/>
      </c>
      <c r="AA47" s="10">
        <f>'02_Данные'!F47+'02_Данные'!G47</f>
        <v/>
      </c>
      <c r="AB47" s="10">
        <f>MIN('02_Данные'!L47,AA47)</f>
        <v/>
      </c>
      <c r="AC47" s="10">
        <f>AA47-AB47</f>
        <v/>
      </c>
      <c r="AD47" s="10">
        <f>MIN('02_Данные'!M47,AC47)</f>
        <v/>
      </c>
      <c r="AE47" s="10">
        <f>AC47-AD47</f>
        <v/>
      </c>
      <c r="AF47" s="10">
        <f>MIN('02_Данные'!N47,AE47)</f>
        <v/>
      </c>
      <c r="AG47" s="10">
        <f>AE47-AF47</f>
        <v/>
      </c>
      <c r="AH47" s="10">
        <f>MIN('02_Данные'!S47,AG47)</f>
        <v/>
      </c>
      <c r="AI47" s="10">
        <f>AG47-AH47</f>
        <v/>
      </c>
      <c r="AJ47" s="10">
        <f>MIN('02_Данные'!P47,AI47)</f>
        <v/>
      </c>
      <c r="AK47" s="10">
        <f>AI47-AJ47</f>
        <v/>
      </c>
      <c r="AL47" s="10">
        <f>MIN('02_Данные'!O47,AK47)</f>
        <v/>
      </c>
      <c r="AM47" s="10">
        <f>AK47-AL47</f>
        <v/>
      </c>
      <c r="AN47" s="10">
        <f>MIN('02_Данные'!Q47,AM47)</f>
        <v/>
      </c>
      <c r="AO47" s="10">
        <f>AM47-AN47</f>
        <v/>
      </c>
      <c r="AP47" s="10">
        <f>MIN('02_Данные'!R47,AO47)</f>
        <v/>
      </c>
      <c r="AQ47" s="10">
        <f>AO47-AP47</f>
        <v/>
      </c>
      <c r="AR47" s="10">
        <f>AQ47+'02_Данные'!H47</f>
        <v/>
      </c>
      <c r="AS47" s="10">
        <f>MIN('02_Данные'!T47,AR47)</f>
        <v/>
      </c>
      <c r="AT47" s="10">
        <f>AR47-AS47</f>
        <v/>
      </c>
      <c r="AU47" s="10">
        <f>MIN('02_Данные'!U47,AT47)</f>
        <v/>
      </c>
      <c r="AV47" s="10">
        <f>AT47-AU47</f>
        <v/>
      </c>
      <c r="AW47" s="10">
        <f>MIN('02_Данные'!V47,AV47)</f>
        <v/>
      </c>
      <c r="AX47" s="10">
        <f>AV47-AW47</f>
        <v/>
      </c>
      <c r="AY47" s="10">
        <f>MIN('02_Данные'!AA47,AX47)</f>
        <v/>
      </c>
      <c r="AZ47" s="10">
        <f>AX47-AY47</f>
        <v/>
      </c>
      <c r="BA47" s="10">
        <f>MIN('02_Данные'!X47,AZ47)</f>
        <v/>
      </c>
      <c r="BB47" s="10">
        <f>AZ47-BA47</f>
        <v/>
      </c>
      <c r="BC47" s="10">
        <f>MIN('02_Данные'!W47,BB47)</f>
        <v/>
      </c>
      <c r="BD47" s="10">
        <f>BB47-BC47</f>
        <v/>
      </c>
      <c r="BE47" s="10">
        <f>MIN('02_Данные'!Y47,BD47)</f>
        <v/>
      </c>
      <c r="BF47" s="10">
        <f>BD47-BE47</f>
        <v/>
      </c>
      <c r="BG47" s="10">
        <f>MIN('02_Данные'!Z47,BF47)</f>
        <v/>
      </c>
      <c r="BH47" s="10">
        <f>BF47-BG47</f>
        <v/>
      </c>
      <c r="BI47" s="10">
        <f>BH47+'02_Данные'!I47</f>
        <v/>
      </c>
      <c r="BJ47" s="10">
        <f>MIN('02_Данные'!AB47,BI47)</f>
        <v/>
      </c>
      <c r="BK47" s="10">
        <f>BI47-BJ47</f>
        <v/>
      </c>
      <c r="BL47" s="10">
        <f>MIN('02_Данные'!AC47,BK47)</f>
        <v/>
      </c>
      <c r="BM47" s="10">
        <f>BK47-BL47</f>
        <v/>
      </c>
      <c r="BN47" s="10">
        <f>MIN('02_Данные'!AD47,BM47)</f>
        <v/>
      </c>
      <c r="BO47" s="10">
        <f>BM47-BN47</f>
        <v/>
      </c>
      <c r="BP47" s="10">
        <f>MIN('02_Данные'!AI47,BO47)</f>
        <v/>
      </c>
      <c r="BQ47" s="10">
        <f>BO47-BP47</f>
        <v/>
      </c>
      <c r="BR47" s="10">
        <f>MIN('02_Данные'!AF47,BQ47)</f>
        <v/>
      </c>
      <c r="BS47" s="10">
        <f>BQ47-BR47</f>
        <v/>
      </c>
      <c r="BT47" s="10">
        <f>MIN('02_Данные'!AE47,BS47)</f>
        <v/>
      </c>
      <c r="BU47" s="10">
        <f>BS47-BT47</f>
        <v/>
      </c>
      <c r="BV47" s="10">
        <f>MIN('02_Данные'!AG47,BU47)</f>
        <v/>
      </c>
      <c r="BW47" s="10">
        <f>BU47-BV47</f>
        <v/>
      </c>
      <c r="BX47" s="10">
        <f>MIN('02_Данные'!AH47,BW47)</f>
        <v/>
      </c>
      <c r="BY47" s="10">
        <f>BW47-BX47</f>
        <v/>
      </c>
      <c r="BZ47" s="10">
        <f>BY47+'02_Данные'!J47</f>
        <v/>
      </c>
      <c r="CA47" s="10">
        <f>MIN('02_Данные'!AJ47,BZ47)</f>
        <v/>
      </c>
      <c r="CB47" s="10">
        <f>BZ47-CA47</f>
        <v/>
      </c>
      <c r="CC47" s="10">
        <f>MIN('02_Данные'!AK47,CB47)</f>
        <v/>
      </c>
      <c r="CD47" s="10">
        <f>CB47-CC47</f>
        <v/>
      </c>
      <c r="CE47" s="10">
        <f>MIN('02_Данные'!AL47,CD47)</f>
        <v/>
      </c>
      <c r="CF47" s="10">
        <f>CD47-CE47</f>
        <v/>
      </c>
      <c r="CG47" s="10">
        <f>MIN('02_Данные'!AQ47,CF47)</f>
        <v/>
      </c>
      <c r="CH47" s="10">
        <f>CF47-CG47</f>
        <v/>
      </c>
      <c r="CI47" s="10">
        <f>MIN('02_Данные'!AN47,CH47)</f>
        <v/>
      </c>
      <c r="CJ47" s="10">
        <f>CH47-CI47</f>
        <v/>
      </c>
      <c r="CK47" s="10">
        <f>MIN('02_Данные'!AM47,CJ47)</f>
        <v/>
      </c>
      <c r="CL47" s="10">
        <f>CJ47-CK47</f>
        <v/>
      </c>
      <c r="CM47" s="10">
        <f>MIN('02_Данные'!AO47,CL47)</f>
        <v/>
      </c>
      <c r="CN47" s="10">
        <f>CL47-CM47</f>
        <v/>
      </c>
      <c r="CO47" s="10">
        <f>MIN('02_Данные'!AP47,CN47)</f>
        <v/>
      </c>
      <c r="CP47" s="10">
        <f>CN47-CO47</f>
        <v/>
      </c>
      <c r="CQ47" s="10">
        <f>CP47+'02_Данные'!K47</f>
        <v/>
      </c>
      <c r="CR47" s="10">
        <f>MIN('02_Данные'!AR47,CQ47)</f>
        <v/>
      </c>
      <c r="CS47" s="10">
        <f>CQ47-CR47</f>
        <v/>
      </c>
      <c r="CT47" s="10">
        <f>MIN('02_Данные'!AS47,CS47)</f>
        <v/>
      </c>
      <c r="CU47" s="10">
        <f>CS47-CT47</f>
        <v/>
      </c>
      <c r="CV47" s="10">
        <f>MIN('02_Данные'!AT47,CU47)</f>
        <v/>
      </c>
      <c r="CW47" s="10">
        <f>CU47-CV47</f>
        <v/>
      </c>
      <c r="CX47" s="10">
        <f>MIN('02_Данные'!AY47,CW47)</f>
        <v/>
      </c>
      <c r="CY47" s="10">
        <f>CW47-CX47</f>
        <v/>
      </c>
      <c r="CZ47" s="10">
        <f>MIN('02_Данные'!AV47,CY47)</f>
        <v/>
      </c>
      <c r="DA47" s="10">
        <f>CY47-CZ47</f>
        <v/>
      </c>
      <c r="DB47" s="10">
        <f>MIN('02_Данные'!AU47,DA47)</f>
        <v/>
      </c>
      <c r="DC47" s="10">
        <f>DA47-DB47</f>
        <v/>
      </c>
      <c r="DD47" s="10">
        <f>MIN('02_Данные'!AW47,DC47)</f>
        <v/>
      </c>
      <c r="DE47" s="10">
        <f>DC47-DD47</f>
        <v/>
      </c>
      <c r="DF47" s="10">
        <f>MIN('02_Данные'!AX47,DE47)</f>
        <v/>
      </c>
      <c r="DG47" s="10">
        <f>DE47-DF47</f>
        <v/>
      </c>
    </row>
    <row r="48">
      <c r="A48" s="9">
        <f>'02_Данные'!B48</f>
        <v/>
      </c>
      <c r="B48" s="9">
        <f>'02_Данные'!E48</f>
        <v/>
      </c>
      <c r="C48" s="10">
        <f>'02_Данные'!F48+'02_Данные'!G48+'02_Данные'!H48+'02_Данные'!I48+'02_Данные'!J48+'02_Данные'!K48</f>
        <v/>
      </c>
      <c r="D48" s="10">
        <f>SUM('02_Данные'!L48:'02_Данные'!AY48)</f>
        <v/>
      </c>
      <c r="E48" s="10">
        <f>MAX(0,D48-C48)</f>
        <v/>
      </c>
      <c r="F48" s="15">
        <f>IF(E48&gt;0.0001,"ДЕФИЦИТ",IF(Y48&gt;0.0001,"ПРОФИЦИТ","БАЛАНС"))</f>
        <v/>
      </c>
      <c r="G48" s="10">
        <f>AB48+AS48+BJ48+CA48+CR48</f>
        <v/>
      </c>
      <c r="H48" s="10">
        <f>AD48+AU48+BL48+CC48+CT48</f>
        <v/>
      </c>
      <c r="I48" s="10">
        <f>AF48+AW48+BN48+CE48+CV48</f>
        <v/>
      </c>
      <c r="J48" s="10">
        <f>AL48+BC48+BT48+CK48+DB48</f>
        <v/>
      </c>
      <c r="K48" s="10">
        <f>AJ48+BA48+BR48+CI48+CZ48</f>
        <v/>
      </c>
      <c r="L48" s="10">
        <f>AN48+BE48+BV48+CM48+DD48</f>
        <v/>
      </c>
      <c r="M48" s="10">
        <f>AP48+BG48+BX48+CO48+DF48</f>
        <v/>
      </c>
      <c r="N48" s="10">
        <f>AH48+AY48+BP48+CG48+CX48</f>
        <v/>
      </c>
      <c r="O48" s="10">
        <f>SUM(G48:N48)</f>
        <v/>
      </c>
      <c r="P48" s="10">
        <f>IFERROR(G48*MIN(1,'01_Нормативы'!$C$4/SUM(G$2:G$429)),0)</f>
        <v/>
      </c>
      <c r="Q48" s="10">
        <f>IFERROR(H48*MIN(1,'01_Нормативы'!$C$5/SUM(H$2:H$429)),0)</f>
        <v/>
      </c>
      <c r="R48" s="10">
        <f>IFERROR(I48*MIN(1,'01_Нормативы'!$C$6/SUM(I$2:I$429)),0)</f>
        <v/>
      </c>
      <c r="S48" s="10">
        <f>IFERROR(J48*MIN(1,'01_Нормативы'!$C$7/SUM(J$2:J$429)),0)</f>
        <v/>
      </c>
      <c r="T48" s="10">
        <f>IFERROR(K48*MIN(1,'01_Нормативы'!$C$8/SUM(K$2:K$429)),0)</f>
        <v/>
      </c>
      <c r="U48" s="10">
        <f>IFERROR(L48*MIN(1,'01_Нормативы'!$C$9/SUM(L$2:L$429)),0)</f>
        <v/>
      </c>
      <c r="V48" s="10">
        <f>IFERROR(M48*MIN(1,'01_Нормативы'!$C$10/SUM(M$2:M$429)),0)</f>
        <v/>
      </c>
      <c r="W48" s="10">
        <f>IFERROR(N48*MIN(1,'01_Нормативы'!$C$11/SUM(N$2:N$429)),0)</f>
        <v/>
      </c>
      <c r="X48" s="10">
        <f>SUM(P48:W48)</f>
        <v/>
      </c>
      <c r="Y48" s="10">
        <f>MAX(0,C48-X48)</f>
        <v/>
      </c>
      <c r="Z48" s="10">
        <f>IF(D48=0,100,X48/D48*100)</f>
        <v/>
      </c>
      <c r="AA48" s="10">
        <f>'02_Данные'!F48+'02_Данные'!G48</f>
        <v/>
      </c>
      <c r="AB48" s="10">
        <f>MIN('02_Данные'!L48,AA48)</f>
        <v/>
      </c>
      <c r="AC48" s="10">
        <f>AA48-AB48</f>
        <v/>
      </c>
      <c r="AD48" s="10">
        <f>MIN('02_Данные'!M48,AC48)</f>
        <v/>
      </c>
      <c r="AE48" s="10">
        <f>AC48-AD48</f>
        <v/>
      </c>
      <c r="AF48" s="10">
        <f>MIN('02_Данные'!N48,AE48)</f>
        <v/>
      </c>
      <c r="AG48" s="10">
        <f>AE48-AF48</f>
        <v/>
      </c>
      <c r="AH48" s="10">
        <f>MIN('02_Данные'!S48,AG48)</f>
        <v/>
      </c>
      <c r="AI48" s="10">
        <f>AG48-AH48</f>
        <v/>
      </c>
      <c r="AJ48" s="10">
        <f>MIN('02_Данные'!P48,AI48)</f>
        <v/>
      </c>
      <c r="AK48" s="10">
        <f>AI48-AJ48</f>
        <v/>
      </c>
      <c r="AL48" s="10">
        <f>MIN('02_Данные'!O48,AK48)</f>
        <v/>
      </c>
      <c r="AM48" s="10">
        <f>AK48-AL48</f>
        <v/>
      </c>
      <c r="AN48" s="10">
        <f>MIN('02_Данные'!Q48,AM48)</f>
        <v/>
      </c>
      <c r="AO48" s="10">
        <f>AM48-AN48</f>
        <v/>
      </c>
      <c r="AP48" s="10">
        <f>MIN('02_Данные'!R48,AO48)</f>
        <v/>
      </c>
      <c r="AQ48" s="10">
        <f>AO48-AP48</f>
        <v/>
      </c>
      <c r="AR48" s="10">
        <f>AQ48+'02_Данные'!H48</f>
        <v/>
      </c>
      <c r="AS48" s="10">
        <f>MIN('02_Данные'!T48,AR48)</f>
        <v/>
      </c>
      <c r="AT48" s="10">
        <f>AR48-AS48</f>
        <v/>
      </c>
      <c r="AU48" s="10">
        <f>MIN('02_Данные'!U48,AT48)</f>
        <v/>
      </c>
      <c r="AV48" s="10">
        <f>AT48-AU48</f>
        <v/>
      </c>
      <c r="AW48" s="10">
        <f>MIN('02_Данные'!V48,AV48)</f>
        <v/>
      </c>
      <c r="AX48" s="10">
        <f>AV48-AW48</f>
        <v/>
      </c>
      <c r="AY48" s="10">
        <f>MIN('02_Данные'!AA48,AX48)</f>
        <v/>
      </c>
      <c r="AZ48" s="10">
        <f>AX48-AY48</f>
        <v/>
      </c>
      <c r="BA48" s="10">
        <f>MIN('02_Данные'!X48,AZ48)</f>
        <v/>
      </c>
      <c r="BB48" s="10">
        <f>AZ48-BA48</f>
        <v/>
      </c>
      <c r="BC48" s="10">
        <f>MIN('02_Данные'!W48,BB48)</f>
        <v/>
      </c>
      <c r="BD48" s="10">
        <f>BB48-BC48</f>
        <v/>
      </c>
      <c r="BE48" s="10">
        <f>MIN('02_Данные'!Y48,BD48)</f>
        <v/>
      </c>
      <c r="BF48" s="10">
        <f>BD48-BE48</f>
        <v/>
      </c>
      <c r="BG48" s="10">
        <f>MIN('02_Данные'!Z48,BF48)</f>
        <v/>
      </c>
      <c r="BH48" s="10">
        <f>BF48-BG48</f>
        <v/>
      </c>
      <c r="BI48" s="10">
        <f>BH48+'02_Данные'!I48</f>
        <v/>
      </c>
      <c r="BJ48" s="10">
        <f>MIN('02_Данные'!AB48,BI48)</f>
        <v/>
      </c>
      <c r="BK48" s="10">
        <f>BI48-BJ48</f>
        <v/>
      </c>
      <c r="BL48" s="10">
        <f>MIN('02_Данные'!AC48,BK48)</f>
        <v/>
      </c>
      <c r="BM48" s="10">
        <f>BK48-BL48</f>
        <v/>
      </c>
      <c r="BN48" s="10">
        <f>MIN('02_Данные'!AD48,BM48)</f>
        <v/>
      </c>
      <c r="BO48" s="10">
        <f>BM48-BN48</f>
        <v/>
      </c>
      <c r="BP48" s="10">
        <f>MIN('02_Данные'!AI48,BO48)</f>
        <v/>
      </c>
      <c r="BQ48" s="10">
        <f>BO48-BP48</f>
        <v/>
      </c>
      <c r="BR48" s="10">
        <f>MIN('02_Данные'!AF48,BQ48)</f>
        <v/>
      </c>
      <c r="BS48" s="10">
        <f>BQ48-BR48</f>
        <v/>
      </c>
      <c r="BT48" s="10">
        <f>MIN('02_Данные'!AE48,BS48)</f>
        <v/>
      </c>
      <c r="BU48" s="10">
        <f>BS48-BT48</f>
        <v/>
      </c>
      <c r="BV48" s="10">
        <f>MIN('02_Данные'!AG48,BU48)</f>
        <v/>
      </c>
      <c r="BW48" s="10">
        <f>BU48-BV48</f>
        <v/>
      </c>
      <c r="BX48" s="10">
        <f>MIN('02_Данные'!AH48,BW48)</f>
        <v/>
      </c>
      <c r="BY48" s="10">
        <f>BW48-BX48</f>
        <v/>
      </c>
      <c r="BZ48" s="10">
        <f>BY48+'02_Данные'!J48</f>
        <v/>
      </c>
      <c r="CA48" s="10">
        <f>MIN('02_Данные'!AJ48,BZ48)</f>
        <v/>
      </c>
      <c r="CB48" s="10">
        <f>BZ48-CA48</f>
        <v/>
      </c>
      <c r="CC48" s="10">
        <f>MIN('02_Данные'!AK48,CB48)</f>
        <v/>
      </c>
      <c r="CD48" s="10">
        <f>CB48-CC48</f>
        <v/>
      </c>
      <c r="CE48" s="10">
        <f>MIN('02_Данные'!AL48,CD48)</f>
        <v/>
      </c>
      <c r="CF48" s="10">
        <f>CD48-CE48</f>
        <v/>
      </c>
      <c r="CG48" s="10">
        <f>MIN('02_Данные'!AQ48,CF48)</f>
        <v/>
      </c>
      <c r="CH48" s="10">
        <f>CF48-CG48</f>
        <v/>
      </c>
      <c r="CI48" s="10">
        <f>MIN('02_Данные'!AN48,CH48)</f>
        <v/>
      </c>
      <c r="CJ48" s="10">
        <f>CH48-CI48</f>
        <v/>
      </c>
      <c r="CK48" s="10">
        <f>MIN('02_Данные'!AM48,CJ48)</f>
        <v/>
      </c>
      <c r="CL48" s="10">
        <f>CJ48-CK48</f>
        <v/>
      </c>
      <c r="CM48" s="10">
        <f>MIN('02_Данные'!AO48,CL48)</f>
        <v/>
      </c>
      <c r="CN48" s="10">
        <f>CL48-CM48</f>
        <v/>
      </c>
      <c r="CO48" s="10">
        <f>MIN('02_Данные'!AP48,CN48)</f>
        <v/>
      </c>
      <c r="CP48" s="10">
        <f>CN48-CO48</f>
        <v/>
      </c>
      <c r="CQ48" s="10">
        <f>CP48+'02_Данные'!K48</f>
        <v/>
      </c>
      <c r="CR48" s="10">
        <f>MIN('02_Данные'!AR48,CQ48)</f>
        <v/>
      </c>
      <c r="CS48" s="10">
        <f>CQ48-CR48</f>
        <v/>
      </c>
      <c r="CT48" s="10">
        <f>MIN('02_Данные'!AS48,CS48)</f>
        <v/>
      </c>
      <c r="CU48" s="10">
        <f>CS48-CT48</f>
        <v/>
      </c>
      <c r="CV48" s="10">
        <f>MIN('02_Данные'!AT48,CU48)</f>
        <v/>
      </c>
      <c r="CW48" s="10">
        <f>CU48-CV48</f>
        <v/>
      </c>
      <c r="CX48" s="10">
        <f>MIN('02_Данные'!AY48,CW48)</f>
        <v/>
      </c>
      <c r="CY48" s="10">
        <f>CW48-CX48</f>
        <v/>
      </c>
      <c r="CZ48" s="10">
        <f>MIN('02_Данные'!AV48,CY48)</f>
        <v/>
      </c>
      <c r="DA48" s="10">
        <f>CY48-CZ48</f>
        <v/>
      </c>
      <c r="DB48" s="10">
        <f>MIN('02_Данные'!AU48,DA48)</f>
        <v/>
      </c>
      <c r="DC48" s="10">
        <f>DA48-DB48</f>
        <v/>
      </c>
      <c r="DD48" s="10">
        <f>MIN('02_Данные'!AW48,DC48)</f>
        <v/>
      </c>
      <c r="DE48" s="10">
        <f>DC48-DD48</f>
        <v/>
      </c>
      <c r="DF48" s="10">
        <f>MIN('02_Данные'!AX48,DE48)</f>
        <v/>
      </c>
      <c r="DG48" s="10">
        <f>DE48-DF48</f>
        <v/>
      </c>
    </row>
    <row r="49">
      <c r="A49" s="9">
        <f>'02_Данные'!B49</f>
        <v/>
      </c>
      <c r="B49" s="9">
        <f>'02_Данные'!E49</f>
        <v/>
      </c>
      <c r="C49" s="10">
        <f>'02_Данные'!F49+'02_Данные'!G49+'02_Данные'!H49+'02_Данные'!I49+'02_Данные'!J49+'02_Данные'!K49</f>
        <v/>
      </c>
      <c r="D49" s="10">
        <f>SUM('02_Данные'!L49:'02_Данные'!AY49)</f>
        <v/>
      </c>
      <c r="E49" s="10">
        <f>MAX(0,D49-C49)</f>
        <v/>
      </c>
      <c r="F49" s="15">
        <f>IF(E49&gt;0.0001,"ДЕФИЦИТ",IF(Y49&gt;0.0001,"ПРОФИЦИТ","БАЛАНС"))</f>
        <v/>
      </c>
      <c r="G49" s="10">
        <f>AB49+AS49+BJ49+CA49+CR49</f>
        <v/>
      </c>
      <c r="H49" s="10">
        <f>AD49+AU49+BL49+CC49+CT49</f>
        <v/>
      </c>
      <c r="I49" s="10">
        <f>AF49+AW49+BN49+CE49+CV49</f>
        <v/>
      </c>
      <c r="J49" s="10">
        <f>AL49+BC49+BT49+CK49+DB49</f>
        <v/>
      </c>
      <c r="K49" s="10">
        <f>AJ49+BA49+BR49+CI49+CZ49</f>
        <v/>
      </c>
      <c r="L49" s="10">
        <f>AN49+BE49+BV49+CM49+DD49</f>
        <v/>
      </c>
      <c r="M49" s="10">
        <f>AP49+BG49+BX49+CO49+DF49</f>
        <v/>
      </c>
      <c r="N49" s="10">
        <f>AH49+AY49+BP49+CG49+CX49</f>
        <v/>
      </c>
      <c r="O49" s="10">
        <f>SUM(G49:N49)</f>
        <v/>
      </c>
      <c r="P49" s="10">
        <f>IFERROR(G49*MIN(1,'01_Нормативы'!$C$4/SUM(G$2:G$429)),0)</f>
        <v/>
      </c>
      <c r="Q49" s="10">
        <f>IFERROR(H49*MIN(1,'01_Нормативы'!$C$5/SUM(H$2:H$429)),0)</f>
        <v/>
      </c>
      <c r="R49" s="10">
        <f>IFERROR(I49*MIN(1,'01_Нормативы'!$C$6/SUM(I$2:I$429)),0)</f>
        <v/>
      </c>
      <c r="S49" s="10">
        <f>IFERROR(J49*MIN(1,'01_Нормативы'!$C$7/SUM(J$2:J$429)),0)</f>
        <v/>
      </c>
      <c r="T49" s="10">
        <f>IFERROR(K49*MIN(1,'01_Нормативы'!$C$8/SUM(K$2:K$429)),0)</f>
        <v/>
      </c>
      <c r="U49" s="10">
        <f>IFERROR(L49*MIN(1,'01_Нормативы'!$C$9/SUM(L$2:L$429)),0)</f>
        <v/>
      </c>
      <c r="V49" s="10">
        <f>IFERROR(M49*MIN(1,'01_Нормативы'!$C$10/SUM(M$2:M$429)),0)</f>
        <v/>
      </c>
      <c r="W49" s="10">
        <f>IFERROR(N49*MIN(1,'01_Нормативы'!$C$11/SUM(N$2:N$429)),0)</f>
        <v/>
      </c>
      <c r="X49" s="10">
        <f>SUM(P49:W49)</f>
        <v/>
      </c>
      <c r="Y49" s="10">
        <f>MAX(0,C49-X49)</f>
        <v/>
      </c>
      <c r="Z49" s="10">
        <f>IF(D49=0,100,X49/D49*100)</f>
        <v/>
      </c>
      <c r="AA49" s="10">
        <f>'02_Данные'!F49+'02_Данные'!G49</f>
        <v/>
      </c>
      <c r="AB49" s="10">
        <f>MIN('02_Данные'!L49,AA49)</f>
        <v/>
      </c>
      <c r="AC49" s="10">
        <f>AA49-AB49</f>
        <v/>
      </c>
      <c r="AD49" s="10">
        <f>MIN('02_Данные'!M49,AC49)</f>
        <v/>
      </c>
      <c r="AE49" s="10">
        <f>AC49-AD49</f>
        <v/>
      </c>
      <c r="AF49" s="10">
        <f>MIN('02_Данные'!N49,AE49)</f>
        <v/>
      </c>
      <c r="AG49" s="10">
        <f>AE49-AF49</f>
        <v/>
      </c>
      <c r="AH49" s="10">
        <f>MIN('02_Данные'!S49,AG49)</f>
        <v/>
      </c>
      <c r="AI49" s="10">
        <f>AG49-AH49</f>
        <v/>
      </c>
      <c r="AJ49" s="10">
        <f>MIN('02_Данные'!P49,AI49)</f>
        <v/>
      </c>
      <c r="AK49" s="10">
        <f>AI49-AJ49</f>
        <v/>
      </c>
      <c r="AL49" s="10">
        <f>MIN('02_Данные'!O49,AK49)</f>
        <v/>
      </c>
      <c r="AM49" s="10">
        <f>AK49-AL49</f>
        <v/>
      </c>
      <c r="AN49" s="10">
        <f>MIN('02_Данные'!Q49,AM49)</f>
        <v/>
      </c>
      <c r="AO49" s="10">
        <f>AM49-AN49</f>
        <v/>
      </c>
      <c r="AP49" s="10">
        <f>MIN('02_Данные'!R49,AO49)</f>
        <v/>
      </c>
      <c r="AQ49" s="10">
        <f>AO49-AP49</f>
        <v/>
      </c>
      <c r="AR49" s="10">
        <f>AQ49+'02_Данные'!H49</f>
        <v/>
      </c>
      <c r="AS49" s="10">
        <f>MIN('02_Данные'!T49,AR49)</f>
        <v/>
      </c>
      <c r="AT49" s="10">
        <f>AR49-AS49</f>
        <v/>
      </c>
      <c r="AU49" s="10">
        <f>MIN('02_Данные'!U49,AT49)</f>
        <v/>
      </c>
      <c r="AV49" s="10">
        <f>AT49-AU49</f>
        <v/>
      </c>
      <c r="AW49" s="10">
        <f>MIN('02_Данные'!V49,AV49)</f>
        <v/>
      </c>
      <c r="AX49" s="10">
        <f>AV49-AW49</f>
        <v/>
      </c>
      <c r="AY49" s="10">
        <f>MIN('02_Данные'!AA49,AX49)</f>
        <v/>
      </c>
      <c r="AZ49" s="10">
        <f>AX49-AY49</f>
        <v/>
      </c>
      <c r="BA49" s="10">
        <f>MIN('02_Данные'!X49,AZ49)</f>
        <v/>
      </c>
      <c r="BB49" s="10">
        <f>AZ49-BA49</f>
        <v/>
      </c>
      <c r="BC49" s="10">
        <f>MIN('02_Данные'!W49,BB49)</f>
        <v/>
      </c>
      <c r="BD49" s="10">
        <f>BB49-BC49</f>
        <v/>
      </c>
      <c r="BE49" s="10">
        <f>MIN('02_Данные'!Y49,BD49)</f>
        <v/>
      </c>
      <c r="BF49" s="10">
        <f>BD49-BE49</f>
        <v/>
      </c>
      <c r="BG49" s="10">
        <f>MIN('02_Данные'!Z49,BF49)</f>
        <v/>
      </c>
      <c r="BH49" s="10">
        <f>BF49-BG49</f>
        <v/>
      </c>
      <c r="BI49" s="10">
        <f>BH49+'02_Данные'!I49</f>
        <v/>
      </c>
      <c r="BJ49" s="10">
        <f>MIN('02_Данные'!AB49,BI49)</f>
        <v/>
      </c>
      <c r="BK49" s="10">
        <f>BI49-BJ49</f>
        <v/>
      </c>
      <c r="BL49" s="10">
        <f>MIN('02_Данные'!AC49,BK49)</f>
        <v/>
      </c>
      <c r="BM49" s="10">
        <f>BK49-BL49</f>
        <v/>
      </c>
      <c r="BN49" s="10">
        <f>MIN('02_Данные'!AD49,BM49)</f>
        <v/>
      </c>
      <c r="BO49" s="10">
        <f>BM49-BN49</f>
        <v/>
      </c>
      <c r="BP49" s="10">
        <f>MIN('02_Данные'!AI49,BO49)</f>
        <v/>
      </c>
      <c r="BQ49" s="10">
        <f>BO49-BP49</f>
        <v/>
      </c>
      <c r="BR49" s="10">
        <f>MIN('02_Данные'!AF49,BQ49)</f>
        <v/>
      </c>
      <c r="BS49" s="10">
        <f>BQ49-BR49</f>
        <v/>
      </c>
      <c r="BT49" s="10">
        <f>MIN('02_Данные'!AE49,BS49)</f>
        <v/>
      </c>
      <c r="BU49" s="10">
        <f>BS49-BT49</f>
        <v/>
      </c>
      <c r="BV49" s="10">
        <f>MIN('02_Данные'!AG49,BU49)</f>
        <v/>
      </c>
      <c r="BW49" s="10">
        <f>BU49-BV49</f>
        <v/>
      </c>
      <c r="BX49" s="10">
        <f>MIN('02_Данные'!AH49,BW49)</f>
        <v/>
      </c>
      <c r="BY49" s="10">
        <f>BW49-BX49</f>
        <v/>
      </c>
      <c r="BZ49" s="10">
        <f>BY49+'02_Данные'!J49</f>
        <v/>
      </c>
      <c r="CA49" s="10">
        <f>MIN('02_Данные'!AJ49,BZ49)</f>
        <v/>
      </c>
      <c r="CB49" s="10">
        <f>BZ49-CA49</f>
        <v/>
      </c>
      <c r="CC49" s="10">
        <f>MIN('02_Данные'!AK49,CB49)</f>
        <v/>
      </c>
      <c r="CD49" s="10">
        <f>CB49-CC49</f>
        <v/>
      </c>
      <c r="CE49" s="10">
        <f>MIN('02_Данные'!AL49,CD49)</f>
        <v/>
      </c>
      <c r="CF49" s="10">
        <f>CD49-CE49</f>
        <v/>
      </c>
      <c r="CG49" s="10">
        <f>MIN('02_Данные'!AQ49,CF49)</f>
        <v/>
      </c>
      <c r="CH49" s="10">
        <f>CF49-CG49</f>
        <v/>
      </c>
      <c r="CI49" s="10">
        <f>MIN('02_Данные'!AN49,CH49)</f>
        <v/>
      </c>
      <c r="CJ49" s="10">
        <f>CH49-CI49</f>
        <v/>
      </c>
      <c r="CK49" s="10">
        <f>MIN('02_Данные'!AM49,CJ49)</f>
        <v/>
      </c>
      <c r="CL49" s="10">
        <f>CJ49-CK49</f>
        <v/>
      </c>
      <c r="CM49" s="10">
        <f>MIN('02_Данные'!AO49,CL49)</f>
        <v/>
      </c>
      <c r="CN49" s="10">
        <f>CL49-CM49</f>
        <v/>
      </c>
      <c r="CO49" s="10">
        <f>MIN('02_Данные'!AP49,CN49)</f>
        <v/>
      </c>
      <c r="CP49" s="10">
        <f>CN49-CO49</f>
        <v/>
      </c>
      <c r="CQ49" s="10">
        <f>CP49+'02_Данные'!K49</f>
        <v/>
      </c>
      <c r="CR49" s="10">
        <f>MIN('02_Данные'!AR49,CQ49)</f>
        <v/>
      </c>
      <c r="CS49" s="10">
        <f>CQ49-CR49</f>
        <v/>
      </c>
      <c r="CT49" s="10">
        <f>MIN('02_Данные'!AS49,CS49)</f>
        <v/>
      </c>
      <c r="CU49" s="10">
        <f>CS49-CT49</f>
        <v/>
      </c>
      <c r="CV49" s="10">
        <f>MIN('02_Данные'!AT49,CU49)</f>
        <v/>
      </c>
      <c r="CW49" s="10">
        <f>CU49-CV49</f>
        <v/>
      </c>
      <c r="CX49" s="10">
        <f>MIN('02_Данные'!AY49,CW49)</f>
        <v/>
      </c>
      <c r="CY49" s="10">
        <f>CW49-CX49</f>
        <v/>
      </c>
      <c r="CZ49" s="10">
        <f>MIN('02_Данные'!AV49,CY49)</f>
        <v/>
      </c>
      <c r="DA49" s="10">
        <f>CY49-CZ49</f>
        <v/>
      </c>
      <c r="DB49" s="10">
        <f>MIN('02_Данные'!AU49,DA49)</f>
        <v/>
      </c>
      <c r="DC49" s="10">
        <f>DA49-DB49</f>
        <v/>
      </c>
      <c r="DD49" s="10">
        <f>MIN('02_Данные'!AW49,DC49)</f>
        <v/>
      </c>
      <c r="DE49" s="10">
        <f>DC49-DD49</f>
        <v/>
      </c>
      <c r="DF49" s="10">
        <f>MIN('02_Данные'!AX49,DE49)</f>
        <v/>
      </c>
      <c r="DG49" s="10">
        <f>DE49-DF49</f>
        <v/>
      </c>
    </row>
    <row r="50">
      <c r="A50" s="9">
        <f>'02_Данные'!B50</f>
        <v/>
      </c>
      <c r="B50" s="9">
        <f>'02_Данные'!E50</f>
        <v/>
      </c>
      <c r="C50" s="10">
        <f>'02_Данные'!F50+'02_Данные'!G50+'02_Данные'!H50+'02_Данные'!I50+'02_Данные'!J50+'02_Данные'!K50</f>
        <v/>
      </c>
      <c r="D50" s="10">
        <f>SUM('02_Данные'!L50:'02_Данные'!AY50)</f>
        <v/>
      </c>
      <c r="E50" s="10">
        <f>MAX(0,D50-C50)</f>
        <v/>
      </c>
      <c r="F50" s="15">
        <f>IF(E50&gt;0.0001,"ДЕФИЦИТ",IF(Y50&gt;0.0001,"ПРОФИЦИТ","БАЛАНС"))</f>
        <v/>
      </c>
      <c r="G50" s="10">
        <f>AB50+AS50+BJ50+CA50+CR50</f>
        <v/>
      </c>
      <c r="H50" s="10">
        <f>AD50+AU50+BL50+CC50+CT50</f>
        <v/>
      </c>
      <c r="I50" s="10">
        <f>AF50+AW50+BN50+CE50+CV50</f>
        <v/>
      </c>
      <c r="J50" s="10">
        <f>AL50+BC50+BT50+CK50+DB50</f>
        <v/>
      </c>
      <c r="K50" s="10">
        <f>AJ50+BA50+BR50+CI50+CZ50</f>
        <v/>
      </c>
      <c r="L50" s="10">
        <f>AN50+BE50+BV50+CM50+DD50</f>
        <v/>
      </c>
      <c r="M50" s="10">
        <f>AP50+BG50+BX50+CO50+DF50</f>
        <v/>
      </c>
      <c r="N50" s="10">
        <f>AH50+AY50+BP50+CG50+CX50</f>
        <v/>
      </c>
      <c r="O50" s="10">
        <f>SUM(G50:N50)</f>
        <v/>
      </c>
      <c r="P50" s="10">
        <f>IFERROR(G50*MIN(1,'01_Нормативы'!$C$4/SUM(G$2:G$429)),0)</f>
        <v/>
      </c>
      <c r="Q50" s="10">
        <f>IFERROR(H50*MIN(1,'01_Нормативы'!$C$5/SUM(H$2:H$429)),0)</f>
        <v/>
      </c>
      <c r="R50" s="10">
        <f>IFERROR(I50*MIN(1,'01_Нормативы'!$C$6/SUM(I$2:I$429)),0)</f>
        <v/>
      </c>
      <c r="S50" s="10">
        <f>IFERROR(J50*MIN(1,'01_Нормативы'!$C$7/SUM(J$2:J$429)),0)</f>
        <v/>
      </c>
      <c r="T50" s="10">
        <f>IFERROR(K50*MIN(1,'01_Нормативы'!$C$8/SUM(K$2:K$429)),0)</f>
        <v/>
      </c>
      <c r="U50" s="10">
        <f>IFERROR(L50*MIN(1,'01_Нормативы'!$C$9/SUM(L$2:L$429)),0)</f>
        <v/>
      </c>
      <c r="V50" s="10">
        <f>IFERROR(M50*MIN(1,'01_Нормативы'!$C$10/SUM(M$2:M$429)),0)</f>
        <v/>
      </c>
      <c r="W50" s="10">
        <f>IFERROR(N50*MIN(1,'01_Нормативы'!$C$11/SUM(N$2:N$429)),0)</f>
        <v/>
      </c>
      <c r="X50" s="10">
        <f>SUM(P50:W50)</f>
        <v/>
      </c>
      <c r="Y50" s="10">
        <f>MAX(0,C50-X50)</f>
        <v/>
      </c>
      <c r="Z50" s="10">
        <f>IF(D50=0,100,X50/D50*100)</f>
        <v/>
      </c>
      <c r="AA50" s="10">
        <f>'02_Данные'!F50+'02_Данные'!G50</f>
        <v/>
      </c>
      <c r="AB50" s="10">
        <f>MIN('02_Данные'!L50,AA50)</f>
        <v/>
      </c>
      <c r="AC50" s="10">
        <f>AA50-AB50</f>
        <v/>
      </c>
      <c r="AD50" s="10">
        <f>MIN('02_Данные'!M50,AC50)</f>
        <v/>
      </c>
      <c r="AE50" s="10">
        <f>AC50-AD50</f>
        <v/>
      </c>
      <c r="AF50" s="10">
        <f>MIN('02_Данные'!N50,AE50)</f>
        <v/>
      </c>
      <c r="AG50" s="10">
        <f>AE50-AF50</f>
        <v/>
      </c>
      <c r="AH50" s="10">
        <f>MIN('02_Данные'!S50,AG50)</f>
        <v/>
      </c>
      <c r="AI50" s="10">
        <f>AG50-AH50</f>
        <v/>
      </c>
      <c r="AJ50" s="10">
        <f>MIN('02_Данные'!P50,AI50)</f>
        <v/>
      </c>
      <c r="AK50" s="10">
        <f>AI50-AJ50</f>
        <v/>
      </c>
      <c r="AL50" s="10">
        <f>MIN('02_Данные'!O50,AK50)</f>
        <v/>
      </c>
      <c r="AM50" s="10">
        <f>AK50-AL50</f>
        <v/>
      </c>
      <c r="AN50" s="10">
        <f>MIN('02_Данные'!Q50,AM50)</f>
        <v/>
      </c>
      <c r="AO50" s="10">
        <f>AM50-AN50</f>
        <v/>
      </c>
      <c r="AP50" s="10">
        <f>MIN('02_Данные'!R50,AO50)</f>
        <v/>
      </c>
      <c r="AQ50" s="10">
        <f>AO50-AP50</f>
        <v/>
      </c>
      <c r="AR50" s="10">
        <f>AQ50+'02_Данные'!H50</f>
        <v/>
      </c>
      <c r="AS50" s="10">
        <f>MIN('02_Данные'!T50,AR50)</f>
        <v/>
      </c>
      <c r="AT50" s="10">
        <f>AR50-AS50</f>
        <v/>
      </c>
      <c r="AU50" s="10">
        <f>MIN('02_Данные'!U50,AT50)</f>
        <v/>
      </c>
      <c r="AV50" s="10">
        <f>AT50-AU50</f>
        <v/>
      </c>
      <c r="AW50" s="10">
        <f>MIN('02_Данные'!V50,AV50)</f>
        <v/>
      </c>
      <c r="AX50" s="10">
        <f>AV50-AW50</f>
        <v/>
      </c>
      <c r="AY50" s="10">
        <f>MIN('02_Данные'!AA50,AX50)</f>
        <v/>
      </c>
      <c r="AZ50" s="10">
        <f>AX50-AY50</f>
        <v/>
      </c>
      <c r="BA50" s="10">
        <f>MIN('02_Данные'!X50,AZ50)</f>
        <v/>
      </c>
      <c r="BB50" s="10">
        <f>AZ50-BA50</f>
        <v/>
      </c>
      <c r="BC50" s="10">
        <f>MIN('02_Данные'!W50,BB50)</f>
        <v/>
      </c>
      <c r="BD50" s="10">
        <f>BB50-BC50</f>
        <v/>
      </c>
      <c r="BE50" s="10">
        <f>MIN('02_Данные'!Y50,BD50)</f>
        <v/>
      </c>
      <c r="BF50" s="10">
        <f>BD50-BE50</f>
        <v/>
      </c>
      <c r="BG50" s="10">
        <f>MIN('02_Данные'!Z50,BF50)</f>
        <v/>
      </c>
      <c r="BH50" s="10">
        <f>BF50-BG50</f>
        <v/>
      </c>
      <c r="BI50" s="10">
        <f>BH50+'02_Данные'!I50</f>
        <v/>
      </c>
      <c r="BJ50" s="10">
        <f>MIN('02_Данные'!AB50,BI50)</f>
        <v/>
      </c>
      <c r="BK50" s="10">
        <f>BI50-BJ50</f>
        <v/>
      </c>
      <c r="BL50" s="10">
        <f>MIN('02_Данные'!AC50,BK50)</f>
        <v/>
      </c>
      <c r="BM50" s="10">
        <f>BK50-BL50</f>
        <v/>
      </c>
      <c r="BN50" s="10">
        <f>MIN('02_Данные'!AD50,BM50)</f>
        <v/>
      </c>
      <c r="BO50" s="10">
        <f>BM50-BN50</f>
        <v/>
      </c>
      <c r="BP50" s="10">
        <f>MIN('02_Данные'!AI50,BO50)</f>
        <v/>
      </c>
      <c r="BQ50" s="10">
        <f>BO50-BP50</f>
        <v/>
      </c>
      <c r="BR50" s="10">
        <f>MIN('02_Данные'!AF50,BQ50)</f>
        <v/>
      </c>
      <c r="BS50" s="10">
        <f>BQ50-BR50</f>
        <v/>
      </c>
      <c r="BT50" s="10">
        <f>MIN('02_Данные'!AE50,BS50)</f>
        <v/>
      </c>
      <c r="BU50" s="10">
        <f>BS50-BT50</f>
        <v/>
      </c>
      <c r="BV50" s="10">
        <f>MIN('02_Данные'!AG50,BU50)</f>
        <v/>
      </c>
      <c r="BW50" s="10">
        <f>BU50-BV50</f>
        <v/>
      </c>
      <c r="BX50" s="10">
        <f>MIN('02_Данные'!AH50,BW50)</f>
        <v/>
      </c>
      <c r="BY50" s="10">
        <f>BW50-BX50</f>
        <v/>
      </c>
      <c r="BZ50" s="10">
        <f>BY50+'02_Данные'!J50</f>
        <v/>
      </c>
      <c r="CA50" s="10">
        <f>MIN('02_Данные'!AJ50,BZ50)</f>
        <v/>
      </c>
      <c r="CB50" s="10">
        <f>BZ50-CA50</f>
        <v/>
      </c>
      <c r="CC50" s="10">
        <f>MIN('02_Данные'!AK50,CB50)</f>
        <v/>
      </c>
      <c r="CD50" s="10">
        <f>CB50-CC50</f>
        <v/>
      </c>
      <c r="CE50" s="10">
        <f>MIN('02_Данные'!AL50,CD50)</f>
        <v/>
      </c>
      <c r="CF50" s="10">
        <f>CD50-CE50</f>
        <v/>
      </c>
      <c r="CG50" s="10">
        <f>MIN('02_Данные'!AQ50,CF50)</f>
        <v/>
      </c>
      <c r="CH50" s="10">
        <f>CF50-CG50</f>
        <v/>
      </c>
      <c r="CI50" s="10">
        <f>MIN('02_Данные'!AN50,CH50)</f>
        <v/>
      </c>
      <c r="CJ50" s="10">
        <f>CH50-CI50</f>
        <v/>
      </c>
      <c r="CK50" s="10">
        <f>MIN('02_Данные'!AM50,CJ50)</f>
        <v/>
      </c>
      <c r="CL50" s="10">
        <f>CJ50-CK50</f>
        <v/>
      </c>
      <c r="CM50" s="10">
        <f>MIN('02_Данные'!AO50,CL50)</f>
        <v/>
      </c>
      <c r="CN50" s="10">
        <f>CL50-CM50</f>
        <v/>
      </c>
      <c r="CO50" s="10">
        <f>MIN('02_Данные'!AP50,CN50)</f>
        <v/>
      </c>
      <c r="CP50" s="10">
        <f>CN50-CO50</f>
        <v/>
      </c>
      <c r="CQ50" s="10">
        <f>CP50+'02_Данные'!K50</f>
        <v/>
      </c>
      <c r="CR50" s="10">
        <f>MIN('02_Данные'!AR50,CQ50)</f>
        <v/>
      </c>
      <c r="CS50" s="10">
        <f>CQ50-CR50</f>
        <v/>
      </c>
      <c r="CT50" s="10">
        <f>MIN('02_Данные'!AS50,CS50)</f>
        <v/>
      </c>
      <c r="CU50" s="10">
        <f>CS50-CT50</f>
        <v/>
      </c>
      <c r="CV50" s="10">
        <f>MIN('02_Данные'!AT50,CU50)</f>
        <v/>
      </c>
      <c r="CW50" s="10">
        <f>CU50-CV50</f>
        <v/>
      </c>
      <c r="CX50" s="10">
        <f>MIN('02_Данные'!AY50,CW50)</f>
        <v/>
      </c>
      <c r="CY50" s="10">
        <f>CW50-CX50</f>
        <v/>
      </c>
      <c r="CZ50" s="10">
        <f>MIN('02_Данные'!AV50,CY50)</f>
        <v/>
      </c>
      <c r="DA50" s="10">
        <f>CY50-CZ50</f>
        <v/>
      </c>
      <c r="DB50" s="10">
        <f>MIN('02_Данные'!AU50,DA50)</f>
        <v/>
      </c>
      <c r="DC50" s="10">
        <f>DA50-DB50</f>
        <v/>
      </c>
      <c r="DD50" s="10">
        <f>MIN('02_Данные'!AW50,DC50)</f>
        <v/>
      </c>
      <c r="DE50" s="10">
        <f>DC50-DD50</f>
        <v/>
      </c>
      <c r="DF50" s="10">
        <f>MIN('02_Данные'!AX50,DE50)</f>
        <v/>
      </c>
      <c r="DG50" s="10">
        <f>DE50-DF50</f>
        <v/>
      </c>
    </row>
    <row r="51">
      <c r="A51" s="9">
        <f>'02_Данные'!B51</f>
        <v/>
      </c>
      <c r="B51" s="9">
        <f>'02_Данные'!E51</f>
        <v/>
      </c>
      <c r="C51" s="10">
        <f>'02_Данные'!F51+'02_Данные'!G51+'02_Данные'!H51+'02_Данные'!I51+'02_Данные'!J51+'02_Данные'!K51</f>
        <v/>
      </c>
      <c r="D51" s="10">
        <f>SUM('02_Данные'!L51:'02_Данные'!AY51)</f>
        <v/>
      </c>
      <c r="E51" s="10">
        <f>MAX(0,D51-C51)</f>
        <v/>
      </c>
      <c r="F51" s="15">
        <f>IF(E51&gt;0.0001,"ДЕФИЦИТ",IF(Y51&gt;0.0001,"ПРОФИЦИТ","БАЛАНС"))</f>
        <v/>
      </c>
      <c r="G51" s="10">
        <f>AB51+AS51+BJ51+CA51+CR51</f>
        <v/>
      </c>
      <c r="H51" s="10">
        <f>AD51+AU51+BL51+CC51+CT51</f>
        <v/>
      </c>
      <c r="I51" s="10">
        <f>AF51+AW51+BN51+CE51+CV51</f>
        <v/>
      </c>
      <c r="J51" s="10">
        <f>AL51+BC51+BT51+CK51+DB51</f>
        <v/>
      </c>
      <c r="K51" s="10">
        <f>AJ51+BA51+BR51+CI51+CZ51</f>
        <v/>
      </c>
      <c r="L51" s="10">
        <f>AN51+BE51+BV51+CM51+DD51</f>
        <v/>
      </c>
      <c r="M51" s="10">
        <f>AP51+BG51+BX51+CO51+DF51</f>
        <v/>
      </c>
      <c r="N51" s="10">
        <f>AH51+AY51+BP51+CG51+CX51</f>
        <v/>
      </c>
      <c r="O51" s="10">
        <f>SUM(G51:N51)</f>
        <v/>
      </c>
      <c r="P51" s="10">
        <f>IFERROR(G51*MIN(1,'01_Нормативы'!$C$4/SUM(G$2:G$429)),0)</f>
        <v/>
      </c>
      <c r="Q51" s="10">
        <f>IFERROR(H51*MIN(1,'01_Нормативы'!$C$5/SUM(H$2:H$429)),0)</f>
        <v/>
      </c>
      <c r="R51" s="10">
        <f>IFERROR(I51*MIN(1,'01_Нормативы'!$C$6/SUM(I$2:I$429)),0)</f>
        <v/>
      </c>
      <c r="S51" s="10">
        <f>IFERROR(J51*MIN(1,'01_Нормативы'!$C$7/SUM(J$2:J$429)),0)</f>
        <v/>
      </c>
      <c r="T51" s="10">
        <f>IFERROR(K51*MIN(1,'01_Нормативы'!$C$8/SUM(K$2:K$429)),0)</f>
        <v/>
      </c>
      <c r="U51" s="10">
        <f>IFERROR(L51*MIN(1,'01_Нормативы'!$C$9/SUM(L$2:L$429)),0)</f>
        <v/>
      </c>
      <c r="V51" s="10">
        <f>IFERROR(M51*MIN(1,'01_Нормативы'!$C$10/SUM(M$2:M$429)),0)</f>
        <v/>
      </c>
      <c r="W51" s="10">
        <f>IFERROR(N51*MIN(1,'01_Нормативы'!$C$11/SUM(N$2:N$429)),0)</f>
        <v/>
      </c>
      <c r="X51" s="10">
        <f>SUM(P51:W51)</f>
        <v/>
      </c>
      <c r="Y51" s="10">
        <f>MAX(0,C51-X51)</f>
        <v/>
      </c>
      <c r="Z51" s="10">
        <f>IF(D51=0,100,X51/D51*100)</f>
        <v/>
      </c>
      <c r="AA51" s="10">
        <f>'02_Данные'!F51+'02_Данные'!G51</f>
        <v/>
      </c>
      <c r="AB51" s="10">
        <f>MIN('02_Данные'!L51,AA51)</f>
        <v/>
      </c>
      <c r="AC51" s="10">
        <f>AA51-AB51</f>
        <v/>
      </c>
      <c r="AD51" s="10">
        <f>MIN('02_Данные'!M51,AC51)</f>
        <v/>
      </c>
      <c r="AE51" s="10">
        <f>AC51-AD51</f>
        <v/>
      </c>
      <c r="AF51" s="10">
        <f>MIN('02_Данные'!N51,AE51)</f>
        <v/>
      </c>
      <c r="AG51" s="10">
        <f>AE51-AF51</f>
        <v/>
      </c>
      <c r="AH51" s="10">
        <f>MIN('02_Данные'!S51,AG51)</f>
        <v/>
      </c>
      <c r="AI51" s="10">
        <f>AG51-AH51</f>
        <v/>
      </c>
      <c r="AJ51" s="10">
        <f>MIN('02_Данные'!P51,AI51)</f>
        <v/>
      </c>
      <c r="AK51" s="10">
        <f>AI51-AJ51</f>
        <v/>
      </c>
      <c r="AL51" s="10">
        <f>MIN('02_Данные'!O51,AK51)</f>
        <v/>
      </c>
      <c r="AM51" s="10">
        <f>AK51-AL51</f>
        <v/>
      </c>
      <c r="AN51" s="10">
        <f>MIN('02_Данные'!Q51,AM51)</f>
        <v/>
      </c>
      <c r="AO51" s="10">
        <f>AM51-AN51</f>
        <v/>
      </c>
      <c r="AP51" s="10">
        <f>MIN('02_Данные'!R51,AO51)</f>
        <v/>
      </c>
      <c r="AQ51" s="10">
        <f>AO51-AP51</f>
        <v/>
      </c>
      <c r="AR51" s="10">
        <f>AQ51+'02_Данные'!H51</f>
        <v/>
      </c>
      <c r="AS51" s="10">
        <f>MIN('02_Данные'!T51,AR51)</f>
        <v/>
      </c>
      <c r="AT51" s="10">
        <f>AR51-AS51</f>
        <v/>
      </c>
      <c r="AU51" s="10">
        <f>MIN('02_Данные'!U51,AT51)</f>
        <v/>
      </c>
      <c r="AV51" s="10">
        <f>AT51-AU51</f>
        <v/>
      </c>
      <c r="AW51" s="10">
        <f>MIN('02_Данные'!V51,AV51)</f>
        <v/>
      </c>
      <c r="AX51" s="10">
        <f>AV51-AW51</f>
        <v/>
      </c>
      <c r="AY51" s="10">
        <f>MIN('02_Данные'!AA51,AX51)</f>
        <v/>
      </c>
      <c r="AZ51" s="10">
        <f>AX51-AY51</f>
        <v/>
      </c>
      <c r="BA51" s="10">
        <f>MIN('02_Данные'!X51,AZ51)</f>
        <v/>
      </c>
      <c r="BB51" s="10">
        <f>AZ51-BA51</f>
        <v/>
      </c>
      <c r="BC51" s="10">
        <f>MIN('02_Данные'!W51,BB51)</f>
        <v/>
      </c>
      <c r="BD51" s="10">
        <f>BB51-BC51</f>
        <v/>
      </c>
      <c r="BE51" s="10">
        <f>MIN('02_Данные'!Y51,BD51)</f>
        <v/>
      </c>
      <c r="BF51" s="10">
        <f>BD51-BE51</f>
        <v/>
      </c>
      <c r="BG51" s="10">
        <f>MIN('02_Данные'!Z51,BF51)</f>
        <v/>
      </c>
      <c r="BH51" s="10">
        <f>BF51-BG51</f>
        <v/>
      </c>
      <c r="BI51" s="10">
        <f>BH51+'02_Данные'!I51</f>
        <v/>
      </c>
      <c r="BJ51" s="10">
        <f>MIN('02_Данные'!AB51,BI51)</f>
        <v/>
      </c>
      <c r="BK51" s="10">
        <f>BI51-BJ51</f>
        <v/>
      </c>
      <c r="BL51" s="10">
        <f>MIN('02_Данные'!AC51,BK51)</f>
        <v/>
      </c>
      <c r="BM51" s="10">
        <f>BK51-BL51</f>
        <v/>
      </c>
      <c r="BN51" s="10">
        <f>MIN('02_Данные'!AD51,BM51)</f>
        <v/>
      </c>
      <c r="BO51" s="10">
        <f>BM51-BN51</f>
        <v/>
      </c>
      <c r="BP51" s="10">
        <f>MIN('02_Данные'!AI51,BO51)</f>
        <v/>
      </c>
      <c r="BQ51" s="10">
        <f>BO51-BP51</f>
        <v/>
      </c>
      <c r="BR51" s="10">
        <f>MIN('02_Данные'!AF51,BQ51)</f>
        <v/>
      </c>
      <c r="BS51" s="10">
        <f>BQ51-BR51</f>
        <v/>
      </c>
      <c r="BT51" s="10">
        <f>MIN('02_Данные'!AE51,BS51)</f>
        <v/>
      </c>
      <c r="BU51" s="10">
        <f>BS51-BT51</f>
        <v/>
      </c>
      <c r="BV51" s="10">
        <f>MIN('02_Данные'!AG51,BU51)</f>
        <v/>
      </c>
      <c r="BW51" s="10">
        <f>BU51-BV51</f>
        <v/>
      </c>
      <c r="BX51" s="10">
        <f>MIN('02_Данные'!AH51,BW51)</f>
        <v/>
      </c>
      <c r="BY51" s="10">
        <f>BW51-BX51</f>
        <v/>
      </c>
      <c r="BZ51" s="10">
        <f>BY51+'02_Данные'!J51</f>
        <v/>
      </c>
      <c r="CA51" s="10">
        <f>MIN('02_Данные'!AJ51,BZ51)</f>
        <v/>
      </c>
      <c r="CB51" s="10">
        <f>BZ51-CA51</f>
        <v/>
      </c>
      <c r="CC51" s="10">
        <f>MIN('02_Данные'!AK51,CB51)</f>
        <v/>
      </c>
      <c r="CD51" s="10">
        <f>CB51-CC51</f>
        <v/>
      </c>
      <c r="CE51" s="10">
        <f>MIN('02_Данные'!AL51,CD51)</f>
        <v/>
      </c>
      <c r="CF51" s="10">
        <f>CD51-CE51</f>
        <v/>
      </c>
      <c r="CG51" s="10">
        <f>MIN('02_Данные'!AQ51,CF51)</f>
        <v/>
      </c>
      <c r="CH51" s="10">
        <f>CF51-CG51</f>
        <v/>
      </c>
      <c r="CI51" s="10">
        <f>MIN('02_Данные'!AN51,CH51)</f>
        <v/>
      </c>
      <c r="CJ51" s="10">
        <f>CH51-CI51</f>
        <v/>
      </c>
      <c r="CK51" s="10">
        <f>MIN('02_Данные'!AM51,CJ51)</f>
        <v/>
      </c>
      <c r="CL51" s="10">
        <f>CJ51-CK51</f>
        <v/>
      </c>
      <c r="CM51" s="10">
        <f>MIN('02_Данные'!AO51,CL51)</f>
        <v/>
      </c>
      <c r="CN51" s="10">
        <f>CL51-CM51</f>
        <v/>
      </c>
      <c r="CO51" s="10">
        <f>MIN('02_Данные'!AP51,CN51)</f>
        <v/>
      </c>
      <c r="CP51" s="10">
        <f>CN51-CO51</f>
        <v/>
      </c>
      <c r="CQ51" s="10">
        <f>CP51+'02_Данные'!K51</f>
        <v/>
      </c>
      <c r="CR51" s="10">
        <f>MIN('02_Данные'!AR51,CQ51)</f>
        <v/>
      </c>
      <c r="CS51" s="10">
        <f>CQ51-CR51</f>
        <v/>
      </c>
      <c r="CT51" s="10">
        <f>MIN('02_Данные'!AS51,CS51)</f>
        <v/>
      </c>
      <c r="CU51" s="10">
        <f>CS51-CT51</f>
        <v/>
      </c>
      <c r="CV51" s="10">
        <f>MIN('02_Данные'!AT51,CU51)</f>
        <v/>
      </c>
      <c r="CW51" s="10">
        <f>CU51-CV51</f>
        <v/>
      </c>
      <c r="CX51" s="10">
        <f>MIN('02_Данные'!AY51,CW51)</f>
        <v/>
      </c>
      <c r="CY51" s="10">
        <f>CW51-CX51</f>
        <v/>
      </c>
      <c r="CZ51" s="10">
        <f>MIN('02_Данные'!AV51,CY51)</f>
        <v/>
      </c>
      <c r="DA51" s="10">
        <f>CY51-CZ51</f>
        <v/>
      </c>
      <c r="DB51" s="10">
        <f>MIN('02_Данные'!AU51,DA51)</f>
        <v/>
      </c>
      <c r="DC51" s="10">
        <f>DA51-DB51</f>
        <v/>
      </c>
      <c r="DD51" s="10">
        <f>MIN('02_Данные'!AW51,DC51)</f>
        <v/>
      </c>
      <c r="DE51" s="10">
        <f>DC51-DD51</f>
        <v/>
      </c>
      <c r="DF51" s="10">
        <f>MIN('02_Данные'!AX51,DE51)</f>
        <v/>
      </c>
      <c r="DG51" s="10">
        <f>DE51-DF51</f>
        <v/>
      </c>
    </row>
    <row r="52">
      <c r="A52" s="9">
        <f>'02_Данные'!B52</f>
        <v/>
      </c>
      <c r="B52" s="9">
        <f>'02_Данные'!E52</f>
        <v/>
      </c>
      <c r="C52" s="10">
        <f>'02_Данные'!F52+'02_Данные'!G52+'02_Данные'!H52+'02_Данные'!I52+'02_Данные'!J52+'02_Данные'!K52</f>
        <v/>
      </c>
      <c r="D52" s="10">
        <f>SUM('02_Данные'!L52:'02_Данные'!AY52)</f>
        <v/>
      </c>
      <c r="E52" s="10">
        <f>MAX(0,D52-C52)</f>
        <v/>
      </c>
      <c r="F52" s="15">
        <f>IF(E52&gt;0.0001,"ДЕФИЦИТ",IF(Y52&gt;0.0001,"ПРОФИЦИТ","БАЛАНС"))</f>
        <v/>
      </c>
      <c r="G52" s="10">
        <f>AB52+AS52+BJ52+CA52+CR52</f>
        <v/>
      </c>
      <c r="H52" s="10">
        <f>AD52+AU52+BL52+CC52+CT52</f>
        <v/>
      </c>
      <c r="I52" s="10">
        <f>AF52+AW52+BN52+CE52+CV52</f>
        <v/>
      </c>
      <c r="J52" s="10">
        <f>AL52+BC52+BT52+CK52+DB52</f>
        <v/>
      </c>
      <c r="K52" s="10">
        <f>AJ52+BA52+BR52+CI52+CZ52</f>
        <v/>
      </c>
      <c r="L52" s="10">
        <f>AN52+BE52+BV52+CM52+DD52</f>
        <v/>
      </c>
      <c r="M52" s="10">
        <f>AP52+BG52+BX52+CO52+DF52</f>
        <v/>
      </c>
      <c r="N52" s="10">
        <f>AH52+AY52+BP52+CG52+CX52</f>
        <v/>
      </c>
      <c r="O52" s="10">
        <f>SUM(G52:N52)</f>
        <v/>
      </c>
      <c r="P52" s="10">
        <f>IFERROR(G52*MIN(1,'01_Нормативы'!$C$4/SUM(G$2:G$429)),0)</f>
        <v/>
      </c>
      <c r="Q52" s="10">
        <f>IFERROR(H52*MIN(1,'01_Нормативы'!$C$5/SUM(H$2:H$429)),0)</f>
        <v/>
      </c>
      <c r="R52" s="10">
        <f>IFERROR(I52*MIN(1,'01_Нормативы'!$C$6/SUM(I$2:I$429)),0)</f>
        <v/>
      </c>
      <c r="S52" s="10">
        <f>IFERROR(J52*MIN(1,'01_Нормативы'!$C$7/SUM(J$2:J$429)),0)</f>
        <v/>
      </c>
      <c r="T52" s="10">
        <f>IFERROR(K52*MIN(1,'01_Нормативы'!$C$8/SUM(K$2:K$429)),0)</f>
        <v/>
      </c>
      <c r="U52" s="10">
        <f>IFERROR(L52*MIN(1,'01_Нормативы'!$C$9/SUM(L$2:L$429)),0)</f>
        <v/>
      </c>
      <c r="V52" s="10">
        <f>IFERROR(M52*MIN(1,'01_Нормативы'!$C$10/SUM(M$2:M$429)),0)</f>
        <v/>
      </c>
      <c r="W52" s="10">
        <f>IFERROR(N52*MIN(1,'01_Нормативы'!$C$11/SUM(N$2:N$429)),0)</f>
        <v/>
      </c>
      <c r="X52" s="10">
        <f>SUM(P52:W52)</f>
        <v/>
      </c>
      <c r="Y52" s="10">
        <f>MAX(0,C52-X52)</f>
        <v/>
      </c>
      <c r="Z52" s="10">
        <f>IF(D52=0,100,X52/D52*100)</f>
        <v/>
      </c>
      <c r="AA52" s="10">
        <f>'02_Данные'!F52+'02_Данные'!G52</f>
        <v/>
      </c>
      <c r="AB52" s="10">
        <f>MIN('02_Данные'!L52,AA52)</f>
        <v/>
      </c>
      <c r="AC52" s="10">
        <f>AA52-AB52</f>
        <v/>
      </c>
      <c r="AD52" s="10">
        <f>MIN('02_Данные'!M52,AC52)</f>
        <v/>
      </c>
      <c r="AE52" s="10">
        <f>AC52-AD52</f>
        <v/>
      </c>
      <c r="AF52" s="10">
        <f>MIN('02_Данные'!N52,AE52)</f>
        <v/>
      </c>
      <c r="AG52" s="10">
        <f>AE52-AF52</f>
        <v/>
      </c>
      <c r="AH52" s="10">
        <f>MIN('02_Данные'!S52,AG52)</f>
        <v/>
      </c>
      <c r="AI52" s="10">
        <f>AG52-AH52</f>
        <v/>
      </c>
      <c r="AJ52" s="10">
        <f>MIN('02_Данные'!P52,AI52)</f>
        <v/>
      </c>
      <c r="AK52" s="10">
        <f>AI52-AJ52</f>
        <v/>
      </c>
      <c r="AL52" s="10">
        <f>MIN('02_Данные'!O52,AK52)</f>
        <v/>
      </c>
      <c r="AM52" s="10">
        <f>AK52-AL52</f>
        <v/>
      </c>
      <c r="AN52" s="10">
        <f>MIN('02_Данные'!Q52,AM52)</f>
        <v/>
      </c>
      <c r="AO52" s="10">
        <f>AM52-AN52</f>
        <v/>
      </c>
      <c r="AP52" s="10">
        <f>MIN('02_Данные'!R52,AO52)</f>
        <v/>
      </c>
      <c r="AQ52" s="10">
        <f>AO52-AP52</f>
        <v/>
      </c>
      <c r="AR52" s="10">
        <f>AQ52+'02_Данные'!H52</f>
        <v/>
      </c>
      <c r="AS52" s="10">
        <f>MIN('02_Данные'!T52,AR52)</f>
        <v/>
      </c>
      <c r="AT52" s="10">
        <f>AR52-AS52</f>
        <v/>
      </c>
      <c r="AU52" s="10">
        <f>MIN('02_Данные'!U52,AT52)</f>
        <v/>
      </c>
      <c r="AV52" s="10">
        <f>AT52-AU52</f>
        <v/>
      </c>
      <c r="AW52" s="10">
        <f>MIN('02_Данные'!V52,AV52)</f>
        <v/>
      </c>
      <c r="AX52" s="10">
        <f>AV52-AW52</f>
        <v/>
      </c>
      <c r="AY52" s="10">
        <f>MIN('02_Данные'!AA52,AX52)</f>
        <v/>
      </c>
      <c r="AZ52" s="10">
        <f>AX52-AY52</f>
        <v/>
      </c>
      <c r="BA52" s="10">
        <f>MIN('02_Данные'!X52,AZ52)</f>
        <v/>
      </c>
      <c r="BB52" s="10">
        <f>AZ52-BA52</f>
        <v/>
      </c>
      <c r="BC52" s="10">
        <f>MIN('02_Данные'!W52,BB52)</f>
        <v/>
      </c>
      <c r="BD52" s="10">
        <f>BB52-BC52</f>
        <v/>
      </c>
      <c r="BE52" s="10">
        <f>MIN('02_Данные'!Y52,BD52)</f>
        <v/>
      </c>
      <c r="BF52" s="10">
        <f>BD52-BE52</f>
        <v/>
      </c>
      <c r="BG52" s="10">
        <f>MIN('02_Данные'!Z52,BF52)</f>
        <v/>
      </c>
      <c r="BH52" s="10">
        <f>BF52-BG52</f>
        <v/>
      </c>
      <c r="BI52" s="10">
        <f>BH52+'02_Данные'!I52</f>
        <v/>
      </c>
      <c r="BJ52" s="10">
        <f>MIN('02_Данные'!AB52,BI52)</f>
        <v/>
      </c>
      <c r="BK52" s="10">
        <f>BI52-BJ52</f>
        <v/>
      </c>
      <c r="BL52" s="10">
        <f>MIN('02_Данные'!AC52,BK52)</f>
        <v/>
      </c>
      <c r="BM52" s="10">
        <f>BK52-BL52</f>
        <v/>
      </c>
      <c r="BN52" s="10">
        <f>MIN('02_Данные'!AD52,BM52)</f>
        <v/>
      </c>
      <c r="BO52" s="10">
        <f>BM52-BN52</f>
        <v/>
      </c>
      <c r="BP52" s="10">
        <f>MIN('02_Данные'!AI52,BO52)</f>
        <v/>
      </c>
      <c r="BQ52" s="10">
        <f>BO52-BP52</f>
        <v/>
      </c>
      <c r="BR52" s="10">
        <f>MIN('02_Данные'!AF52,BQ52)</f>
        <v/>
      </c>
      <c r="BS52" s="10">
        <f>BQ52-BR52</f>
        <v/>
      </c>
      <c r="BT52" s="10">
        <f>MIN('02_Данные'!AE52,BS52)</f>
        <v/>
      </c>
      <c r="BU52" s="10">
        <f>BS52-BT52</f>
        <v/>
      </c>
      <c r="BV52" s="10">
        <f>MIN('02_Данные'!AG52,BU52)</f>
        <v/>
      </c>
      <c r="BW52" s="10">
        <f>BU52-BV52</f>
        <v/>
      </c>
      <c r="BX52" s="10">
        <f>MIN('02_Данные'!AH52,BW52)</f>
        <v/>
      </c>
      <c r="BY52" s="10">
        <f>BW52-BX52</f>
        <v/>
      </c>
      <c r="BZ52" s="10">
        <f>BY52+'02_Данные'!J52</f>
        <v/>
      </c>
      <c r="CA52" s="10">
        <f>MIN('02_Данные'!AJ52,BZ52)</f>
        <v/>
      </c>
      <c r="CB52" s="10">
        <f>BZ52-CA52</f>
        <v/>
      </c>
      <c r="CC52" s="10">
        <f>MIN('02_Данные'!AK52,CB52)</f>
        <v/>
      </c>
      <c r="CD52" s="10">
        <f>CB52-CC52</f>
        <v/>
      </c>
      <c r="CE52" s="10">
        <f>MIN('02_Данные'!AL52,CD52)</f>
        <v/>
      </c>
      <c r="CF52" s="10">
        <f>CD52-CE52</f>
        <v/>
      </c>
      <c r="CG52" s="10">
        <f>MIN('02_Данные'!AQ52,CF52)</f>
        <v/>
      </c>
      <c r="CH52" s="10">
        <f>CF52-CG52</f>
        <v/>
      </c>
      <c r="CI52" s="10">
        <f>MIN('02_Данные'!AN52,CH52)</f>
        <v/>
      </c>
      <c r="CJ52" s="10">
        <f>CH52-CI52</f>
        <v/>
      </c>
      <c r="CK52" s="10">
        <f>MIN('02_Данные'!AM52,CJ52)</f>
        <v/>
      </c>
      <c r="CL52" s="10">
        <f>CJ52-CK52</f>
        <v/>
      </c>
      <c r="CM52" s="10">
        <f>MIN('02_Данные'!AO52,CL52)</f>
        <v/>
      </c>
      <c r="CN52" s="10">
        <f>CL52-CM52</f>
        <v/>
      </c>
      <c r="CO52" s="10">
        <f>MIN('02_Данные'!AP52,CN52)</f>
        <v/>
      </c>
      <c r="CP52" s="10">
        <f>CN52-CO52</f>
        <v/>
      </c>
      <c r="CQ52" s="10">
        <f>CP52+'02_Данные'!K52</f>
        <v/>
      </c>
      <c r="CR52" s="10">
        <f>MIN('02_Данные'!AR52,CQ52)</f>
        <v/>
      </c>
      <c r="CS52" s="10">
        <f>CQ52-CR52</f>
        <v/>
      </c>
      <c r="CT52" s="10">
        <f>MIN('02_Данные'!AS52,CS52)</f>
        <v/>
      </c>
      <c r="CU52" s="10">
        <f>CS52-CT52</f>
        <v/>
      </c>
      <c r="CV52" s="10">
        <f>MIN('02_Данные'!AT52,CU52)</f>
        <v/>
      </c>
      <c r="CW52" s="10">
        <f>CU52-CV52</f>
        <v/>
      </c>
      <c r="CX52" s="10">
        <f>MIN('02_Данные'!AY52,CW52)</f>
        <v/>
      </c>
      <c r="CY52" s="10">
        <f>CW52-CX52</f>
        <v/>
      </c>
      <c r="CZ52" s="10">
        <f>MIN('02_Данные'!AV52,CY52)</f>
        <v/>
      </c>
      <c r="DA52" s="10">
        <f>CY52-CZ52</f>
        <v/>
      </c>
      <c r="DB52" s="10">
        <f>MIN('02_Данные'!AU52,DA52)</f>
        <v/>
      </c>
      <c r="DC52" s="10">
        <f>DA52-DB52</f>
        <v/>
      </c>
      <c r="DD52" s="10">
        <f>MIN('02_Данные'!AW52,DC52)</f>
        <v/>
      </c>
      <c r="DE52" s="10">
        <f>DC52-DD52</f>
        <v/>
      </c>
      <c r="DF52" s="10">
        <f>MIN('02_Данные'!AX52,DE52)</f>
        <v/>
      </c>
      <c r="DG52" s="10">
        <f>DE52-DF52</f>
        <v/>
      </c>
    </row>
    <row r="53">
      <c r="A53" s="9">
        <f>'02_Данные'!B53</f>
        <v/>
      </c>
      <c r="B53" s="9">
        <f>'02_Данные'!E53</f>
        <v/>
      </c>
      <c r="C53" s="10">
        <f>'02_Данные'!F53+'02_Данные'!G53+'02_Данные'!H53+'02_Данные'!I53+'02_Данные'!J53+'02_Данные'!K53</f>
        <v/>
      </c>
      <c r="D53" s="10">
        <f>SUM('02_Данные'!L53:'02_Данные'!AY53)</f>
        <v/>
      </c>
      <c r="E53" s="10">
        <f>MAX(0,D53-C53)</f>
        <v/>
      </c>
      <c r="F53" s="15">
        <f>IF(E53&gt;0.0001,"ДЕФИЦИТ",IF(Y53&gt;0.0001,"ПРОФИЦИТ","БАЛАНС"))</f>
        <v/>
      </c>
      <c r="G53" s="10">
        <f>AB53+AS53+BJ53+CA53+CR53</f>
        <v/>
      </c>
      <c r="H53" s="10">
        <f>AD53+AU53+BL53+CC53+CT53</f>
        <v/>
      </c>
      <c r="I53" s="10">
        <f>AF53+AW53+BN53+CE53+CV53</f>
        <v/>
      </c>
      <c r="J53" s="10">
        <f>AL53+BC53+BT53+CK53+DB53</f>
        <v/>
      </c>
      <c r="K53" s="10">
        <f>AJ53+BA53+BR53+CI53+CZ53</f>
        <v/>
      </c>
      <c r="L53" s="10">
        <f>AN53+BE53+BV53+CM53+DD53</f>
        <v/>
      </c>
      <c r="M53" s="10">
        <f>AP53+BG53+BX53+CO53+DF53</f>
        <v/>
      </c>
      <c r="N53" s="10">
        <f>AH53+AY53+BP53+CG53+CX53</f>
        <v/>
      </c>
      <c r="O53" s="10">
        <f>SUM(G53:N53)</f>
        <v/>
      </c>
      <c r="P53" s="10">
        <f>IFERROR(G53*MIN(1,'01_Нормативы'!$C$4/SUM(G$2:G$429)),0)</f>
        <v/>
      </c>
      <c r="Q53" s="10">
        <f>IFERROR(H53*MIN(1,'01_Нормативы'!$C$5/SUM(H$2:H$429)),0)</f>
        <v/>
      </c>
      <c r="R53" s="10">
        <f>IFERROR(I53*MIN(1,'01_Нормативы'!$C$6/SUM(I$2:I$429)),0)</f>
        <v/>
      </c>
      <c r="S53" s="10">
        <f>IFERROR(J53*MIN(1,'01_Нормативы'!$C$7/SUM(J$2:J$429)),0)</f>
        <v/>
      </c>
      <c r="T53" s="10">
        <f>IFERROR(K53*MIN(1,'01_Нормативы'!$C$8/SUM(K$2:K$429)),0)</f>
        <v/>
      </c>
      <c r="U53" s="10">
        <f>IFERROR(L53*MIN(1,'01_Нормативы'!$C$9/SUM(L$2:L$429)),0)</f>
        <v/>
      </c>
      <c r="V53" s="10">
        <f>IFERROR(M53*MIN(1,'01_Нормативы'!$C$10/SUM(M$2:M$429)),0)</f>
        <v/>
      </c>
      <c r="W53" s="10">
        <f>IFERROR(N53*MIN(1,'01_Нормативы'!$C$11/SUM(N$2:N$429)),0)</f>
        <v/>
      </c>
      <c r="X53" s="10">
        <f>SUM(P53:W53)</f>
        <v/>
      </c>
      <c r="Y53" s="10">
        <f>MAX(0,C53-X53)</f>
        <v/>
      </c>
      <c r="Z53" s="10">
        <f>IF(D53=0,100,X53/D53*100)</f>
        <v/>
      </c>
      <c r="AA53" s="10">
        <f>'02_Данные'!F53+'02_Данные'!G53</f>
        <v/>
      </c>
      <c r="AB53" s="10">
        <f>MIN('02_Данные'!L53,AA53)</f>
        <v/>
      </c>
      <c r="AC53" s="10">
        <f>AA53-AB53</f>
        <v/>
      </c>
      <c r="AD53" s="10">
        <f>MIN('02_Данные'!M53,AC53)</f>
        <v/>
      </c>
      <c r="AE53" s="10">
        <f>AC53-AD53</f>
        <v/>
      </c>
      <c r="AF53" s="10">
        <f>MIN('02_Данные'!N53,AE53)</f>
        <v/>
      </c>
      <c r="AG53" s="10">
        <f>AE53-AF53</f>
        <v/>
      </c>
      <c r="AH53" s="10">
        <f>MIN('02_Данные'!S53,AG53)</f>
        <v/>
      </c>
      <c r="AI53" s="10">
        <f>AG53-AH53</f>
        <v/>
      </c>
      <c r="AJ53" s="10">
        <f>MIN('02_Данные'!P53,AI53)</f>
        <v/>
      </c>
      <c r="AK53" s="10">
        <f>AI53-AJ53</f>
        <v/>
      </c>
      <c r="AL53" s="10">
        <f>MIN('02_Данные'!O53,AK53)</f>
        <v/>
      </c>
      <c r="AM53" s="10">
        <f>AK53-AL53</f>
        <v/>
      </c>
      <c r="AN53" s="10">
        <f>MIN('02_Данные'!Q53,AM53)</f>
        <v/>
      </c>
      <c r="AO53" s="10">
        <f>AM53-AN53</f>
        <v/>
      </c>
      <c r="AP53" s="10">
        <f>MIN('02_Данные'!R53,AO53)</f>
        <v/>
      </c>
      <c r="AQ53" s="10">
        <f>AO53-AP53</f>
        <v/>
      </c>
      <c r="AR53" s="10">
        <f>AQ53+'02_Данные'!H53</f>
        <v/>
      </c>
      <c r="AS53" s="10">
        <f>MIN('02_Данные'!T53,AR53)</f>
        <v/>
      </c>
      <c r="AT53" s="10">
        <f>AR53-AS53</f>
        <v/>
      </c>
      <c r="AU53" s="10">
        <f>MIN('02_Данные'!U53,AT53)</f>
        <v/>
      </c>
      <c r="AV53" s="10">
        <f>AT53-AU53</f>
        <v/>
      </c>
      <c r="AW53" s="10">
        <f>MIN('02_Данные'!V53,AV53)</f>
        <v/>
      </c>
      <c r="AX53" s="10">
        <f>AV53-AW53</f>
        <v/>
      </c>
      <c r="AY53" s="10">
        <f>MIN('02_Данные'!AA53,AX53)</f>
        <v/>
      </c>
      <c r="AZ53" s="10">
        <f>AX53-AY53</f>
        <v/>
      </c>
      <c r="BA53" s="10">
        <f>MIN('02_Данные'!X53,AZ53)</f>
        <v/>
      </c>
      <c r="BB53" s="10">
        <f>AZ53-BA53</f>
        <v/>
      </c>
      <c r="BC53" s="10">
        <f>MIN('02_Данные'!W53,BB53)</f>
        <v/>
      </c>
      <c r="BD53" s="10">
        <f>BB53-BC53</f>
        <v/>
      </c>
      <c r="BE53" s="10">
        <f>MIN('02_Данные'!Y53,BD53)</f>
        <v/>
      </c>
      <c r="BF53" s="10">
        <f>BD53-BE53</f>
        <v/>
      </c>
      <c r="BG53" s="10">
        <f>MIN('02_Данные'!Z53,BF53)</f>
        <v/>
      </c>
      <c r="BH53" s="10">
        <f>BF53-BG53</f>
        <v/>
      </c>
      <c r="BI53" s="10">
        <f>BH53+'02_Данные'!I53</f>
        <v/>
      </c>
      <c r="BJ53" s="10">
        <f>MIN('02_Данные'!AB53,BI53)</f>
        <v/>
      </c>
      <c r="BK53" s="10">
        <f>BI53-BJ53</f>
        <v/>
      </c>
      <c r="BL53" s="10">
        <f>MIN('02_Данные'!AC53,BK53)</f>
        <v/>
      </c>
      <c r="BM53" s="10">
        <f>BK53-BL53</f>
        <v/>
      </c>
      <c r="BN53" s="10">
        <f>MIN('02_Данные'!AD53,BM53)</f>
        <v/>
      </c>
      <c r="BO53" s="10">
        <f>BM53-BN53</f>
        <v/>
      </c>
      <c r="BP53" s="10">
        <f>MIN('02_Данные'!AI53,BO53)</f>
        <v/>
      </c>
      <c r="BQ53" s="10">
        <f>BO53-BP53</f>
        <v/>
      </c>
      <c r="BR53" s="10">
        <f>MIN('02_Данные'!AF53,BQ53)</f>
        <v/>
      </c>
      <c r="BS53" s="10">
        <f>BQ53-BR53</f>
        <v/>
      </c>
      <c r="BT53" s="10">
        <f>MIN('02_Данные'!AE53,BS53)</f>
        <v/>
      </c>
      <c r="BU53" s="10">
        <f>BS53-BT53</f>
        <v/>
      </c>
      <c r="BV53" s="10">
        <f>MIN('02_Данные'!AG53,BU53)</f>
        <v/>
      </c>
      <c r="BW53" s="10">
        <f>BU53-BV53</f>
        <v/>
      </c>
      <c r="BX53" s="10">
        <f>MIN('02_Данные'!AH53,BW53)</f>
        <v/>
      </c>
      <c r="BY53" s="10">
        <f>BW53-BX53</f>
        <v/>
      </c>
      <c r="BZ53" s="10">
        <f>BY53+'02_Данные'!J53</f>
        <v/>
      </c>
      <c r="CA53" s="10">
        <f>MIN('02_Данные'!AJ53,BZ53)</f>
        <v/>
      </c>
      <c r="CB53" s="10">
        <f>BZ53-CA53</f>
        <v/>
      </c>
      <c r="CC53" s="10">
        <f>MIN('02_Данные'!AK53,CB53)</f>
        <v/>
      </c>
      <c r="CD53" s="10">
        <f>CB53-CC53</f>
        <v/>
      </c>
      <c r="CE53" s="10">
        <f>MIN('02_Данные'!AL53,CD53)</f>
        <v/>
      </c>
      <c r="CF53" s="10">
        <f>CD53-CE53</f>
        <v/>
      </c>
      <c r="CG53" s="10">
        <f>MIN('02_Данные'!AQ53,CF53)</f>
        <v/>
      </c>
      <c r="CH53" s="10">
        <f>CF53-CG53</f>
        <v/>
      </c>
      <c r="CI53" s="10">
        <f>MIN('02_Данные'!AN53,CH53)</f>
        <v/>
      </c>
      <c r="CJ53" s="10">
        <f>CH53-CI53</f>
        <v/>
      </c>
      <c r="CK53" s="10">
        <f>MIN('02_Данные'!AM53,CJ53)</f>
        <v/>
      </c>
      <c r="CL53" s="10">
        <f>CJ53-CK53</f>
        <v/>
      </c>
      <c r="CM53" s="10">
        <f>MIN('02_Данные'!AO53,CL53)</f>
        <v/>
      </c>
      <c r="CN53" s="10">
        <f>CL53-CM53</f>
        <v/>
      </c>
      <c r="CO53" s="10">
        <f>MIN('02_Данные'!AP53,CN53)</f>
        <v/>
      </c>
      <c r="CP53" s="10">
        <f>CN53-CO53</f>
        <v/>
      </c>
      <c r="CQ53" s="10">
        <f>CP53+'02_Данные'!K53</f>
        <v/>
      </c>
      <c r="CR53" s="10">
        <f>MIN('02_Данные'!AR53,CQ53)</f>
        <v/>
      </c>
      <c r="CS53" s="10">
        <f>CQ53-CR53</f>
        <v/>
      </c>
      <c r="CT53" s="10">
        <f>MIN('02_Данные'!AS53,CS53)</f>
        <v/>
      </c>
      <c r="CU53" s="10">
        <f>CS53-CT53</f>
        <v/>
      </c>
      <c r="CV53" s="10">
        <f>MIN('02_Данные'!AT53,CU53)</f>
        <v/>
      </c>
      <c r="CW53" s="10">
        <f>CU53-CV53</f>
        <v/>
      </c>
      <c r="CX53" s="10">
        <f>MIN('02_Данные'!AY53,CW53)</f>
        <v/>
      </c>
      <c r="CY53" s="10">
        <f>CW53-CX53</f>
        <v/>
      </c>
      <c r="CZ53" s="10">
        <f>MIN('02_Данные'!AV53,CY53)</f>
        <v/>
      </c>
      <c r="DA53" s="10">
        <f>CY53-CZ53</f>
        <v/>
      </c>
      <c r="DB53" s="10">
        <f>MIN('02_Данные'!AU53,DA53)</f>
        <v/>
      </c>
      <c r="DC53" s="10">
        <f>DA53-DB53</f>
        <v/>
      </c>
      <c r="DD53" s="10">
        <f>MIN('02_Данные'!AW53,DC53)</f>
        <v/>
      </c>
      <c r="DE53" s="10">
        <f>DC53-DD53</f>
        <v/>
      </c>
      <c r="DF53" s="10">
        <f>MIN('02_Данные'!AX53,DE53)</f>
        <v/>
      </c>
      <c r="DG53" s="10">
        <f>DE53-DF53</f>
        <v/>
      </c>
    </row>
    <row r="54">
      <c r="A54" s="9">
        <f>'02_Данные'!B54</f>
        <v/>
      </c>
      <c r="B54" s="9">
        <f>'02_Данные'!E54</f>
        <v/>
      </c>
      <c r="C54" s="10">
        <f>'02_Данные'!F54+'02_Данные'!G54+'02_Данные'!H54+'02_Данные'!I54+'02_Данные'!J54+'02_Данные'!K54</f>
        <v/>
      </c>
      <c r="D54" s="10">
        <f>SUM('02_Данные'!L54:'02_Данные'!AY54)</f>
        <v/>
      </c>
      <c r="E54" s="10">
        <f>MAX(0,D54-C54)</f>
        <v/>
      </c>
      <c r="F54" s="15">
        <f>IF(E54&gt;0.0001,"ДЕФИЦИТ",IF(Y54&gt;0.0001,"ПРОФИЦИТ","БАЛАНС"))</f>
        <v/>
      </c>
      <c r="G54" s="10">
        <f>AB54+AS54+BJ54+CA54+CR54</f>
        <v/>
      </c>
      <c r="H54" s="10">
        <f>AD54+AU54+BL54+CC54+CT54</f>
        <v/>
      </c>
      <c r="I54" s="10">
        <f>AF54+AW54+BN54+CE54+CV54</f>
        <v/>
      </c>
      <c r="J54" s="10">
        <f>AL54+BC54+BT54+CK54+DB54</f>
        <v/>
      </c>
      <c r="K54" s="10">
        <f>AJ54+BA54+BR54+CI54+CZ54</f>
        <v/>
      </c>
      <c r="L54" s="10">
        <f>AN54+BE54+BV54+CM54+DD54</f>
        <v/>
      </c>
      <c r="M54" s="10">
        <f>AP54+BG54+BX54+CO54+DF54</f>
        <v/>
      </c>
      <c r="N54" s="10">
        <f>AH54+AY54+BP54+CG54+CX54</f>
        <v/>
      </c>
      <c r="O54" s="10">
        <f>SUM(G54:N54)</f>
        <v/>
      </c>
      <c r="P54" s="10">
        <f>IFERROR(G54*MIN(1,'01_Нормативы'!$C$4/SUM(G$2:G$429)),0)</f>
        <v/>
      </c>
      <c r="Q54" s="10">
        <f>IFERROR(H54*MIN(1,'01_Нормативы'!$C$5/SUM(H$2:H$429)),0)</f>
        <v/>
      </c>
      <c r="R54" s="10">
        <f>IFERROR(I54*MIN(1,'01_Нормативы'!$C$6/SUM(I$2:I$429)),0)</f>
        <v/>
      </c>
      <c r="S54" s="10">
        <f>IFERROR(J54*MIN(1,'01_Нормативы'!$C$7/SUM(J$2:J$429)),0)</f>
        <v/>
      </c>
      <c r="T54" s="10">
        <f>IFERROR(K54*MIN(1,'01_Нормативы'!$C$8/SUM(K$2:K$429)),0)</f>
        <v/>
      </c>
      <c r="U54" s="10">
        <f>IFERROR(L54*MIN(1,'01_Нормативы'!$C$9/SUM(L$2:L$429)),0)</f>
        <v/>
      </c>
      <c r="V54" s="10">
        <f>IFERROR(M54*MIN(1,'01_Нормативы'!$C$10/SUM(M$2:M$429)),0)</f>
        <v/>
      </c>
      <c r="W54" s="10">
        <f>IFERROR(N54*MIN(1,'01_Нормативы'!$C$11/SUM(N$2:N$429)),0)</f>
        <v/>
      </c>
      <c r="X54" s="10">
        <f>SUM(P54:W54)</f>
        <v/>
      </c>
      <c r="Y54" s="10">
        <f>MAX(0,C54-X54)</f>
        <v/>
      </c>
      <c r="Z54" s="10">
        <f>IF(D54=0,100,X54/D54*100)</f>
        <v/>
      </c>
      <c r="AA54" s="10">
        <f>'02_Данные'!F54+'02_Данные'!G54</f>
        <v/>
      </c>
      <c r="AB54" s="10">
        <f>MIN('02_Данные'!L54,AA54)</f>
        <v/>
      </c>
      <c r="AC54" s="10">
        <f>AA54-AB54</f>
        <v/>
      </c>
      <c r="AD54" s="10">
        <f>MIN('02_Данные'!M54,AC54)</f>
        <v/>
      </c>
      <c r="AE54" s="10">
        <f>AC54-AD54</f>
        <v/>
      </c>
      <c r="AF54" s="10">
        <f>MIN('02_Данные'!N54,AE54)</f>
        <v/>
      </c>
      <c r="AG54" s="10">
        <f>AE54-AF54</f>
        <v/>
      </c>
      <c r="AH54" s="10">
        <f>MIN('02_Данные'!S54,AG54)</f>
        <v/>
      </c>
      <c r="AI54" s="10">
        <f>AG54-AH54</f>
        <v/>
      </c>
      <c r="AJ54" s="10">
        <f>MIN('02_Данные'!P54,AI54)</f>
        <v/>
      </c>
      <c r="AK54" s="10">
        <f>AI54-AJ54</f>
        <v/>
      </c>
      <c r="AL54" s="10">
        <f>MIN('02_Данные'!O54,AK54)</f>
        <v/>
      </c>
      <c r="AM54" s="10">
        <f>AK54-AL54</f>
        <v/>
      </c>
      <c r="AN54" s="10">
        <f>MIN('02_Данные'!Q54,AM54)</f>
        <v/>
      </c>
      <c r="AO54" s="10">
        <f>AM54-AN54</f>
        <v/>
      </c>
      <c r="AP54" s="10">
        <f>MIN('02_Данные'!R54,AO54)</f>
        <v/>
      </c>
      <c r="AQ54" s="10">
        <f>AO54-AP54</f>
        <v/>
      </c>
      <c r="AR54" s="10">
        <f>AQ54+'02_Данные'!H54</f>
        <v/>
      </c>
      <c r="AS54" s="10">
        <f>MIN('02_Данные'!T54,AR54)</f>
        <v/>
      </c>
      <c r="AT54" s="10">
        <f>AR54-AS54</f>
        <v/>
      </c>
      <c r="AU54" s="10">
        <f>MIN('02_Данные'!U54,AT54)</f>
        <v/>
      </c>
      <c r="AV54" s="10">
        <f>AT54-AU54</f>
        <v/>
      </c>
      <c r="AW54" s="10">
        <f>MIN('02_Данные'!V54,AV54)</f>
        <v/>
      </c>
      <c r="AX54" s="10">
        <f>AV54-AW54</f>
        <v/>
      </c>
      <c r="AY54" s="10">
        <f>MIN('02_Данные'!AA54,AX54)</f>
        <v/>
      </c>
      <c r="AZ54" s="10">
        <f>AX54-AY54</f>
        <v/>
      </c>
      <c r="BA54" s="10">
        <f>MIN('02_Данные'!X54,AZ54)</f>
        <v/>
      </c>
      <c r="BB54" s="10">
        <f>AZ54-BA54</f>
        <v/>
      </c>
      <c r="BC54" s="10">
        <f>MIN('02_Данные'!W54,BB54)</f>
        <v/>
      </c>
      <c r="BD54" s="10">
        <f>BB54-BC54</f>
        <v/>
      </c>
      <c r="BE54" s="10">
        <f>MIN('02_Данные'!Y54,BD54)</f>
        <v/>
      </c>
      <c r="BF54" s="10">
        <f>BD54-BE54</f>
        <v/>
      </c>
      <c r="BG54" s="10">
        <f>MIN('02_Данные'!Z54,BF54)</f>
        <v/>
      </c>
      <c r="BH54" s="10">
        <f>BF54-BG54</f>
        <v/>
      </c>
      <c r="BI54" s="10">
        <f>BH54+'02_Данные'!I54</f>
        <v/>
      </c>
      <c r="BJ54" s="10">
        <f>MIN('02_Данные'!AB54,BI54)</f>
        <v/>
      </c>
      <c r="BK54" s="10">
        <f>BI54-BJ54</f>
        <v/>
      </c>
      <c r="BL54" s="10">
        <f>MIN('02_Данные'!AC54,BK54)</f>
        <v/>
      </c>
      <c r="BM54" s="10">
        <f>BK54-BL54</f>
        <v/>
      </c>
      <c r="BN54" s="10">
        <f>MIN('02_Данные'!AD54,BM54)</f>
        <v/>
      </c>
      <c r="BO54" s="10">
        <f>BM54-BN54</f>
        <v/>
      </c>
      <c r="BP54" s="10">
        <f>MIN('02_Данные'!AI54,BO54)</f>
        <v/>
      </c>
      <c r="BQ54" s="10">
        <f>BO54-BP54</f>
        <v/>
      </c>
      <c r="BR54" s="10">
        <f>MIN('02_Данные'!AF54,BQ54)</f>
        <v/>
      </c>
      <c r="BS54" s="10">
        <f>BQ54-BR54</f>
        <v/>
      </c>
      <c r="BT54" s="10">
        <f>MIN('02_Данные'!AE54,BS54)</f>
        <v/>
      </c>
      <c r="BU54" s="10">
        <f>BS54-BT54</f>
        <v/>
      </c>
      <c r="BV54" s="10">
        <f>MIN('02_Данные'!AG54,BU54)</f>
        <v/>
      </c>
      <c r="BW54" s="10">
        <f>BU54-BV54</f>
        <v/>
      </c>
      <c r="BX54" s="10">
        <f>MIN('02_Данные'!AH54,BW54)</f>
        <v/>
      </c>
      <c r="BY54" s="10">
        <f>BW54-BX54</f>
        <v/>
      </c>
      <c r="BZ54" s="10">
        <f>BY54+'02_Данные'!J54</f>
        <v/>
      </c>
      <c r="CA54" s="10">
        <f>MIN('02_Данные'!AJ54,BZ54)</f>
        <v/>
      </c>
      <c r="CB54" s="10">
        <f>BZ54-CA54</f>
        <v/>
      </c>
      <c r="CC54" s="10">
        <f>MIN('02_Данные'!AK54,CB54)</f>
        <v/>
      </c>
      <c r="CD54" s="10">
        <f>CB54-CC54</f>
        <v/>
      </c>
      <c r="CE54" s="10">
        <f>MIN('02_Данные'!AL54,CD54)</f>
        <v/>
      </c>
      <c r="CF54" s="10">
        <f>CD54-CE54</f>
        <v/>
      </c>
      <c r="CG54" s="10">
        <f>MIN('02_Данные'!AQ54,CF54)</f>
        <v/>
      </c>
      <c r="CH54" s="10">
        <f>CF54-CG54</f>
        <v/>
      </c>
      <c r="CI54" s="10">
        <f>MIN('02_Данные'!AN54,CH54)</f>
        <v/>
      </c>
      <c r="CJ54" s="10">
        <f>CH54-CI54</f>
        <v/>
      </c>
      <c r="CK54" s="10">
        <f>MIN('02_Данные'!AM54,CJ54)</f>
        <v/>
      </c>
      <c r="CL54" s="10">
        <f>CJ54-CK54</f>
        <v/>
      </c>
      <c r="CM54" s="10">
        <f>MIN('02_Данные'!AO54,CL54)</f>
        <v/>
      </c>
      <c r="CN54" s="10">
        <f>CL54-CM54</f>
        <v/>
      </c>
      <c r="CO54" s="10">
        <f>MIN('02_Данные'!AP54,CN54)</f>
        <v/>
      </c>
      <c r="CP54" s="10">
        <f>CN54-CO54</f>
        <v/>
      </c>
      <c r="CQ54" s="10">
        <f>CP54+'02_Данные'!K54</f>
        <v/>
      </c>
      <c r="CR54" s="10">
        <f>MIN('02_Данные'!AR54,CQ54)</f>
        <v/>
      </c>
      <c r="CS54" s="10">
        <f>CQ54-CR54</f>
        <v/>
      </c>
      <c r="CT54" s="10">
        <f>MIN('02_Данные'!AS54,CS54)</f>
        <v/>
      </c>
      <c r="CU54" s="10">
        <f>CS54-CT54</f>
        <v/>
      </c>
      <c r="CV54" s="10">
        <f>MIN('02_Данные'!AT54,CU54)</f>
        <v/>
      </c>
      <c r="CW54" s="10">
        <f>CU54-CV54</f>
        <v/>
      </c>
      <c r="CX54" s="10">
        <f>MIN('02_Данные'!AY54,CW54)</f>
        <v/>
      </c>
      <c r="CY54" s="10">
        <f>CW54-CX54</f>
        <v/>
      </c>
      <c r="CZ54" s="10">
        <f>MIN('02_Данные'!AV54,CY54)</f>
        <v/>
      </c>
      <c r="DA54" s="10">
        <f>CY54-CZ54</f>
        <v/>
      </c>
      <c r="DB54" s="10">
        <f>MIN('02_Данные'!AU54,DA54)</f>
        <v/>
      </c>
      <c r="DC54" s="10">
        <f>DA54-DB54</f>
        <v/>
      </c>
      <c r="DD54" s="10">
        <f>MIN('02_Данные'!AW54,DC54)</f>
        <v/>
      </c>
      <c r="DE54" s="10">
        <f>DC54-DD54</f>
        <v/>
      </c>
      <c r="DF54" s="10">
        <f>MIN('02_Данные'!AX54,DE54)</f>
        <v/>
      </c>
      <c r="DG54" s="10">
        <f>DE54-DF54</f>
        <v/>
      </c>
    </row>
    <row r="55">
      <c r="A55" s="9">
        <f>'02_Данные'!B55</f>
        <v/>
      </c>
      <c r="B55" s="9">
        <f>'02_Данные'!E55</f>
        <v/>
      </c>
      <c r="C55" s="10">
        <f>'02_Данные'!F55+'02_Данные'!G55+'02_Данные'!H55+'02_Данные'!I55+'02_Данные'!J55+'02_Данные'!K55</f>
        <v/>
      </c>
      <c r="D55" s="10">
        <f>SUM('02_Данные'!L55:'02_Данные'!AY55)</f>
        <v/>
      </c>
      <c r="E55" s="10">
        <f>MAX(0,D55-C55)</f>
        <v/>
      </c>
      <c r="F55" s="15">
        <f>IF(E55&gt;0.0001,"ДЕФИЦИТ",IF(Y55&gt;0.0001,"ПРОФИЦИТ","БАЛАНС"))</f>
        <v/>
      </c>
      <c r="G55" s="10">
        <f>AB55+AS55+BJ55+CA55+CR55</f>
        <v/>
      </c>
      <c r="H55" s="10">
        <f>AD55+AU55+BL55+CC55+CT55</f>
        <v/>
      </c>
      <c r="I55" s="10">
        <f>AF55+AW55+BN55+CE55+CV55</f>
        <v/>
      </c>
      <c r="J55" s="10">
        <f>AL55+BC55+BT55+CK55+DB55</f>
        <v/>
      </c>
      <c r="K55" s="10">
        <f>AJ55+BA55+BR55+CI55+CZ55</f>
        <v/>
      </c>
      <c r="L55" s="10">
        <f>AN55+BE55+BV55+CM55+DD55</f>
        <v/>
      </c>
      <c r="M55" s="10">
        <f>AP55+BG55+BX55+CO55+DF55</f>
        <v/>
      </c>
      <c r="N55" s="10">
        <f>AH55+AY55+BP55+CG55+CX55</f>
        <v/>
      </c>
      <c r="O55" s="10">
        <f>SUM(G55:N55)</f>
        <v/>
      </c>
      <c r="P55" s="10">
        <f>IFERROR(G55*MIN(1,'01_Нормативы'!$C$4/SUM(G$2:G$429)),0)</f>
        <v/>
      </c>
      <c r="Q55" s="10">
        <f>IFERROR(H55*MIN(1,'01_Нормативы'!$C$5/SUM(H$2:H$429)),0)</f>
        <v/>
      </c>
      <c r="R55" s="10">
        <f>IFERROR(I55*MIN(1,'01_Нормативы'!$C$6/SUM(I$2:I$429)),0)</f>
        <v/>
      </c>
      <c r="S55" s="10">
        <f>IFERROR(J55*MIN(1,'01_Нормативы'!$C$7/SUM(J$2:J$429)),0)</f>
        <v/>
      </c>
      <c r="T55" s="10">
        <f>IFERROR(K55*MIN(1,'01_Нормативы'!$C$8/SUM(K$2:K$429)),0)</f>
        <v/>
      </c>
      <c r="U55" s="10">
        <f>IFERROR(L55*MIN(1,'01_Нормативы'!$C$9/SUM(L$2:L$429)),0)</f>
        <v/>
      </c>
      <c r="V55" s="10">
        <f>IFERROR(M55*MIN(1,'01_Нормативы'!$C$10/SUM(M$2:M$429)),0)</f>
        <v/>
      </c>
      <c r="W55" s="10">
        <f>IFERROR(N55*MIN(1,'01_Нормативы'!$C$11/SUM(N$2:N$429)),0)</f>
        <v/>
      </c>
      <c r="X55" s="10">
        <f>SUM(P55:W55)</f>
        <v/>
      </c>
      <c r="Y55" s="10">
        <f>MAX(0,C55-X55)</f>
        <v/>
      </c>
      <c r="Z55" s="10">
        <f>IF(D55=0,100,X55/D55*100)</f>
        <v/>
      </c>
      <c r="AA55" s="10">
        <f>'02_Данные'!F55+'02_Данные'!G55</f>
        <v/>
      </c>
      <c r="AB55" s="10">
        <f>MIN('02_Данные'!L55,AA55)</f>
        <v/>
      </c>
      <c r="AC55" s="10">
        <f>AA55-AB55</f>
        <v/>
      </c>
      <c r="AD55" s="10">
        <f>MIN('02_Данные'!M55,AC55)</f>
        <v/>
      </c>
      <c r="AE55" s="10">
        <f>AC55-AD55</f>
        <v/>
      </c>
      <c r="AF55" s="10">
        <f>MIN('02_Данные'!N55,AE55)</f>
        <v/>
      </c>
      <c r="AG55" s="10">
        <f>AE55-AF55</f>
        <v/>
      </c>
      <c r="AH55" s="10">
        <f>MIN('02_Данные'!S55,AG55)</f>
        <v/>
      </c>
      <c r="AI55" s="10">
        <f>AG55-AH55</f>
        <v/>
      </c>
      <c r="AJ55" s="10">
        <f>MIN('02_Данные'!P55,AI55)</f>
        <v/>
      </c>
      <c r="AK55" s="10">
        <f>AI55-AJ55</f>
        <v/>
      </c>
      <c r="AL55" s="10">
        <f>MIN('02_Данные'!O55,AK55)</f>
        <v/>
      </c>
      <c r="AM55" s="10">
        <f>AK55-AL55</f>
        <v/>
      </c>
      <c r="AN55" s="10">
        <f>MIN('02_Данные'!Q55,AM55)</f>
        <v/>
      </c>
      <c r="AO55" s="10">
        <f>AM55-AN55</f>
        <v/>
      </c>
      <c r="AP55" s="10">
        <f>MIN('02_Данные'!R55,AO55)</f>
        <v/>
      </c>
      <c r="AQ55" s="10">
        <f>AO55-AP55</f>
        <v/>
      </c>
      <c r="AR55" s="10">
        <f>AQ55+'02_Данные'!H55</f>
        <v/>
      </c>
      <c r="AS55" s="10">
        <f>MIN('02_Данные'!T55,AR55)</f>
        <v/>
      </c>
      <c r="AT55" s="10">
        <f>AR55-AS55</f>
        <v/>
      </c>
      <c r="AU55" s="10">
        <f>MIN('02_Данные'!U55,AT55)</f>
        <v/>
      </c>
      <c r="AV55" s="10">
        <f>AT55-AU55</f>
        <v/>
      </c>
      <c r="AW55" s="10">
        <f>MIN('02_Данные'!V55,AV55)</f>
        <v/>
      </c>
      <c r="AX55" s="10">
        <f>AV55-AW55</f>
        <v/>
      </c>
      <c r="AY55" s="10">
        <f>MIN('02_Данные'!AA55,AX55)</f>
        <v/>
      </c>
      <c r="AZ55" s="10">
        <f>AX55-AY55</f>
        <v/>
      </c>
      <c r="BA55" s="10">
        <f>MIN('02_Данные'!X55,AZ55)</f>
        <v/>
      </c>
      <c r="BB55" s="10">
        <f>AZ55-BA55</f>
        <v/>
      </c>
      <c r="BC55" s="10">
        <f>MIN('02_Данные'!W55,BB55)</f>
        <v/>
      </c>
      <c r="BD55" s="10">
        <f>BB55-BC55</f>
        <v/>
      </c>
      <c r="BE55" s="10">
        <f>MIN('02_Данные'!Y55,BD55)</f>
        <v/>
      </c>
      <c r="BF55" s="10">
        <f>BD55-BE55</f>
        <v/>
      </c>
      <c r="BG55" s="10">
        <f>MIN('02_Данные'!Z55,BF55)</f>
        <v/>
      </c>
      <c r="BH55" s="10">
        <f>BF55-BG55</f>
        <v/>
      </c>
      <c r="BI55" s="10">
        <f>BH55+'02_Данные'!I55</f>
        <v/>
      </c>
      <c r="BJ55" s="10">
        <f>MIN('02_Данные'!AB55,BI55)</f>
        <v/>
      </c>
      <c r="BK55" s="10">
        <f>BI55-BJ55</f>
        <v/>
      </c>
      <c r="BL55" s="10">
        <f>MIN('02_Данные'!AC55,BK55)</f>
        <v/>
      </c>
      <c r="BM55" s="10">
        <f>BK55-BL55</f>
        <v/>
      </c>
      <c r="BN55" s="10">
        <f>MIN('02_Данные'!AD55,BM55)</f>
        <v/>
      </c>
      <c r="BO55" s="10">
        <f>BM55-BN55</f>
        <v/>
      </c>
      <c r="BP55" s="10">
        <f>MIN('02_Данные'!AI55,BO55)</f>
        <v/>
      </c>
      <c r="BQ55" s="10">
        <f>BO55-BP55</f>
        <v/>
      </c>
      <c r="BR55" s="10">
        <f>MIN('02_Данные'!AF55,BQ55)</f>
        <v/>
      </c>
      <c r="BS55" s="10">
        <f>BQ55-BR55</f>
        <v/>
      </c>
      <c r="BT55" s="10">
        <f>MIN('02_Данные'!AE55,BS55)</f>
        <v/>
      </c>
      <c r="BU55" s="10">
        <f>BS55-BT55</f>
        <v/>
      </c>
      <c r="BV55" s="10">
        <f>MIN('02_Данные'!AG55,BU55)</f>
        <v/>
      </c>
      <c r="BW55" s="10">
        <f>BU55-BV55</f>
        <v/>
      </c>
      <c r="BX55" s="10">
        <f>MIN('02_Данные'!AH55,BW55)</f>
        <v/>
      </c>
      <c r="BY55" s="10">
        <f>BW55-BX55</f>
        <v/>
      </c>
      <c r="BZ55" s="10">
        <f>BY55+'02_Данные'!J55</f>
        <v/>
      </c>
      <c r="CA55" s="10">
        <f>MIN('02_Данные'!AJ55,BZ55)</f>
        <v/>
      </c>
      <c r="CB55" s="10">
        <f>BZ55-CA55</f>
        <v/>
      </c>
      <c r="CC55" s="10">
        <f>MIN('02_Данные'!AK55,CB55)</f>
        <v/>
      </c>
      <c r="CD55" s="10">
        <f>CB55-CC55</f>
        <v/>
      </c>
      <c r="CE55" s="10">
        <f>MIN('02_Данные'!AL55,CD55)</f>
        <v/>
      </c>
      <c r="CF55" s="10">
        <f>CD55-CE55</f>
        <v/>
      </c>
      <c r="CG55" s="10">
        <f>MIN('02_Данные'!AQ55,CF55)</f>
        <v/>
      </c>
      <c r="CH55" s="10">
        <f>CF55-CG55</f>
        <v/>
      </c>
      <c r="CI55" s="10">
        <f>MIN('02_Данные'!AN55,CH55)</f>
        <v/>
      </c>
      <c r="CJ55" s="10">
        <f>CH55-CI55</f>
        <v/>
      </c>
      <c r="CK55" s="10">
        <f>MIN('02_Данные'!AM55,CJ55)</f>
        <v/>
      </c>
      <c r="CL55" s="10">
        <f>CJ55-CK55</f>
        <v/>
      </c>
      <c r="CM55" s="10">
        <f>MIN('02_Данные'!AO55,CL55)</f>
        <v/>
      </c>
      <c r="CN55" s="10">
        <f>CL55-CM55</f>
        <v/>
      </c>
      <c r="CO55" s="10">
        <f>MIN('02_Данные'!AP55,CN55)</f>
        <v/>
      </c>
      <c r="CP55" s="10">
        <f>CN55-CO55</f>
        <v/>
      </c>
      <c r="CQ55" s="10">
        <f>CP55+'02_Данные'!K55</f>
        <v/>
      </c>
      <c r="CR55" s="10">
        <f>MIN('02_Данные'!AR55,CQ55)</f>
        <v/>
      </c>
      <c r="CS55" s="10">
        <f>CQ55-CR55</f>
        <v/>
      </c>
      <c r="CT55" s="10">
        <f>MIN('02_Данные'!AS55,CS55)</f>
        <v/>
      </c>
      <c r="CU55" s="10">
        <f>CS55-CT55</f>
        <v/>
      </c>
      <c r="CV55" s="10">
        <f>MIN('02_Данные'!AT55,CU55)</f>
        <v/>
      </c>
      <c r="CW55" s="10">
        <f>CU55-CV55</f>
        <v/>
      </c>
      <c r="CX55" s="10">
        <f>MIN('02_Данные'!AY55,CW55)</f>
        <v/>
      </c>
      <c r="CY55" s="10">
        <f>CW55-CX55</f>
        <v/>
      </c>
      <c r="CZ55" s="10">
        <f>MIN('02_Данные'!AV55,CY55)</f>
        <v/>
      </c>
      <c r="DA55" s="10">
        <f>CY55-CZ55</f>
        <v/>
      </c>
      <c r="DB55" s="10">
        <f>MIN('02_Данные'!AU55,DA55)</f>
        <v/>
      </c>
      <c r="DC55" s="10">
        <f>DA55-DB55</f>
        <v/>
      </c>
      <c r="DD55" s="10">
        <f>MIN('02_Данные'!AW55,DC55)</f>
        <v/>
      </c>
      <c r="DE55" s="10">
        <f>DC55-DD55</f>
        <v/>
      </c>
      <c r="DF55" s="10">
        <f>MIN('02_Данные'!AX55,DE55)</f>
        <v/>
      </c>
      <c r="DG55" s="10">
        <f>DE55-DF55</f>
        <v/>
      </c>
    </row>
    <row r="56">
      <c r="A56" s="9">
        <f>'02_Данные'!B56</f>
        <v/>
      </c>
      <c r="B56" s="9">
        <f>'02_Данные'!E56</f>
        <v/>
      </c>
      <c r="C56" s="10">
        <f>'02_Данные'!F56+'02_Данные'!G56+'02_Данные'!H56+'02_Данные'!I56+'02_Данные'!J56+'02_Данные'!K56</f>
        <v/>
      </c>
      <c r="D56" s="10">
        <f>SUM('02_Данные'!L56:'02_Данные'!AY56)</f>
        <v/>
      </c>
      <c r="E56" s="10">
        <f>MAX(0,D56-C56)</f>
        <v/>
      </c>
      <c r="F56" s="15">
        <f>IF(E56&gt;0.0001,"ДЕФИЦИТ",IF(Y56&gt;0.0001,"ПРОФИЦИТ","БАЛАНС"))</f>
        <v/>
      </c>
      <c r="G56" s="10">
        <f>AB56+AS56+BJ56+CA56+CR56</f>
        <v/>
      </c>
      <c r="H56" s="10">
        <f>AD56+AU56+BL56+CC56+CT56</f>
        <v/>
      </c>
      <c r="I56" s="10">
        <f>AF56+AW56+BN56+CE56+CV56</f>
        <v/>
      </c>
      <c r="J56" s="10">
        <f>AL56+BC56+BT56+CK56+DB56</f>
        <v/>
      </c>
      <c r="K56" s="10">
        <f>AJ56+BA56+BR56+CI56+CZ56</f>
        <v/>
      </c>
      <c r="L56" s="10">
        <f>AN56+BE56+BV56+CM56+DD56</f>
        <v/>
      </c>
      <c r="M56" s="10">
        <f>AP56+BG56+BX56+CO56+DF56</f>
        <v/>
      </c>
      <c r="N56" s="10">
        <f>AH56+AY56+BP56+CG56+CX56</f>
        <v/>
      </c>
      <c r="O56" s="10">
        <f>SUM(G56:N56)</f>
        <v/>
      </c>
      <c r="P56" s="10">
        <f>IFERROR(G56*MIN(1,'01_Нормативы'!$C$4/SUM(G$2:G$429)),0)</f>
        <v/>
      </c>
      <c r="Q56" s="10">
        <f>IFERROR(H56*MIN(1,'01_Нормативы'!$C$5/SUM(H$2:H$429)),0)</f>
        <v/>
      </c>
      <c r="R56" s="10">
        <f>IFERROR(I56*MIN(1,'01_Нормативы'!$C$6/SUM(I$2:I$429)),0)</f>
        <v/>
      </c>
      <c r="S56" s="10">
        <f>IFERROR(J56*MIN(1,'01_Нормативы'!$C$7/SUM(J$2:J$429)),0)</f>
        <v/>
      </c>
      <c r="T56" s="10">
        <f>IFERROR(K56*MIN(1,'01_Нормативы'!$C$8/SUM(K$2:K$429)),0)</f>
        <v/>
      </c>
      <c r="U56" s="10">
        <f>IFERROR(L56*MIN(1,'01_Нормативы'!$C$9/SUM(L$2:L$429)),0)</f>
        <v/>
      </c>
      <c r="V56" s="10">
        <f>IFERROR(M56*MIN(1,'01_Нормативы'!$C$10/SUM(M$2:M$429)),0)</f>
        <v/>
      </c>
      <c r="W56" s="10">
        <f>IFERROR(N56*MIN(1,'01_Нормативы'!$C$11/SUM(N$2:N$429)),0)</f>
        <v/>
      </c>
      <c r="X56" s="10">
        <f>SUM(P56:W56)</f>
        <v/>
      </c>
      <c r="Y56" s="10">
        <f>MAX(0,C56-X56)</f>
        <v/>
      </c>
      <c r="Z56" s="10">
        <f>IF(D56=0,100,X56/D56*100)</f>
        <v/>
      </c>
      <c r="AA56" s="10">
        <f>'02_Данные'!F56+'02_Данные'!G56</f>
        <v/>
      </c>
      <c r="AB56" s="10">
        <f>MIN('02_Данные'!L56,AA56)</f>
        <v/>
      </c>
      <c r="AC56" s="10">
        <f>AA56-AB56</f>
        <v/>
      </c>
      <c r="AD56" s="10">
        <f>MIN('02_Данные'!M56,AC56)</f>
        <v/>
      </c>
      <c r="AE56" s="10">
        <f>AC56-AD56</f>
        <v/>
      </c>
      <c r="AF56" s="10">
        <f>MIN('02_Данные'!N56,AE56)</f>
        <v/>
      </c>
      <c r="AG56" s="10">
        <f>AE56-AF56</f>
        <v/>
      </c>
      <c r="AH56" s="10">
        <f>MIN('02_Данные'!S56,AG56)</f>
        <v/>
      </c>
      <c r="AI56" s="10">
        <f>AG56-AH56</f>
        <v/>
      </c>
      <c r="AJ56" s="10">
        <f>MIN('02_Данные'!P56,AI56)</f>
        <v/>
      </c>
      <c r="AK56" s="10">
        <f>AI56-AJ56</f>
        <v/>
      </c>
      <c r="AL56" s="10">
        <f>MIN('02_Данные'!O56,AK56)</f>
        <v/>
      </c>
      <c r="AM56" s="10">
        <f>AK56-AL56</f>
        <v/>
      </c>
      <c r="AN56" s="10">
        <f>MIN('02_Данные'!Q56,AM56)</f>
        <v/>
      </c>
      <c r="AO56" s="10">
        <f>AM56-AN56</f>
        <v/>
      </c>
      <c r="AP56" s="10">
        <f>MIN('02_Данные'!R56,AO56)</f>
        <v/>
      </c>
      <c r="AQ56" s="10">
        <f>AO56-AP56</f>
        <v/>
      </c>
      <c r="AR56" s="10">
        <f>AQ56+'02_Данные'!H56</f>
        <v/>
      </c>
      <c r="AS56" s="10">
        <f>MIN('02_Данные'!T56,AR56)</f>
        <v/>
      </c>
      <c r="AT56" s="10">
        <f>AR56-AS56</f>
        <v/>
      </c>
      <c r="AU56" s="10">
        <f>MIN('02_Данные'!U56,AT56)</f>
        <v/>
      </c>
      <c r="AV56" s="10">
        <f>AT56-AU56</f>
        <v/>
      </c>
      <c r="AW56" s="10">
        <f>MIN('02_Данные'!V56,AV56)</f>
        <v/>
      </c>
      <c r="AX56" s="10">
        <f>AV56-AW56</f>
        <v/>
      </c>
      <c r="AY56" s="10">
        <f>MIN('02_Данные'!AA56,AX56)</f>
        <v/>
      </c>
      <c r="AZ56" s="10">
        <f>AX56-AY56</f>
        <v/>
      </c>
      <c r="BA56" s="10">
        <f>MIN('02_Данные'!X56,AZ56)</f>
        <v/>
      </c>
      <c r="BB56" s="10">
        <f>AZ56-BA56</f>
        <v/>
      </c>
      <c r="BC56" s="10">
        <f>MIN('02_Данные'!W56,BB56)</f>
        <v/>
      </c>
      <c r="BD56" s="10">
        <f>BB56-BC56</f>
        <v/>
      </c>
      <c r="BE56" s="10">
        <f>MIN('02_Данные'!Y56,BD56)</f>
        <v/>
      </c>
      <c r="BF56" s="10">
        <f>BD56-BE56</f>
        <v/>
      </c>
      <c r="BG56" s="10">
        <f>MIN('02_Данные'!Z56,BF56)</f>
        <v/>
      </c>
      <c r="BH56" s="10">
        <f>BF56-BG56</f>
        <v/>
      </c>
      <c r="BI56" s="10">
        <f>BH56+'02_Данные'!I56</f>
        <v/>
      </c>
      <c r="BJ56" s="10">
        <f>MIN('02_Данные'!AB56,BI56)</f>
        <v/>
      </c>
      <c r="BK56" s="10">
        <f>BI56-BJ56</f>
        <v/>
      </c>
      <c r="BL56" s="10">
        <f>MIN('02_Данные'!AC56,BK56)</f>
        <v/>
      </c>
      <c r="BM56" s="10">
        <f>BK56-BL56</f>
        <v/>
      </c>
      <c r="BN56" s="10">
        <f>MIN('02_Данные'!AD56,BM56)</f>
        <v/>
      </c>
      <c r="BO56" s="10">
        <f>BM56-BN56</f>
        <v/>
      </c>
      <c r="BP56" s="10">
        <f>MIN('02_Данные'!AI56,BO56)</f>
        <v/>
      </c>
      <c r="BQ56" s="10">
        <f>BO56-BP56</f>
        <v/>
      </c>
      <c r="BR56" s="10">
        <f>MIN('02_Данные'!AF56,BQ56)</f>
        <v/>
      </c>
      <c r="BS56" s="10">
        <f>BQ56-BR56</f>
        <v/>
      </c>
      <c r="BT56" s="10">
        <f>MIN('02_Данные'!AE56,BS56)</f>
        <v/>
      </c>
      <c r="BU56" s="10">
        <f>BS56-BT56</f>
        <v/>
      </c>
      <c r="BV56" s="10">
        <f>MIN('02_Данные'!AG56,BU56)</f>
        <v/>
      </c>
      <c r="BW56" s="10">
        <f>BU56-BV56</f>
        <v/>
      </c>
      <c r="BX56" s="10">
        <f>MIN('02_Данные'!AH56,BW56)</f>
        <v/>
      </c>
      <c r="BY56" s="10">
        <f>BW56-BX56</f>
        <v/>
      </c>
      <c r="BZ56" s="10">
        <f>BY56+'02_Данные'!J56</f>
        <v/>
      </c>
      <c r="CA56" s="10">
        <f>MIN('02_Данные'!AJ56,BZ56)</f>
        <v/>
      </c>
      <c r="CB56" s="10">
        <f>BZ56-CA56</f>
        <v/>
      </c>
      <c r="CC56" s="10">
        <f>MIN('02_Данные'!AK56,CB56)</f>
        <v/>
      </c>
      <c r="CD56" s="10">
        <f>CB56-CC56</f>
        <v/>
      </c>
      <c r="CE56" s="10">
        <f>MIN('02_Данные'!AL56,CD56)</f>
        <v/>
      </c>
      <c r="CF56" s="10">
        <f>CD56-CE56</f>
        <v/>
      </c>
      <c r="CG56" s="10">
        <f>MIN('02_Данные'!AQ56,CF56)</f>
        <v/>
      </c>
      <c r="CH56" s="10">
        <f>CF56-CG56</f>
        <v/>
      </c>
      <c r="CI56" s="10">
        <f>MIN('02_Данные'!AN56,CH56)</f>
        <v/>
      </c>
      <c r="CJ56" s="10">
        <f>CH56-CI56</f>
        <v/>
      </c>
      <c r="CK56" s="10">
        <f>MIN('02_Данные'!AM56,CJ56)</f>
        <v/>
      </c>
      <c r="CL56" s="10">
        <f>CJ56-CK56</f>
        <v/>
      </c>
      <c r="CM56" s="10">
        <f>MIN('02_Данные'!AO56,CL56)</f>
        <v/>
      </c>
      <c r="CN56" s="10">
        <f>CL56-CM56</f>
        <v/>
      </c>
      <c r="CO56" s="10">
        <f>MIN('02_Данные'!AP56,CN56)</f>
        <v/>
      </c>
      <c r="CP56" s="10">
        <f>CN56-CO56</f>
        <v/>
      </c>
      <c r="CQ56" s="10">
        <f>CP56+'02_Данные'!K56</f>
        <v/>
      </c>
      <c r="CR56" s="10">
        <f>MIN('02_Данные'!AR56,CQ56)</f>
        <v/>
      </c>
      <c r="CS56" s="10">
        <f>CQ56-CR56</f>
        <v/>
      </c>
      <c r="CT56" s="10">
        <f>MIN('02_Данные'!AS56,CS56)</f>
        <v/>
      </c>
      <c r="CU56" s="10">
        <f>CS56-CT56</f>
        <v/>
      </c>
      <c r="CV56" s="10">
        <f>MIN('02_Данные'!AT56,CU56)</f>
        <v/>
      </c>
      <c r="CW56" s="10">
        <f>CU56-CV56</f>
        <v/>
      </c>
      <c r="CX56" s="10">
        <f>MIN('02_Данные'!AY56,CW56)</f>
        <v/>
      </c>
      <c r="CY56" s="10">
        <f>CW56-CX56</f>
        <v/>
      </c>
      <c r="CZ56" s="10">
        <f>MIN('02_Данные'!AV56,CY56)</f>
        <v/>
      </c>
      <c r="DA56" s="10">
        <f>CY56-CZ56</f>
        <v/>
      </c>
      <c r="DB56" s="10">
        <f>MIN('02_Данные'!AU56,DA56)</f>
        <v/>
      </c>
      <c r="DC56" s="10">
        <f>DA56-DB56</f>
        <v/>
      </c>
      <c r="DD56" s="10">
        <f>MIN('02_Данные'!AW56,DC56)</f>
        <v/>
      </c>
      <c r="DE56" s="10">
        <f>DC56-DD56</f>
        <v/>
      </c>
      <c r="DF56" s="10">
        <f>MIN('02_Данные'!AX56,DE56)</f>
        <v/>
      </c>
      <c r="DG56" s="10">
        <f>DE56-DF56</f>
        <v/>
      </c>
    </row>
    <row r="57">
      <c r="A57" s="9">
        <f>'02_Данные'!B57</f>
        <v/>
      </c>
      <c r="B57" s="9">
        <f>'02_Данные'!E57</f>
        <v/>
      </c>
      <c r="C57" s="10">
        <f>'02_Данные'!F57+'02_Данные'!G57+'02_Данные'!H57+'02_Данные'!I57+'02_Данные'!J57+'02_Данные'!K57</f>
        <v/>
      </c>
      <c r="D57" s="10">
        <f>SUM('02_Данные'!L57:'02_Данные'!AY57)</f>
        <v/>
      </c>
      <c r="E57" s="10">
        <f>MAX(0,D57-C57)</f>
        <v/>
      </c>
      <c r="F57" s="15">
        <f>IF(E57&gt;0.0001,"ДЕФИЦИТ",IF(Y57&gt;0.0001,"ПРОФИЦИТ","БАЛАНС"))</f>
        <v/>
      </c>
      <c r="G57" s="10">
        <f>AB57+AS57+BJ57+CA57+CR57</f>
        <v/>
      </c>
      <c r="H57" s="10">
        <f>AD57+AU57+BL57+CC57+CT57</f>
        <v/>
      </c>
      <c r="I57" s="10">
        <f>AF57+AW57+BN57+CE57+CV57</f>
        <v/>
      </c>
      <c r="J57" s="10">
        <f>AL57+BC57+BT57+CK57+DB57</f>
        <v/>
      </c>
      <c r="K57" s="10">
        <f>AJ57+BA57+BR57+CI57+CZ57</f>
        <v/>
      </c>
      <c r="L57" s="10">
        <f>AN57+BE57+BV57+CM57+DD57</f>
        <v/>
      </c>
      <c r="M57" s="10">
        <f>AP57+BG57+BX57+CO57+DF57</f>
        <v/>
      </c>
      <c r="N57" s="10">
        <f>AH57+AY57+BP57+CG57+CX57</f>
        <v/>
      </c>
      <c r="O57" s="10">
        <f>SUM(G57:N57)</f>
        <v/>
      </c>
      <c r="P57" s="10">
        <f>IFERROR(G57*MIN(1,'01_Нормативы'!$C$4/SUM(G$2:G$429)),0)</f>
        <v/>
      </c>
      <c r="Q57" s="10">
        <f>IFERROR(H57*MIN(1,'01_Нормативы'!$C$5/SUM(H$2:H$429)),0)</f>
        <v/>
      </c>
      <c r="R57" s="10">
        <f>IFERROR(I57*MIN(1,'01_Нормативы'!$C$6/SUM(I$2:I$429)),0)</f>
        <v/>
      </c>
      <c r="S57" s="10">
        <f>IFERROR(J57*MIN(1,'01_Нормативы'!$C$7/SUM(J$2:J$429)),0)</f>
        <v/>
      </c>
      <c r="T57" s="10">
        <f>IFERROR(K57*MIN(1,'01_Нормативы'!$C$8/SUM(K$2:K$429)),0)</f>
        <v/>
      </c>
      <c r="U57" s="10">
        <f>IFERROR(L57*MIN(1,'01_Нормативы'!$C$9/SUM(L$2:L$429)),0)</f>
        <v/>
      </c>
      <c r="V57" s="10">
        <f>IFERROR(M57*MIN(1,'01_Нормативы'!$C$10/SUM(M$2:M$429)),0)</f>
        <v/>
      </c>
      <c r="W57" s="10">
        <f>IFERROR(N57*MIN(1,'01_Нормативы'!$C$11/SUM(N$2:N$429)),0)</f>
        <v/>
      </c>
      <c r="X57" s="10">
        <f>SUM(P57:W57)</f>
        <v/>
      </c>
      <c r="Y57" s="10">
        <f>MAX(0,C57-X57)</f>
        <v/>
      </c>
      <c r="Z57" s="10">
        <f>IF(D57=0,100,X57/D57*100)</f>
        <v/>
      </c>
      <c r="AA57" s="10">
        <f>'02_Данные'!F57+'02_Данные'!G57</f>
        <v/>
      </c>
      <c r="AB57" s="10">
        <f>MIN('02_Данные'!L57,AA57)</f>
        <v/>
      </c>
      <c r="AC57" s="10">
        <f>AA57-AB57</f>
        <v/>
      </c>
      <c r="AD57" s="10">
        <f>MIN('02_Данные'!M57,AC57)</f>
        <v/>
      </c>
      <c r="AE57" s="10">
        <f>AC57-AD57</f>
        <v/>
      </c>
      <c r="AF57" s="10">
        <f>MIN('02_Данные'!N57,AE57)</f>
        <v/>
      </c>
      <c r="AG57" s="10">
        <f>AE57-AF57</f>
        <v/>
      </c>
      <c r="AH57" s="10">
        <f>MIN('02_Данные'!S57,AG57)</f>
        <v/>
      </c>
      <c r="AI57" s="10">
        <f>AG57-AH57</f>
        <v/>
      </c>
      <c r="AJ57" s="10">
        <f>MIN('02_Данные'!P57,AI57)</f>
        <v/>
      </c>
      <c r="AK57" s="10">
        <f>AI57-AJ57</f>
        <v/>
      </c>
      <c r="AL57" s="10">
        <f>MIN('02_Данные'!O57,AK57)</f>
        <v/>
      </c>
      <c r="AM57" s="10">
        <f>AK57-AL57</f>
        <v/>
      </c>
      <c r="AN57" s="10">
        <f>MIN('02_Данные'!Q57,AM57)</f>
        <v/>
      </c>
      <c r="AO57" s="10">
        <f>AM57-AN57</f>
        <v/>
      </c>
      <c r="AP57" s="10">
        <f>MIN('02_Данные'!R57,AO57)</f>
        <v/>
      </c>
      <c r="AQ57" s="10">
        <f>AO57-AP57</f>
        <v/>
      </c>
      <c r="AR57" s="10">
        <f>AQ57+'02_Данные'!H57</f>
        <v/>
      </c>
      <c r="AS57" s="10">
        <f>MIN('02_Данные'!T57,AR57)</f>
        <v/>
      </c>
      <c r="AT57" s="10">
        <f>AR57-AS57</f>
        <v/>
      </c>
      <c r="AU57" s="10">
        <f>MIN('02_Данные'!U57,AT57)</f>
        <v/>
      </c>
      <c r="AV57" s="10">
        <f>AT57-AU57</f>
        <v/>
      </c>
      <c r="AW57" s="10">
        <f>MIN('02_Данные'!V57,AV57)</f>
        <v/>
      </c>
      <c r="AX57" s="10">
        <f>AV57-AW57</f>
        <v/>
      </c>
      <c r="AY57" s="10">
        <f>MIN('02_Данные'!AA57,AX57)</f>
        <v/>
      </c>
      <c r="AZ57" s="10">
        <f>AX57-AY57</f>
        <v/>
      </c>
      <c r="BA57" s="10">
        <f>MIN('02_Данные'!X57,AZ57)</f>
        <v/>
      </c>
      <c r="BB57" s="10">
        <f>AZ57-BA57</f>
        <v/>
      </c>
      <c r="BC57" s="10">
        <f>MIN('02_Данные'!W57,BB57)</f>
        <v/>
      </c>
      <c r="BD57" s="10">
        <f>BB57-BC57</f>
        <v/>
      </c>
      <c r="BE57" s="10">
        <f>MIN('02_Данные'!Y57,BD57)</f>
        <v/>
      </c>
      <c r="BF57" s="10">
        <f>BD57-BE57</f>
        <v/>
      </c>
      <c r="BG57" s="10">
        <f>MIN('02_Данные'!Z57,BF57)</f>
        <v/>
      </c>
      <c r="BH57" s="10">
        <f>BF57-BG57</f>
        <v/>
      </c>
      <c r="BI57" s="10">
        <f>BH57+'02_Данные'!I57</f>
        <v/>
      </c>
      <c r="BJ57" s="10">
        <f>MIN('02_Данные'!AB57,BI57)</f>
        <v/>
      </c>
      <c r="BK57" s="10">
        <f>BI57-BJ57</f>
        <v/>
      </c>
      <c r="BL57" s="10">
        <f>MIN('02_Данные'!AC57,BK57)</f>
        <v/>
      </c>
      <c r="BM57" s="10">
        <f>BK57-BL57</f>
        <v/>
      </c>
      <c r="BN57" s="10">
        <f>MIN('02_Данные'!AD57,BM57)</f>
        <v/>
      </c>
      <c r="BO57" s="10">
        <f>BM57-BN57</f>
        <v/>
      </c>
      <c r="BP57" s="10">
        <f>MIN('02_Данные'!AI57,BO57)</f>
        <v/>
      </c>
      <c r="BQ57" s="10">
        <f>BO57-BP57</f>
        <v/>
      </c>
      <c r="BR57" s="10">
        <f>MIN('02_Данные'!AF57,BQ57)</f>
        <v/>
      </c>
      <c r="BS57" s="10">
        <f>BQ57-BR57</f>
        <v/>
      </c>
      <c r="BT57" s="10">
        <f>MIN('02_Данные'!AE57,BS57)</f>
        <v/>
      </c>
      <c r="BU57" s="10">
        <f>BS57-BT57</f>
        <v/>
      </c>
      <c r="BV57" s="10">
        <f>MIN('02_Данные'!AG57,BU57)</f>
        <v/>
      </c>
      <c r="BW57" s="10">
        <f>BU57-BV57</f>
        <v/>
      </c>
      <c r="BX57" s="10">
        <f>MIN('02_Данные'!AH57,BW57)</f>
        <v/>
      </c>
      <c r="BY57" s="10">
        <f>BW57-BX57</f>
        <v/>
      </c>
      <c r="BZ57" s="10">
        <f>BY57+'02_Данные'!J57</f>
        <v/>
      </c>
      <c r="CA57" s="10">
        <f>MIN('02_Данные'!AJ57,BZ57)</f>
        <v/>
      </c>
      <c r="CB57" s="10">
        <f>BZ57-CA57</f>
        <v/>
      </c>
      <c r="CC57" s="10">
        <f>MIN('02_Данные'!AK57,CB57)</f>
        <v/>
      </c>
      <c r="CD57" s="10">
        <f>CB57-CC57</f>
        <v/>
      </c>
      <c r="CE57" s="10">
        <f>MIN('02_Данные'!AL57,CD57)</f>
        <v/>
      </c>
      <c r="CF57" s="10">
        <f>CD57-CE57</f>
        <v/>
      </c>
      <c r="CG57" s="10">
        <f>MIN('02_Данные'!AQ57,CF57)</f>
        <v/>
      </c>
      <c r="CH57" s="10">
        <f>CF57-CG57</f>
        <v/>
      </c>
      <c r="CI57" s="10">
        <f>MIN('02_Данные'!AN57,CH57)</f>
        <v/>
      </c>
      <c r="CJ57" s="10">
        <f>CH57-CI57</f>
        <v/>
      </c>
      <c r="CK57" s="10">
        <f>MIN('02_Данные'!AM57,CJ57)</f>
        <v/>
      </c>
      <c r="CL57" s="10">
        <f>CJ57-CK57</f>
        <v/>
      </c>
      <c r="CM57" s="10">
        <f>MIN('02_Данные'!AO57,CL57)</f>
        <v/>
      </c>
      <c r="CN57" s="10">
        <f>CL57-CM57</f>
        <v/>
      </c>
      <c r="CO57" s="10">
        <f>MIN('02_Данные'!AP57,CN57)</f>
        <v/>
      </c>
      <c r="CP57" s="10">
        <f>CN57-CO57</f>
        <v/>
      </c>
      <c r="CQ57" s="10">
        <f>CP57+'02_Данные'!K57</f>
        <v/>
      </c>
      <c r="CR57" s="10">
        <f>MIN('02_Данные'!AR57,CQ57)</f>
        <v/>
      </c>
      <c r="CS57" s="10">
        <f>CQ57-CR57</f>
        <v/>
      </c>
      <c r="CT57" s="10">
        <f>MIN('02_Данные'!AS57,CS57)</f>
        <v/>
      </c>
      <c r="CU57" s="10">
        <f>CS57-CT57</f>
        <v/>
      </c>
      <c r="CV57" s="10">
        <f>MIN('02_Данные'!AT57,CU57)</f>
        <v/>
      </c>
      <c r="CW57" s="10">
        <f>CU57-CV57</f>
        <v/>
      </c>
      <c r="CX57" s="10">
        <f>MIN('02_Данные'!AY57,CW57)</f>
        <v/>
      </c>
      <c r="CY57" s="10">
        <f>CW57-CX57</f>
        <v/>
      </c>
      <c r="CZ57" s="10">
        <f>MIN('02_Данные'!AV57,CY57)</f>
        <v/>
      </c>
      <c r="DA57" s="10">
        <f>CY57-CZ57</f>
        <v/>
      </c>
      <c r="DB57" s="10">
        <f>MIN('02_Данные'!AU57,DA57)</f>
        <v/>
      </c>
      <c r="DC57" s="10">
        <f>DA57-DB57</f>
        <v/>
      </c>
      <c r="DD57" s="10">
        <f>MIN('02_Данные'!AW57,DC57)</f>
        <v/>
      </c>
      <c r="DE57" s="10">
        <f>DC57-DD57</f>
        <v/>
      </c>
      <c r="DF57" s="10">
        <f>MIN('02_Данные'!AX57,DE57)</f>
        <v/>
      </c>
      <c r="DG57" s="10">
        <f>DE57-DF57</f>
        <v/>
      </c>
    </row>
    <row r="58">
      <c r="A58" s="9">
        <f>'02_Данные'!B58</f>
        <v/>
      </c>
      <c r="B58" s="9">
        <f>'02_Данные'!E58</f>
        <v/>
      </c>
      <c r="C58" s="10">
        <f>'02_Данные'!F58+'02_Данные'!G58+'02_Данные'!H58+'02_Данные'!I58+'02_Данные'!J58+'02_Данные'!K58</f>
        <v/>
      </c>
      <c r="D58" s="10">
        <f>SUM('02_Данные'!L58:'02_Данные'!AY58)</f>
        <v/>
      </c>
      <c r="E58" s="10">
        <f>MAX(0,D58-C58)</f>
        <v/>
      </c>
      <c r="F58" s="15">
        <f>IF(E58&gt;0.0001,"ДЕФИЦИТ",IF(Y58&gt;0.0001,"ПРОФИЦИТ","БАЛАНС"))</f>
        <v/>
      </c>
      <c r="G58" s="10">
        <f>AB58+AS58+BJ58+CA58+CR58</f>
        <v/>
      </c>
      <c r="H58" s="10">
        <f>AD58+AU58+BL58+CC58+CT58</f>
        <v/>
      </c>
      <c r="I58" s="10">
        <f>AF58+AW58+BN58+CE58+CV58</f>
        <v/>
      </c>
      <c r="J58" s="10">
        <f>AL58+BC58+BT58+CK58+DB58</f>
        <v/>
      </c>
      <c r="K58" s="10">
        <f>AJ58+BA58+BR58+CI58+CZ58</f>
        <v/>
      </c>
      <c r="L58" s="10">
        <f>AN58+BE58+BV58+CM58+DD58</f>
        <v/>
      </c>
      <c r="M58" s="10">
        <f>AP58+BG58+BX58+CO58+DF58</f>
        <v/>
      </c>
      <c r="N58" s="10">
        <f>AH58+AY58+BP58+CG58+CX58</f>
        <v/>
      </c>
      <c r="O58" s="10">
        <f>SUM(G58:N58)</f>
        <v/>
      </c>
      <c r="P58" s="10">
        <f>IFERROR(G58*MIN(1,'01_Нормативы'!$C$4/SUM(G$2:G$429)),0)</f>
        <v/>
      </c>
      <c r="Q58" s="10">
        <f>IFERROR(H58*MIN(1,'01_Нормативы'!$C$5/SUM(H$2:H$429)),0)</f>
        <v/>
      </c>
      <c r="R58" s="10">
        <f>IFERROR(I58*MIN(1,'01_Нормативы'!$C$6/SUM(I$2:I$429)),0)</f>
        <v/>
      </c>
      <c r="S58" s="10">
        <f>IFERROR(J58*MIN(1,'01_Нормативы'!$C$7/SUM(J$2:J$429)),0)</f>
        <v/>
      </c>
      <c r="T58" s="10">
        <f>IFERROR(K58*MIN(1,'01_Нормативы'!$C$8/SUM(K$2:K$429)),0)</f>
        <v/>
      </c>
      <c r="U58" s="10">
        <f>IFERROR(L58*MIN(1,'01_Нормативы'!$C$9/SUM(L$2:L$429)),0)</f>
        <v/>
      </c>
      <c r="V58" s="10">
        <f>IFERROR(M58*MIN(1,'01_Нормативы'!$C$10/SUM(M$2:M$429)),0)</f>
        <v/>
      </c>
      <c r="W58" s="10">
        <f>IFERROR(N58*MIN(1,'01_Нормативы'!$C$11/SUM(N$2:N$429)),0)</f>
        <v/>
      </c>
      <c r="X58" s="10">
        <f>SUM(P58:W58)</f>
        <v/>
      </c>
      <c r="Y58" s="10">
        <f>MAX(0,C58-X58)</f>
        <v/>
      </c>
      <c r="Z58" s="10">
        <f>IF(D58=0,100,X58/D58*100)</f>
        <v/>
      </c>
      <c r="AA58" s="10">
        <f>'02_Данные'!F58+'02_Данные'!G58</f>
        <v/>
      </c>
      <c r="AB58" s="10">
        <f>MIN('02_Данные'!L58,AA58)</f>
        <v/>
      </c>
      <c r="AC58" s="10">
        <f>AA58-AB58</f>
        <v/>
      </c>
      <c r="AD58" s="10">
        <f>MIN('02_Данные'!M58,AC58)</f>
        <v/>
      </c>
      <c r="AE58" s="10">
        <f>AC58-AD58</f>
        <v/>
      </c>
      <c r="AF58" s="10">
        <f>MIN('02_Данные'!N58,AE58)</f>
        <v/>
      </c>
      <c r="AG58" s="10">
        <f>AE58-AF58</f>
        <v/>
      </c>
      <c r="AH58" s="10">
        <f>MIN('02_Данные'!S58,AG58)</f>
        <v/>
      </c>
      <c r="AI58" s="10">
        <f>AG58-AH58</f>
        <v/>
      </c>
      <c r="AJ58" s="10">
        <f>MIN('02_Данные'!P58,AI58)</f>
        <v/>
      </c>
      <c r="AK58" s="10">
        <f>AI58-AJ58</f>
        <v/>
      </c>
      <c r="AL58" s="10">
        <f>MIN('02_Данные'!O58,AK58)</f>
        <v/>
      </c>
      <c r="AM58" s="10">
        <f>AK58-AL58</f>
        <v/>
      </c>
      <c r="AN58" s="10">
        <f>MIN('02_Данные'!Q58,AM58)</f>
        <v/>
      </c>
      <c r="AO58" s="10">
        <f>AM58-AN58</f>
        <v/>
      </c>
      <c r="AP58" s="10">
        <f>MIN('02_Данные'!R58,AO58)</f>
        <v/>
      </c>
      <c r="AQ58" s="10">
        <f>AO58-AP58</f>
        <v/>
      </c>
      <c r="AR58" s="10">
        <f>AQ58+'02_Данные'!H58</f>
        <v/>
      </c>
      <c r="AS58" s="10">
        <f>MIN('02_Данные'!T58,AR58)</f>
        <v/>
      </c>
      <c r="AT58" s="10">
        <f>AR58-AS58</f>
        <v/>
      </c>
      <c r="AU58" s="10">
        <f>MIN('02_Данные'!U58,AT58)</f>
        <v/>
      </c>
      <c r="AV58" s="10">
        <f>AT58-AU58</f>
        <v/>
      </c>
      <c r="AW58" s="10">
        <f>MIN('02_Данные'!V58,AV58)</f>
        <v/>
      </c>
      <c r="AX58" s="10">
        <f>AV58-AW58</f>
        <v/>
      </c>
      <c r="AY58" s="10">
        <f>MIN('02_Данные'!AA58,AX58)</f>
        <v/>
      </c>
      <c r="AZ58" s="10">
        <f>AX58-AY58</f>
        <v/>
      </c>
      <c r="BA58" s="10">
        <f>MIN('02_Данные'!X58,AZ58)</f>
        <v/>
      </c>
      <c r="BB58" s="10">
        <f>AZ58-BA58</f>
        <v/>
      </c>
      <c r="BC58" s="10">
        <f>MIN('02_Данные'!W58,BB58)</f>
        <v/>
      </c>
      <c r="BD58" s="10">
        <f>BB58-BC58</f>
        <v/>
      </c>
      <c r="BE58" s="10">
        <f>MIN('02_Данные'!Y58,BD58)</f>
        <v/>
      </c>
      <c r="BF58" s="10">
        <f>BD58-BE58</f>
        <v/>
      </c>
      <c r="BG58" s="10">
        <f>MIN('02_Данные'!Z58,BF58)</f>
        <v/>
      </c>
      <c r="BH58" s="10">
        <f>BF58-BG58</f>
        <v/>
      </c>
      <c r="BI58" s="10">
        <f>BH58+'02_Данные'!I58</f>
        <v/>
      </c>
      <c r="BJ58" s="10">
        <f>MIN('02_Данные'!AB58,BI58)</f>
        <v/>
      </c>
      <c r="BK58" s="10">
        <f>BI58-BJ58</f>
        <v/>
      </c>
      <c r="BL58" s="10">
        <f>MIN('02_Данные'!AC58,BK58)</f>
        <v/>
      </c>
      <c r="BM58" s="10">
        <f>BK58-BL58</f>
        <v/>
      </c>
      <c r="BN58" s="10">
        <f>MIN('02_Данные'!AD58,BM58)</f>
        <v/>
      </c>
      <c r="BO58" s="10">
        <f>BM58-BN58</f>
        <v/>
      </c>
      <c r="BP58" s="10">
        <f>MIN('02_Данные'!AI58,BO58)</f>
        <v/>
      </c>
      <c r="BQ58" s="10">
        <f>BO58-BP58</f>
        <v/>
      </c>
      <c r="BR58" s="10">
        <f>MIN('02_Данные'!AF58,BQ58)</f>
        <v/>
      </c>
      <c r="BS58" s="10">
        <f>BQ58-BR58</f>
        <v/>
      </c>
      <c r="BT58" s="10">
        <f>MIN('02_Данные'!AE58,BS58)</f>
        <v/>
      </c>
      <c r="BU58" s="10">
        <f>BS58-BT58</f>
        <v/>
      </c>
      <c r="BV58" s="10">
        <f>MIN('02_Данные'!AG58,BU58)</f>
        <v/>
      </c>
      <c r="BW58" s="10">
        <f>BU58-BV58</f>
        <v/>
      </c>
      <c r="BX58" s="10">
        <f>MIN('02_Данные'!AH58,BW58)</f>
        <v/>
      </c>
      <c r="BY58" s="10">
        <f>BW58-BX58</f>
        <v/>
      </c>
      <c r="BZ58" s="10">
        <f>BY58+'02_Данные'!J58</f>
        <v/>
      </c>
      <c r="CA58" s="10">
        <f>MIN('02_Данные'!AJ58,BZ58)</f>
        <v/>
      </c>
      <c r="CB58" s="10">
        <f>BZ58-CA58</f>
        <v/>
      </c>
      <c r="CC58" s="10">
        <f>MIN('02_Данные'!AK58,CB58)</f>
        <v/>
      </c>
      <c r="CD58" s="10">
        <f>CB58-CC58</f>
        <v/>
      </c>
      <c r="CE58" s="10">
        <f>MIN('02_Данные'!AL58,CD58)</f>
        <v/>
      </c>
      <c r="CF58" s="10">
        <f>CD58-CE58</f>
        <v/>
      </c>
      <c r="CG58" s="10">
        <f>MIN('02_Данные'!AQ58,CF58)</f>
        <v/>
      </c>
      <c r="CH58" s="10">
        <f>CF58-CG58</f>
        <v/>
      </c>
      <c r="CI58" s="10">
        <f>MIN('02_Данные'!AN58,CH58)</f>
        <v/>
      </c>
      <c r="CJ58" s="10">
        <f>CH58-CI58</f>
        <v/>
      </c>
      <c r="CK58" s="10">
        <f>MIN('02_Данные'!AM58,CJ58)</f>
        <v/>
      </c>
      <c r="CL58" s="10">
        <f>CJ58-CK58</f>
        <v/>
      </c>
      <c r="CM58" s="10">
        <f>MIN('02_Данные'!AO58,CL58)</f>
        <v/>
      </c>
      <c r="CN58" s="10">
        <f>CL58-CM58</f>
        <v/>
      </c>
      <c r="CO58" s="10">
        <f>MIN('02_Данные'!AP58,CN58)</f>
        <v/>
      </c>
      <c r="CP58" s="10">
        <f>CN58-CO58</f>
        <v/>
      </c>
      <c r="CQ58" s="10">
        <f>CP58+'02_Данные'!K58</f>
        <v/>
      </c>
      <c r="CR58" s="10">
        <f>MIN('02_Данные'!AR58,CQ58)</f>
        <v/>
      </c>
      <c r="CS58" s="10">
        <f>CQ58-CR58</f>
        <v/>
      </c>
      <c r="CT58" s="10">
        <f>MIN('02_Данные'!AS58,CS58)</f>
        <v/>
      </c>
      <c r="CU58" s="10">
        <f>CS58-CT58</f>
        <v/>
      </c>
      <c r="CV58" s="10">
        <f>MIN('02_Данные'!AT58,CU58)</f>
        <v/>
      </c>
      <c r="CW58" s="10">
        <f>CU58-CV58</f>
        <v/>
      </c>
      <c r="CX58" s="10">
        <f>MIN('02_Данные'!AY58,CW58)</f>
        <v/>
      </c>
      <c r="CY58" s="10">
        <f>CW58-CX58</f>
        <v/>
      </c>
      <c r="CZ58" s="10">
        <f>MIN('02_Данные'!AV58,CY58)</f>
        <v/>
      </c>
      <c r="DA58" s="10">
        <f>CY58-CZ58</f>
        <v/>
      </c>
      <c r="DB58" s="10">
        <f>MIN('02_Данные'!AU58,DA58)</f>
        <v/>
      </c>
      <c r="DC58" s="10">
        <f>DA58-DB58</f>
        <v/>
      </c>
      <c r="DD58" s="10">
        <f>MIN('02_Данные'!AW58,DC58)</f>
        <v/>
      </c>
      <c r="DE58" s="10">
        <f>DC58-DD58</f>
        <v/>
      </c>
      <c r="DF58" s="10">
        <f>MIN('02_Данные'!AX58,DE58)</f>
        <v/>
      </c>
      <c r="DG58" s="10">
        <f>DE58-DF58</f>
        <v/>
      </c>
    </row>
    <row r="59">
      <c r="A59" s="9">
        <f>'02_Данные'!B59</f>
        <v/>
      </c>
      <c r="B59" s="9">
        <f>'02_Данные'!E59</f>
        <v/>
      </c>
      <c r="C59" s="10">
        <f>'02_Данные'!F59+'02_Данные'!G59+'02_Данные'!H59+'02_Данные'!I59+'02_Данные'!J59+'02_Данные'!K59</f>
        <v/>
      </c>
      <c r="D59" s="10">
        <f>SUM('02_Данные'!L59:'02_Данные'!AY59)</f>
        <v/>
      </c>
      <c r="E59" s="10">
        <f>MAX(0,D59-C59)</f>
        <v/>
      </c>
      <c r="F59" s="15">
        <f>IF(E59&gt;0.0001,"ДЕФИЦИТ",IF(Y59&gt;0.0001,"ПРОФИЦИТ","БАЛАНС"))</f>
        <v/>
      </c>
      <c r="G59" s="10">
        <f>AB59+AS59+BJ59+CA59+CR59</f>
        <v/>
      </c>
      <c r="H59" s="10">
        <f>AD59+AU59+BL59+CC59+CT59</f>
        <v/>
      </c>
      <c r="I59" s="10">
        <f>AF59+AW59+BN59+CE59+CV59</f>
        <v/>
      </c>
      <c r="J59" s="10">
        <f>AL59+BC59+BT59+CK59+DB59</f>
        <v/>
      </c>
      <c r="K59" s="10">
        <f>AJ59+BA59+BR59+CI59+CZ59</f>
        <v/>
      </c>
      <c r="L59" s="10">
        <f>AN59+BE59+BV59+CM59+DD59</f>
        <v/>
      </c>
      <c r="M59" s="10">
        <f>AP59+BG59+BX59+CO59+DF59</f>
        <v/>
      </c>
      <c r="N59" s="10">
        <f>AH59+AY59+BP59+CG59+CX59</f>
        <v/>
      </c>
      <c r="O59" s="10">
        <f>SUM(G59:N59)</f>
        <v/>
      </c>
      <c r="P59" s="10">
        <f>IFERROR(G59*MIN(1,'01_Нормативы'!$C$4/SUM(G$2:G$429)),0)</f>
        <v/>
      </c>
      <c r="Q59" s="10">
        <f>IFERROR(H59*MIN(1,'01_Нормативы'!$C$5/SUM(H$2:H$429)),0)</f>
        <v/>
      </c>
      <c r="R59" s="10">
        <f>IFERROR(I59*MIN(1,'01_Нормативы'!$C$6/SUM(I$2:I$429)),0)</f>
        <v/>
      </c>
      <c r="S59" s="10">
        <f>IFERROR(J59*MIN(1,'01_Нормативы'!$C$7/SUM(J$2:J$429)),0)</f>
        <v/>
      </c>
      <c r="T59" s="10">
        <f>IFERROR(K59*MIN(1,'01_Нормативы'!$C$8/SUM(K$2:K$429)),0)</f>
        <v/>
      </c>
      <c r="U59" s="10">
        <f>IFERROR(L59*MIN(1,'01_Нормативы'!$C$9/SUM(L$2:L$429)),0)</f>
        <v/>
      </c>
      <c r="V59" s="10">
        <f>IFERROR(M59*MIN(1,'01_Нормативы'!$C$10/SUM(M$2:M$429)),0)</f>
        <v/>
      </c>
      <c r="W59" s="10">
        <f>IFERROR(N59*MIN(1,'01_Нормативы'!$C$11/SUM(N$2:N$429)),0)</f>
        <v/>
      </c>
      <c r="X59" s="10">
        <f>SUM(P59:W59)</f>
        <v/>
      </c>
      <c r="Y59" s="10">
        <f>MAX(0,C59-X59)</f>
        <v/>
      </c>
      <c r="Z59" s="10">
        <f>IF(D59=0,100,X59/D59*100)</f>
        <v/>
      </c>
      <c r="AA59" s="10">
        <f>'02_Данные'!F59+'02_Данные'!G59</f>
        <v/>
      </c>
      <c r="AB59" s="10">
        <f>MIN('02_Данные'!L59,AA59)</f>
        <v/>
      </c>
      <c r="AC59" s="10">
        <f>AA59-AB59</f>
        <v/>
      </c>
      <c r="AD59" s="10">
        <f>MIN('02_Данные'!M59,AC59)</f>
        <v/>
      </c>
      <c r="AE59" s="10">
        <f>AC59-AD59</f>
        <v/>
      </c>
      <c r="AF59" s="10">
        <f>MIN('02_Данные'!N59,AE59)</f>
        <v/>
      </c>
      <c r="AG59" s="10">
        <f>AE59-AF59</f>
        <v/>
      </c>
      <c r="AH59" s="10">
        <f>MIN('02_Данные'!S59,AG59)</f>
        <v/>
      </c>
      <c r="AI59" s="10">
        <f>AG59-AH59</f>
        <v/>
      </c>
      <c r="AJ59" s="10">
        <f>MIN('02_Данные'!P59,AI59)</f>
        <v/>
      </c>
      <c r="AK59" s="10">
        <f>AI59-AJ59</f>
        <v/>
      </c>
      <c r="AL59" s="10">
        <f>MIN('02_Данные'!O59,AK59)</f>
        <v/>
      </c>
      <c r="AM59" s="10">
        <f>AK59-AL59</f>
        <v/>
      </c>
      <c r="AN59" s="10">
        <f>MIN('02_Данные'!Q59,AM59)</f>
        <v/>
      </c>
      <c r="AO59" s="10">
        <f>AM59-AN59</f>
        <v/>
      </c>
      <c r="AP59" s="10">
        <f>MIN('02_Данные'!R59,AO59)</f>
        <v/>
      </c>
      <c r="AQ59" s="10">
        <f>AO59-AP59</f>
        <v/>
      </c>
      <c r="AR59" s="10">
        <f>AQ59+'02_Данные'!H59</f>
        <v/>
      </c>
      <c r="AS59" s="10">
        <f>MIN('02_Данные'!T59,AR59)</f>
        <v/>
      </c>
      <c r="AT59" s="10">
        <f>AR59-AS59</f>
        <v/>
      </c>
      <c r="AU59" s="10">
        <f>MIN('02_Данные'!U59,AT59)</f>
        <v/>
      </c>
      <c r="AV59" s="10">
        <f>AT59-AU59</f>
        <v/>
      </c>
      <c r="AW59" s="10">
        <f>MIN('02_Данные'!V59,AV59)</f>
        <v/>
      </c>
      <c r="AX59" s="10">
        <f>AV59-AW59</f>
        <v/>
      </c>
      <c r="AY59" s="10">
        <f>MIN('02_Данные'!AA59,AX59)</f>
        <v/>
      </c>
      <c r="AZ59" s="10">
        <f>AX59-AY59</f>
        <v/>
      </c>
      <c r="BA59" s="10">
        <f>MIN('02_Данные'!X59,AZ59)</f>
        <v/>
      </c>
      <c r="BB59" s="10">
        <f>AZ59-BA59</f>
        <v/>
      </c>
      <c r="BC59" s="10">
        <f>MIN('02_Данные'!W59,BB59)</f>
        <v/>
      </c>
      <c r="BD59" s="10">
        <f>BB59-BC59</f>
        <v/>
      </c>
      <c r="BE59" s="10">
        <f>MIN('02_Данные'!Y59,BD59)</f>
        <v/>
      </c>
      <c r="BF59" s="10">
        <f>BD59-BE59</f>
        <v/>
      </c>
      <c r="BG59" s="10">
        <f>MIN('02_Данные'!Z59,BF59)</f>
        <v/>
      </c>
      <c r="BH59" s="10">
        <f>BF59-BG59</f>
        <v/>
      </c>
      <c r="BI59" s="10">
        <f>BH59+'02_Данные'!I59</f>
        <v/>
      </c>
      <c r="BJ59" s="10">
        <f>MIN('02_Данные'!AB59,BI59)</f>
        <v/>
      </c>
      <c r="BK59" s="10">
        <f>BI59-BJ59</f>
        <v/>
      </c>
      <c r="BL59" s="10">
        <f>MIN('02_Данные'!AC59,BK59)</f>
        <v/>
      </c>
      <c r="BM59" s="10">
        <f>BK59-BL59</f>
        <v/>
      </c>
      <c r="BN59" s="10">
        <f>MIN('02_Данные'!AD59,BM59)</f>
        <v/>
      </c>
      <c r="BO59" s="10">
        <f>BM59-BN59</f>
        <v/>
      </c>
      <c r="BP59" s="10">
        <f>MIN('02_Данные'!AI59,BO59)</f>
        <v/>
      </c>
      <c r="BQ59" s="10">
        <f>BO59-BP59</f>
        <v/>
      </c>
      <c r="BR59" s="10">
        <f>MIN('02_Данные'!AF59,BQ59)</f>
        <v/>
      </c>
      <c r="BS59" s="10">
        <f>BQ59-BR59</f>
        <v/>
      </c>
      <c r="BT59" s="10">
        <f>MIN('02_Данные'!AE59,BS59)</f>
        <v/>
      </c>
      <c r="BU59" s="10">
        <f>BS59-BT59</f>
        <v/>
      </c>
      <c r="BV59" s="10">
        <f>MIN('02_Данные'!AG59,BU59)</f>
        <v/>
      </c>
      <c r="BW59" s="10">
        <f>BU59-BV59</f>
        <v/>
      </c>
      <c r="BX59" s="10">
        <f>MIN('02_Данные'!AH59,BW59)</f>
        <v/>
      </c>
      <c r="BY59" s="10">
        <f>BW59-BX59</f>
        <v/>
      </c>
      <c r="BZ59" s="10">
        <f>BY59+'02_Данные'!J59</f>
        <v/>
      </c>
      <c r="CA59" s="10">
        <f>MIN('02_Данные'!AJ59,BZ59)</f>
        <v/>
      </c>
      <c r="CB59" s="10">
        <f>BZ59-CA59</f>
        <v/>
      </c>
      <c r="CC59" s="10">
        <f>MIN('02_Данные'!AK59,CB59)</f>
        <v/>
      </c>
      <c r="CD59" s="10">
        <f>CB59-CC59</f>
        <v/>
      </c>
      <c r="CE59" s="10">
        <f>MIN('02_Данные'!AL59,CD59)</f>
        <v/>
      </c>
      <c r="CF59" s="10">
        <f>CD59-CE59</f>
        <v/>
      </c>
      <c r="CG59" s="10">
        <f>MIN('02_Данные'!AQ59,CF59)</f>
        <v/>
      </c>
      <c r="CH59" s="10">
        <f>CF59-CG59</f>
        <v/>
      </c>
      <c r="CI59" s="10">
        <f>MIN('02_Данные'!AN59,CH59)</f>
        <v/>
      </c>
      <c r="CJ59" s="10">
        <f>CH59-CI59</f>
        <v/>
      </c>
      <c r="CK59" s="10">
        <f>MIN('02_Данные'!AM59,CJ59)</f>
        <v/>
      </c>
      <c r="CL59" s="10">
        <f>CJ59-CK59</f>
        <v/>
      </c>
      <c r="CM59" s="10">
        <f>MIN('02_Данные'!AO59,CL59)</f>
        <v/>
      </c>
      <c r="CN59" s="10">
        <f>CL59-CM59</f>
        <v/>
      </c>
      <c r="CO59" s="10">
        <f>MIN('02_Данные'!AP59,CN59)</f>
        <v/>
      </c>
      <c r="CP59" s="10">
        <f>CN59-CO59</f>
        <v/>
      </c>
      <c r="CQ59" s="10">
        <f>CP59+'02_Данные'!K59</f>
        <v/>
      </c>
      <c r="CR59" s="10">
        <f>MIN('02_Данные'!AR59,CQ59)</f>
        <v/>
      </c>
      <c r="CS59" s="10">
        <f>CQ59-CR59</f>
        <v/>
      </c>
      <c r="CT59" s="10">
        <f>MIN('02_Данные'!AS59,CS59)</f>
        <v/>
      </c>
      <c r="CU59" s="10">
        <f>CS59-CT59</f>
        <v/>
      </c>
      <c r="CV59" s="10">
        <f>MIN('02_Данные'!AT59,CU59)</f>
        <v/>
      </c>
      <c r="CW59" s="10">
        <f>CU59-CV59</f>
        <v/>
      </c>
      <c r="CX59" s="10">
        <f>MIN('02_Данные'!AY59,CW59)</f>
        <v/>
      </c>
      <c r="CY59" s="10">
        <f>CW59-CX59</f>
        <v/>
      </c>
      <c r="CZ59" s="10">
        <f>MIN('02_Данные'!AV59,CY59)</f>
        <v/>
      </c>
      <c r="DA59" s="10">
        <f>CY59-CZ59</f>
        <v/>
      </c>
      <c r="DB59" s="10">
        <f>MIN('02_Данные'!AU59,DA59)</f>
        <v/>
      </c>
      <c r="DC59" s="10">
        <f>DA59-DB59</f>
        <v/>
      </c>
      <c r="DD59" s="10">
        <f>MIN('02_Данные'!AW59,DC59)</f>
        <v/>
      </c>
      <c r="DE59" s="10">
        <f>DC59-DD59</f>
        <v/>
      </c>
      <c r="DF59" s="10">
        <f>MIN('02_Данные'!AX59,DE59)</f>
        <v/>
      </c>
      <c r="DG59" s="10">
        <f>DE59-DF59</f>
        <v/>
      </c>
    </row>
    <row r="60">
      <c r="A60" s="9">
        <f>'02_Данные'!B60</f>
        <v/>
      </c>
      <c r="B60" s="9">
        <f>'02_Данные'!E60</f>
        <v/>
      </c>
      <c r="C60" s="10">
        <f>'02_Данные'!F60+'02_Данные'!G60+'02_Данные'!H60+'02_Данные'!I60+'02_Данные'!J60+'02_Данные'!K60</f>
        <v/>
      </c>
      <c r="D60" s="10">
        <f>SUM('02_Данные'!L60:'02_Данные'!AY60)</f>
        <v/>
      </c>
      <c r="E60" s="10">
        <f>MAX(0,D60-C60)</f>
        <v/>
      </c>
      <c r="F60" s="15">
        <f>IF(E60&gt;0.0001,"ДЕФИЦИТ",IF(Y60&gt;0.0001,"ПРОФИЦИТ","БАЛАНС"))</f>
        <v/>
      </c>
      <c r="G60" s="10">
        <f>AB60+AS60+BJ60+CA60+CR60</f>
        <v/>
      </c>
      <c r="H60" s="10">
        <f>AD60+AU60+BL60+CC60+CT60</f>
        <v/>
      </c>
      <c r="I60" s="10">
        <f>AF60+AW60+BN60+CE60+CV60</f>
        <v/>
      </c>
      <c r="J60" s="10">
        <f>AL60+BC60+BT60+CK60+DB60</f>
        <v/>
      </c>
      <c r="K60" s="10">
        <f>AJ60+BA60+BR60+CI60+CZ60</f>
        <v/>
      </c>
      <c r="L60" s="10">
        <f>AN60+BE60+BV60+CM60+DD60</f>
        <v/>
      </c>
      <c r="M60" s="10">
        <f>AP60+BG60+BX60+CO60+DF60</f>
        <v/>
      </c>
      <c r="N60" s="10">
        <f>AH60+AY60+BP60+CG60+CX60</f>
        <v/>
      </c>
      <c r="O60" s="10">
        <f>SUM(G60:N60)</f>
        <v/>
      </c>
      <c r="P60" s="10">
        <f>IFERROR(G60*MIN(1,'01_Нормативы'!$C$4/SUM(G$2:G$429)),0)</f>
        <v/>
      </c>
      <c r="Q60" s="10">
        <f>IFERROR(H60*MIN(1,'01_Нормативы'!$C$5/SUM(H$2:H$429)),0)</f>
        <v/>
      </c>
      <c r="R60" s="10">
        <f>IFERROR(I60*MIN(1,'01_Нормативы'!$C$6/SUM(I$2:I$429)),0)</f>
        <v/>
      </c>
      <c r="S60" s="10">
        <f>IFERROR(J60*MIN(1,'01_Нормативы'!$C$7/SUM(J$2:J$429)),0)</f>
        <v/>
      </c>
      <c r="T60" s="10">
        <f>IFERROR(K60*MIN(1,'01_Нормативы'!$C$8/SUM(K$2:K$429)),0)</f>
        <v/>
      </c>
      <c r="U60" s="10">
        <f>IFERROR(L60*MIN(1,'01_Нормативы'!$C$9/SUM(L$2:L$429)),0)</f>
        <v/>
      </c>
      <c r="V60" s="10">
        <f>IFERROR(M60*MIN(1,'01_Нормативы'!$C$10/SUM(M$2:M$429)),0)</f>
        <v/>
      </c>
      <c r="W60" s="10">
        <f>IFERROR(N60*MIN(1,'01_Нормативы'!$C$11/SUM(N$2:N$429)),0)</f>
        <v/>
      </c>
      <c r="X60" s="10">
        <f>SUM(P60:W60)</f>
        <v/>
      </c>
      <c r="Y60" s="10">
        <f>MAX(0,C60-X60)</f>
        <v/>
      </c>
      <c r="Z60" s="10">
        <f>IF(D60=0,100,X60/D60*100)</f>
        <v/>
      </c>
      <c r="AA60" s="10">
        <f>'02_Данные'!F60+'02_Данные'!G60</f>
        <v/>
      </c>
      <c r="AB60" s="10">
        <f>MIN('02_Данные'!L60,AA60)</f>
        <v/>
      </c>
      <c r="AC60" s="10">
        <f>AA60-AB60</f>
        <v/>
      </c>
      <c r="AD60" s="10">
        <f>MIN('02_Данные'!M60,AC60)</f>
        <v/>
      </c>
      <c r="AE60" s="10">
        <f>AC60-AD60</f>
        <v/>
      </c>
      <c r="AF60" s="10">
        <f>MIN('02_Данные'!N60,AE60)</f>
        <v/>
      </c>
      <c r="AG60" s="10">
        <f>AE60-AF60</f>
        <v/>
      </c>
      <c r="AH60" s="10">
        <f>MIN('02_Данные'!S60,AG60)</f>
        <v/>
      </c>
      <c r="AI60" s="10">
        <f>AG60-AH60</f>
        <v/>
      </c>
      <c r="AJ60" s="10">
        <f>MIN('02_Данные'!P60,AI60)</f>
        <v/>
      </c>
      <c r="AK60" s="10">
        <f>AI60-AJ60</f>
        <v/>
      </c>
      <c r="AL60" s="10">
        <f>MIN('02_Данные'!O60,AK60)</f>
        <v/>
      </c>
      <c r="AM60" s="10">
        <f>AK60-AL60</f>
        <v/>
      </c>
      <c r="AN60" s="10">
        <f>MIN('02_Данные'!Q60,AM60)</f>
        <v/>
      </c>
      <c r="AO60" s="10">
        <f>AM60-AN60</f>
        <v/>
      </c>
      <c r="AP60" s="10">
        <f>MIN('02_Данные'!R60,AO60)</f>
        <v/>
      </c>
      <c r="AQ60" s="10">
        <f>AO60-AP60</f>
        <v/>
      </c>
      <c r="AR60" s="10">
        <f>AQ60+'02_Данные'!H60</f>
        <v/>
      </c>
      <c r="AS60" s="10">
        <f>MIN('02_Данные'!T60,AR60)</f>
        <v/>
      </c>
      <c r="AT60" s="10">
        <f>AR60-AS60</f>
        <v/>
      </c>
      <c r="AU60" s="10">
        <f>MIN('02_Данные'!U60,AT60)</f>
        <v/>
      </c>
      <c r="AV60" s="10">
        <f>AT60-AU60</f>
        <v/>
      </c>
      <c r="AW60" s="10">
        <f>MIN('02_Данные'!V60,AV60)</f>
        <v/>
      </c>
      <c r="AX60" s="10">
        <f>AV60-AW60</f>
        <v/>
      </c>
      <c r="AY60" s="10">
        <f>MIN('02_Данные'!AA60,AX60)</f>
        <v/>
      </c>
      <c r="AZ60" s="10">
        <f>AX60-AY60</f>
        <v/>
      </c>
      <c r="BA60" s="10">
        <f>MIN('02_Данные'!X60,AZ60)</f>
        <v/>
      </c>
      <c r="BB60" s="10">
        <f>AZ60-BA60</f>
        <v/>
      </c>
      <c r="BC60" s="10">
        <f>MIN('02_Данные'!W60,BB60)</f>
        <v/>
      </c>
      <c r="BD60" s="10">
        <f>BB60-BC60</f>
        <v/>
      </c>
      <c r="BE60" s="10">
        <f>MIN('02_Данные'!Y60,BD60)</f>
        <v/>
      </c>
      <c r="BF60" s="10">
        <f>BD60-BE60</f>
        <v/>
      </c>
      <c r="BG60" s="10">
        <f>MIN('02_Данные'!Z60,BF60)</f>
        <v/>
      </c>
      <c r="BH60" s="10">
        <f>BF60-BG60</f>
        <v/>
      </c>
      <c r="BI60" s="10">
        <f>BH60+'02_Данные'!I60</f>
        <v/>
      </c>
      <c r="BJ60" s="10">
        <f>MIN('02_Данные'!AB60,BI60)</f>
        <v/>
      </c>
      <c r="BK60" s="10">
        <f>BI60-BJ60</f>
        <v/>
      </c>
      <c r="BL60" s="10">
        <f>MIN('02_Данные'!AC60,BK60)</f>
        <v/>
      </c>
      <c r="BM60" s="10">
        <f>BK60-BL60</f>
        <v/>
      </c>
      <c r="BN60" s="10">
        <f>MIN('02_Данные'!AD60,BM60)</f>
        <v/>
      </c>
      <c r="BO60" s="10">
        <f>BM60-BN60</f>
        <v/>
      </c>
      <c r="BP60" s="10">
        <f>MIN('02_Данные'!AI60,BO60)</f>
        <v/>
      </c>
      <c r="BQ60" s="10">
        <f>BO60-BP60</f>
        <v/>
      </c>
      <c r="BR60" s="10">
        <f>MIN('02_Данные'!AF60,BQ60)</f>
        <v/>
      </c>
      <c r="BS60" s="10">
        <f>BQ60-BR60</f>
        <v/>
      </c>
      <c r="BT60" s="10">
        <f>MIN('02_Данные'!AE60,BS60)</f>
        <v/>
      </c>
      <c r="BU60" s="10">
        <f>BS60-BT60</f>
        <v/>
      </c>
      <c r="BV60" s="10">
        <f>MIN('02_Данные'!AG60,BU60)</f>
        <v/>
      </c>
      <c r="BW60" s="10">
        <f>BU60-BV60</f>
        <v/>
      </c>
      <c r="BX60" s="10">
        <f>MIN('02_Данные'!AH60,BW60)</f>
        <v/>
      </c>
      <c r="BY60" s="10">
        <f>BW60-BX60</f>
        <v/>
      </c>
      <c r="BZ60" s="10">
        <f>BY60+'02_Данные'!J60</f>
        <v/>
      </c>
      <c r="CA60" s="10">
        <f>MIN('02_Данные'!AJ60,BZ60)</f>
        <v/>
      </c>
      <c r="CB60" s="10">
        <f>BZ60-CA60</f>
        <v/>
      </c>
      <c r="CC60" s="10">
        <f>MIN('02_Данные'!AK60,CB60)</f>
        <v/>
      </c>
      <c r="CD60" s="10">
        <f>CB60-CC60</f>
        <v/>
      </c>
      <c r="CE60" s="10">
        <f>MIN('02_Данные'!AL60,CD60)</f>
        <v/>
      </c>
      <c r="CF60" s="10">
        <f>CD60-CE60</f>
        <v/>
      </c>
      <c r="CG60" s="10">
        <f>MIN('02_Данные'!AQ60,CF60)</f>
        <v/>
      </c>
      <c r="CH60" s="10">
        <f>CF60-CG60</f>
        <v/>
      </c>
      <c r="CI60" s="10">
        <f>MIN('02_Данные'!AN60,CH60)</f>
        <v/>
      </c>
      <c r="CJ60" s="10">
        <f>CH60-CI60</f>
        <v/>
      </c>
      <c r="CK60" s="10">
        <f>MIN('02_Данные'!AM60,CJ60)</f>
        <v/>
      </c>
      <c r="CL60" s="10">
        <f>CJ60-CK60</f>
        <v/>
      </c>
      <c r="CM60" s="10">
        <f>MIN('02_Данные'!AO60,CL60)</f>
        <v/>
      </c>
      <c r="CN60" s="10">
        <f>CL60-CM60</f>
        <v/>
      </c>
      <c r="CO60" s="10">
        <f>MIN('02_Данные'!AP60,CN60)</f>
        <v/>
      </c>
      <c r="CP60" s="10">
        <f>CN60-CO60</f>
        <v/>
      </c>
      <c r="CQ60" s="10">
        <f>CP60+'02_Данные'!K60</f>
        <v/>
      </c>
      <c r="CR60" s="10">
        <f>MIN('02_Данные'!AR60,CQ60)</f>
        <v/>
      </c>
      <c r="CS60" s="10">
        <f>CQ60-CR60</f>
        <v/>
      </c>
      <c r="CT60" s="10">
        <f>MIN('02_Данные'!AS60,CS60)</f>
        <v/>
      </c>
      <c r="CU60" s="10">
        <f>CS60-CT60</f>
        <v/>
      </c>
      <c r="CV60" s="10">
        <f>MIN('02_Данные'!AT60,CU60)</f>
        <v/>
      </c>
      <c r="CW60" s="10">
        <f>CU60-CV60</f>
        <v/>
      </c>
      <c r="CX60" s="10">
        <f>MIN('02_Данные'!AY60,CW60)</f>
        <v/>
      </c>
      <c r="CY60" s="10">
        <f>CW60-CX60</f>
        <v/>
      </c>
      <c r="CZ60" s="10">
        <f>MIN('02_Данные'!AV60,CY60)</f>
        <v/>
      </c>
      <c r="DA60" s="10">
        <f>CY60-CZ60</f>
        <v/>
      </c>
      <c r="DB60" s="10">
        <f>MIN('02_Данные'!AU60,DA60)</f>
        <v/>
      </c>
      <c r="DC60" s="10">
        <f>DA60-DB60</f>
        <v/>
      </c>
      <c r="DD60" s="10">
        <f>MIN('02_Данные'!AW60,DC60)</f>
        <v/>
      </c>
      <c r="DE60" s="10">
        <f>DC60-DD60</f>
        <v/>
      </c>
      <c r="DF60" s="10">
        <f>MIN('02_Данные'!AX60,DE60)</f>
        <v/>
      </c>
      <c r="DG60" s="10">
        <f>DE60-DF60</f>
        <v/>
      </c>
    </row>
    <row r="61">
      <c r="A61" s="9">
        <f>'02_Данные'!B61</f>
        <v/>
      </c>
      <c r="B61" s="9">
        <f>'02_Данные'!E61</f>
        <v/>
      </c>
      <c r="C61" s="10">
        <f>'02_Данные'!F61+'02_Данные'!G61+'02_Данные'!H61+'02_Данные'!I61+'02_Данные'!J61+'02_Данные'!K61</f>
        <v/>
      </c>
      <c r="D61" s="10">
        <f>SUM('02_Данные'!L61:'02_Данные'!AY61)</f>
        <v/>
      </c>
      <c r="E61" s="10">
        <f>MAX(0,D61-C61)</f>
        <v/>
      </c>
      <c r="F61" s="15">
        <f>IF(E61&gt;0.0001,"ДЕФИЦИТ",IF(Y61&gt;0.0001,"ПРОФИЦИТ","БАЛАНС"))</f>
        <v/>
      </c>
      <c r="G61" s="10">
        <f>AB61+AS61+BJ61+CA61+CR61</f>
        <v/>
      </c>
      <c r="H61" s="10">
        <f>AD61+AU61+BL61+CC61+CT61</f>
        <v/>
      </c>
      <c r="I61" s="10">
        <f>AF61+AW61+BN61+CE61+CV61</f>
        <v/>
      </c>
      <c r="J61" s="10">
        <f>AL61+BC61+BT61+CK61+DB61</f>
        <v/>
      </c>
      <c r="K61" s="10">
        <f>AJ61+BA61+BR61+CI61+CZ61</f>
        <v/>
      </c>
      <c r="L61" s="10">
        <f>AN61+BE61+BV61+CM61+DD61</f>
        <v/>
      </c>
      <c r="M61" s="10">
        <f>AP61+BG61+BX61+CO61+DF61</f>
        <v/>
      </c>
      <c r="N61" s="10">
        <f>AH61+AY61+BP61+CG61+CX61</f>
        <v/>
      </c>
      <c r="O61" s="10">
        <f>SUM(G61:N61)</f>
        <v/>
      </c>
      <c r="P61" s="10">
        <f>IFERROR(G61*MIN(1,'01_Нормативы'!$C$4/SUM(G$2:G$429)),0)</f>
        <v/>
      </c>
      <c r="Q61" s="10">
        <f>IFERROR(H61*MIN(1,'01_Нормативы'!$C$5/SUM(H$2:H$429)),0)</f>
        <v/>
      </c>
      <c r="R61" s="10">
        <f>IFERROR(I61*MIN(1,'01_Нормативы'!$C$6/SUM(I$2:I$429)),0)</f>
        <v/>
      </c>
      <c r="S61" s="10">
        <f>IFERROR(J61*MIN(1,'01_Нормативы'!$C$7/SUM(J$2:J$429)),0)</f>
        <v/>
      </c>
      <c r="T61" s="10">
        <f>IFERROR(K61*MIN(1,'01_Нормативы'!$C$8/SUM(K$2:K$429)),0)</f>
        <v/>
      </c>
      <c r="U61" s="10">
        <f>IFERROR(L61*MIN(1,'01_Нормативы'!$C$9/SUM(L$2:L$429)),0)</f>
        <v/>
      </c>
      <c r="V61" s="10">
        <f>IFERROR(M61*MIN(1,'01_Нормативы'!$C$10/SUM(M$2:M$429)),0)</f>
        <v/>
      </c>
      <c r="W61" s="10">
        <f>IFERROR(N61*MIN(1,'01_Нормативы'!$C$11/SUM(N$2:N$429)),0)</f>
        <v/>
      </c>
      <c r="X61" s="10">
        <f>SUM(P61:W61)</f>
        <v/>
      </c>
      <c r="Y61" s="10">
        <f>MAX(0,C61-X61)</f>
        <v/>
      </c>
      <c r="Z61" s="10">
        <f>IF(D61=0,100,X61/D61*100)</f>
        <v/>
      </c>
      <c r="AA61" s="10">
        <f>'02_Данные'!F61+'02_Данные'!G61</f>
        <v/>
      </c>
      <c r="AB61" s="10">
        <f>MIN('02_Данные'!L61,AA61)</f>
        <v/>
      </c>
      <c r="AC61" s="10">
        <f>AA61-AB61</f>
        <v/>
      </c>
      <c r="AD61" s="10">
        <f>MIN('02_Данные'!M61,AC61)</f>
        <v/>
      </c>
      <c r="AE61" s="10">
        <f>AC61-AD61</f>
        <v/>
      </c>
      <c r="AF61" s="10">
        <f>MIN('02_Данные'!N61,AE61)</f>
        <v/>
      </c>
      <c r="AG61" s="10">
        <f>AE61-AF61</f>
        <v/>
      </c>
      <c r="AH61" s="10">
        <f>MIN('02_Данные'!S61,AG61)</f>
        <v/>
      </c>
      <c r="AI61" s="10">
        <f>AG61-AH61</f>
        <v/>
      </c>
      <c r="AJ61" s="10">
        <f>MIN('02_Данные'!P61,AI61)</f>
        <v/>
      </c>
      <c r="AK61" s="10">
        <f>AI61-AJ61</f>
        <v/>
      </c>
      <c r="AL61" s="10">
        <f>MIN('02_Данные'!O61,AK61)</f>
        <v/>
      </c>
      <c r="AM61" s="10">
        <f>AK61-AL61</f>
        <v/>
      </c>
      <c r="AN61" s="10">
        <f>MIN('02_Данные'!Q61,AM61)</f>
        <v/>
      </c>
      <c r="AO61" s="10">
        <f>AM61-AN61</f>
        <v/>
      </c>
      <c r="AP61" s="10">
        <f>MIN('02_Данные'!R61,AO61)</f>
        <v/>
      </c>
      <c r="AQ61" s="10">
        <f>AO61-AP61</f>
        <v/>
      </c>
      <c r="AR61" s="10">
        <f>AQ61+'02_Данные'!H61</f>
        <v/>
      </c>
      <c r="AS61" s="10">
        <f>MIN('02_Данные'!T61,AR61)</f>
        <v/>
      </c>
      <c r="AT61" s="10">
        <f>AR61-AS61</f>
        <v/>
      </c>
      <c r="AU61" s="10">
        <f>MIN('02_Данные'!U61,AT61)</f>
        <v/>
      </c>
      <c r="AV61" s="10">
        <f>AT61-AU61</f>
        <v/>
      </c>
      <c r="AW61" s="10">
        <f>MIN('02_Данные'!V61,AV61)</f>
        <v/>
      </c>
      <c r="AX61" s="10">
        <f>AV61-AW61</f>
        <v/>
      </c>
      <c r="AY61" s="10">
        <f>MIN('02_Данные'!AA61,AX61)</f>
        <v/>
      </c>
      <c r="AZ61" s="10">
        <f>AX61-AY61</f>
        <v/>
      </c>
      <c r="BA61" s="10">
        <f>MIN('02_Данные'!X61,AZ61)</f>
        <v/>
      </c>
      <c r="BB61" s="10">
        <f>AZ61-BA61</f>
        <v/>
      </c>
      <c r="BC61" s="10">
        <f>MIN('02_Данные'!W61,BB61)</f>
        <v/>
      </c>
      <c r="BD61" s="10">
        <f>BB61-BC61</f>
        <v/>
      </c>
      <c r="BE61" s="10">
        <f>MIN('02_Данные'!Y61,BD61)</f>
        <v/>
      </c>
      <c r="BF61" s="10">
        <f>BD61-BE61</f>
        <v/>
      </c>
      <c r="BG61" s="10">
        <f>MIN('02_Данные'!Z61,BF61)</f>
        <v/>
      </c>
      <c r="BH61" s="10">
        <f>BF61-BG61</f>
        <v/>
      </c>
      <c r="BI61" s="10">
        <f>BH61+'02_Данные'!I61</f>
        <v/>
      </c>
      <c r="BJ61" s="10">
        <f>MIN('02_Данные'!AB61,BI61)</f>
        <v/>
      </c>
      <c r="BK61" s="10">
        <f>BI61-BJ61</f>
        <v/>
      </c>
      <c r="BL61" s="10">
        <f>MIN('02_Данные'!AC61,BK61)</f>
        <v/>
      </c>
      <c r="BM61" s="10">
        <f>BK61-BL61</f>
        <v/>
      </c>
      <c r="BN61" s="10">
        <f>MIN('02_Данные'!AD61,BM61)</f>
        <v/>
      </c>
      <c r="BO61" s="10">
        <f>BM61-BN61</f>
        <v/>
      </c>
      <c r="BP61" s="10">
        <f>MIN('02_Данные'!AI61,BO61)</f>
        <v/>
      </c>
      <c r="BQ61" s="10">
        <f>BO61-BP61</f>
        <v/>
      </c>
      <c r="BR61" s="10">
        <f>MIN('02_Данные'!AF61,BQ61)</f>
        <v/>
      </c>
      <c r="BS61" s="10">
        <f>BQ61-BR61</f>
        <v/>
      </c>
      <c r="BT61" s="10">
        <f>MIN('02_Данные'!AE61,BS61)</f>
        <v/>
      </c>
      <c r="BU61" s="10">
        <f>BS61-BT61</f>
        <v/>
      </c>
      <c r="BV61" s="10">
        <f>MIN('02_Данные'!AG61,BU61)</f>
        <v/>
      </c>
      <c r="BW61" s="10">
        <f>BU61-BV61</f>
        <v/>
      </c>
      <c r="BX61" s="10">
        <f>MIN('02_Данные'!AH61,BW61)</f>
        <v/>
      </c>
      <c r="BY61" s="10">
        <f>BW61-BX61</f>
        <v/>
      </c>
      <c r="BZ61" s="10">
        <f>BY61+'02_Данные'!J61</f>
        <v/>
      </c>
      <c r="CA61" s="10">
        <f>MIN('02_Данные'!AJ61,BZ61)</f>
        <v/>
      </c>
      <c r="CB61" s="10">
        <f>BZ61-CA61</f>
        <v/>
      </c>
      <c r="CC61" s="10">
        <f>MIN('02_Данные'!AK61,CB61)</f>
        <v/>
      </c>
      <c r="CD61" s="10">
        <f>CB61-CC61</f>
        <v/>
      </c>
      <c r="CE61" s="10">
        <f>MIN('02_Данные'!AL61,CD61)</f>
        <v/>
      </c>
      <c r="CF61" s="10">
        <f>CD61-CE61</f>
        <v/>
      </c>
      <c r="CG61" s="10">
        <f>MIN('02_Данные'!AQ61,CF61)</f>
        <v/>
      </c>
      <c r="CH61" s="10">
        <f>CF61-CG61</f>
        <v/>
      </c>
      <c r="CI61" s="10">
        <f>MIN('02_Данные'!AN61,CH61)</f>
        <v/>
      </c>
      <c r="CJ61" s="10">
        <f>CH61-CI61</f>
        <v/>
      </c>
      <c r="CK61" s="10">
        <f>MIN('02_Данные'!AM61,CJ61)</f>
        <v/>
      </c>
      <c r="CL61" s="10">
        <f>CJ61-CK61</f>
        <v/>
      </c>
      <c r="CM61" s="10">
        <f>MIN('02_Данные'!AO61,CL61)</f>
        <v/>
      </c>
      <c r="CN61" s="10">
        <f>CL61-CM61</f>
        <v/>
      </c>
      <c r="CO61" s="10">
        <f>MIN('02_Данные'!AP61,CN61)</f>
        <v/>
      </c>
      <c r="CP61" s="10">
        <f>CN61-CO61</f>
        <v/>
      </c>
      <c r="CQ61" s="10">
        <f>CP61+'02_Данные'!K61</f>
        <v/>
      </c>
      <c r="CR61" s="10">
        <f>MIN('02_Данные'!AR61,CQ61)</f>
        <v/>
      </c>
      <c r="CS61" s="10">
        <f>CQ61-CR61</f>
        <v/>
      </c>
      <c r="CT61" s="10">
        <f>MIN('02_Данные'!AS61,CS61)</f>
        <v/>
      </c>
      <c r="CU61" s="10">
        <f>CS61-CT61</f>
        <v/>
      </c>
      <c r="CV61" s="10">
        <f>MIN('02_Данные'!AT61,CU61)</f>
        <v/>
      </c>
      <c r="CW61" s="10">
        <f>CU61-CV61</f>
        <v/>
      </c>
      <c r="CX61" s="10">
        <f>MIN('02_Данные'!AY61,CW61)</f>
        <v/>
      </c>
      <c r="CY61" s="10">
        <f>CW61-CX61</f>
        <v/>
      </c>
      <c r="CZ61" s="10">
        <f>MIN('02_Данные'!AV61,CY61)</f>
        <v/>
      </c>
      <c r="DA61" s="10">
        <f>CY61-CZ61</f>
        <v/>
      </c>
      <c r="DB61" s="10">
        <f>MIN('02_Данные'!AU61,DA61)</f>
        <v/>
      </c>
      <c r="DC61" s="10">
        <f>DA61-DB61</f>
        <v/>
      </c>
      <c r="DD61" s="10">
        <f>MIN('02_Данные'!AW61,DC61)</f>
        <v/>
      </c>
      <c r="DE61" s="10">
        <f>DC61-DD61</f>
        <v/>
      </c>
      <c r="DF61" s="10">
        <f>MIN('02_Данные'!AX61,DE61)</f>
        <v/>
      </c>
      <c r="DG61" s="10">
        <f>DE61-DF61</f>
        <v/>
      </c>
    </row>
    <row r="62">
      <c r="A62" s="9">
        <f>'02_Данные'!B62</f>
        <v/>
      </c>
      <c r="B62" s="9">
        <f>'02_Данные'!E62</f>
        <v/>
      </c>
      <c r="C62" s="10">
        <f>'02_Данные'!F62+'02_Данные'!G62+'02_Данные'!H62+'02_Данные'!I62+'02_Данные'!J62+'02_Данные'!K62</f>
        <v/>
      </c>
      <c r="D62" s="10">
        <f>SUM('02_Данные'!L62:'02_Данные'!AY62)</f>
        <v/>
      </c>
      <c r="E62" s="10">
        <f>MAX(0,D62-C62)</f>
        <v/>
      </c>
      <c r="F62" s="15">
        <f>IF(E62&gt;0.0001,"ДЕФИЦИТ",IF(Y62&gt;0.0001,"ПРОФИЦИТ","БАЛАНС"))</f>
        <v/>
      </c>
      <c r="G62" s="10">
        <f>AB62+AS62+BJ62+CA62+CR62</f>
        <v/>
      </c>
      <c r="H62" s="10">
        <f>AD62+AU62+BL62+CC62+CT62</f>
        <v/>
      </c>
      <c r="I62" s="10">
        <f>AF62+AW62+BN62+CE62+CV62</f>
        <v/>
      </c>
      <c r="J62" s="10">
        <f>AL62+BC62+BT62+CK62+DB62</f>
        <v/>
      </c>
      <c r="K62" s="10">
        <f>AJ62+BA62+BR62+CI62+CZ62</f>
        <v/>
      </c>
      <c r="L62" s="10">
        <f>AN62+BE62+BV62+CM62+DD62</f>
        <v/>
      </c>
      <c r="M62" s="10">
        <f>AP62+BG62+BX62+CO62+DF62</f>
        <v/>
      </c>
      <c r="N62" s="10">
        <f>AH62+AY62+BP62+CG62+CX62</f>
        <v/>
      </c>
      <c r="O62" s="10">
        <f>SUM(G62:N62)</f>
        <v/>
      </c>
      <c r="P62" s="10">
        <f>IFERROR(G62*MIN(1,'01_Нормативы'!$C$4/SUM(G$2:G$429)),0)</f>
        <v/>
      </c>
      <c r="Q62" s="10">
        <f>IFERROR(H62*MIN(1,'01_Нормативы'!$C$5/SUM(H$2:H$429)),0)</f>
        <v/>
      </c>
      <c r="R62" s="10">
        <f>IFERROR(I62*MIN(1,'01_Нормативы'!$C$6/SUM(I$2:I$429)),0)</f>
        <v/>
      </c>
      <c r="S62" s="10">
        <f>IFERROR(J62*MIN(1,'01_Нормативы'!$C$7/SUM(J$2:J$429)),0)</f>
        <v/>
      </c>
      <c r="T62" s="10">
        <f>IFERROR(K62*MIN(1,'01_Нормативы'!$C$8/SUM(K$2:K$429)),0)</f>
        <v/>
      </c>
      <c r="U62" s="10">
        <f>IFERROR(L62*MIN(1,'01_Нормативы'!$C$9/SUM(L$2:L$429)),0)</f>
        <v/>
      </c>
      <c r="V62" s="10">
        <f>IFERROR(M62*MIN(1,'01_Нормативы'!$C$10/SUM(M$2:M$429)),0)</f>
        <v/>
      </c>
      <c r="W62" s="10">
        <f>IFERROR(N62*MIN(1,'01_Нормативы'!$C$11/SUM(N$2:N$429)),0)</f>
        <v/>
      </c>
      <c r="X62" s="10">
        <f>SUM(P62:W62)</f>
        <v/>
      </c>
      <c r="Y62" s="10">
        <f>MAX(0,C62-X62)</f>
        <v/>
      </c>
      <c r="Z62" s="10">
        <f>IF(D62=0,100,X62/D62*100)</f>
        <v/>
      </c>
      <c r="AA62" s="10">
        <f>'02_Данные'!F62+'02_Данные'!G62</f>
        <v/>
      </c>
      <c r="AB62" s="10">
        <f>MIN('02_Данные'!L62,AA62)</f>
        <v/>
      </c>
      <c r="AC62" s="10">
        <f>AA62-AB62</f>
        <v/>
      </c>
      <c r="AD62" s="10">
        <f>MIN('02_Данные'!M62,AC62)</f>
        <v/>
      </c>
      <c r="AE62" s="10">
        <f>AC62-AD62</f>
        <v/>
      </c>
      <c r="AF62" s="10">
        <f>MIN('02_Данные'!N62,AE62)</f>
        <v/>
      </c>
      <c r="AG62" s="10">
        <f>AE62-AF62</f>
        <v/>
      </c>
      <c r="AH62" s="10">
        <f>MIN('02_Данные'!S62,AG62)</f>
        <v/>
      </c>
      <c r="AI62" s="10">
        <f>AG62-AH62</f>
        <v/>
      </c>
      <c r="AJ62" s="10">
        <f>MIN('02_Данные'!P62,AI62)</f>
        <v/>
      </c>
      <c r="AK62" s="10">
        <f>AI62-AJ62</f>
        <v/>
      </c>
      <c r="AL62" s="10">
        <f>MIN('02_Данные'!O62,AK62)</f>
        <v/>
      </c>
      <c r="AM62" s="10">
        <f>AK62-AL62</f>
        <v/>
      </c>
      <c r="AN62" s="10">
        <f>MIN('02_Данные'!Q62,AM62)</f>
        <v/>
      </c>
      <c r="AO62" s="10">
        <f>AM62-AN62</f>
        <v/>
      </c>
      <c r="AP62" s="10">
        <f>MIN('02_Данные'!R62,AO62)</f>
        <v/>
      </c>
      <c r="AQ62" s="10">
        <f>AO62-AP62</f>
        <v/>
      </c>
      <c r="AR62" s="10">
        <f>AQ62+'02_Данные'!H62</f>
        <v/>
      </c>
      <c r="AS62" s="10">
        <f>MIN('02_Данные'!T62,AR62)</f>
        <v/>
      </c>
      <c r="AT62" s="10">
        <f>AR62-AS62</f>
        <v/>
      </c>
      <c r="AU62" s="10">
        <f>MIN('02_Данные'!U62,AT62)</f>
        <v/>
      </c>
      <c r="AV62" s="10">
        <f>AT62-AU62</f>
        <v/>
      </c>
      <c r="AW62" s="10">
        <f>MIN('02_Данные'!V62,AV62)</f>
        <v/>
      </c>
      <c r="AX62" s="10">
        <f>AV62-AW62</f>
        <v/>
      </c>
      <c r="AY62" s="10">
        <f>MIN('02_Данные'!AA62,AX62)</f>
        <v/>
      </c>
      <c r="AZ62" s="10">
        <f>AX62-AY62</f>
        <v/>
      </c>
      <c r="BA62" s="10">
        <f>MIN('02_Данные'!X62,AZ62)</f>
        <v/>
      </c>
      <c r="BB62" s="10">
        <f>AZ62-BA62</f>
        <v/>
      </c>
      <c r="BC62" s="10">
        <f>MIN('02_Данные'!W62,BB62)</f>
        <v/>
      </c>
      <c r="BD62" s="10">
        <f>BB62-BC62</f>
        <v/>
      </c>
      <c r="BE62" s="10">
        <f>MIN('02_Данные'!Y62,BD62)</f>
        <v/>
      </c>
      <c r="BF62" s="10">
        <f>BD62-BE62</f>
        <v/>
      </c>
      <c r="BG62" s="10">
        <f>MIN('02_Данные'!Z62,BF62)</f>
        <v/>
      </c>
      <c r="BH62" s="10">
        <f>BF62-BG62</f>
        <v/>
      </c>
      <c r="BI62" s="10">
        <f>BH62+'02_Данные'!I62</f>
        <v/>
      </c>
      <c r="BJ62" s="10">
        <f>MIN('02_Данные'!AB62,BI62)</f>
        <v/>
      </c>
      <c r="BK62" s="10">
        <f>BI62-BJ62</f>
        <v/>
      </c>
      <c r="BL62" s="10">
        <f>MIN('02_Данные'!AC62,BK62)</f>
        <v/>
      </c>
      <c r="BM62" s="10">
        <f>BK62-BL62</f>
        <v/>
      </c>
      <c r="BN62" s="10">
        <f>MIN('02_Данные'!AD62,BM62)</f>
        <v/>
      </c>
      <c r="BO62" s="10">
        <f>BM62-BN62</f>
        <v/>
      </c>
      <c r="BP62" s="10">
        <f>MIN('02_Данные'!AI62,BO62)</f>
        <v/>
      </c>
      <c r="BQ62" s="10">
        <f>BO62-BP62</f>
        <v/>
      </c>
      <c r="BR62" s="10">
        <f>MIN('02_Данные'!AF62,BQ62)</f>
        <v/>
      </c>
      <c r="BS62" s="10">
        <f>BQ62-BR62</f>
        <v/>
      </c>
      <c r="BT62" s="10">
        <f>MIN('02_Данные'!AE62,BS62)</f>
        <v/>
      </c>
      <c r="BU62" s="10">
        <f>BS62-BT62</f>
        <v/>
      </c>
      <c r="BV62" s="10">
        <f>MIN('02_Данные'!AG62,BU62)</f>
        <v/>
      </c>
      <c r="BW62" s="10">
        <f>BU62-BV62</f>
        <v/>
      </c>
      <c r="BX62" s="10">
        <f>MIN('02_Данные'!AH62,BW62)</f>
        <v/>
      </c>
      <c r="BY62" s="10">
        <f>BW62-BX62</f>
        <v/>
      </c>
      <c r="BZ62" s="10">
        <f>BY62+'02_Данные'!J62</f>
        <v/>
      </c>
      <c r="CA62" s="10">
        <f>MIN('02_Данные'!AJ62,BZ62)</f>
        <v/>
      </c>
      <c r="CB62" s="10">
        <f>BZ62-CA62</f>
        <v/>
      </c>
      <c r="CC62" s="10">
        <f>MIN('02_Данные'!AK62,CB62)</f>
        <v/>
      </c>
      <c r="CD62" s="10">
        <f>CB62-CC62</f>
        <v/>
      </c>
      <c r="CE62" s="10">
        <f>MIN('02_Данные'!AL62,CD62)</f>
        <v/>
      </c>
      <c r="CF62" s="10">
        <f>CD62-CE62</f>
        <v/>
      </c>
      <c r="CG62" s="10">
        <f>MIN('02_Данные'!AQ62,CF62)</f>
        <v/>
      </c>
      <c r="CH62" s="10">
        <f>CF62-CG62</f>
        <v/>
      </c>
      <c r="CI62" s="10">
        <f>MIN('02_Данные'!AN62,CH62)</f>
        <v/>
      </c>
      <c r="CJ62" s="10">
        <f>CH62-CI62</f>
        <v/>
      </c>
      <c r="CK62" s="10">
        <f>MIN('02_Данные'!AM62,CJ62)</f>
        <v/>
      </c>
      <c r="CL62" s="10">
        <f>CJ62-CK62</f>
        <v/>
      </c>
      <c r="CM62" s="10">
        <f>MIN('02_Данные'!AO62,CL62)</f>
        <v/>
      </c>
      <c r="CN62" s="10">
        <f>CL62-CM62</f>
        <v/>
      </c>
      <c r="CO62" s="10">
        <f>MIN('02_Данные'!AP62,CN62)</f>
        <v/>
      </c>
      <c r="CP62" s="10">
        <f>CN62-CO62</f>
        <v/>
      </c>
      <c r="CQ62" s="10">
        <f>CP62+'02_Данные'!K62</f>
        <v/>
      </c>
      <c r="CR62" s="10">
        <f>MIN('02_Данные'!AR62,CQ62)</f>
        <v/>
      </c>
      <c r="CS62" s="10">
        <f>CQ62-CR62</f>
        <v/>
      </c>
      <c r="CT62" s="10">
        <f>MIN('02_Данные'!AS62,CS62)</f>
        <v/>
      </c>
      <c r="CU62" s="10">
        <f>CS62-CT62</f>
        <v/>
      </c>
      <c r="CV62" s="10">
        <f>MIN('02_Данные'!AT62,CU62)</f>
        <v/>
      </c>
      <c r="CW62" s="10">
        <f>CU62-CV62</f>
        <v/>
      </c>
      <c r="CX62" s="10">
        <f>MIN('02_Данные'!AY62,CW62)</f>
        <v/>
      </c>
      <c r="CY62" s="10">
        <f>CW62-CX62</f>
        <v/>
      </c>
      <c r="CZ62" s="10">
        <f>MIN('02_Данные'!AV62,CY62)</f>
        <v/>
      </c>
      <c r="DA62" s="10">
        <f>CY62-CZ62</f>
        <v/>
      </c>
      <c r="DB62" s="10">
        <f>MIN('02_Данные'!AU62,DA62)</f>
        <v/>
      </c>
      <c r="DC62" s="10">
        <f>DA62-DB62</f>
        <v/>
      </c>
      <c r="DD62" s="10">
        <f>MIN('02_Данные'!AW62,DC62)</f>
        <v/>
      </c>
      <c r="DE62" s="10">
        <f>DC62-DD62</f>
        <v/>
      </c>
      <c r="DF62" s="10">
        <f>MIN('02_Данные'!AX62,DE62)</f>
        <v/>
      </c>
      <c r="DG62" s="10">
        <f>DE62-DF62</f>
        <v/>
      </c>
    </row>
    <row r="63">
      <c r="A63" s="9">
        <f>'02_Данные'!B63</f>
        <v/>
      </c>
      <c r="B63" s="9">
        <f>'02_Данные'!E63</f>
        <v/>
      </c>
      <c r="C63" s="10">
        <f>'02_Данные'!F63+'02_Данные'!G63+'02_Данные'!H63+'02_Данные'!I63+'02_Данные'!J63+'02_Данные'!K63</f>
        <v/>
      </c>
      <c r="D63" s="10">
        <f>SUM('02_Данные'!L63:'02_Данные'!AY63)</f>
        <v/>
      </c>
      <c r="E63" s="10">
        <f>MAX(0,D63-C63)</f>
        <v/>
      </c>
      <c r="F63" s="15">
        <f>IF(E63&gt;0.0001,"ДЕФИЦИТ",IF(Y63&gt;0.0001,"ПРОФИЦИТ","БАЛАНС"))</f>
        <v/>
      </c>
      <c r="G63" s="10">
        <f>AB63+AS63+BJ63+CA63+CR63</f>
        <v/>
      </c>
      <c r="H63" s="10">
        <f>AD63+AU63+BL63+CC63+CT63</f>
        <v/>
      </c>
      <c r="I63" s="10">
        <f>AF63+AW63+BN63+CE63+CV63</f>
        <v/>
      </c>
      <c r="J63" s="10">
        <f>AL63+BC63+BT63+CK63+DB63</f>
        <v/>
      </c>
      <c r="K63" s="10">
        <f>AJ63+BA63+BR63+CI63+CZ63</f>
        <v/>
      </c>
      <c r="L63" s="10">
        <f>AN63+BE63+BV63+CM63+DD63</f>
        <v/>
      </c>
      <c r="M63" s="10">
        <f>AP63+BG63+BX63+CO63+DF63</f>
        <v/>
      </c>
      <c r="N63" s="10">
        <f>AH63+AY63+BP63+CG63+CX63</f>
        <v/>
      </c>
      <c r="O63" s="10">
        <f>SUM(G63:N63)</f>
        <v/>
      </c>
      <c r="P63" s="10">
        <f>IFERROR(G63*MIN(1,'01_Нормативы'!$C$4/SUM(G$2:G$429)),0)</f>
        <v/>
      </c>
      <c r="Q63" s="10">
        <f>IFERROR(H63*MIN(1,'01_Нормативы'!$C$5/SUM(H$2:H$429)),0)</f>
        <v/>
      </c>
      <c r="R63" s="10">
        <f>IFERROR(I63*MIN(1,'01_Нормативы'!$C$6/SUM(I$2:I$429)),0)</f>
        <v/>
      </c>
      <c r="S63" s="10">
        <f>IFERROR(J63*MIN(1,'01_Нормативы'!$C$7/SUM(J$2:J$429)),0)</f>
        <v/>
      </c>
      <c r="T63" s="10">
        <f>IFERROR(K63*MIN(1,'01_Нормативы'!$C$8/SUM(K$2:K$429)),0)</f>
        <v/>
      </c>
      <c r="U63" s="10">
        <f>IFERROR(L63*MIN(1,'01_Нормативы'!$C$9/SUM(L$2:L$429)),0)</f>
        <v/>
      </c>
      <c r="V63" s="10">
        <f>IFERROR(M63*MIN(1,'01_Нормативы'!$C$10/SUM(M$2:M$429)),0)</f>
        <v/>
      </c>
      <c r="W63" s="10">
        <f>IFERROR(N63*MIN(1,'01_Нормативы'!$C$11/SUM(N$2:N$429)),0)</f>
        <v/>
      </c>
      <c r="X63" s="10">
        <f>SUM(P63:W63)</f>
        <v/>
      </c>
      <c r="Y63" s="10">
        <f>MAX(0,C63-X63)</f>
        <v/>
      </c>
      <c r="Z63" s="10">
        <f>IF(D63=0,100,X63/D63*100)</f>
        <v/>
      </c>
      <c r="AA63" s="10">
        <f>'02_Данные'!F63+'02_Данные'!G63</f>
        <v/>
      </c>
      <c r="AB63" s="10">
        <f>MIN('02_Данные'!L63,AA63)</f>
        <v/>
      </c>
      <c r="AC63" s="10">
        <f>AA63-AB63</f>
        <v/>
      </c>
      <c r="AD63" s="10">
        <f>MIN('02_Данные'!M63,AC63)</f>
        <v/>
      </c>
      <c r="AE63" s="10">
        <f>AC63-AD63</f>
        <v/>
      </c>
      <c r="AF63" s="10">
        <f>MIN('02_Данные'!N63,AE63)</f>
        <v/>
      </c>
      <c r="AG63" s="10">
        <f>AE63-AF63</f>
        <v/>
      </c>
      <c r="AH63" s="10">
        <f>MIN('02_Данные'!S63,AG63)</f>
        <v/>
      </c>
      <c r="AI63" s="10">
        <f>AG63-AH63</f>
        <v/>
      </c>
      <c r="AJ63" s="10">
        <f>MIN('02_Данные'!P63,AI63)</f>
        <v/>
      </c>
      <c r="AK63" s="10">
        <f>AI63-AJ63</f>
        <v/>
      </c>
      <c r="AL63" s="10">
        <f>MIN('02_Данные'!O63,AK63)</f>
        <v/>
      </c>
      <c r="AM63" s="10">
        <f>AK63-AL63</f>
        <v/>
      </c>
      <c r="AN63" s="10">
        <f>MIN('02_Данные'!Q63,AM63)</f>
        <v/>
      </c>
      <c r="AO63" s="10">
        <f>AM63-AN63</f>
        <v/>
      </c>
      <c r="AP63" s="10">
        <f>MIN('02_Данные'!R63,AO63)</f>
        <v/>
      </c>
      <c r="AQ63" s="10">
        <f>AO63-AP63</f>
        <v/>
      </c>
      <c r="AR63" s="10">
        <f>AQ63+'02_Данные'!H63</f>
        <v/>
      </c>
      <c r="AS63" s="10">
        <f>MIN('02_Данные'!T63,AR63)</f>
        <v/>
      </c>
      <c r="AT63" s="10">
        <f>AR63-AS63</f>
        <v/>
      </c>
      <c r="AU63" s="10">
        <f>MIN('02_Данные'!U63,AT63)</f>
        <v/>
      </c>
      <c r="AV63" s="10">
        <f>AT63-AU63</f>
        <v/>
      </c>
      <c r="AW63" s="10">
        <f>MIN('02_Данные'!V63,AV63)</f>
        <v/>
      </c>
      <c r="AX63" s="10">
        <f>AV63-AW63</f>
        <v/>
      </c>
      <c r="AY63" s="10">
        <f>MIN('02_Данные'!AA63,AX63)</f>
        <v/>
      </c>
      <c r="AZ63" s="10">
        <f>AX63-AY63</f>
        <v/>
      </c>
      <c r="BA63" s="10">
        <f>MIN('02_Данные'!X63,AZ63)</f>
        <v/>
      </c>
      <c r="BB63" s="10">
        <f>AZ63-BA63</f>
        <v/>
      </c>
      <c r="BC63" s="10">
        <f>MIN('02_Данные'!W63,BB63)</f>
        <v/>
      </c>
      <c r="BD63" s="10">
        <f>BB63-BC63</f>
        <v/>
      </c>
      <c r="BE63" s="10">
        <f>MIN('02_Данные'!Y63,BD63)</f>
        <v/>
      </c>
      <c r="BF63" s="10">
        <f>BD63-BE63</f>
        <v/>
      </c>
      <c r="BG63" s="10">
        <f>MIN('02_Данные'!Z63,BF63)</f>
        <v/>
      </c>
      <c r="BH63" s="10">
        <f>BF63-BG63</f>
        <v/>
      </c>
      <c r="BI63" s="10">
        <f>BH63+'02_Данные'!I63</f>
        <v/>
      </c>
      <c r="BJ63" s="10">
        <f>MIN('02_Данные'!AB63,BI63)</f>
        <v/>
      </c>
      <c r="BK63" s="10">
        <f>BI63-BJ63</f>
        <v/>
      </c>
      <c r="BL63" s="10">
        <f>MIN('02_Данные'!AC63,BK63)</f>
        <v/>
      </c>
      <c r="BM63" s="10">
        <f>BK63-BL63</f>
        <v/>
      </c>
      <c r="BN63" s="10">
        <f>MIN('02_Данные'!AD63,BM63)</f>
        <v/>
      </c>
      <c r="BO63" s="10">
        <f>BM63-BN63</f>
        <v/>
      </c>
      <c r="BP63" s="10">
        <f>MIN('02_Данные'!AI63,BO63)</f>
        <v/>
      </c>
      <c r="BQ63" s="10">
        <f>BO63-BP63</f>
        <v/>
      </c>
      <c r="BR63" s="10">
        <f>MIN('02_Данные'!AF63,BQ63)</f>
        <v/>
      </c>
      <c r="BS63" s="10">
        <f>BQ63-BR63</f>
        <v/>
      </c>
      <c r="BT63" s="10">
        <f>MIN('02_Данные'!AE63,BS63)</f>
        <v/>
      </c>
      <c r="BU63" s="10">
        <f>BS63-BT63</f>
        <v/>
      </c>
      <c r="BV63" s="10">
        <f>MIN('02_Данные'!AG63,BU63)</f>
        <v/>
      </c>
      <c r="BW63" s="10">
        <f>BU63-BV63</f>
        <v/>
      </c>
      <c r="BX63" s="10">
        <f>MIN('02_Данные'!AH63,BW63)</f>
        <v/>
      </c>
      <c r="BY63" s="10">
        <f>BW63-BX63</f>
        <v/>
      </c>
      <c r="BZ63" s="10">
        <f>BY63+'02_Данные'!J63</f>
        <v/>
      </c>
      <c r="CA63" s="10">
        <f>MIN('02_Данные'!AJ63,BZ63)</f>
        <v/>
      </c>
      <c r="CB63" s="10">
        <f>BZ63-CA63</f>
        <v/>
      </c>
      <c r="CC63" s="10">
        <f>MIN('02_Данные'!AK63,CB63)</f>
        <v/>
      </c>
      <c r="CD63" s="10">
        <f>CB63-CC63</f>
        <v/>
      </c>
      <c r="CE63" s="10">
        <f>MIN('02_Данные'!AL63,CD63)</f>
        <v/>
      </c>
      <c r="CF63" s="10">
        <f>CD63-CE63</f>
        <v/>
      </c>
      <c r="CG63" s="10">
        <f>MIN('02_Данные'!AQ63,CF63)</f>
        <v/>
      </c>
      <c r="CH63" s="10">
        <f>CF63-CG63</f>
        <v/>
      </c>
      <c r="CI63" s="10">
        <f>MIN('02_Данные'!AN63,CH63)</f>
        <v/>
      </c>
      <c r="CJ63" s="10">
        <f>CH63-CI63</f>
        <v/>
      </c>
      <c r="CK63" s="10">
        <f>MIN('02_Данные'!AM63,CJ63)</f>
        <v/>
      </c>
      <c r="CL63" s="10">
        <f>CJ63-CK63</f>
        <v/>
      </c>
      <c r="CM63" s="10">
        <f>MIN('02_Данные'!AO63,CL63)</f>
        <v/>
      </c>
      <c r="CN63" s="10">
        <f>CL63-CM63</f>
        <v/>
      </c>
      <c r="CO63" s="10">
        <f>MIN('02_Данные'!AP63,CN63)</f>
        <v/>
      </c>
      <c r="CP63" s="10">
        <f>CN63-CO63</f>
        <v/>
      </c>
      <c r="CQ63" s="10">
        <f>CP63+'02_Данные'!K63</f>
        <v/>
      </c>
      <c r="CR63" s="10">
        <f>MIN('02_Данные'!AR63,CQ63)</f>
        <v/>
      </c>
      <c r="CS63" s="10">
        <f>CQ63-CR63</f>
        <v/>
      </c>
      <c r="CT63" s="10">
        <f>MIN('02_Данные'!AS63,CS63)</f>
        <v/>
      </c>
      <c r="CU63" s="10">
        <f>CS63-CT63</f>
        <v/>
      </c>
      <c r="CV63" s="10">
        <f>MIN('02_Данные'!AT63,CU63)</f>
        <v/>
      </c>
      <c r="CW63" s="10">
        <f>CU63-CV63</f>
        <v/>
      </c>
      <c r="CX63" s="10">
        <f>MIN('02_Данные'!AY63,CW63)</f>
        <v/>
      </c>
      <c r="CY63" s="10">
        <f>CW63-CX63</f>
        <v/>
      </c>
      <c r="CZ63" s="10">
        <f>MIN('02_Данные'!AV63,CY63)</f>
        <v/>
      </c>
      <c r="DA63" s="10">
        <f>CY63-CZ63</f>
        <v/>
      </c>
      <c r="DB63" s="10">
        <f>MIN('02_Данные'!AU63,DA63)</f>
        <v/>
      </c>
      <c r="DC63" s="10">
        <f>DA63-DB63</f>
        <v/>
      </c>
      <c r="DD63" s="10">
        <f>MIN('02_Данные'!AW63,DC63)</f>
        <v/>
      </c>
      <c r="DE63" s="10">
        <f>DC63-DD63</f>
        <v/>
      </c>
      <c r="DF63" s="10">
        <f>MIN('02_Данные'!AX63,DE63)</f>
        <v/>
      </c>
      <c r="DG63" s="10">
        <f>DE63-DF63</f>
        <v/>
      </c>
    </row>
    <row r="64">
      <c r="A64" s="9">
        <f>'02_Данные'!B64</f>
        <v/>
      </c>
      <c r="B64" s="9">
        <f>'02_Данные'!E64</f>
        <v/>
      </c>
      <c r="C64" s="10">
        <f>'02_Данные'!F64+'02_Данные'!G64+'02_Данные'!H64+'02_Данные'!I64+'02_Данные'!J64+'02_Данные'!K64</f>
        <v/>
      </c>
      <c r="D64" s="10">
        <f>SUM('02_Данные'!L64:'02_Данные'!AY64)</f>
        <v/>
      </c>
      <c r="E64" s="10">
        <f>MAX(0,D64-C64)</f>
        <v/>
      </c>
      <c r="F64" s="15">
        <f>IF(E64&gt;0.0001,"ДЕФИЦИТ",IF(Y64&gt;0.0001,"ПРОФИЦИТ","БАЛАНС"))</f>
        <v/>
      </c>
      <c r="G64" s="10">
        <f>AB64+AS64+BJ64+CA64+CR64</f>
        <v/>
      </c>
      <c r="H64" s="10">
        <f>AD64+AU64+BL64+CC64+CT64</f>
        <v/>
      </c>
      <c r="I64" s="10">
        <f>AF64+AW64+BN64+CE64+CV64</f>
        <v/>
      </c>
      <c r="J64" s="10">
        <f>AL64+BC64+BT64+CK64+DB64</f>
        <v/>
      </c>
      <c r="K64" s="10">
        <f>AJ64+BA64+BR64+CI64+CZ64</f>
        <v/>
      </c>
      <c r="L64" s="10">
        <f>AN64+BE64+BV64+CM64+DD64</f>
        <v/>
      </c>
      <c r="M64" s="10">
        <f>AP64+BG64+BX64+CO64+DF64</f>
        <v/>
      </c>
      <c r="N64" s="10">
        <f>AH64+AY64+BP64+CG64+CX64</f>
        <v/>
      </c>
      <c r="O64" s="10">
        <f>SUM(G64:N64)</f>
        <v/>
      </c>
      <c r="P64" s="10">
        <f>IFERROR(G64*MIN(1,'01_Нормативы'!$C$4/SUM(G$2:G$429)),0)</f>
        <v/>
      </c>
      <c r="Q64" s="10">
        <f>IFERROR(H64*MIN(1,'01_Нормативы'!$C$5/SUM(H$2:H$429)),0)</f>
        <v/>
      </c>
      <c r="R64" s="10">
        <f>IFERROR(I64*MIN(1,'01_Нормативы'!$C$6/SUM(I$2:I$429)),0)</f>
        <v/>
      </c>
      <c r="S64" s="10">
        <f>IFERROR(J64*MIN(1,'01_Нормативы'!$C$7/SUM(J$2:J$429)),0)</f>
        <v/>
      </c>
      <c r="T64" s="10">
        <f>IFERROR(K64*MIN(1,'01_Нормативы'!$C$8/SUM(K$2:K$429)),0)</f>
        <v/>
      </c>
      <c r="U64" s="10">
        <f>IFERROR(L64*MIN(1,'01_Нормативы'!$C$9/SUM(L$2:L$429)),0)</f>
        <v/>
      </c>
      <c r="V64" s="10">
        <f>IFERROR(M64*MIN(1,'01_Нормативы'!$C$10/SUM(M$2:M$429)),0)</f>
        <v/>
      </c>
      <c r="W64" s="10">
        <f>IFERROR(N64*MIN(1,'01_Нормативы'!$C$11/SUM(N$2:N$429)),0)</f>
        <v/>
      </c>
      <c r="X64" s="10">
        <f>SUM(P64:W64)</f>
        <v/>
      </c>
      <c r="Y64" s="10">
        <f>MAX(0,C64-X64)</f>
        <v/>
      </c>
      <c r="Z64" s="10">
        <f>IF(D64=0,100,X64/D64*100)</f>
        <v/>
      </c>
      <c r="AA64" s="10">
        <f>'02_Данные'!F64+'02_Данные'!G64</f>
        <v/>
      </c>
      <c r="AB64" s="10">
        <f>MIN('02_Данные'!L64,AA64)</f>
        <v/>
      </c>
      <c r="AC64" s="10">
        <f>AA64-AB64</f>
        <v/>
      </c>
      <c r="AD64" s="10">
        <f>MIN('02_Данные'!M64,AC64)</f>
        <v/>
      </c>
      <c r="AE64" s="10">
        <f>AC64-AD64</f>
        <v/>
      </c>
      <c r="AF64" s="10">
        <f>MIN('02_Данные'!N64,AE64)</f>
        <v/>
      </c>
      <c r="AG64" s="10">
        <f>AE64-AF64</f>
        <v/>
      </c>
      <c r="AH64" s="10">
        <f>MIN('02_Данные'!S64,AG64)</f>
        <v/>
      </c>
      <c r="AI64" s="10">
        <f>AG64-AH64</f>
        <v/>
      </c>
      <c r="AJ64" s="10">
        <f>MIN('02_Данные'!P64,AI64)</f>
        <v/>
      </c>
      <c r="AK64" s="10">
        <f>AI64-AJ64</f>
        <v/>
      </c>
      <c r="AL64" s="10">
        <f>MIN('02_Данные'!O64,AK64)</f>
        <v/>
      </c>
      <c r="AM64" s="10">
        <f>AK64-AL64</f>
        <v/>
      </c>
      <c r="AN64" s="10">
        <f>MIN('02_Данные'!Q64,AM64)</f>
        <v/>
      </c>
      <c r="AO64" s="10">
        <f>AM64-AN64</f>
        <v/>
      </c>
      <c r="AP64" s="10">
        <f>MIN('02_Данные'!R64,AO64)</f>
        <v/>
      </c>
      <c r="AQ64" s="10">
        <f>AO64-AP64</f>
        <v/>
      </c>
      <c r="AR64" s="10">
        <f>AQ64+'02_Данные'!H64</f>
        <v/>
      </c>
      <c r="AS64" s="10">
        <f>MIN('02_Данные'!T64,AR64)</f>
        <v/>
      </c>
      <c r="AT64" s="10">
        <f>AR64-AS64</f>
        <v/>
      </c>
      <c r="AU64" s="10">
        <f>MIN('02_Данные'!U64,AT64)</f>
        <v/>
      </c>
      <c r="AV64" s="10">
        <f>AT64-AU64</f>
        <v/>
      </c>
      <c r="AW64" s="10">
        <f>MIN('02_Данные'!V64,AV64)</f>
        <v/>
      </c>
      <c r="AX64" s="10">
        <f>AV64-AW64</f>
        <v/>
      </c>
      <c r="AY64" s="10">
        <f>MIN('02_Данные'!AA64,AX64)</f>
        <v/>
      </c>
      <c r="AZ64" s="10">
        <f>AX64-AY64</f>
        <v/>
      </c>
      <c r="BA64" s="10">
        <f>MIN('02_Данные'!X64,AZ64)</f>
        <v/>
      </c>
      <c r="BB64" s="10">
        <f>AZ64-BA64</f>
        <v/>
      </c>
      <c r="BC64" s="10">
        <f>MIN('02_Данные'!W64,BB64)</f>
        <v/>
      </c>
      <c r="BD64" s="10">
        <f>BB64-BC64</f>
        <v/>
      </c>
      <c r="BE64" s="10">
        <f>MIN('02_Данные'!Y64,BD64)</f>
        <v/>
      </c>
      <c r="BF64" s="10">
        <f>BD64-BE64</f>
        <v/>
      </c>
      <c r="BG64" s="10">
        <f>MIN('02_Данные'!Z64,BF64)</f>
        <v/>
      </c>
      <c r="BH64" s="10">
        <f>BF64-BG64</f>
        <v/>
      </c>
      <c r="BI64" s="10">
        <f>BH64+'02_Данные'!I64</f>
        <v/>
      </c>
      <c r="BJ64" s="10">
        <f>MIN('02_Данные'!AB64,BI64)</f>
        <v/>
      </c>
      <c r="BK64" s="10">
        <f>BI64-BJ64</f>
        <v/>
      </c>
      <c r="BL64" s="10">
        <f>MIN('02_Данные'!AC64,BK64)</f>
        <v/>
      </c>
      <c r="BM64" s="10">
        <f>BK64-BL64</f>
        <v/>
      </c>
      <c r="BN64" s="10">
        <f>MIN('02_Данные'!AD64,BM64)</f>
        <v/>
      </c>
      <c r="BO64" s="10">
        <f>BM64-BN64</f>
        <v/>
      </c>
      <c r="BP64" s="10">
        <f>MIN('02_Данные'!AI64,BO64)</f>
        <v/>
      </c>
      <c r="BQ64" s="10">
        <f>BO64-BP64</f>
        <v/>
      </c>
      <c r="BR64" s="10">
        <f>MIN('02_Данные'!AF64,BQ64)</f>
        <v/>
      </c>
      <c r="BS64" s="10">
        <f>BQ64-BR64</f>
        <v/>
      </c>
      <c r="BT64" s="10">
        <f>MIN('02_Данные'!AE64,BS64)</f>
        <v/>
      </c>
      <c r="BU64" s="10">
        <f>BS64-BT64</f>
        <v/>
      </c>
      <c r="BV64" s="10">
        <f>MIN('02_Данные'!AG64,BU64)</f>
        <v/>
      </c>
      <c r="BW64" s="10">
        <f>BU64-BV64</f>
        <v/>
      </c>
      <c r="BX64" s="10">
        <f>MIN('02_Данные'!AH64,BW64)</f>
        <v/>
      </c>
      <c r="BY64" s="10">
        <f>BW64-BX64</f>
        <v/>
      </c>
      <c r="BZ64" s="10">
        <f>BY64+'02_Данные'!J64</f>
        <v/>
      </c>
      <c r="CA64" s="10">
        <f>MIN('02_Данные'!AJ64,BZ64)</f>
        <v/>
      </c>
      <c r="CB64" s="10">
        <f>BZ64-CA64</f>
        <v/>
      </c>
      <c r="CC64" s="10">
        <f>MIN('02_Данные'!AK64,CB64)</f>
        <v/>
      </c>
      <c r="CD64" s="10">
        <f>CB64-CC64</f>
        <v/>
      </c>
      <c r="CE64" s="10">
        <f>MIN('02_Данные'!AL64,CD64)</f>
        <v/>
      </c>
      <c r="CF64" s="10">
        <f>CD64-CE64</f>
        <v/>
      </c>
      <c r="CG64" s="10">
        <f>MIN('02_Данные'!AQ64,CF64)</f>
        <v/>
      </c>
      <c r="CH64" s="10">
        <f>CF64-CG64</f>
        <v/>
      </c>
      <c r="CI64" s="10">
        <f>MIN('02_Данные'!AN64,CH64)</f>
        <v/>
      </c>
      <c r="CJ64" s="10">
        <f>CH64-CI64</f>
        <v/>
      </c>
      <c r="CK64" s="10">
        <f>MIN('02_Данные'!AM64,CJ64)</f>
        <v/>
      </c>
      <c r="CL64" s="10">
        <f>CJ64-CK64</f>
        <v/>
      </c>
      <c r="CM64" s="10">
        <f>MIN('02_Данные'!AO64,CL64)</f>
        <v/>
      </c>
      <c r="CN64" s="10">
        <f>CL64-CM64</f>
        <v/>
      </c>
      <c r="CO64" s="10">
        <f>MIN('02_Данные'!AP64,CN64)</f>
        <v/>
      </c>
      <c r="CP64" s="10">
        <f>CN64-CO64</f>
        <v/>
      </c>
      <c r="CQ64" s="10">
        <f>CP64+'02_Данные'!K64</f>
        <v/>
      </c>
      <c r="CR64" s="10">
        <f>MIN('02_Данные'!AR64,CQ64)</f>
        <v/>
      </c>
      <c r="CS64" s="10">
        <f>CQ64-CR64</f>
        <v/>
      </c>
      <c r="CT64" s="10">
        <f>MIN('02_Данные'!AS64,CS64)</f>
        <v/>
      </c>
      <c r="CU64" s="10">
        <f>CS64-CT64</f>
        <v/>
      </c>
      <c r="CV64" s="10">
        <f>MIN('02_Данные'!AT64,CU64)</f>
        <v/>
      </c>
      <c r="CW64" s="10">
        <f>CU64-CV64</f>
        <v/>
      </c>
      <c r="CX64" s="10">
        <f>MIN('02_Данные'!AY64,CW64)</f>
        <v/>
      </c>
      <c r="CY64" s="10">
        <f>CW64-CX64</f>
        <v/>
      </c>
      <c r="CZ64" s="10">
        <f>MIN('02_Данные'!AV64,CY64)</f>
        <v/>
      </c>
      <c r="DA64" s="10">
        <f>CY64-CZ64</f>
        <v/>
      </c>
      <c r="DB64" s="10">
        <f>MIN('02_Данные'!AU64,DA64)</f>
        <v/>
      </c>
      <c r="DC64" s="10">
        <f>DA64-DB64</f>
        <v/>
      </c>
      <c r="DD64" s="10">
        <f>MIN('02_Данные'!AW64,DC64)</f>
        <v/>
      </c>
      <c r="DE64" s="10">
        <f>DC64-DD64</f>
        <v/>
      </c>
      <c r="DF64" s="10">
        <f>MIN('02_Данные'!AX64,DE64)</f>
        <v/>
      </c>
      <c r="DG64" s="10">
        <f>DE64-DF64</f>
        <v/>
      </c>
    </row>
    <row r="65">
      <c r="A65" s="9">
        <f>'02_Данные'!B65</f>
        <v/>
      </c>
      <c r="B65" s="9">
        <f>'02_Данные'!E65</f>
        <v/>
      </c>
      <c r="C65" s="10">
        <f>'02_Данные'!F65+'02_Данные'!G65+'02_Данные'!H65+'02_Данные'!I65+'02_Данные'!J65+'02_Данные'!K65</f>
        <v/>
      </c>
      <c r="D65" s="10">
        <f>SUM('02_Данные'!L65:'02_Данные'!AY65)</f>
        <v/>
      </c>
      <c r="E65" s="10">
        <f>MAX(0,D65-C65)</f>
        <v/>
      </c>
      <c r="F65" s="15">
        <f>IF(E65&gt;0.0001,"ДЕФИЦИТ",IF(Y65&gt;0.0001,"ПРОФИЦИТ","БАЛАНС"))</f>
        <v/>
      </c>
      <c r="G65" s="10">
        <f>AB65+AS65+BJ65+CA65+CR65</f>
        <v/>
      </c>
      <c r="H65" s="10">
        <f>AD65+AU65+BL65+CC65+CT65</f>
        <v/>
      </c>
      <c r="I65" s="10">
        <f>AF65+AW65+BN65+CE65+CV65</f>
        <v/>
      </c>
      <c r="J65" s="10">
        <f>AL65+BC65+BT65+CK65+DB65</f>
        <v/>
      </c>
      <c r="K65" s="10">
        <f>AJ65+BA65+BR65+CI65+CZ65</f>
        <v/>
      </c>
      <c r="L65" s="10">
        <f>AN65+BE65+BV65+CM65+DD65</f>
        <v/>
      </c>
      <c r="M65" s="10">
        <f>AP65+BG65+BX65+CO65+DF65</f>
        <v/>
      </c>
      <c r="N65" s="10">
        <f>AH65+AY65+BP65+CG65+CX65</f>
        <v/>
      </c>
      <c r="O65" s="10">
        <f>SUM(G65:N65)</f>
        <v/>
      </c>
      <c r="P65" s="10">
        <f>IFERROR(G65*MIN(1,'01_Нормативы'!$C$4/SUM(G$2:G$429)),0)</f>
        <v/>
      </c>
      <c r="Q65" s="10">
        <f>IFERROR(H65*MIN(1,'01_Нормативы'!$C$5/SUM(H$2:H$429)),0)</f>
        <v/>
      </c>
      <c r="R65" s="10">
        <f>IFERROR(I65*MIN(1,'01_Нормативы'!$C$6/SUM(I$2:I$429)),0)</f>
        <v/>
      </c>
      <c r="S65" s="10">
        <f>IFERROR(J65*MIN(1,'01_Нормативы'!$C$7/SUM(J$2:J$429)),0)</f>
        <v/>
      </c>
      <c r="T65" s="10">
        <f>IFERROR(K65*MIN(1,'01_Нормативы'!$C$8/SUM(K$2:K$429)),0)</f>
        <v/>
      </c>
      <c r="U65" s="10">
        <f>IFERROR(L65*MIN(1,'01_Нормативы'!$C$9/SUM(L$2:L$429)),0)</f>
        <v/>
      </c>
      <c r="V65" s="10">
        <f>IFERROR(M65*MIN(1,'01_Нормативы'!$C$10/SUM(M$2:M$429)),0)</f>
        <v/>
      </c>
      <c r="W65" s="10">
        <f>IFERROR(N65*MIN(1,'01_Нормативы'!$C$11/SUM(N$2:N$429)),0)</f>
        <v/>
      </c>
      <c r="X65" s="10">
        <f>SUM(P65:W65)</f>
        <v/>
      </c>
      <c r="Y65" s="10">
        <f>MAX(0,C65-X65)</f>
        <v/>
      </c>
      <c r="Z65" s="10">
        <f>IF(D65=0,100,X65/D65*100)</f>
        <v/>
      </c>
      <c r="AA65" s="10">
        <f>'02_Данные'!F65+'02_Данные'!G65</f>
        <v/>
      </c>
      <c r="AB65" s="10">
        <f>MIN('02_Данные'!L65,AA65)</f>
        <v/>
      </c>
      <c r="AC65" s="10">
        <f>AA65-AB65</f>
        <v/>
      </c>
      <c r="AD65" s="10">
        <f>MIN('02_Данные'!M65,AC65)</f>
        <v/>
      </c>
      <c r="AE65" s="10">
        <f>AC65-AD65</f>
        <v/>
      </c>
      <c r="AF65" s="10">
        <f>MIN('02_Данные'!N65,AE65)</f>
        <v/>
      </c>
      <c r="AG65" s="10">
        <f>AE65-AF65</f>
        <v/>
      </c>
      <c r="AH65" s="10">
        <f>MIN('02_Данные'!S65,AG65)</f>
        <v/>
      </c>
      <c r="AI65" s="10">
        <f>AG65-AH65</f>
        <v/>
      </c>
      <c r="AJ65" s="10">
        <f>MIN('02_Данные'!P65,AI65)</f>
        <v/>
      </c>
      <c r="AK65" s="10">
        <f>AI65-AJ65</f>
        <v/>
      </c>
      <c r="AL65" s="10">
        <f>MIN('02_Данные'!O65,AK65)</f>
        <v/>
      </c>
      <c r="AM65" s="10">
        <f>AK65-AL65</f>
        <v/>
      </c>
      <c r="AN65" s="10">
        <f>MIN('02_Данные'!Q65,AM65)</f>
        <v/>
      </c>
      <c r="AO65" s="10">
        <f>AM65-AN65</f>
        <v/>
      </c>
      <c r="AP65" s="10">
        <f>MIN('02_Данные'!R65,AO65)</f>
        <v/>
      </c>
      <c r="AQ65" s="10">
        <f>AO65-AP65</f>
        <v/>
      </c>
      <c r="AR65" s="10">
        <f>AQ65+'02_Данные'!H65</f>
        <v/>
      </c>
      <c r="AS65" s="10">
        <f>MIN('02_Данные'!T65,AR65)</f>
        <v/>
      </c>
      <c r="AT65" s="10">
        <f>AR65-AS65</f>
        <v/>
      </c>
      <c r="AU65" s="10">
        <f>MIN('02_Данные'!U65,AT65)</f>
        <v/>
      </c>
      <c r="AV65" s="10">
        <f>AT65-AU65</f>
        <v/>
      </c>
      <c r="AW65" s="10">
        <f>MIN('02_Данные'!V65,AV65)</f>
        <v/>
      </c>
      <c r="AX65" s="10">
        <f>AV65-AW65</f>
        <v/>
      </c>
      <c r="AY65" s="10">
        <f>MIN('02_Данные'!AA65,AX65)</f>
        <v/>
      </c>
      <c r="AZ65" s="10">
        <f>AX65-AY65</f>
        <v/>
      </c>
      <c r="BA65" s="10">
        <f>MIN('02_Данные'!X65,AZ65)</f>
        <v/>
      </c>
      <c r="BB65" s="10">
        <f>AZ65-BA65</f>
        <v/>
      </c>
      <c r="BC65" s="10">
        <f>MIN('02_Данные'!W65,BB65)</f>
        <v/>
      </c>
      <c r="BD65" s="10">
        <f>BB65-BC65</f>
        <v/>
      </c>
      <c r="BE65" s="10">
        <f>MIN('02_Данные'!Y65,BD65)</f>
        <v/>
      </c>
      <c r="BF65" s="10">
        <f>BD65-BE65</f>
        <v/>
      </c>
      <c r="BG65" s="10">
        <f>MIN('02_Данные'!Z65,BF65)</f>
        <v/>
      </c>
      <c r="BH65" s="10">
        <f>BF65-BG65</f>
        <v/>
      </c>
      <c r="BI65" s="10">
        <f>BH65+'02_Данные'!I65</f>
        <v/>
      </c>
      <c r="BJ65" s="10">
        <f>MIN('02_Данные'!AB65,BI65)</f>
        <v/>
      </c>
      <c r="BK65" s="10">
        <f>BI65-BJ65</f>
        <v/>
      </c>
      <c r="BL65" s="10">
        <f>MIN('02_Данные'!AC65,BK65)</f>
        <v/>
      </c>
      <c r="BM65" s="10">
        <f>BK65-BL65</f>
        <v/>
      </c>
      <c r="BN65" s="10">
        <f>MIN('02_Данные'!AD65,BM65)</f>
        <v/>
      </c>
      <c r="BO65" s="10">
        <f>BM65-BN65</f>
        <v/>
      </c>
      <c r="BP65" s="10">
        <f>MIN('02_Данные'!AI65,BO65)</f>
        <v/>
      </c>
      <c r="BQ65" s="10">
        <f>BO65-BP65</f>
        <v/>
      </c>
      <c r="BR65" s="10">
        <f>MIN('02_Данные'!AF65,BQ65)</f>
        <v/>
      </c>
      <c r="BS65" s="10">
        <f>BQ65-BR65</f>
        <v/>
      </c>
      <c r="BT65" s="10">
        <f>MIN('02_Данные'!AE65,BS65)</f>
        <v/>
      </c>
      <c r="BU65" s="10">
        <f>BS65-BT65</f>
        <v/>
      </c>
      <c r="BV65" s="10">
        <f>MIN('02_Данные'!AG65,BU65)</f>
        <v/>
      </c>
      <c r="BW65" s="10">
        <f>BU65-BV65</f>
        <v/>
      </c>
      <c r="BX65" s="10">
        <f>MIN('02_Данные'!AH65,BW65)</f>
        <v/>
      </c>
      <c r="BY65" s="10">
        <f>BW65-BX65</f>
        <v/>
      </c>
      <c r="BZ65" s="10">
        <f>BY65+'02_Данные'!J65</f>
        <v/>
      </c>
      <c r="CA65" s="10">
        <f>MIN('02_Данные'!AJ65,BZ65)</f>
        <v/>
      </c>
      <c r="CB65" s="10">
        <f>BZ65-CA65</f>
        <v/>
      </c>
      <c r="CC65" s="10">
        <f>MIN('02_Данные'!AK65,CB65)</f>
        <v/>
      </c>
      <c r="CD65" s="10">
        <f>CB65-CC65</f>
        <v/>
      </c>
      <c r="CE65" s="10">
        <f>MIN('02_Данные'!AL65,CD65)</f>
        <v/>
      </c>
      <c r="CF65" s="10">
        <f>CD65-CE65</f>
        <v/>
      </c>
      <c r="CG65" s="10">
        <f>MIN('02_Данные'!AQ65,CF65)</f>
        <v/>
      </c>
      <c r="CH65" s="10">
        <f>CF65-CG65</f>
        <v/>
      </c>
      <c r="CI65" s="10">
        <f>MIN('02_Данные'!AN65,CH65)</f>
        <v/>
      </c>
      <c r="CJ65" s="10">
        <f>CH65-CI65</f>
        <v/>
      </c>
      <c r="CK65" s="10">
        <f>MIN('02_Данные'!AM65,CJ65)</f>
        <v/>
      </c>
      <c r="CL65" s="10">
        <f>CJ65-CK65</f>
        <v/>
      </c>
      <c r="CM65" s="10">
        <f>MIN('02_Данные'!AO65,CL65)</f>
        <v/>
      </c>
      <c r="CN65" s="10">
        <f>CL65-CM65</f>
        <v/>
      </c>
      <c r="CO65" s="10">
        <f>MIN('02_Данные'!AP65,CN65)</f>
        <v/>
      </c>
      <c r="CP65" s="10">
        <f>CN65-CO65</f>
        <v/>
      </c>
      <c r="CQ65" s="10">
        <f>CP65+'02_Данные'!K65</f>
        <v/>
      </c>
      <c r="CR65" s="10">
        <f>MIN('02_Данные'!AR65,CQ65)</f>
        <v/>
      </c>
      <c r="CS65" s="10">
        <f>CQ65-CR65</f>
        <v/>
      </c>
      <c r="CT65" s="10">
        <f>MIN('02_Данные'!AS65,CS65)</f>
        <v/>
      </c>
      <c r="CU65" s="10">
        <f>CS65-CT65</f>
        <v/>
      </c>
      <c r="CV65" s="10">
        <f>MIN('02_Данные'!AT65,CU65)</f>
        <v/>
      </c>
      <c r="CW65" s="10">
        <f>CU65-CV65</f>
        <v/>
      </c>
      <c r="CX65" s="10">
        <f>MIN('02_Данные'!AY65,CW65)</f>
        <v/>
      </c>
      <c r="CY65" s="10">
        <f>CW65-CX65</f>
        <v/>
      </c>
      <c r="CZ65" s="10">
        <f>MIN('02_Данные'!AV65,CY65)</f>
        <v/>
      </c>
      <c r="DA65" s="10">
        <f>CY65-CZ65</f>
        <v/>
      </c>
      <c r="DB65" s="10">
        <f>MIN('02_Данные'!AU65,DA65)</f>
        <v/>
      </c>
      <c r="DC65" s="10">
        <f>DA65-DB65</f>
        <v/>
      </c>
      <c r="DD65" s="10">
        <f>MIN('02_Данные'!AW65,DC65)</f>
        <v/>
      </c>
      <c r="DE65" s="10">
        <f>DC65-DD65</f>
        <v/>
      </c>
      <c r="DF65" s="10">
        <f>MIN('02_Данные'!AX65,DE65)</f>
        <v/>
      </c>
      <c r="DG65" s="10">
        <f>DE65-DF65</f>
        <v/>
      </c>
    </row>
    <row r="66">
      <c r="A66" s="9">
        <f>'02_Данные'!B66</f>
        <v/>
      </c>
      <c r="B66" s="9">
        <f>'02_Данные'!E66</f>
        <v/>
      </c>
      <c r="C66" s="10">
        <f>'02_Данные'!F66+'02_Данные'!G66+'02_Данные'!H66+'02_Данные'!I66+'02_Данные'!J66+'02_Данные'!K66</f>
        <v/>
      </c>
      <c r="D66" s="10">
        <f>SUM('02_Данные'!L66:'02_Данные'!AY66)</f>
        <v/>
      </c>
      <c r="E66" s="10">
        <f>MAX(0,D66-C66)</f>
        <v/>
      </c>
      <c r="F66" s="15">
        <f>IF(E66&gt;0.0001,"ДЕФИЦИТ",IF(Y66&gt;0.0001,"ПРОФИЦИТ","БАЛАНС"))</f>
        <v/>
      </c>
      <c r="G66" s="10">
        <f>AB66+AS66+BJ66+CA66+CR66</f>
        <v/>
      </c>
      <c r="H66" s="10">
        <f>AD66+AU66+BL66+CC66+CT66</f>
        <v/>
      </c>
      <c r="I66" s="10">
        <f>AF66+AW66+BN66+CE66+CV66</f>
        <v/>
      </c>
      <c r="J66" s="10">
        <f>AL66+BC66+BT66+CK66+DB66</f>
        <v/>
      </c>
      <c r="K66" s="10">
        <f>AJ66+BA66+BR66+CI66+CZ66</f>
        <v/>
      </c>
      <c r="L66" s="10">
        <f>AN66+BE66+BV66+CM66+DD66</f>
        <v/>
      </c>
      <c r="M66" s="10">
        <f>AP66+BG66+BX66+CO66+DF66</f>
        <v/>
      </c>
      <c r="N66" s="10">
        <f>AH66+AY66+BP66+CG66+CX66</f>
        <v/>
      </c>
      <c r="O66" s="10">
        <f>SUM(G66:N66)</f>
        <v/>
      </c>
      <c r="P66" s="10">
        <f>IFERROR(G66*MIN(1,'01_Нормативы'!$C$4/SUM(G$2:G$429)),0)</f>
        <v/>
      </c>
      <c r="Q66" s="10">
        <f>IFERROR(H66*MIN(1,'01_Нормативы'!$C$5/SUM(H$2:H$429)),0)</f>
        <v/>
      </c>
      <c r="R66" s="10">
        <f>IFERROR(I66*MIN(1,'01_Нормативы'!$C$6/SUM(I$2:I$429)),0)</f>
        <v/>
      </c>
      <c r="S66" s="10">
        <f>IFERROR(J66*MIN(1,'01_Нормативы'!$C$7/SUM(J$2:J$429)),0)</f>
        <v/>
      </c>
      <c r="T66" s="10">
        <f>IFERROR(K66*MIN(1,'01_Нормативы'!$C$8/SUM(K$2:K$429)),0)</f>
        <v/>
      </c>
      <c r="U66" s="10">
        <f>IFERROR(L66*MIN(1,'01_Нормативы'!$C$9/SUM(L$2:L$429)),0)</f>
        <v/>
      </c>
      <c r="V66" s="10">
        <f>IFERROR(M66*MIN(1,'01_Нормативы'!$C$10/SUM(M$2:M$429)),0)</f>
        <v/>
      </c>
      <c r="W66" s="10">
        <f>IFERROR(N66*MIN(1,'01_Нормативы'!$C$11/SUM(N$2:N$429)),0)</f>
        <v/>
      </c>
      <c r="X66" s="10">
        <f>SUM(P66:W66)</f>
        <v/>
      </c>
      <c r="Y66" s="10">
        <f>MAX(0,C66-X66)</f>
        <v/>
      </c>
      <c r="Z66" s="10">
        <f>IF(D66=0,100,X66/D66*100)</f>
        <v/>
      </c>
      <c r="AA66" s="10">
        <f>'02_Данные'!F66+'02_Данные'!G66</f>
        <v/>
      </c>
      <c r="AB66" s="10">
        <f>MIN('02_Данные'!L66,AA66)</f>
        <v/>
      </c>
      <c r="AC66" s="10">
        <f>AA66-AB66</f>
        <v/>
      </c>
      <c r="AD66" s="10">
        <f>MIN('02_Данные'!M66,AC66)</f>
        <v/>
      </c>
      <c r="AE66" s="10">
        <f>AC66-AD66</f>
        <v/>
      </c>
      <c r="AF66" s="10">
        <f>MIN('02_Данные'!N66,AE66)</f>
        <v/>
      </c>
      <c r="AG66" s="10">
        <f>AE66-AF66</f>
        <v/>
      </c>
      <c r="AH66" s="10">
        <f>MIN('02_Данные'!S66,AG66)</f>
        <v/>
      </c>
      <c r="AI66" s="10">
        <f>AG66-AH66</f>
        <v/>
      </c>
      <c r="AJ66" s="10">
        <f>MIN('02_Данные'!P66,AI66)</f>
        <v/>
      </c>
      <c r="AK66" s="10">
        <f>AI66-AJ66</f>
        <v/>
      </c>
      <c r="AL66" s="10">
        <f>MIN('02_Данные'!O66,AK66)</f>
        <v/>
      </c>
      <c r="AM66" s="10">
        <f>AK66-AL66</f>
        <v/>
      </c>
      <c r="AN66" s="10">
        <f>MIN('02_Данные'!Q66,AM66)</f>
        <v/>
      </c>
      <c r="AO66" s="10">
        <f>AM66-AN66</f>
        <v/>
      </c>
      <c r="AP66" s="10">
        <f>MIN('02_Данные'!R66,AO66)</f>
        <v/>
      </c>
      <c r="AQ66" s="10">
        <f>AO66-AP66</f>
        <v/>
      </c>
      <c r="AR66" s="10">
        <f>AQ66+'02_Данные'!H66</f>
        <v/>
      </c>
      <c r="AS66" s="10">
        <f>MIN('02_Данные'!T66,AR66)</f>
        <v/>
      </c>
      <c r="AT66" s="10">
        <f>AR66-AS66</f>
        <v/>
      </c>
      <c r="AU66" s="10">
        <f>MIN('02_Данные'!U66,AT66)</f>
        <v/>
      </c>
      <c r="AV66" s="10">
        <f>AT66-AU66</f>
        <v/>
      </c>
      <c r="AW66" s="10">
        <f>MIN('02_Данные'!V66,AV66)</f>
        <v/>
      </c>
      <c r="AX66" s="10">
        <f>AV66-AW66</f>
        <v/>
      </c>
      <c r="AY66" s="10">
        <f>MIN('02_Данные'!AA66,AX66)</f>
        <v/>
      </c>
      <c r="AZ66" s="10">
        <f>AX66-AY66</f>
        <v/>
      </c>
      <c r="BA66" s="10">
        <f>MIN('02_Данные'!X66,AZ66)</f>
        <v/>
      </c>
      <c r="BB66" s="10">
        <f>AZ66-BA66</f>
        <v/>
      </c>
      <c r="BC66" s="10">
        <f>MIN('02_Данные'!W66,BB66)</f>
        <v/>
      </c>
      <c r="BD66" s="10">
        <f>BB66-BC66</f>
        <v/>
      </c>
      <c r="BE66" s="10">
        <f>MIN('02_Данные'!Y66,BD66)</f>
        <v/>
      </c>
      <c r="BF66" s="10">
        <f>BD66-BE66</f>
        <v/>
      </c>
      <c r="BG66" s="10">
        <f>MIN('02_Данные'!Z66,BF66)</f>
        <v/>
      </c>
      <c r="BH66" s="10">
        <f>BF66-BG66</f>
        <v/>
      </c>
      <c r="BI66" s="10">
        <f>BH66+'02_Данные'!I66</f>
        <v/>
      </c>
      <c r="BJ66" s="10">
        <f>MIN('02_Данные'!AB66,BI66)</f>
        <v/>
      </c>
      <c r="BK66" s="10">
        <f>BI66-BJ66</f>
        <v/>
      </c>
      <c r="BL66" s="10">
        <f>MIN('02_Данные'!AC66,BK66)</f>
        <v/>
      </c>
      <c r="BM66" s="10">
        <f>BK66-BL66</f>
        <v/>
      </c>
      <c r="BN66" s="10">
        <f>MIN('02_Данные'!AD66,BM66)</f>
        <v/>
      </c>
      <c r="BO66" s="10">
        <f>BM66-BN66</f>
        <v/>
      </c>
      <c r="BP66" s="10">
        <f>MIN('02_Данные'!AI66,BO66)</f>
        <v/>
      </c>
      <c r="BQ66" s="10">
        <f>BO66-BP66</f>
        <v/>
      </c>
      <c r="BR66" s="10">
        <f>MIN('02_Данные'!AF66,BQ66)</f>
        <v/>
      </c>
      <c r="BS66" s="10">
        <f>BQ66-BR66</f>
        <v/>
      </c>
      <c r="BT66" s="10">
        <f>MIN('02_Данные'!AE66,BS66)</f>
        <v/>
      </c>
      <c r="BU66" s="10">
        <f>BS66-BT66</f>
        <v/>
      </c>
      <c r="BV66" s="10">
        <f>MIN('02_Данные'!AG66,BU66)</f>
        <v/>
      </c>
      <c r="BW66" s="10">
        <f>BU66-BV66</f>
        <v/>
      </c>
      <c r="BX66" s="10">
        <f>MIN('02_Данные'!AH66,BW66)</f>
        <v/>
      </c>
      <c r="BY66" s="10">
        <f>BW66-BX66</f>
        <v/>
      </c>
      <c r="BZ66" s="10">
        <f>BY66+'02_Данные'!J66</f>
        <v/>
      </c>
      <c r="CA66" s="10">
        <f>MIN('02_Данные'!AJ66,BZ66)</f>
        <v/>
      </c>
      <c r="CB66" s="10">
        <f>BZ66-CA66</f>
        <v/>
      </c>
      <c r="CC66" s="10">
        <f>MIN('02_Данные'!AK66,CB66)</f>
        <v/>
      </c>
      <c r="CD66" s="10">
        <f>CB66-CC66</f>
        <v/>
      </c>
      <c r="CE66" s="10">
        <f>MIN('02_Данные'!AL66,CD66)</f>
        <v/>
      </c>
      <c r="CF66" s="10">
        <f>CD66-CE66</f>
        <v/>
      </c>
      <c r="CG66" s="10">
        <f>MIN('02_Данные'!AQ66,CF66)</f>
        <v/>
      </c>
      <c r="CH66" s="10">
        <f>CF66-CG66</f>
        <v/>
      </c>
      <c r="CI66" s="10">
        <f>MIN('02_Данные'!AN66,CH66)</f>
        <v/>
      </c>
      <c r="CJ66" s="10">
        <f>CH66-CI66</f>
        <v/>
      </c>
      <c r="CK66" s="10">
        <f>MIN('02_Данные'!AM66,CJ66)</f>
        <v/>
      </c>
      <c r="CL66" s="10">
        <f>CJ66-CK66</f>
        <v/>
      </c>
      <c r="CM66" s="10">
        <f>MIN('02_Данные'!AO66,CL66)</f>
        <v/>
      </c>
      <c r="CN66" s="10">
        <f>CL66-CM66</f>
        <v/>
      </c>
      <c r="CO66" s="10">
        <f>MIN('02_Данные'!AP66,CN66)</f>
        <v/>
      </c>
      <c r="CP66" s="10">
        <f>CN66-CO66</f>
        <v/>
      </c>
      <c r="CQ66" s="10">
        <f>CP66+'02_Данные'!K66</f>
        <v/>
      </c>
      <c r="CR66" s="10">
        <f>MIN('02_Данные'!AR66,CQ66)</f>
        <v/>
      </c>
      <c r="CS66" s="10">
        <f>CQ66-CR66</f>
        <v/>
      </c>
      <c r="CT66" s="10">
        <f>MIN('02_Данные'!AS66,CS66)</f>
        <v/>
      </c>
      <c r="CU66" s="10">
        <f>CS66-CT66</f>
        <v/>
      </c>
      <c r="CV66" s="10">
        <f>MIN('02_Данные'!AT66,CU66)</f>
        <v/>
      </c>
      <c r="CW66" s="10">
        <f>CU66-CV66</f>
        <v/>
      </c>
      <c r="CX66" s="10">
        <f>MIN('02_Данные'!AY66,CW66)</f>
        <v/>
      </c>
      <c r="CY66" s="10">
        <f>CW66-CX66</f>
        <v/>
      </c>
      <c r="CZ66" s="10">
        <f>MIN('02_Данные'!AV66,CY66)</f>
        <v/>
      </c>
      <c r="DA66" s="10">
        <f>CY66-CZ66</f>
        <v/>
      </c>
      <c r="DB66" s="10">
        <f>MIN('02_Данные'!AU66,DA66)</f>
        <v/>
      </c>
      <c r="DC66" s="10">
        <f>DA66-DB66</f>
        <v/>
      </c>
      <c r="DD66" s="10">
        <f>MIN('02_Данные'!AW66,DC66)</f>
        <v/>
      </c>
      <c r="DE66" s="10">
        <f>DC66-DD66</f>
        <v/>
      </c>
      <c r="DF66" s="10">
        <f>MIN('02_Данные'!AX66,DE66)</f>
        <v/>
      </c>
      <c r="DG66" s="10">
        <f>DE66-DF66</f>
        <v/>
      </c>
    </row>
    <row r="67">
      <c r="A67" s="9">
        <f>'02_Данные'!B67</f>
        <v/>
      </c>
      <c r="B67" s="9">
        <f>'02_Данные'!E67</f>
        <v/>
      </c>
      <c r="C67" s="10">
        <f>'02_Данные'!F67+'02_Данные'!G67+'02_Данные'!H67+'02_Данные'!I67+'02_Данные'!J67+'02_Данные'!K67</f>
        <v/>
      </c>
      <c r="D67" s="10">
        <f>SUM('02_Данные'!L67:'02_Данные'!AY67)</f>
        <v/>
      </c>
      <c r="E67" s="10">
        <f>MAX(0,D67-C67)</f>
        <v/>
      </c>
      <c r="F67" s="15">
        <f>IF(E67&gt;0.0001,"ДЕФИЦИТ",IF(Y67&gt;0.0001,"ПРОФИЦИТ","БАЛАНС"))</f>
        <v/>
      </c>
      <c r="G67" s="10">
        <f>AB67+AS67+BJ67+CA67+CR67</f>
        <v/>
      </c>
      <c r="H67" s="10">
        <f>AD67+AU67+BL67+CC67+CT67</f>
        <v/>
      </c>
      <c r="I67" s="10">
        <f>AF67+AW67+BN67+CE67+CV67</f>
        <v/>
      </c>
      <c r="J67" s="10">
        <f>AL67+BC67+BT67+CK67+DB67</f>
        <v/>
      </c>
      <c r="K67" s="10">
        <f>AJ67+BA67+BR67+CI67+CZ67</f>
        <v/>
      </c>
      <c r="L67" s="10">
        <f>AN67+BE67+BV67+CM67+DD67</f>
        <v/>
      </c>
      <c r="M67" s="10">
        <f>AP67+BG67+BX67+CO67+DF67</f>
        <v/>
      </c>
      <c r="N67" s="10">
        <f>AH67+AY67+BP67+CG67+CX67</f>
        <v/>
      </c>
      <c r="O67" s="10">
        <f>SUM(G67:N67)</f>
        <v/>
      </c>
      <c r="P67" s="10">
        <f>IFERROR(G67*MIN(1,'01_Нормативы'!$C$4/SUM(G$2:G$429)),0)</f>
        <v/>
      </c>
      <c r="Q67" s="10">
        <f>IFERROR(H67*MIN(1,'01_Нормативы'!$C$5/SUM(H$2:H$429)),0)</f>
        <v/>
      </c>
      <c r="R67" s="10">
        <f>IFERROR(I67*MIN(1,'01_Нормативы'!$C$6/SUM(I$2:I$429)),0)</f>
        <v/>
      </c>
      <c r="S67" s="10">
        <f>IFERROR(J67*MIN(1,'01_Нормативы'!$C$7/SUM(J$2:J$429)),0)</f>
        <v/>
      </c>
      <c r="T67" s="10">
        <f>IFERROR(K67*MIN(1,'01_Нормативы'!$C$8/SUM(K$2:K$429)),0)</f>
        <v/>
      </c>
      <c r="U67" s="10">
        <f>IFERROR(L67*MIN(1,'01_Нормативы'!$C$9/SUM(L$2:L$429)),0)</f>
        <v/>
      </c>
      <c r="V67" s="10">
        <f>IFERROR(M67*MIN(1,'01_Нормативы'!$C$10/SUM(M$2:M$429)),0)</f>
        <v/>
      </c>
      <c r="W67" s="10">
        <f>IFERROR(N67*MIN(1,'01_Нормативы'!$C$11/SUM(N$2:N$429)),0)</f>
        <v/>
      </c>
      <c r="X67" s="10">
        <f>SUM(P67:W67)</f>
        <v/>
      </c>
      <c r="Y67" s="10">
        <f>MAX(0,C67-X67)</f>
        <v/>
      </c>
      <c r="Z67" s="10">
        <f>IF(D67=0,100,X67/D67*100)</f>
        <v/>
      </c>
      <c r="AA67" s="10">
        <f>'02_Данные'!F67+'02_Данные'!G67</f>
        <v/>
      </c>
      <c r="AB67" s="10">
        <f>MIN('02_Данные'!L67,AA67)</f>
        <v/>
      </c>
      <c r="AC67" s="10">
        <f>AA67-AB67</f>
        <v/>
      </c>
      <c r="AD67" s="10">
        <f>MIN('02_Данные'!M67,AC67)</f>
        <v/>
      </c>
      <c r="AE67" s="10">
        <f>AC67-AD67</f>
        <v/>
      </c>
      <c r="AF67" s="10">
        <f>MIN('02_Данные'!N67,AE67)</f>
        <v/>
      </c>
      <c r="AG67" s="10">
        <f>AE67-AF67</f>
        <v/>
      </c>
      <c r="AH67" s="10">
        <f>MIN('02_Данные'!S67,AG67)</f>
        <v/>
      </c>
      <c r="AI67" s="10">
        <f>AG67-AH67</f>
        <v/>
      </c>
      <c r="AJ67" s="10">
        <f>MIN('02_Данные'!P67,AI67)</f>
        <v/>
      </c>
      <c r="AK67" s="10">
        <f>AI67-AJ67</f>
        <v/>
      </c>
      <c r="AL67" s="10">
        <f>MIN('02_Данные'!O67,AK67)</f>
        <v/>
      </c>
      <c r="AM67" s="10">
        <f>AK67-AL67</f>
        <v/>
      </c>
      <c r="AN67" s="10">
        <f>MIN('02_Данные'!Q67,AM67)</f>
        <v/>
      </c>
      <c r="AO67" s="10">
        <f>AM67-AN67</f>
        <v/>
      </c>
      <c r="AP67" s="10">
        <f>MIN('02_Данные'!R67,AO67)</f>
        <v/>
      </c>
      <c r="AQ67" s="10">
        <f>AO67-AP67</f>
        <v/>
      </c>
      <c r="AR67" s="10">
        <f>AQ67+'02_Данные'!H67</f>
        <v/>
      </c>
      <c r="AS67" s="10">
        <f>MIN('02_Данные'!T67,AR67)</f>
        <v/>
      </c>
      <c r="AT67" s="10">
        <f>AR67-AS67</f>
        <v/>
      </c>
      <c r="AU67" s="10">
        <f>MIN('02_Данные'!U67,AT67)</f>
        <v/>
      </c>
      <c r="AV67" s="10">
        <f>AT67-AU67</f>
        <v/>
      </c>
      <c r="AW67" s="10">
        <f>MIN('02_Данные'!V67,AV67)</f>
        <v/>
      </c>
      <c r="AX67" s="10">
        <f>AV67-AW67</f>
        <v/>
      </c>
      <c r="AY67" s="10">
        <f>MIN('02_Данные'!AA67,AX67)</f>
        <v/>
      </c>
      <c r="AZ67" s="10">
        <f>AX67-AY67</f>
        <v/>
      </c>
      <c r="BA67" s="10">
        <f>MIN('02_Данные'!X67,AZ67)</f>
        <v/>
      </c>
      <c r="BB67" s="10">
        <f>AZ67-BA67</f>
        <v/>
      </c>
      <c r="BC67" s="10">
        <f>MIN('02_Данные'!W67,BB67)</f>
        <v/>
      </c>
      <c r="BD67" s="10">
        <f>BB67-BC67</f>
        <v/>
      </c>
      <c r="BE67" s="10">
        <f>MIN('02_Данные'!Y67,BD67)</f>
        <v/>
      </c>
      <c r="BF67" s="10">
        <f>BD67-BE67</f>
        <v/>
      </c>
      <c r="BG67" s="10">
        <f>MIN('02_Данные'!Z67,BF67)</f>
        <v/>
      </c>
      <c r="BH67" s="10">
        <f>BF67-BG67</f>
        <v/>
      </c>
      <c r="BI67" s="10">
        <f>BH67+'02_Данные'!I67</f>
        <v/>
      </c>
      <c r="BJ67" s="10">
        <f>MIN('02_Данные'!AB67,BI67)</f>
        <v/>
      </c>
      <c r="BK67" s="10">
        <f>BI67-BJ67</f>
        <v/>
      </c>
      <c r="BL67" s="10">
        <f>MIN('02_Данные'!AC67,BK67)</f>
        <v/>
      </c>
      <c r="BM67" s="10">
        <f>BK67-BL67</f>
        <v/>
      </c>
      <c r="BN67" s="10">
        <f>MIN('02_Данные'!AD67,BM67)</f>
        <v/>
      </c>
      <c r="BO67" s="10">
        <f>BM67-BN67</f>
        <v/>
      </c>
      <c r="BP67" s="10">
        <f>MIN('02_Данные'!AI67,BO67)</f>
        <v/>
      </c>
      <c r="BQ67" s="10">
        <f>BO67-BP67</f>
        <v/>
      </c>
      <c r="BR67" s="10">
        <f>MIN('02_Данные'!AF67,BQ67)</f>
        <v/>
      </c>
      <c r="BS67" s="10">
        <f>BQ67-BR67</f>
        <v/>
      </c>
      <c r="BT67" s="10">
        <f>MIN('02_Данные'!AE67,BS67)</f>
        <v/>
      </c>
      <c r="BU67" s="10">
        <f>BS67-BT67</f>
        <v/>
      </c>
      <c r="BV67" s="10">
        <f>MIN('02_Данные'!AG67,BU67)</f>
        <v/>
      </c>
      <c r="BW67" s="10">
        <f>BU67-BV67</f>
        <v/>
      </c>
      <c r="BX67" s="10">
        <f>MIN('02_Данные'!AH67,BW67)</f>
        <v/>
      </c>
      <c r="BY67" s="10">
        <f>BW67-BX67</f>
        <v/>
      </c>
      <c r="BZ67" s="10">
        <f>BY67+'02_Данные'!J67</f>
        <v/>
      </c>
      <c r="CA67" s="10">
        <f>MIN('02_Данные'!AJ67,BZ67)</f>
        <v/>
      </c>
      <c r="CB67" s="10">
        <f>BZ67-CA67</f>
        <v/>
      </c>
      <c r="CC67" s="10">
        <f>MIN('02_Данные'!AK67,CB67)</f>
        <v/>
      </c>
      <c r="CD67" s="10">
        <f>CB67-CC67</f>
        <v/>
      </c>
      <c r="CE67" s="10">
        <f>MIN('02_Данные'!AL67,CD67)</f>
        <v/>
      </c>
      <c r="CF67" s="10">
        <f>CD67-CE67</f>
        <v/>
      </c>
      <c r="CG67" s="10">
        <f>MIN('02_Данные'!AQ67,CF67)</f>
        <v/>
      </c>
      <c r="CH67" s="10">
        <f>CF67-CG67</f>
        <v/>
      </c>
      <c r="CI67" s="10">
        <f>MIN('02_Данные'!AN67,CH67)</f>
        <v/>
      </c>
      <c r="CJ67" s="10">
        <f>CH67-CI67</f>
        <v/>
      </c>
      <c r="CK67" s="10">
        <f>MIN('02_Данные'!AM67,CJ67)</f>
        <v/>
      </c>
      <c r="CL67" s="10">
        <f>CJ67-CK67</f>
        <v/>
      </c>
      <c r="CM67" s="10">
        <f>MIN('02_Данные'!AO67,CL67)</f>
        <v/>
      </c>
      <c r="CN67" s="10">
        <f>CL67-CM67</f>
        <v/>
      </c>
      <c r="CO67" s="10">
        <f>MIN('02_Данные'!AP67,CN67)</f>
        <v/>
      </c>
      <c r="CP67" s="10">
        <f>CN67-CO67</f>
        <v/>
      </c>
      <c r="CQ67" s="10">
        <f>CP67+'02_Данные'!K67</f>
        <v/>
      </c>
      <c r="CR67" s="10">
        <f>MIN('02_Данные'!AR67,CQ67)</f>
        <v/>
      </c>
      <c r="CS67" s="10">
        <f>CQ67-CR67</f>
        <v/>
      </c>
      <c r="CT67" s="10">
        <f>MIN('02_Данные'!AS67,CS67)</f>
        <v/>
      </c>
      <c r="CU67" s="10">
        <f>CS67-CT67</f>
        <v/>
      </c>
      <c r="CV67" s="10">
        <f>MIN('02_Данные'!AT67,CU67)</f>
        <v/>
      </c>
      <c r="CW67" s="10">
        <f>CU67-CV67</f>
        <v/>
      </c>
      <c r="CX67" s="10">
        <f>MIN('02_Данные'!AY67,CW67)</f>
        <v/>
      </c>
      <c r="CY67" s="10">
        <f>CW67-CX67</f>
        <v/>
      </c>
      <c r="CZ67" s="10">
        <f>MIN('02_Данные'!AV67,CY67)</f>
        <v/>
      </c>
      <c r="DA67" s="10">
        <f>CY67-CZ67</f>
        <v/>
      </c>
      <c r="DB67" s="10">
        <f>MIN('02_Данные'!AU67,DA67)</f>
        <v/>
      </c>
      <c r="DC67" s="10">
        <f>DA67-DB67</f>
        <v/>
      </c>
      <c r="DD67" s="10">
        <f>MIN('02_Данные'!AW67,DC67)</f>
        <v/>
      </c>
      <c r="DE67" s="10">
        <f>DC67-DD67</f>
        <v/>
      </c>
      <c r="DF67" s="10">
        <f>MIN('02_Данные'!AX67,DE67)</f>
        <v/>
      </c>
      <c r="DG67" s="10">
        <f>DE67-DF67</f>
        <v/>
      </c>
    </row>
    <row r="68">
      <c r="A68" s="9">
        <f>'02_Данные'!B68</f>
        <v/>
      </c>
      <c r="B68" s="9">
        <f>'02_Данные'!E68</f>
        <v/>
      </c>
      <c r="C68" s="10">
        <f>'02_Данные'!F68+'02_Данные'!G68+'02_Данные'!H68+'02_Данные'!I68+'02_Данные'!J68+'02_Данные'!K68</f>
        <v/>
      </c>
      <c r="D68" s="10">
        <f>SUM('02_Данные'!L68:'02_Данные'!AY68)</f>
        <v/>
      </c>
      <c r="E68" s="10">
        <f>MAX(0,D68-C68)</f>
        <v/>
      </c>
      <c r="F68" s="15">
        <f>IF(E68&gt;0.0001,"ДЕФИЦИТ",IF(Y68&gt;0.0001,"ПРОФИЦИТ","БАЛАНС"))</f>
        <v/>
      </c>
      <c r="G68" s="10">
        <f>AB68+AS68+BJ68+CA68+CR68</f>
        <v/>
      </c>
      <c r="H68" s="10">
        <f>AD68+AU68+BL68+CC68+CT68</f>
        <v/>
      </c>
      <c r="I68" s="10">
        <f>AF68+AW68+BN68+CE68+CV68</f>
        <v/>
      </c>
      <c r="J68" s="10">
        <f>AL68+BC68+BT68+CK68+DB68</f>
        <v/>
      </c>
      <c r="K68" s="10">
        <f>AJ68+BA68+BR68+CI68+CZ68</f>
        <v/>
      </c>
      <c r="L68" s="10">
        <f>AN68+BE68+BV68+CM68+DD68</f>
        <v/>
      </c>
      <c r="M68" s="10">
        <f>AP68+BG68+BX68+CO68+DF68</f>
        <v/>
      </c>
      <c r="N68" s="10">
        <f>AH68+AY68+BP68+CG68+CX68</f>
        <v/>
      </c>
      <c r="O68" s="10">
        <f>SUM(G68:N68)</f>
        <v/>
      </c>
      <c r="P68" s="10">
        <f>IFERROR(G68*MIN(1,'01_Нормативы'!$C$4/SUM(G$2:G$429)),0)</f>
        <v/>
      </c>
      <c r="Q68" s="10">
        <f>IFERROR(H68*MIN(1,'01_Нормативы'!$C$5/SUM(H$2:H$429)),0)</f>
        <v/>
      </c>
      <c r="R68" s="10">
        <f>IFERROR(I68*MIN(1,'01_Нормативы'!$C$6/SUM(I$2:I$429)),0)</f>
        <v/>
      </c>
      <c r="S68" s="10">
        <f>IFERROR(J68*MIN(1,'01_Нормативы'!$C$7/SUM(J$2:J$429)),0)</f>
        <v/>
      </c>
      <c r="T68" s="10">
        <f>IFERROR(K68*MIN(1,'01_Нормативы'!$C$8/SUM(K$2:K$429)),0)</f>
        <v/>
      </c>
      <c r="U68" s="10">
        <f>IFERROR(L68*MIN(1,'01_Нормативы'!$C$9/SUM(L$2:L$429)),0)</f>
        <v/>
      </c>
      <c r="V68" s="10">
        <f>IFERROR(M68*MIN(1,'01_Нормативы'!$C$10/SUM(M$2:M$429)),0)</f>
        <v/>
      </c>
      <c r="W68" s="10">
        <f>IFERROR(N68*MIN(1,'01_Нормативы'!$C$11/SUM(N$2:N$429)),0)</f>
        <v/>
      </c>
      <c r="X68" s="10">
        <f>SUM(P68:W68)</f>
        <v/>
      </c>
      <c r="Y68" s="10">
        <f>MAX(0,C68-X68)</f>
        <v/>
      </c>
      <c r="Z68" s="10">
        <f>IF(D68=0,100,X68/D68*100)</f>
        <v/>
      </c>
      <c r="AA68" s="10">
        <f>'02_Данные'!F68+'02_Данные'!G68</f>
        <v/>
      </c>
      <c r="AB68" s="10">
        <f>MIN('02_Данные'!L68,AA68)</f>
        <v/>
      </c>
      <c r="AC68" s="10">
        <f>AA68-AB68</f>
        <v/>
      </c>
      <c r="AD68" s="10">
        <f>MIN('02_Данные'!M68,AC68)</f>
        <v/>
      </c>
      <c r="AE68" s="10">
        <f>AC68-AD68</f>
        <v/>
      </c>
      <c r="AF68" s="10">
        <f>MIN('02_Данные'!N68,AE68)</f>
        <v/>
      </c>
      <c r="AG68" s="10">
        <f>AE68-AF68</f>
        <v/>
      </c>
      <c r="AH68" s="10">
        <f>MIN('02_Данные'!S68,AG68)</f>
        <v/>
      </c>
      <c r="AI68" s="10">
        <f>AG68-AH68</f>
        <v/>
      </c>
      <c r="AJ68" s="10">
        <f>MIN('02_Данные'!P68,AI68)</f>
        <v/>
      </c>
      <c r="AK68" s="10">
        <f>AI68-AJ68</f>
        <v/>
      </c>
      <c r="AL68" s="10">
        <f>MIN('02_Данные'!O68,AK68)</f>
        <v/>
      </c>
      <c r="AM68" s="10">
        <f>AK68-AL68</f>
        <v/>
      </c>
      <c r="AN68" s="10">
        <f>MIN('02_Данные'!Q68,AM68)</f>
        <v/>
      </c>
      <c r="AO68" s="10">
        <f>AM68-AN68</f>
        <v/>
      </c>
      <c r="AP68" s="10">
        <f>MIN('02_Данные'!R68,AO68)</f>
        <v/>
      </c>
      <c r="AQ68" s="10">
        <f>AO68-AP68</f>
        <v/>
      </c>
      <c r="AR68" s="10">
        <f>AQ68+'02_Данные'!H68</f>
        <v/>
      </c>
      <c r="AS68" s="10">
        <f>MIN('02_Данные'!T68,AR68)</f>
        <v/>
      </c>
      <c r="AT68" s="10">
        <f>AR68-AS68</f>
        <v/>
      </c>
      <c r="AU68" s="10">
        <f>MIN('02_Данные'!U68,AT68)</f>
        <v/>
      </c>
      <c r="AV68" s="10">
        <f>AT68-AU68</f>
        <v/>
      </c>
      <c r="AW68" s="10">
        <f>MIN('02_Данные'!V68,AV68)</f>
        <v/>
      </c>
      <c r="AX68" s="10">
        <f>AV68-AW68</f>
        <v/>
      </c>
      <c r="AY68" s="10">
        <f>MIN('02_Данные'!AA68,AX68)</f>
        <v/>
      </c>
      <c r="AZ68" s="10">
        <f>AX68-AY68</f>
        <v/>
      </c>
      <c r="BA68" s="10">
        <f>MIN('02_Данные'!X68,AZ68)</f>
        <v/>
      </c>
      <c r="BB68" s="10">
        <f>AZ68-BA68</f>
        <v/>
      </c>
      <c r="BC68" s="10">
        <f>MIN('02_Данные'!W68,BB68)</f>
        <v/>
      </c>
      <c r="BD68" s="10">
        <f>BB68-BC68</f>
        <v/>
      </c>
      <c r="BE68" s="10">
        <f>MIN('02_Данные'!Y68,BD68)</f>
        <v/>
      </c>
      <c r="BF68" s="10">
        <f>BD68-BE68</f>
        <v/>
      </c>
      <c r="BG68" s="10">
        <f>MIN('02_Данные'!Z68,BF68)</f>
        <v/>
      </c>
      <c r="BH68" s="10">
        <f>BF68-BG68</f>
        <v/>
      </c>
      <c r="BI68" s="10">
        <f>BH68+'02_Данные'!I68</f>
        <v/>
      </c>
      <c r="BJ68" s="10">
        <f>MIN('02_Данные'!AB68,BI68)</f>
        <v/>
      </c>
      <c r="BK68" s="10">
        <f>BI68-BJ68</f>
        <v/>
      </c>
      <c r="BL68" s="10">
        <f>MIN('02_Данные'!AC68,BK68)</f>
        <v/>
      </c>
      <c r="BM68" s="10">
        <f>BK68-BL68</f>
        <v/>
      </c>
      <c r="BN68" s="10">
        <f>MIN('02_Данные'!AD68,BM68)</f>
        <v/>
      </c>
      <c r="BO68" s="10">
        <f>BM68-BN68</f>
        <v/>
      </c>
      <c r="BP68" s="10">
        <f>MIN('02_Данные'!AI68,BO68)</f>
        <v/>
      </c>
      <c r="BQ68" s="10">
        <f>BO68-BP68</f>
        <v/>
      </c>
      <c r="BR68" s="10">
        <f>MIN('02_Данные'!AF68,BQ68)</f>
        <v/>
      </c>
      <c r="BS68" s="10">
        <f>BQ68-BR68</f>
        <v/>
      </c>
      <c r="BT68" s="10">
        <f>MIN('02_Данные'!AE68,BS68)</f>
        <v/>
      </c>
      <c r="BU68" s="10">
        <f>BS68-BT68</f>
        <v/>
      </c>
      <c r="BV68" s="10">
        <f>MIN('02_Данные'!AG68,BU68)</f>
        <v/>
      </c>
      <c r="BW68" s="10">
        <f>BU68-BV68</f>
        <v/>
      </c>
      <c r="BX68" s="10">
        <f>MIN('02_Данные'!AH68,BW68)</f>
        <v/>
      </c>
      <c r="BY68" s="10">
        <f>BW68-BX68</f>
        <v/>
      </c>
      <c r="BZ68" s="10">
        <f>BY68+'02_Данные'!J68</f>
        <v/>
      </c>
      <c r="CA68" s="10">
        <f>MIN('02_Данные'!AJ68,BZ68)</f>
        <v/>
      </c>
      <c r="CB68" s="10">
        <f>BZ68-CA68</f>
        <v/>
      </c>
      <c r="CC68" s="10">
        <f>MIN('02_Данные'!AK68,CB68)</f>
        <v/>
      </c>
      <c r="CD68" s="10">
        <f>CB68-CC68</f>
        <v/>
      </c>
      <c r="CE68" s="10">
        <f>MIN('02_Данные'!AL68,CD68)</f>
        <v/>
      </c>
      <c r="CF68" s="10">
        <f>CD68-CE68</f>
        <v/>
      </c>
      <c r="CG68" s="10">
        <f>MIN('02_Данные'!AQ68,CF68)</f>
        <v/>
      </c>
      <c r="CH68" s="10">
        <f>CF68-CG68</f>
        <v/>
      </c>
      <c r="CI68" s="10">
        <f>MIN('02_Данные'!AN68,CH68)</f>
        <v/>
      </c>
      <c r="CJ68" s="10">
        <f>CH68-CI68</f>
        <v/>
      </c>
      <c r="CK68" s="10">
        <f>MIN('02_Данные'!AM68,CJ68)</f>
        <v/>
      </c>
      <c r="CL68" s="10">
        <f>CJ68-CK68</f>
        <v/>
      </c>
      <c r="CM68" s="10">
        <f>MIN('02_Данные'!AO68,CL68)</f>
        <v/>
      </c>
      <c r="CN68" s="10">
        <f>CL68-CM68</f>
        <v/>
      </c>
      <c r="CO68" s="10">
        <f>MIN('02_Данные'!AP68,CN68)</f>
        <v/>
      </c>
      <c r="CP68" s="10">
        <f>CN68-CO68</f>
        <v/>
      </c>
      <c r="CQ68" s="10">
        <f>CP68+'02_Данные'!K68</f>
        <v/>
      </c>
      <c r="CR68" s="10">
        <f>MIN('02_Данные'!AR68,CQ68)</f>
        <v/>
      </c>
      <c r="CS68" s="10">
        <f>CQ68-CR68</f>
        <v/>
      </c>
      <c r="CT68" s="10">
        <f>MIN('02_Данные'!AS68,CS68)</f>
        <v/>
      </c>
      <c r="CU68" s="10">
        <f>CS68-CT68</f>
        <v/>
      </c>
      <c r="CV68" s="10">
        <f>MIN('02_Данные'!AT68,CU68)</f>
        <v/>
      </c>
      <c r="CW68" s="10">
        <f>CU68-CV68</f>
        <v/>
      </c>
      <c r="CX68" s="10">
        <f>MIN('02_Данные'!AY68,CW68)</f>
        <v/>
      </c>
      <c r="CY68" s="10">
        <f>CW68-CX68</f>
        <v/>
      </c>
      <c r="CZ68" s="10">
        <f>MIN('02_Данные'!AV68,CY68)</f>
        <v/>
      </c>
      <c r="DA68" s="10">
        <f>CY68-CZ68</f>
        <v/>
      </c>
      <c r="DB68" s="10">
        <f>MIN('02_Данные'!AU68,DA68)</f>
        <v/>
      </c>
      <c r="DC68" s="10">
        <f>DA68-DB68</f>
        <v/>
      </c>
      <c r="DD68" s="10">
        <f>MIN('02_Данные'!AW68,DC68)</f>
        <v/>
      </c>
      <c r="DE68" s="10">
        <f>DC68-DD68</f>
        <v/>
      </c>
      <c r="DF68" s="10">
        <f>MIN('02_Данные'!AX68,DE68)</f>
        <v/>
      </c>
      <c r="DG68" s="10">
        <f>DE68-DF68</f>
        <v/>
      </c>
    </row>
    <row r="69">
      <c r="A69" s="9">
        <f>'02_Данные'!B69</f>
        <v/>
      </c>
      <c r="B69" s="9">
        <f>'02_Данные'!E69</f>
        <v/>
      </c>
      <c r="C69" s="10">
        <f>'02_Данные'!F69+'02_Данные'!G69+'02_Данные'!H69+'02_Данные'!I69+'02_Данные'!J69+'02_Данные'!K69</f>
        <v/>
      </c>
      <c r="D69" s="10">
        <f>SUM('02_Данные'!L69:'02_Данные'!AY69)</f>
        <v/>
      </c>
      <c r="E69" s="10">
        <f>MAX(0,D69-C69)</f>
        <v/>
      </c>
      <c r="F69" s="15">
        <f>IF(E69&gt;0.0001,"ДЕФИЦИТ",IF(Y69&gt;0.0001,"ПРОФИЦИТ","БАЛАНС"))</f>
        <v/>
      </c>
      <c r="G69" s="10">
        <f>AB69+AS69+BJ69+CA69+CR69</f>
        <v/>
      </c>
      <c r="H69" s="10">
        <f>AD69+AU69+BL69+CC69+CT69</f>
        <v/>
      </c>
      <c r="I69" s="10">
        <f>AF69+AW69+BN69+CE69+CV69</f>
        <v/>
      </c>
      <c r="J69" s="10">
        <f>AL69+BC69+BT69+CK69+DB69</f>
        <v/>
      </c>
      <c r="K69" s="10">
        <f>AJ69+BA69+BR69+CI69+CZ69</f>
        <v/>
      </c>
      <c r="L69" s="10">
        <f>AN69+BE69+BV69+CM69+DD69</f>
        <v/>
      </c>
      <c r="M69" s="10">
        <f>AP69+BG69+BX69+CO69+DF69</f>
        <v/>
      </c>
      <c r="N69" s="10">
        <f>AH69+AY69+BP69+CG69+CX69</f>
        <v/>
      </c>
      <c r="O69" s="10">
        <f>SUM(G69:N69)</f>
        <v/>
      </c>
      <c r="P69" s="10">
        <f>IFERROR(G69*MIN(1,'01_Нормативы'!$C$4/SUM(G$2:G$429)),0)</f>
        <v/>
      </c>
      <c r="Q69" s="10">
        <f>IFERROR(H69*MIN(1,'01_Нормативы'!$C$5/SUM(H$2:H$429)),0)</f>
        <v/>
      </c>
      <c r="R69" s="10">
        <f>IFERROR(I69*MIN(1,'01_Нормативы'!$C$6/SUM(I$2:I$429)),0)</f>
        <v/>
      </c>
      <c r="S69" s="10">
        <f>IFERROR(J69*MIN(1,'01_Нормативы'!$C$7/SUM(J$2:J$429)),0)</f>
        <v/>
      </c>
      <c r="T69" s="10">
        <f>IFERROR(K69*MIN(1,'01_Нормативы'!$C$8/SUM(K$2:K$429)),0)</f>
        <v/>
      </c>
      <c r="U69" s="10">
        <f>IFERROR(L69*MIN(1,'01_Нормативы'!$C$9/SUM(L$2:L$429)),0)</f>
        <v/>
      </c>
      <c r="V69" s="10">
        <f>IFERROR(M69*MIN(1,'01_Нормативы'!$C$10/SUM(M$2:M$429)),0)</f>
        <v/>
      </c>
      <c r="W69" s="10">
        <f>IFERROR(N69*MIN(1,'01_Нормативы'!$C$11/SUM(N$2:N$429)),0)</f>
        <v/>
      </c>
      <c r="X69" s="10">
        <f>SUM(P69:W69)</f>
        <v/>
      </c>
      <c r="Y69" s="10">
        <f>MAX(0,C69-X69)</f>
        <v/>
      </c>
      <c r="Z69" s="10">
        <f>IF(D69=0,100,X69/D69*100)</f>
        <v/>
      </c>
      <c r="AA69" s="10">
        <f>'02_Данные'!F69+'02_Данные'!G69</f>
        <v/>
      </c>
      <c r="AB69" s="10">
        <f>MIN('02_Данные'!L69,AA69)</f>
        <v/>
      </c>
      <c r="AC69" s="10">
        <f>AA69-AB69</f>
        <v/>
      </c>
      <c r="AD69" s="10">
        <f>MIN('02_Данные'!M69,AC69)</f>
        <v/>
      </c>
      <c r="AE69" s="10">
        <f>AC69-AD69</f>
        <v/>
      </c>
      <c r="AF69" s="10">
        <f>MIN('02_Данные'!N69,AE69)</f>
        <v/>
      </c>
      <c r="AG69" s="10">
        <f>AE69-AF69</f>
        <v/>
      </c>
      <c r="AH69" s="10">
        <f>MIN('02_Данные'!S69,AG69)</f>
        <v/>
      </c>
      <c r="AI69" s="10">
        <f>AG69-AH69</f>
        <v/>
      </c>
      <c r="AJ69" s="10">
        <f>MIN('02_Данные'!P69,AI69)</f>
        <v/>
      </c>
      <c r="AK69" s="10">
        <f>AI69-AJ69</f>
        <v/>
      </c>
      <c r="AL69" s="10">
        <f>MIN('02_Данные'!O69,AK69)</f>
        <v/>
      </c>
      <c r="AM69" s="10">
        <f>AK69-AL69</f>
        <v/>
      </c>
      <c r="AN69" s="10">
        <f>MIN('02_Данные'!Q69,AM69)</f>
        <v/>
      </c>
      <c r="AO69" s="10">
        <f>AM69-AN69</f>
        <v/>
      </c>
      <c r="AP69" s="10">
        <f>MIN('02_Данные'!R69,AO69)</f>
        <v/>
      </c>
      <c r="AQ69" s="10">
        <f>AO69-AP69</f>
        <v/>
      </c>
      <c r="AR69" s="10">
        <f>AQ69+'02_Данные'!H69</f>
        <v/>
      </c>
      <c r="AS69" s="10">
        <f>MIN('02_Данные'!T69,AR69)</f>
        <v/>
      </c>
      <c r="AT69" s="10">
        <f>AR69-AS69</f>
        <v/>
      </c>
      <c r="AU69" s="10">
        <f>MIN('02_Данные'!U69,AT69)</f>
        <v/>
      </c>
      <c r="AV69" s="10">
        <f>AT69-AU69</f>
        <v/>
      </c>
      <c r="AW69" s="10">
        <f>MIN('02_Данные'!V69,AV69)</f>
        <v/>
      </c>
      <c r="AX69" s="10">
        <f>AV69-AW69</f>
        <v/>
      </c>
      <c r="AY69" s="10">
        <f>MIN('02_Данные'!AA69,AX69)</f>
        <v/>
      </c>
      <c r="AZ69" s="10">
        <f>AX69-AY69</f>
        <v/>
      </c>
      <c r="BA69" s="10">
        <f>MIN('02_Данные'!X69,AZ69)</f>
        <v/>
      </c>
      <c r="BB69" s="10">
        <f>AZ69-BA69</f>
        <v/>
      </c>
      <c r="BC69" s="10">
        <f>MIN('02_Данные'!W69,BB69)</f>
        <v/>
      </c>
      <c r="BD69" s="10">
        <f>BB69-BC69</f>
        <v/>
      </c>
      <c r="BE69" s="10">
        <f>MIN('02_Данные'!Y69,BD69)</f>
        <v/>
      </c>
      <c r="BF69" s="10">
        <f>BD69-BE69</f>
        <v/>
      </c>
      <c r="BG69" s="10">
        <f>MIN('02_Данные'!Z69,BF69)</f>
        <v/>
      </c>
      <c r="BH69" s="10">
        <f>BF69-BG69</f>
        <v/>
      </c>
      <c r="BI69" s="10">
        <f>BH69+'02_Данные'!I69</f>
        <v/>
      </c>
      <c r="BJ69" s="10">
        <f>MIN('02_Данные'!AB69,BI69)</f>
        <v/>
      </c>
      <c r="BK69" s="10">
        <f>BI69-BJ69</f>
        <v/>
      </c>
      <c r="BL69" s="10">
        <f>MIN('02_Данные'!AC69,BK69)</f>
        <v/>
      </c>
      <c r="BM69" s="10">
        <f>BK69-BL69</f>
        <v/>
      </c>
      <c r="BN69" s="10">
        <f>MIN('02_Данные'!AD69,BM69)</f>
        <v/>
      </c>
      <c r="BO69" s="10">
        <f>BM69-BN69</f>
        <v/>
      </c>
      <c r="BP69" s="10">
        <f>MIN('02_Данные'!AI69,BO69)</f>
        <v/>
      </c>
      <c r="BQ69" s="10">
        <f>BO69-BP69</f>
        <v/>
      </c>
      <c r="BR69" s="10">
        <f>MIN('02_Данные'!AF69,BQ69)</f>
        <v/>
      </c>
      <c r="BS69" s="10">
        <f>BQ69-BR69</f>
        <v/>
      </c>
      <c r="BT69" s="10">
        <f>MIN('02_Данные'!AE69,BS69)</f>
        <v/>
      </c>
      <c r="BU69" s="10">
        <f>BS69-BT69</f>
        <v/>
      </c>
      <c r="BV69" s="10">
        <f>MIN('02_Данные'!AG69,BU69)</f>
        <v/>
      </c>
      <c r="BW69" s="10">
        <f>BU69-BV69</f>
        <v/>
      </c>
      <c r="BX69" s="10">
        <f>MIN('02_Данные'!AH69,BW69)</f>
        <v/>
      </c>
      <c r="BY69" s="10">
        <f>BW69-BX69</f>
        <v/>
      </c>
      <c r="BZ69" s="10">
        <f>BY69+'02_Данные'!J69</f>
        <v/>
      </c>
      <c r="CA69" s="10">
        <f>MIN('02_Данные'!AJ69,BZ69)</f>
        <v/>
      </c>
      <c r="CB69" s="10">
        <f>BZ69-CA69</f>
        <v/>
      </c>
      <c r="CC69" s="10">
        <f>MIN('02_Данные'!AK69,CB69)</f>
        <v/>
      </c>
      <c r="CD69" s="10">
        <f>CB69-CC69</f>
        <v/>
      </c>
      <c r="CE69" s="10">
        <f>MIN('02_Данные'!AL69,CD69)</f>
        <v/>
      </c>
      <c r="CF69" s="10">
        <f>CD69-CE69</f>
        <v/>
      </c>
      <c r="CG69" s="10">
        <f>MIN('02_Данные'!AQ69,CF69)</f>
        <v/>
      </c>
      <c r="CH69" s="10">
        <f>CF69-CG69</f>
        <v/>
      </c>
      <c r="CI69" s="10">
        <f>MIN('02_Данные'!AN69,CH69)</f>
        <v/>
      </c>
      <c r="CJ69" s="10">
        <f>CH69-CI69</f>
        <v/>
      </c>
      <c r="CK69" s="10">
        <f>MIN('02_Данные'!AM69,CJ69)</f>
        <v/>
      </c>
      <c r="CL69" s="10">
        <f>CJ69-CK69</f>
        <v/>
      </c>
      <c r="CM69" s="10">
        <f>MIN('02_Данные'!AO69,CL69)</f>
        <v/>
      </c>
      <c r="CN69" s="10">
        <f>CL69-CM69</f>
        <v/>
      </c>
      <c r="CO69" s="10">
        <f>MIN('02_Данные'!AP69,CN69)</f>
        <v/>
      </c>
      <c r="CP69" s="10">
        <f>CN69-CO69</f>
        <v/>
      </c>
      <c r="CQ69" s="10">
        <f>CP69+'02_Данные'!K69</f>
        <v/>
      </c>
      <c r="CR69" s="10">
        <f>MIN('02_Данные'!AR69,CQ69)</f>
        <v/>
      </c>
      <c r="CS69" s="10">
        <f>CQ69-CR69</f>
        <v/>
      </c>
      <c r="CT69" s="10">
        <f>MIN('02_Данные'!AS69,CS69)</f>
        <v/>
      </c>
      <c r="CU69" s="10">
        <f>CS69-CT69</f>
        <v/>
      </c>
      <c r="CV69" s="10">
        <f>MIN('02_Данные'!AT69,CU69)</f>
        <v/>
      </c>
      <c r="CW69" s="10">
        <f>CU69-CV69</f>
        <v/>
      </c>
      <c r="CX69" s="10">
        <f>MIN('02_Данные'!AY69,CW69)</f>
        <v/>
      </c>
      <c r="CY69" s="10">
        <f>CW69-CX69</f>
        <v/>
      </c>
      <c r="CZ69" s="10">
        <f>MIN('02_Данные'!AV69,CY69)</f>
        <v/>
      </c>
      <c r="DA69" s="10">
        <f>CY69-CZ69</f>
        <v/>
      </c>
      <c r="DB69" s="10">
        <f>MIN('02_Данные'!AU69,DA69)</f>
        <v/>
      </c>
      <c r="DC69" s="10">
        <f>DA69-DB69</f>
        <v/>
      </c>
      <c r="DD69" s="10">
        <f>MIN('02_Данные'!AW69,DC69)</f>
        <v/>
      </c>
      <c r="DE69" s="10">
        <f>DC69-DD69</f>
        <v/>
      </c>
      <c r="DF69" s="10">
        <f>MIN('02_Данные'!AX69,DE69)</f>
        <v/>
      </c>
      <c r="DG69" s="10">
        <f>DE69-DF69</f>
        <v/>
      </c>
    </row>
    <row r="70">
      <c r="A70" s="9">
        <f>'02_Данные'!B70</f>
        <v/>
      </c>
      <c r="B70" s="9">
        <f>'02_Данные'!E70</f>
        <v/>
      </c>
      <c r="C70" s="10">
        <f>'02_Данные'!F70+'02_Данные'!G70+'02_Данные'!H70+'02_Данные'!I70+'02_Данные'!J70+'02_Данные'!K70</f>
        <v/>
      </c>
      <c r="D70" s="10">
        <f>SUM('02_Данные'!L70:'02_Данные'!AY70)</f>
        <v/>
      </c>
      <c r="E70" s="10">
        <f>MAX(0,D70-C70)</f>
        <v/>
      </c>
      <c r="F70" s="15">
        <f>IF(E70&gt;0.0001,"ДЕФИЦИТ",IF(Y70&gt;0.0001,"ПРОФИЦИТ","БАЛАНС"))</f>
        <v/>
      </c>
      <c r="G70" s="10">
        <f>AB70+AS70+BJ70+CA70+CR70</f>
        <v/>
      </c>
      <c r="H70" s="10">
        <f>AD70+AU70+BL70+CC70+CT70</f>
        <v/>
      </c>
      <c r="I70" s="10">
        <f>AF70+AW70+BN70+CE70+CV70</f>
        <v/>
      </c>
      <c r="J70" s="10">
        <f>AL70+BC70+BT70+CK70+DB70</f>
        <v/>
      </c>
      <c r="K70" s="10">
        <f>AJ70+BA70+BR70+CI70+CZ70</f>
        <v/>
      </c>
      <c r="L70" s="10">
        <f>AN70+BE70+BV70+CM70+DD70</f>
        <v/>
      </c>
      <c r="M70" s="10">
        <f>AP70+BG70+BX70+CO70+DF70</f>
        <v/>
      </c>
      <c r="N70" s="10">
        <f>AH70+AY70+BP70+CG70+CX70</f>
        <v/>
      </c>
      <c r="O70" s="10">
        <f>SUM(G70:N70)</f>
        <v/>
      </c>
      <c r="P70" s="10">
        <f>IFERROR(G70*MIN(1,'01_Нормативы'!$C$4/SUM(G$2:G$429)),0)</f>
        <v/>
      </c>
      <c r="Q70" s="10">
        <f>IFERROR(H70*MIN(1,'01_Нормативы'!$C$5/SUM(H$2:H$429)),0)</f>
        <v/>
      </c>
      <c r="R70" s="10">
        <f>IFERROR(I70*MIN(1,'01_Нормативы'!$C$6/SUM(I$2:I$429)),0)</f>
        <v/>
      </c>
      <c r="S70" s="10">
        <f>IFERROR(J70*MIN(1,'01_Нормативы'!$C$7/SUM(J$2:J$429)),0)</f>
        <v/>
      </c>
      <c r="T70" s="10">
        <f>IFERROR(K70*MIN(1,'01_Нормативы'!$C$8/SUM(K$2:K$429)),0)</f>
        <v/>
      </c>
      <c r="U70" s="10">
        <f>IFERROR(L70*MIN(1,'01_Нормативы'!$C$9/SUM(L$2:L$429)),0)</f>
        <v/>
      </c>
      <c r="V70" s="10">
        <f>IFERROR(M70*MIN(1,'01_Нормативы'!$C$10/SUM(M$2:M$429)),0)</f>
        <v/>
      </c>
      <c r="W70" s="10">
        <f>IFERROR(N70*MIN(1,'01_Нормативы'!$C$11/SUM(N$2:N$429)),0)</f>
        <v/>
      </c>
      <c r="X70" s="10">
        <f>SUM(P70:W70)</f>
        <v/>
      </c>
      <c r="Y70" s="10">
        <f>MAX(0,C70-X70)</f>
        <v/>
      </c>
      <c r="Z70" s="10">
        <f>IF(D70=0,100,X70/D70*100)</f>
        <v/>
      </c>
      <c r="AA70" s="10">
        <f>'02_Данные'!F70+'02_Данные'!G70</f>
        <v/>
      </c>
      <c r="AB70" s="10">
        <f>MIN('02_Данные'!L70,AA70)</f>
        <v/>
      </c>
      <c r="AC70" s="10">
        <f>AA70-AB70</f>
        <v/>
      </c>
      <c r="AD70" s="10">
        <f>MIN('02_Данные'!M70,AC70)</f>
        <v/>
      </c>
      <c r="AE70" s="10">
        <f>AC70-AD70</f>
        <v/>
      </c>
      <c r="AF70" s="10">
        <f>MIN('02_Данные'!N70,AE70)</f>
        <v/>
      </c>
      <c r="AG70" s="10">
        <f>AE70-AF70</f>
        <v/>
      </c>
      <c r="AH70" s="10">
        <f>MIN('02_Данные'!S70,AG70)</f>
        <v/>
      </c>
      <c r="AI70" s="10">
        <f>AG70-AH70</f>
        <v/>
      </c>
      <c r="AJ70" s="10">
        <f>MIN('02_Данные'!P70,AI70)</f>
        <v/>
      </c>
      <c r="AK70" s="10">
        <f>AI70-AJ70</f>
        <v/>
      </c>
      <c r="AL70" s="10">
        <f>MIN('02_Данные'!O70,AK70)</f>
        <v/>
      </c>
      <c r="AM70" s="10">
        <f>AK70-AL70</f>
        <v/>
      </c>
      <c r="AN70" s="10">
        <f>MIN('02_Данные'!Q70,AM70)</f>
        <v/>
      </c>
      <c r="AO70" s="10">
        <f>AM70-AN70</f>
        <v/>
      </c>
      <c r="AP70" s="10">
        <f>MIN('02_Данные'!R70,AO70)</f>
        <v/>
      </c>
      <c r="AQ70" s="10">
        <f>AO70-AP70</f>
        <v/>
      </c>
      <c r="AR70" s="10">
        <f>AQ70+'02_Данные'!H70</f>
        <v/>
      </c>
      <c r="AS70" s="10">
        <f>MIN('02_Данные'!T70,AR70)</f>
        <v/>
      </c>
      <c r="AT70" s="10">
        <f>AR70-AS70</f>
        <v/>
      </c>
      <c r="AU70" s="10">
        <f>MIN('02_Данные'!U70,AT70)</f>
        <v/>
      </c>
      <c r="AV70" s="10">
        <f>AT70-AU70</f>
        <v/>
      </c>
      <c r="AW70" s="10">
        <f>MIN('02_Данные'!V70,AV70)</f>
        <v/>
      </c>
      <c r="AX70" s="10">
        <f>AV70-AW70</f>
        <v/>
      </c>
      <c r="AY70" s="10">
        <f>MIN('02_Данные'!AA70,AX70)</f>
        <v/>
      </c>
      <c r="AZ70" s="10">
        <f>AX70-AY70</f>
        <v/>
      </c>
      <c r="BA70" s="10">
        <f>MIN('02_Данные'!X70,AZ70)</f>
        <v/>
      </c>
      <c r="BB70" s="10">
        <f>AZ70-BA70</f>
        <v/>
      </c>
      <c r="BC70" s="10">
        <f>MIN('02_Данные'!W70,BB70)</f>
        <v/>
      </c>
      <c r="BD70" s="10">
        <f>BB70-BC70</f>
        <v/>
      </c>
      <c r="BE70" s="10">
        <f>MIN('02_Данные'!Y70,BD70)</f>
        <v/>
      </c>
      <c r="BF70" s="10">
        <f>BD70-BE70</f>
        <v/>
      </c>
      <c r="BG70" s="10">
        <f>MIN('02_Данные'!Z70,BF70)</f>
        <v/>
      </c>
      <c r="BH70" s="10">
        <f>BF70-BG70</f>
        <v/>
      </c>
      <c r="BI70" s="10">
        <f>BH70+'02_Данные'!I70</f>
        <v/>
      </c>
      <c r="BJ70" s="10">
        <f>MIN('02_Данные'!AB70,BI70)</f>
        <v/>
      </c>
      <c r="BK70" s="10">
        <f>BI70-BJ70</f>
        <v/>
      </c>
      <c r="BL70" s="10">
        <f>MIN('02_Данные'!AC70,BK70)</f>
        <v/>
      </c>
      <c r="BM70" s="10">
        <f>BK70-BL70</f>
        <v/>
      </c>
      <c r="BN70" s="10">
        <f>MIN('02_Данные'!AD70,BM70)</f>
        <v/>
      </c>
      <c r="BO70" s="10">
        <f>BM70-BN70</f>
        <v/>
      </c>
      <c r="BP70" s="10">
        <f>MIN('02_Данные'!AI70,BO70)</f>
        <v/>
      </c>
      <c r="BQ70" s="10">
        <f>BO70-BP70</f>
        <v/>
      </c>
      <c r="BR70" s="10">
        <f>MIN('02_Данные'!AF70,BQ70)</f>
        <v/>
      </c>
      <c r="BS70" s="10">
        <f>BQ70-BR70</f>
        <v/>
      </c>
      <c r="BT70" s="10">
        <f>MIN('02_Данные'!AE70,BS70)</f>
        <v/>
      </c>
      <c r="BU70" s="10">
        <f>BS70-BT70</f>
        <v/>
      </c>
      <c r="BV70" s="10">
        <f>MIN('02_Данные'!AG70,BU70)</f>
        <v/>
      </c>
      <c r="BW70" s="10">
        <f>BU70-BV70</f>
        <v/>
      </c>
      <c r="BX70" s="10">
        <f>MIN('02_Данные'!AH70,BW70)</f>
        <v/>
      </c>
      <c r="BY70" s="10">
        <f>BW70-BX70</f>
        <v/>
      </c>
      <c r="BZ70" s="10">
        <f>BY70+'02_Данные'!J70</f>
        <v/>
      </c>
      <c r="CA70" s="10">
        <f>MIN('02_Данные'!AJ70,BZ70)</f>
        <v/>
      </c>
      <c r="CB70" s="10">
        <f>BZ70-CA70</f>
        <v/>
      </c>
      <c r="CC70" s="10">
        <f>MIN('02_Данные'!AK70,CB70)</f>
        <v/>
      </c>
      <c r="CD70" s="10">
        <f>CB70-CC70</f>
        <v/>
      </c>
      <c r="CE70" s="10">
        <f>MIN('02_Данные'!AL70,CD70)</f>
        <v/>
      </c>
      <c r="CF70" s="10">
        <f>CD70-CE70</f>
        <v/>
      </c>
      <c r="CG70" s="10">
        <f>MIN('02_Данные'!AQ70,CF70)</f>
        <v/>
      </c>
      <c r="CH70" s="10">
        <f>CF70-CG70</f>
        <v/>
      </c>
      <c r="CI70" s="10">
        <f>MIN('02_Данные'!AN70,CH70)</f>
        <v/>
      </c>
      <c r="CJ70" s="10">
        <f>CH70-CI70</f>
        <v/>
      </c>
      <c r="CK70" s="10">
        <f>MIN('02_Данные'!AM70,CJ70)</f>
        <v/>
      </c>
      <c r="CL70" s="10">
        <f>CJ70-CK70</f>
        <v/>
      </c>
      <c r="CM70" s="10">
        <f>MIN('02_Данные'!AO70,CL70)</f>
        <v/>
      </c>
      <c r="CN70" s="10">
        <f>CL70-CM70</f>
        <v/>
      </c>
      <c r="CO70" s="10">
        <f>MIN('02_Данные'!AP70,CN70)</f>
        <v/>
      </c>
      <c r="CP70" s="10">
        <f>CN70-CO70</f>
        <v/>
      </c>
      <c r="CQ70" s="10">
        <f>CP70+'02_Данные'!K70</f>
        <v/>
      </c>
      <c r="CR70" s="10">
        <f>MIN('02_Данные'!AR70,CQ70)</f>
        <v/>
      </c>
      <c r="CS70" s="10">
        <f>CQ70-CR70</f>
        <v/>
      </c>
      <c r="CT70" s="10">
        <f>MIN('02_Данные'!AS70,CS70)</f>
        <v/>
      </c>
      <c r="CU70" s="10">
        <f>CS70-CT70</f>
        <v/>
      </c>
      <c r="CV70" s="10">
        <f>MIN('02_Данные'!AT70,CU70)</f>
        <v/>
      </c>
      <c r="CW70" s="10">
        <f>CU70-CV70</f>
        <v/>
      </c>
      <c r="CX70" s="10">
        <f>MIN('02_Данные'!AY70,CW70)</f>
        <v/>
      </c>
      <c r="CY70" s="10">
        <f>CW70-CX70</f>
        <v/>
      </c>
      <c r="CZ70" s="10">
        <f>MIN('02_Данные'!AV70,CY70)</f>
        <v/>
      </c>
      <c r="DA70" s="10">
        <f>CY70-CZ70</f>
        <v/>
      </c>
      <c r="DB70" s="10">
        <f>MIN('02_Данные'!AU70,DA70)</f>
        <v/>
      </c>
      <c r="DC70" s="10">
        <f>DA70-DB70</f>
        <v/>
      </c>
      <c r="DD70" s="10">
        <f>MIN('02_Данные'!AW70,DC70)</f>
        <v/>
      </c>
      <c r="DE70" s="10">
        <f>DC70-DD70</f>
        <v/>
      </c>
      <c r="DF70" s="10">
        <f>MIN('02_Данные'!AX70,DE70)</f>
        <v/>
      </c>
      <c r="DG70" s="10">
        <f>DE70-DF70</f>
        <v/>
      </c>
    </row>
    <row r="71">
      <c r="A71" s="9">
        <f>'02_Данные'!B71</f>
        <v/>
      </c>
      <c r="B71" s="9">
        <f>'02_Данные'!E71</f>
        <v/>
      </c>
      <c r="C71" s="10">
        <f>'02_Данные'!F71+'02_Данные'!G71+'02_Данные'!H71+'02_Данные'!I71+'02_Данные'!J71+'02_Данные'!K71</f>
        <v/>
      </c>
      <c r="D71" s="10">
        <f>SUM('02_Данные'!L71:'02_Данные'!AY71)</f>
        <v/>
      </c>
      <c r="E71" s="10">
        <f>MAX(0,D71-C71)</f>
        <v/>
      </c>
      <c r="F71" s="15">
        <f>IF(E71&gt;0.0001,"ДЕФИЦИТ",IF(Y71&gt;0.0001,"ПРОФИЦИТ","БАЛАНС"))</f>
        <v/>
      </c>
      <c r="G71" s="10">
        <f>AB71+AS71+BJ71+CA71+CR71</f>
        <v/>
      </c>
      <c r="H71" s="10">
        <f>AD71+AU71+BL71+CC71+CT71</f>
        <v/>
      </c>
      <c r="I71" s="10">
        <f>AF71+AW71+BN71+CE71+CV71</f>
        <v/>
      </c>
      <c r="J71" s="10">
        <f>AL71+BC71+BT71+CK71+DB71</f>
        <v/>
      </c>
      <c r="K71" s="10">
        <f>AJ71+BA71+BR71+CI71+CZ71</f>
        <v/>
      </c>
      <c r="L71" s="10">
        <f>AN71+BE71+BV71+CM71+DD71</f>
        <v/>
      </c>
      <c r="M71" s="10">
        <f>AP71+BG71+BX71+CO71+DF71</f>
        <v/>
      </c>
      <c r="N71" s="10">
        <f>AH71+AY71+BP71+CG71+CX71</f>
        <v/>
      </c>
      <c r="O71" s="10">
        <f>SUM(G71:N71)</f>
        <v/>
      </c>
      <c r="P71" s="10">
        <f>IFERROR(G71*MIN(1,'01_Нормативы'!$C$4/SUM(G$2:G$429)),0)</f>
        <v/>
      </c>
      <c r="Q71" s="10">
        <f>IFERROR(H71*MIN(1,'01_Нормативы'!$C$5/SUM(H$2:H$429)),0)</f>
        <v/>
      </c>
      <c r="R71" s="10">
        <f>IFERROR(I71*MIN(1,'01_Нормативы'!$C$6/SUM(I$2:I$429)),0)</f>
        <v/>
      </c>
      <c r="S71" s="10">
        <f>IFERROR(J71*MIN(1,'01_Нормативы'!$C$7/SUM(J$2:J$429)),0)</f>
        <v/>
      </c>
      <c r="T71" s="10">
        <f>IFERROR(K71*MIN(1,'01_Нормативы'!$C$8/SUM(K$2:K$429)),0)</f>
        <v/>
      </c>
      <c r="U71" s="10">
        <f>IFERROR(L71*MIN(1,'01_Нормативы'!$C$9/SUM(L$2:L$429)),0)</f>
        <v/>
      </c>
      <c r="V71" s="10">
        <f>IFERROR(M71*MIN(1,'01_Нормативы'!$C$10/SUM(M$2:M$429)),0)</f>
        <v/>
      </c>
      <c r="W71" s="10">
        <f>IFERROR(N71*MIN(1,'01_Нормативы'!$C$11/SUM(N$2:N$429)),0)</f>
        <v/>
      </c>
      <c r="X71" s="10">
        <f>SUM(P71:W71)</f>
        <v/>
      </c>
      <c r="Y71" s="10">
        <f>MAX(0,C71-X71)</f>
        <v/>
      </c>
      <c r="Z71" s="10">
        <f>IF(D71=0,100,X71/D71*100)</f>
        <v/>
      </c>
      <c r="AA71" s="10">
        <f>'02_Данные'!F71+'02_Данные'!G71</f>
        <v/>
      </c>
      <c r="AB71" s="10">
        <f>MIN('02_Данные'!L71,AA71)</f>
        <v/>
      </c>
      <c r="AC71" s="10">
        <f>AA71-AB71</f>
        <v/>
      </c>
      <c r="AD71" s="10">
        <f>MIN('02_Данные'!M71,AC71)</f>
        <v/>
      </c>
      <c r="AE71" s="10">
        <f>AC71-AD71</f>
        <v/>
      </c>
      <c r="AF71" s="10">
        <f>MIN('02_Данные'!N71,AE71)</f>
        <v/>
      </c>
      <c r="AG71" s="10">
        <f>AE71-AF71</f>
        <v/>
      </c>
      <c r="AH71" s="10">
        <f>MIN('02_Данные'!S71,AG71)</f>
        <v/>
      </c>
      <c r="AI71" s="10">
        <f>AG71-AH71</f>
        <v/>
      </c>
      <c r="AJ71" s="10">
        <f>MIN('02_Данные'!P71,AI71)</f>
        <v/>
      </c>
      <c r="AK71" s="10">
        <f>AI71-AJ71</f>
        <v/>
      </c>
      <c r="AL71" s="10">
        <f>MIN('02_Данные'!O71,AK71)</f>
        <v/>
      </c>
      <c r="AM71" s="10">
        <f>AK71-AL71</f>
        <v/>
      </c>
      <c r="AN71" s="10">
        <f>MIN('02_Данные'!Q71,AM71)</f>
        <v/>
      </c>
      <c r="AO71" s="10">
        <f>AM71-AN71</f>
        <v/>
      </c>
      <c r="AP71" s="10">
        <f>MIN('02_Данные'!R71,AO71)</f>
        <v/>
      </c>
      <c r="AQ71" s="10">
        <f>AO71-AP71</f>
        <v/>
      </c>
      <c r="AR71" s="10">
        <f>AQ71+'02_Данные'!H71</f>
        <v/>
      </c>
      <c r="AS71" s="10">
        <f>MIN('02_Данные'!T71,AR71)</f>
        <v/>
      </c>
      <c r="AT71" s="10">
        <f>AR71-AS71</f>
        <v/>
      </c>
      <c r="AU71" s="10">
        <f>MIN('02_Данные'!U71,AT71)</f>
        <v/>
      </c>
      <c r="AV71" s="10">
        <f>AT71-AU71</f>
        <v/>
      </c>
      <c r="AW71" s="10">
        <f>MIN('02_Данные'!V71,AV71)</f>
        <v/>
      </c>
      <c r="AX71" s="10">
        <f>AV71-AW71</f>
        <v/>
      </c>
      <c r="AY71" s="10">
        <f>MIN('02_Данные'!AA71,AX71)</f>
        <v/>
      </c>
      <c r="AZ71" s="10">
        <f>AX71-AY71</f>
        <v/>
      </c>
      <c r="BA71" s="10">
        <f>MIN('02_Данные'!X71,AZ71)</f>
        <v/>
      </c>
      <c r="BB71" s="10">
        <f>AZ71-BA71</f>
        <v/>
      </c>
      <c r="BC71" s="10">
        <f>MIN('02_Данные'!W71,BB71)</f>
        <v/>
      </c>
      <c r="BD71" s="10">
        <f>BB71-BC71</f>
        <v/>
      </c>
      <c r="BE71" s="10">
        <f>MIN('02_Данные'!Y71,BD71)</f>
        <v/>
      </c>
      <c r="BF71" s="10">
        <f>BD71-BE71</f>
        <v/>
      </c>
      <c r="BG71" s="10">
        <f>MIN('02_Данные'!Z71,BF71)</f>
        <v/>
      </c>
      <c r="BH71" s="10">
        <f>BF71-BG71</f>
        <v/>
      </c>
      <c r="BI71" s="10">
        <f>BH71+'02_Данные'!I71</f>
        <v/>
      </c>
      <c r="BJ71" s="10">
        <f>MIN('02_Данные'!AB71,BI71)</f>
        <v/>
      </c>
      <c r="BK71" s="10">
        <f>BI71-BJ71</f>
        <v/>
      </c>
      <c r="BL71" s="10">
        <f>MIN('02_Данные'!AC71,BK71)</f>
        <v/>
      </c>
      <c r="BM71" s="10">
        <f>BK71-BL71</f>
        <v/>
      </c>
      <c r="BN71" s="10">
        <f>MIN('02_Данные'!AD71,BM71)</f>
        <v/>
      </c>
      <c r="BO71" s="10">
        <f>BM71-BN71</f>
        <v/>
      </c>
      <c r="BP71" s="10">
        <f>MIN('02_Данные'!AI71,BO71)</f>
        <v/>
      </c>
      <c r="BQ71" s="10">
        <f>BO71-BP71</f>
        <v/>
      </c>
      <c r="BR71" s="10">
        <f>MIN('02_Данные'!AF71,BQ71)</f>
        <v/>
      </c>
      <c r="BS71" s="10">
        <f>BQ71-BR71</f>
        <v/>
      </c>
      <c r="BT71" s="10">
        <f>MIN('02_Данные'!AE71,BS71)</f>
        <v/>
      </c>
      <c r="BU71" s="10">
        <f>BS71-BT71</f>
        <v/>
      </c>
      <c r="BV71" s="10">
        <f>MIN('02_Данные'!AG71,BU71)</f>
        <v/>
      </c>
      <c r="BW71" s="10">
        <f>BU71-BV71</f>
        <v/>
      </c>
      <c r="BX71" s="10">
        <f>MIN('02_Данные'!AH71,BW71)</f>
        <v/>
      </c>
      <c r="BY71" s="10">
        <f>BW71-BX71</f>
        <v/>
      </c>
      <c r="BZ71" s="10">
        <f>BY71+'02_Данные'!J71</f>
        <v/>
      </c>
      <c r="CA71" s="10">
        <f>MIN('02_Данные'!AJ71,BZ71)</f>
        <v/>
      </c>
      <c r="CB71" s="10">
        <f>BZ71-CA71</f>
        <v/>
      </c>
      <c r="CC71" s="10">
        <f>MIN('02_Данные'!AK71,CB71)</f>
        <v/>
      </c>
      <c r="CD71" s="10">
        <f>CB71-CC71</f>
        <v/>
      </c>
      <c r="CE71" s="10">
        <f>MIN('02_Данные'!AL71,CD71)</f>
        <v/>
      </c>
      <c r="CF71" s="10">
        <f>CD71-CE71</f>
        <v/>
      </c>
      <c r="CG71" s="10">
        <f>MIN('02_Данные'!AQ71,CF71)</f>
        <v/>
      </c>
      <c r="CH71" s="10">
        <f>CF71-CG71</f>
        <v/>
      </c>
      <c r="CI71" s="10">
        <f>MIN('02_Данные'!AN71,CH71)</f>
        <v/>
      </c>
      <c r="CJ71" s="10">
        <f>CH71-CI71</f>
        <v/>
      </c>
      <c r="CK71" s="10">
        <f>MIN('02_Данные'!AM71,CJ71)</f>
        <v/>
      </c>
      <c r="CL71" s="10">
        <f>CJ71-CK71</f>
        <v/>
      </c>
      <c r="CM71" s="10">
        <f>MIN('02_Данные'!AO71,CL71)</f>
        <v/>
      </c>
      <c r="CN71" s="10">
        <f>CL71-CM71</f>
        <v/>
      </c>
      <c r="CO71" s="10">
        <f>MIN('02_Данные'!AP71,CN71)</f>
        <v/>
      </c>
      <c r="CP71" s="10">
        <f>CN71-CO71</f>
        <v/>
      </c>
      <c r="CQ71" s="10">
        <f>CP71+'02_Данные'!K71</f>
        <v/>
      </c>
      <c r="CR71" s="10">
        <f>MIN('02_Данные'!AR71,CQ71)</f>
        <v/>
      </c>
      <c r="CS71" s="10">
        <f>CQ71-CR71</f>
        <v/>
      </c>
      <c r="CT71" s="10">
        <f>MIN('02_Данные'!AS71,CS71)</f>
        <v/>
      </c>
      <c r="CU71" s="10">
        <f>CS71-CT71</f>
        <v/>
      </c>
      <c r="CV71" s="10">
        <f>MIN('02_Данные'!AT71,CU71)</f>
        <v/>
      </c>
      <c r="CW71" s="10">
        <f>CU71-CV71</f>
        <v/>
      </c>
      <c r="CX71" s="10">
        <f>MIN('02_Данные'!AY71,CW71)</f>
        <v/>
      </c>
      <c r="CY71" s="10">
        <f>CW71-CX71</f>
        <v/>
      </c>
      <c r="CZ71" s="10">
        <f>MIN('02_Данные'!AV71,CY71)</f>
        <v/>
      </c>
      <c r="DA71" s="10">
        <f>CY71-CZ71</f>
        <v/>
      </c>
      <c r="DB71" s="10">
        <f>MIN('02_Данные'!AU71,DA71)</f>
        <v/>
      </c>
      <c r="DC71" s="10">
        <f>DA71-DB71</f>
        <v/>
      </c>
      <c r="DD71" s="10">
        <f>MIN('02_Данные'!AW71,DC71)</f>
        <v/>
      </c>
      <c r="DE71" s="10">
        <f>DC71-DD71</f>
        <v/>
      </c>
      <c r="DF71" s="10">
        <f>MIN('02_Данные'!AX71,DE71)</f>
        <v/>
      </c>
      <c r="DG71" s="10">
        <f>DE71-DF71</f>
        <v/>
      </c>
    </row>
    <row r="72">
      <c r="A72" s="9">
        <f>'02_Данные'!B72</f>
        <v/>
      </c>
      <c r="B72" s="9">
        <f>'02_Данные'!E72</f>
        <v/>
      </c>
      <c r="C72" s="10">
        <f>'02_Данные'!F72+'02_Данные'!G72+'02_Данные'!H72+'02_Данные'!I72+'02_Данные'!J72+'02_Данные'!K72</f>
        <v/>
      </c>
      <c r="D72" s="10">
        <f>SUM('02_Данные'!L72:'02_Данные'!AY72)</f>
        <v/>
      </c>
      <c r="E72" s="10">
        <f>MAX(0,D72-C72)</f>
        <v/>
      </c>
      <c r="F72" s="15">
        <f>IF(E72&gt;0.0001,"ДЕФИЦИТ",IF(Y72&gt;0.0001,"ПРОФИЦИТ","БАЛАНС"))</f>
        <v/>
      </c>
      <c r="G72" s="10">
        <f>AB72+AS72+BJ72+CA72+CR72</f>
        <v/>
      </c>
      <c r="H72" s="10">
        <f>AD72+AU72+BL72+CC72+CT72</f>
        <v/>
      </c>
      <c r="I72" s="10">
        <f>AF72+AW72+BN72+CE72+CV72</f>
        <v/>
      </c>
      <c r="J72" s="10">
        <f>AL72+BC72+BT72+CK72+DB72</f>
        <v/>
      </c>
      <c r="K72" s="10">
        <f>AJ72+BA72+BR72+CI72+CZ72</f>
        <v/>
      </c>
      <c r="L72" s="10">
        <f>AN72+BE72+BV72+CM72+DD72</f>
        <v/>
      </c>
      <c r="M72" s="10">
        <f>AP72+BG72+BX72+CO72+DF72</f>
        <v/>
      </c>
      <c r="N72" s="10">
        <f>AH72+AY72+BP72+CG72+CX72</f>
        <v/>
      </c>
      <c r="O72" s="10">
        <f>SUM(G72:N72)</f>
        <v/>
      </c>
      <c r="P72" s="10">
        <f>IFERROR(G72*MIN(1,'01_Нормативы'!$C$4/SUM(G$2:G$429)),0)</f>
        <v/>
      </c>
      <c r="Q72" s="10">
        <f>IFERROR(H72*MIN(1,'01_Нормативы'!$C$5/SUM(H$2:H$429)),0)</f>
        <v/>
      </c>
      <c r="R72" s="10">
        <f>IFERROR(I72*MIN(1,'01_Нормативы'!$C$6/SUM(I$2:I$429)),0)</f>
        <v/>
      </c>
      <c r="S72" s="10">
        <f>IFERROR(J72*MIN(1,'01_Нормативы'!$C$7/SUM(J$2:J$429)),0)</f>
        <v/>
      </c>
      <c r="T72" s="10">
        <f>IFERROR(K72*MIN(1,'01_Нормативы'!$C$8/SUM(K$2:K$429)),0)</f>
        <v/>
      </c>
      <c r="U72" s="10">
        <f>IFERROR(L72*MIN(1,'01_Нормативы'!$C$9/SUM(L$2:L$429)),0)</f>
        <v/>
      </c>
      <c r="V72" s="10">
        <f>IFERROR(M72*MIN(1,'01_Нормативы'!$C$10/SUM(M$2:M$429)),0)</f>
        <v/>
      </c>
      <c r="W72" s="10">
        <f>IFERROR(N72*MIN(1,'01_Нормативы'!$C$11/SUM(N$2:N$429)),0)</f>
        <v/>
      </c>
      <c r="X72" s="10">
        <f>SUM(P72:W72)</f>
        <v/>
      </c>
      <c r="Y72" s="10">
        <f>MAX(0,C72-X72)</f>
        <v/>
      </c>
      <c r="Z72" s="10">
        <f>IF(D72=0,100,X72/D72*100)</f>
        <v/>
      </c>
      <c r="AA72" s="10">
        <f>'02_Данные'!F72+'02_Данные'!G72</f>
        <v/>
      </c>
      <c r="AB72" s="10">
        <f>MIN('02_Данные'!L72,AA72)</f>
        <v/>
      </c>
      <c r="AC72" s="10">
        <f>AA72-AB72</f>
        <v/>
      </c>
      <c r="AD72" s="10">
        <f>MIN('02_Данные'!M72,AC72)</f>
        <v/>
      </c>
      <c r="AE72" s="10">
        <f>AC72-AD72</f>
        <v/>
      </c>
      <c r="AF72" s="10">
        <f>MIN('02_Данные'!N72,AE72)</f>
        <v/>
      </c>
      <c r="AG72" s="10">
        <f>AE72-AF72</f>
        <v/>
      </c>
      <c r="AH72" s="10">
        <f>MIN('02_Данные'!S72,AG72)</f>
        <v/>
      </c>
      <c r="AI72" s="10">
        <f>AG72-AH72</f>
        <v/>
      </c>
      <c r="AJ72" s="10">
        <f>MIN('02_Данные'!P72,AI72)</f>
        <v/>
      </c>
      <c r="AK72" s="10">
        <f>AI72-AJ72</f>
        <v/>
      </c>
      <c r="AL72" s="10">
        <f>MIN('02_Данные'!O72,AK72)</f>
        <v/>
      </c>
      <c r="AM72" s="10">
        <f>AK72-AL72</f>
        <v/>
      </c>
      <c r="AN72" s="10">
        <f>MIN('02_Данные'!Q72,AM72)</f>
        <v/>
      </c>
      <c r="AO72" s="10">
        <f>AM72-AN72</f>
        <v/>
      </c>
      <c r="AP72" s="10">
        <f>MIN('02_Данные'!R72,AO72)</f>
        <v/>
      </c>
      <c r="AQ72" s="10">
        <f>AO72-AP72</f>
        <v/>
      </c>
      <c r="AR72" s="10">
        <f>AQ72+'02_Данные'!H72</f>
        <v/>
      </c>
      <c r="AS72" s="10">
        <f>MIN('02_Данные'!T72,AR72)</f>
        <v/>
      </c>
      <c r="AT72" s="10">
        <f>AR72-AS72</f>
        <v/>
      </c>
      <c r="AU72" s="10">
        <f>MIN('02_Данные'!U72,AT72)</f>
        <v/>
      </c>
      <c r="AV72" s="10">
        <f>AT72-AU72</f>
        <v/>
      </c>
      <c r="AW72" s="10">
        <f>MIN('02_Данные'!V72,AV72)</f>
        <v/>
      </c>
      <c r="AX72" s="10">
        <f>AV72-AW72</f>
        <v/>
      </c>
      <c r="AY72" s="10">
        <f>MIN('02_Данные'!AA72,AX72)</f>
        <v/>
      </c>
      <c r="AZ72" s="10">
        <f>AX72-AY72</f>
        <v/>
      </c>
      <c r="BA72" s="10">
        <f>MIN('02_Данные'!X72,AZ72)</f>
        <v/>
      </c>
      <c r="BB72" s="10">
        <f>AZ72-BA72</f>
        <v/>
      </c>
      <c r="BC72" s="10">
        <f>MIN('02_Данные'!W72,BB72)</f>
        <v/>
      </c>
      <c r="BD72" s="10">
        <f>BB72-BC72</f>
        <v/>
      </c>
      <c r="BE72" s="10">
        <f>MIN('02_Данные'!Y72,BD72)</f>
        <v/>
      </c>
      <c r="BF72" s="10">
        <f>BD72-BE72</f>
        <v/>
      </c>
      <c r="BG72" s="10">
        <f>MIN('02_Данные'!Z72,BF72)</f>
        <v/>
      </c>
      <c r="BH72" s="10">
        <f>BF72-BG72</f>
        <v/>
      </c>
      <c r="BI72" s="10">
        <f>BH72+'02_Данные'!I72</f>
        <v/>
      </c>
      <c r="BJ72" s="10">
        <f>MIN('02_Данные'!AB72,BI72)</f>
        <v/>
      </c>
      <c r="BK72" s="10">
        <f>BI72-BJ72</f>
        <v/>
      </c>
      <c r="BL72" s="10">
        <f>MIN('02_Данные'!AC72,BK72)</f>
        <v/>
      </c>
      <c r="BM72" s="10">
        <f>BK72-BL72</f>
        <v/>
      </c>
      <c r="BN72" s="10">
        <f>MIN('02_Данные'!AD72,BM72)</f>
        <v/>
      </c>
      <c r="BO72" s="10">
        <f>BM72-BN72</f>
        <v/>
      </c>
      <c r="BP72" s="10">
        <f>MIN('02_Данные'!AI72,BO72)</f>
        <v/>
      </c>
      <c r="BQ72" s="10">
        <f>BO72-BP72</f>
        <v/>
      </c>
      <c r="BR72" s="10">
        <f>MIN('02_Данные'!AF72,BQ72)</f>
        <v/>
      </c>
      <c r="BS72" s="10">
        <f>BQ72-BR72</f>
        <v/>
      </c>
      <c r="BT72" s="10">
        <f>MIN('02_Данные'!AE72,BS72)</f>
        <v/>
      </c>
      <c r="BU72" s="10">
        <f>BS72-BT72</f>
        <v/>
      </c>
      <c r="BV72" s="10">
        <f>MIN('02_Данные'!AG72,BU72)</f>
        <v/>
      </c>
      <c r="BW72" s="10">
        <f>BU72-BV72</f>
        <v/>
      </c>
      <c r="BX72" s="10">
        <f>MIN('02_Данные'!AH72,BW72)</f>
        <v/>
      </c>
      <c r="BY72" s="10">
        <f>BW72-BX72</f>
        <v/>
      </c>
      <c r="BZ72" s="10">
        <f>BY72+'02_Данные'!J72</f>
        <v/>
      </c>
      <c r="CA72" s="10">
        <f>MIN('02_Данные'!AJ72,BZ72)</f>
        <v/>
      </c>
      <c r="CB72" s="10">
        <f>BZ72-CA72</f>
        <v/>
      </c>
      <c r="CC72" s="10">
        <f>MIN('02_Данные'!AK72,CB72)</f>
        <v/>
      </c>
      <c r="CD72" s="10">
        <f>CB72-CC72</f>
        <v/>
      </c>
      <c r="CE72" s="10">
        <f>MIN('02_Данные'!AL72,CD72)</f>
        <v/>
      </c>
      <c r="CF72" s="10">
        <f>CD72-CE72</f>
        <v/>
      </c>
      <c r="CG72" s="10">
        <f>MIN('02_Данные'!AQ72,CF72)</f>
        <v/>
      </c>
      <c r="CH72" s="10">
        <f>CF72-CG72</f>
        <v/>
      </c>
      <c r="CI72" s="10">
        <f>MIN('02_Данные'!AN72,CH72)</f>
        <v/>
      </c>
      <c r="CJ72" s="10">
        <f>CH72-CI72</f>
        <v/>
      </c>
      <c r="CK72" s="10">
        <f>MIN('02_Данные'!AM72,CJ72)</f>
        <v/>
      </c>
      <c r="CL72" s="10">
        <f>CJ72-CK72</f>
        <v/>
      </c>
      <c r="CM72" s="10">
        <f>MIN('02_Данные'!AO72,CL72)</f>
        <v/>
      </c>
      <c r="CN72" s="10">
        <f>CL72-CM72</f>
        <v/>
      </c>
      <c r="CO72" s="10">
        <f>MIN('02_Данные'!AP72,CN72)</f>
        <v/>
      </c>
      <c r="CP72" s="10">
        <f>CN72-CO72</f>
        <v/>
      </c>
      <c r="CQ72" s="10">
        <f>CP72+'02_Данные'!K72</f>
        <v/>
      </c>
      <c r="CR72" s="10">
        <f>MIN('02_Данные'!AR72,CQ72)</f>
        <v/>
      </c>
      <c r="CS72" s="10">
        <f>CQ72-CR72</f>
        <v/>
      </c>
      <c r="CT72" s="10">
        <f>MIN('02_Данные'!AS72,CS72)</f>
        <v/>
      </c>
      <c r="CU72" s="10">
        <f>CS72-CT72</f>
        <v/>
      </c>
      <c r="CV72" s="10">
        <f>MIN('02_Данные'!AT72,CU72)</f>
        <v/>
      </c>
      <c r="CW72" s="10">
        <f>CU72-CV72</f>
        <v/>
      </c>
      <c r="CX72" s="10">
        <f>MIN('02_Данные'!AY72,CW72)</f>
        <v/>
      </c>
      <c r="CY72" s="10">
        <f>CW72-CX72</f>
        <v/>
      </c>
      <c r="CZ72" s="10">
        <f>MIN('02_Данные'!AV72,CY72)</f>
        <v/>
      </c>
      <c r="DA72" s="10">
        <f>CY72-CZ72</f>
        <v/>
      </c>
      <c r="DB72" s="10">
        <f>MIN('02_Данные'!AU72,DA72)</f>
        <v/>
      </c>
      <c r="DC72" s="10">
        <f>DA72-DB72</f>
        <v/>
      </c>
      <c r="DD72" s="10">
        <f>MIN('02_Данные'!AW72,DC72)</f>
        <v/>
      </c>
      <c r="DE72" s="10">
        <f>DC72-DD72</f>
        <v/>
      </c>
      <c r="DF72" s="10">
        <f>MIN('02_Данные'!AX72,DE72)</f>
        <v/>
      </c>
      <c r="DG72" s="10">
        <f>DE72-DF72</f>
        <v/>
      </c>
    </row>
    <row r="73">
      <c r="A73" s="9">
        <f>'02_Данные'!B73</f>
        <v/>
      </c>
      <c r="B73" s="9">
        <f>'02_Данные'!E73</f>
        <v/>
      </c>
      <c r="C73" s="10">
        <f>'02_Данные'!F73+'02_Данные'!G73+'02_Данные'!H73+'02_Данные'!I73+'02_Данные'!J73+'02_Данные'!K73</f>
        <v/>
      </c>
      <c r="D73" s="10">
        <f>SUM('02_Данные'!L73:'02_Данные'!AY73)</f>
        <v/>
      </c>
      <c r="E73" s="10">
        <f>MAX(0,D73-C73)</f>
        <v/>
      </c>
      <c r="F73" s="15">
        <f>IF(E73&gt;0.0001,"ДЕФИЦИТ",IF(Y73&gt;0.0001,"ПРОФИЦИТ","БАЛАНС"))</f>
        <v/>
      </c>
      <c r="G73" s="10">
        <f>AB73+AS73+BJ73+CA73+CR73</f>
        <v/>
      </c>
      <c r="H73" s="10">
        <f>AD73+AU73+BL73+CC73+CT73</f>
        <v/>
      </c>
      <c r="I73" s="10">
        <f>AF73+AW73+BN73+CE73+CV73</f>
        <v/>
      </c>
      <c r="J73" s="10">
        <f>AL73+BC73+BT73+CK73+DB73</f>
        <v/>
      </c>
      <c r="K73" s="10">
        <f>AJ73+BA73+BR73+CI73+CZ73</f>
        <v/>
      </c>
      <c r="L73" s="10">
        <f>AN73+BE73+BV73+CM73+DD73</f>
        <v/>
      </c>
      <c r="M73" s="10">
        <f>AP73+BG73+BX73+CO73+DF73</f>
        <v/>
      </c>
      <c r="N73" s="10">
        <f>AH73+AY73+BP73+CG73+CX73</f>
        <v/>
      </c>
      <c r="O73" s="10">
        <f>SUM(G73:N73)</f>
        <v/>
      </c>
      <c r="P73" s="10">
        <f>IFERROR(G73*MIN(1,'01_Нормативы'!$C$4/SUM(G$2:G$429)),0)</f>
        <v/>
      </c>
      <c r="Q73" s="10">
        <f>IFERROR(H73*MIN(1,'01_Нормативы'!$C$5/SUM(H$2:H$429)),0)</f>
        <v/>
      </c>
      <c r="R73" s="10">
        <f>IFERROR(I73*MIN(1,'01_Нормативы'!$C$6/SUM(I$2:I$429)),0)</f>
        <v/>
      </c>
      <c r="S73" s="10">
        <f>IFERROR(J73*MIN(1,'01_Нормативы'!$C$7/SUM(J$2:J$429)),0)</f>
        <v/>
      </c>
      <c r="T73" s="10">
        <f>IFERROR(K73*MIN(1,'01_Нормативы'!$C$8/SUM(K$2:K$429)),0)</f>
        <v/>
      </c>
      <c r="U73" s="10">
        <f>IFERROR(L73*MIN(1,'01_Нормативы'!$C$9/SUM(L$2:L$429)),0)</f>
        <v/>
      </c>
      <c r="V73" s="10">
        <f>IFERROR(M73*MIN(1,'01_Нормативы'!$C$10/SUM(M$2:M$429)),0)</f>
        <v/>
      </c>
      <c r="W73" s="10">
        <f>IFERROR(N73*MIN(1,'01_Нормативы'!$C$11/SUM(N$2:N$429)),0)</f>
        <v/>
      </c>
      <c r="X73" s="10">
        <f>SUM(P73:W73)</f>
        <v/>
      </c>
      <c r="Y73" s="10">
        <f>MAX(0,C73-X73)</f>
        <v/>
      </c>
      <c r="Z73" s="10">
        <f>IF(D73=0,100,X73/D73*100)</f>
        <v/>
      </c>
      <c r="AA73" s="10">
        <f>'02_Данные'!F73+'02_Данные'!G73</f>
        <v/>
      </c>
      <c r="AB73" s="10">
        <f>MIN('02_Данные'!L73,AA73)</f>
        <v/>
      </c>
      <c r="AC73" s="10">
        <f>AA73-AB73</f>
        <v/>
      </c>
      <c r="AD73" s="10">
        <f>MIN('02_Данные'!M73,AC73)</f>
        <v/>
      </c>
      <c r="AE73" s="10">
        <f>AC73-AD73</f>
        <v/>
      </c>
      <c r="AF73" s="10">
        <f>MIN('02_Данные'!N73,AE73)</f>
        <v/>
      </c>
      <c r="AG73" s="10">
        <f>AE73-AF73</f>
        <v/>
      </c>
      <c r="AH73" s="10">
        <f>MIN('02_Данные'!S73,AG73)</f>
        <v/>
      </c>
      <c r="AI73" s="10">
        <f>AG73-AH73</f>
        <v/>
      </c>
      <c r="AJ73" s="10">
        <f>MIN('02_Данные'!P73,AI73)</f>
        <v/>
      </c>
      <c r="AK73" s="10">
        <f>AI73-AJ73</f>
        <v/>
      </c>
      <c r="AL73" s="10">
        <f>MIN('02_Данные'!O73,AK73)</f>
        <v/>
      </c>
      <c r="AM73" s="10">
        <f>AK73-AL73</f>
        <v/>
      </c>
      <c r="AN73" s="10">
        <f>MIN('02_Данные'!Q73,AM73)</f>
        <v/>
      </c>
      <c r="AO73" s="10">
        <f>AM73-AN73</f>
        <v/>
      </c>
      <c r="AP73" s="10">
        <f>MIN('02_Данные'!R73,AO73)</f>
        <v/>
      </c>
      <c r="AQ73" s="10">
        <f>AO73-AP73</f>
        <v/>
      </c>
      <c r="AR73" s="10">
        <f>AQ73+'02_Данные'!H73</f>
        <v/>
      </c>
      <c r="AS73" s="10">
        <f>MIN('02_Данные'!T73,AR73)</f>
        <v/>
      </c>
      <c r="AT73" s="10">
        <f>AR73-AS73</f>
        <v/>
      </c>
      <c r="AU73" s="10">
        <f>MIN('02_Данные'!U73,AT73)</f>
        <v/>
      </c>
      <c r="AV73" s="10">
        <f>AT73-AU73</f>
        <v/>
      </c>
      <c r="AW73" s="10">
        <f>MIN('02_Данные'!V73,AV73)</f>
        <v/>
      </c>
      <c r="AX73" s="10">
        <f>AV73-AW73</f>
        <v/>
      </c>
      <c r="AY73" s="10">
        <f>MIN('02_Данные'!AA73,AX73)</f>
        <v/>
      </c>
      <c r="AZ73" s="10">
        <f>AX73-AY73</f>
        <v/>
      </c>
      <c r="BA73" s="10">
        <f>MIN('02_Данные'!X73,AZ73)</f>
        <v/>
      </c>
      <c r="BB73" s="10">
        <f>AZ73-BA73</f>
        <v/>
      </c>
      <c r="BC73" s="10">
        <f>MIN('02_Данные'!W73,BB73)</f>
        <v/>
      </c>
      <c r="BD73" s="10">
        <f>BB73-BC73</f>
        <v/>
      </c>
      <c r="BE73" s="10">
        <f>MIN('02_Данные'!Y73,BD73)</f>
        <v/>
      </c>
      <c r="BF73" s="10">
        <f>BD73-BE73</f>
        <v/>
      </c>
      <c r="BG73" s="10">
        <f>MIN('02_Данные'!Z73,BF73)</f>
        <v/>
      </c>
      <c r="BH73" s="10">
        <f>BF73-BG73</f>
        <v/>
      </c>
      <c r="BI73" s="10">
        <f>BH73+'02_Данные'!I73</f>
        <v/>
      </c>
      <c r="BJ73" s="10">
        <f>MIN('02_Данные'!AB73,BI73)</f>
        <v/>
      </c>
      <c r="BK73" s="10">
        <f>BI73-BJ73</f>
        <v/>
      </c>
      <c r="BL73" s="10">
        <f>MIN('02_Данные'!AC73,BK73)</f>
        <v/>
      </c>
      <c r="BM73" s="10">
        <f>BK73-BL73</f>
        <v/>
      </c>
      <c r="BN73" s="10">
        <f>MIN('02_Данные'!AD73,BM73)</f>
        <v/>
      </c>
      <c r="BO73" s="10">
        <f>BM73-BN73</f>
        <v/>
      </c>
      <c r="BP73" s="10">
        <f>MIN('02_Данные'!AI73,BO73)</f>
        <v/>
      </c>
      <c r="BQ73" s="10">
        <f>BO73-BP73</f>
        <v/>
      </c>
      <c r="BR73" s="10">
        <f>MIN('02_Данные'!AF73,BQ73)</f>
        <v/>
      </c>
      <c r="BS73" s="10">
        <f>BQ73-BR73</f>
        <v/>
      </c>
      <c r="BT73" s="10">
        <f>MIN('02_Данные'!AE73,BS73)</f>
        <v/>
      </c>
      <c r="BU73" s="10">
        <f>BS73-BT73</f>
        <v/>
      </c>
      <c r="BV73" s="10">
        <f>MIN('02_Данные'!AG73,BU73)</f>
        <v/>
      </c>
      <c r="BW73" s="10">
        <f>BU73-BV73</f>
        <v/>
      </c>
      <c r="BX73" s="10">
        <f>MIN('02_Данные'!AH73,BW73)</f>
        <v/>
      </c>
      <c r="BY73" s="10">
        <f>BW73-BX73</f>
        <v/>
      </c>
      <c r="BZ73" s="10">
        <f>BY73+'02_Данные'!J73</f>
        <v/>
      </c>
      <c r="CA73" s="10">
        <f>MIN('02_Данные'!AJ73,BZ73)</f>
        <v/>
      </c>
      <c r="CB73" s="10">
        <f>BZ73-CA73</f>
        <v/>
      </c>
      <c r="CC73" s="10">
        <f>MIN('02_Данные'!AK73,CB73)</f>
        <v/>
      </c>
      <c r="CD73" s="10">
        <f>CB73-CC73</f>
        <v/>
      </c>
      <c r="CE73" s="10">
        <f>MIN('02_Данные'!AL73,CD73)</f>
        <v/>
      </c>
      <c r="CF73" s="10">
        <f>CD73-CE73</f>
        <v/>
      </c>
      <c r="CG73" s="10">
        <f>MIN('02_Данные'!AQ73,CF73)</f>
        <v/>
      </c>
      <c r="CH73" s="10">
        <f>CF73-CG73</f>
        <v/>
      </c>
      <c r="CI73" s="10">
        <f>MIN('02_Данные'!AN73,CH73)</f>
        <v/>
      </c>
      <c r="CJ73" s="10">
        <f>CH73-CI73</f>
        <v/>
      </c>
      <c r="CK73" s="10">
        <f>MIN('02_Данные'!AM73,CJ73)</f>
        <v/>
      </c>
      <c r="CL73" s="10">
        <f>CJ73-CK73</f>
        <v/>
      </c>
      <c r="CM73" s="10">
        <f>MIN('02_Данные'!AO73,CL73)</f>
        <v/>
      </c>
      <c r="CN73" s="10">
        <f>CL73-CM73</f>
        <v/>
      </c>
      <c r="CO73" s="10">
        <f>MIN('02_Данные'!AP73,CN73)</f>
        <v/>
      </c>
      <c r="CP73" s="10">
        <f>CN73-CO73</f>
        <v/>
      </c>
      <c r="CQ73" s="10">
        <f>CP73+'02_Данные'!K73</f>
        <v/>
      </c>
      <c r="CR73" s="10">
        <f>MIN('02_Данные'!AR73,CQ73)</f>
        <v/>
      </c>
      <c r="CS73" s="10">
        <f>CQ73-CR73</f>
        <v/>
      </c>
      <c r="CT73" s="10">
        <f>MIN('02_Данные'!AS73,CS73)</f>
        <v/>
      </c>
      <c r="CU73" s="10">
        <f>CS73-CT73</f>
        <v/>
      </c>
      <c r="CV73" s="10">
        <f>MIN('02_Данные'!AT73,CU73)</f>
        <v/>
      </c>
      <c r="CW73" s="10">
        <f>CU73-CV73</f>
        <v/>
      </c>
      <c r="CX73" s="10">
        <f>MIN('02_Данные'!AY73,CW73)</f>
        <v/>
      </c>
      <c r="CY73" s="10">
        <f>CW73-CX73</f>
        <v/>
      </c>
      <c r="CZ73" s="10">
        <f>MIN('02_Данные'!AV73,CY73)</f>
        <v/>
      </c>
      <c r="DA73" s="10">
        <f>CY73-CZ73</f>
        <v/>
      </c>
      <c r="DB73" s="10">
        <f>MIN('02_Данные'!AU73,DA73)</f>
        <v/>
      </c>
      <c r="DC73" s="10">
        <f>DA73-DB73</f>
        <v/>
      </c>
      <c r="DD73" s="10">
        <f>MIN('02_Данные'!AW73,DC73)</f>
        <v/>
      </c>
      <c r="DE73" s="10">
        <f>DC73-DD73</f>
        <v/>
      </c>
      <c r="DF73" s="10">
        <f>MIN('02_Данные'!AX73,DE73)</f>
        <v/>
      </c>
      <c r="DG73" s="10">
        <f>DE73-DF73</f>
        <v/>
      </c>
    </row>
    <row r="74">
      <c r="A74" s="9">
        <f>'02_Данные'!B74</f>
        <v/>
      </c>
      <c r="B74" s="9">
        <f>'02_Данные'!E74</f>
        <v/>
      </c>
      <c r="C74" s="10">
        <f>'02_Данные'!F74+'02_Данные'!G74+'02_Данные'!H74+'02_Данные'!I74+'02_Данные'!J74+'02_Данные'!K74</f>
        <v/>
      </c>
      <c r="D74" s="10">
        <f>SUM('02_Данные'!L74:'02_Данные'!AY74)</f>
        <v/>
      </c>
      <c r="E74" s="10">
        <f>MAX(0,D74-C74)</f>
        <v/>
      </c>
      <c r="F74" s="15">
        <f>IF(E74&gt;0.0001,"ДЕФИЦИТ",IF(Y74&gt;0.0001,"ПРОФИЦИТ","БАЛАНС"))</f>
        <v/>
      </c>
      <c r="G74" s="10">
        <f>AB74+AS74+BJ74+CA74+CR74</f>
        <v/>
      </c>
      <c r="H74" s="10">
        <f>AD74+AU74+BL74+CC74+CT74</f>
        <v/>
      </c>
      <c r="I74" s="10">
        <f>AF74+AW74+BN74+CE74+CV74</f>
        <v/>
      </c>
      <c r="J74" s="10">
        <f>AL74+BC74+BT74+CK74+DB74</f>
        <v/>
      </c>
      <c r="K74" s="10">
        <f>AJ74+BA74+BR74+CI74+CZ74</f>
        <v/>
      </c>
      <c r="L74" s="10">
        <f>AN74+BE74+BV74+CM74+DD74</f>
        <v/>
      </c>
      <c r="M74" s="10">
        <f>AP74+BG74+BX74+CO74+DF74</f>
        <v/>
      </c>
      <c r="N74" s="10">
        <f>AH74+AY74+BP74+CG74+CX74</f>
        <v/>
      </c>
      <c r="O74" s="10">
        <f>SUM(G74:N74)</f>
        <v/>
      </c>
      <c r="P74" s="10">
        <f>IFERROR(G74*MIN(1,'01_Нормативы'!$C$4/SUM(G$2:G$429)),0)</f>
        <v/>
      </c>
      <c r="Q74" s="10">
        <f>IFERROR(H74*MIN(1,'01_Нормативы'!$C$5/SUM(H$2:H$429)),0)</f>
        <v/>
      </c>
      <c r="R74" s="10">
        <f>IFERROR(I74*MIN(1,'01_Нормативы'!$C$6/SUM(I$2:I$429)),0)</f>
        <v/>
      </c>
      <c r="S74" s="10">
        <f>IFERROR(J74*MIN(1,'01_Нормативы'!$C$7/SUM(J$2:J$429)),0)</f>
        <v/>
      </c>
      <c r="T74" s="10">
        <f>IFERROR(K74*MIN(1,'01_Нормативы'!$C$8/SUM(K$2:K$429)),0)</f>
        <v/>
      </c>
      <c r="U74" s="10">
        <f>IFERROR(L74*MIN(1,'01_Нормативы'!$C$9/SUM(L$2:L$429)),0)</f>
        <v/>
      </c>
      <c r="V74" s="10">
        <f>IFERROR(M74*MIN(1,'01_Нормативы'!$C$10/SUM(M$2:M$429)),0)</f>
        <v/>
      </c>
      <c r="W74" s="10">
        <f>IFERROR(N74*MIN(1,'01_Нормативы'!$C$11/SUM(N$2:N$429)),0)</f>
        <v/>
      </c>
      <c r="X74" s="10">
        <f>SUM(P74:W74)</f>
        <v/>
      </c>
      <c r="Y74" s="10">
        <f>MAX(0,C74-X74)</f>
        <v/>
      </c>
      <c r="Z74" s="10">
        <f>IF(D74=0,100,X74/D74*100)</f>
        <v/>
      </c>
      <c r="AA74" s="10">
        <f>'02_Данные'!F74+'02_Данные'!G74</f>
        <v/>
      </c>
      <c r="AB74" s="10">
        <f>MIN('02_Данные'!L74,AA74)</f>
        <v/>
      </c>
      <c r="AC74" s="10">
        <f>AA74-AB74</f>
        <v/>
      </c>
      <c r="AD74" s="10">
        <f>MIN('02_Данные'!M74,AC74)</f>
        <v/>
      </c>
      <c r="AE74" s="10">
        <f>AC74-AD74</f>
        <v/>
      </c>
      <c r="AF74" s="10">
        <f>MIN('02_Данные'!N74,AE74)</f>
        <v/>
      </c>
      <c r="AG74" s="10">
        <f>AE74-AF74</f>
        <v/>
      </c>
      <c r="AH74" s="10">
        <f>MIN('02_Данные'!S74,AG74)</f>
        <v/>
      </c>
      <c r="AI74" s="10">
        <f>AG74-AH74</f>
        <v/>
      </c>
      <c r="AJ74" s="10">
        <f>MIN('02_Данные'!P74,AI74)</f>
        <v/>
      </c>
      <c r="AK74" s="10">
        <f>AI74-AJ74</f>
        <v/>
      </c>
      <c r="AL74" s="10">
        <f>MIN('02_Данные'!O74,AK74)</f>
        <v/>
      </c>
      <c r="AM74" s="10">
        <f>AK74-AL74</f>
        <v/>
      </c>
      <c r="AN74" s="10">
        <f>MIN('02_Данные'!Q74,AM74)</f>
        <v/>
      </c>
      <c r="AO74" s="10">
        <f>AM74-AN74</f>
        <v/>
      </c>
      <c r="AP74" s="10">
        <f>MIN('02_Данные'!R74,AO74)</f>
        <v/>
      </c>
      <c r="AQ74" s="10">
        <f>AO74-AP74</f>
        <v/>
      </c>
      <c r="AR74" s="10">
        <f>AQ74+'02_Данные'!H74</f>
        <v/>
      </c>
      <c r="AS74" s="10">
        <f>MIN('02_Данные'!T74,AR74)</f>
        <v/>
      </c>
      <c r="AT74" s="10">
        <f>AR74-AS74</f>
        <v/>
      </c>
      <c r="AU74" s="10">
        <f>MIN('02_Данные'!U74,AT74)</f>
        <v/>
      </c>
      <c r="AV74" s="10">
        <f>AT74-AU74</f>
        <v/>
      </c>
      <c r="AW74" s="10">
        <f>MIN('02_Данные'!V74,AV74)</f>
        <v/>
      </c>
      <c r="AX74" s="10">
        <f>AV74-AW74</f>
        <v/>
      </c>
      <c r="AY74" s="10">
        <f>MIN('02_Данные'!AA74,AX74)</f>
        <v/>
      </c>
      <c r="AZ74" s="10">
        <f>AX74-AY74</f>
        <v/>
      </c>
      <c r="BA74" s="10">
        <f>MIN('02_Данные'!X74,AZ74)</f>
        <v/>
      </c>
      <c r="BB74" s="10">
        <f>AZ74-BA74</f>
        <v/>
      </c>
      <c r="BC74" s="10">
        <f>MIN('02_Данные'!W74,BB74)</f>
        <v/>
      </c>
      <c r="BD74" s="10">
        <f>BB74-BC74</f>
        <v/>
      </c>
      <c r="BE74" s="10">
        <f>MIN('02_Данные'!Y74,BD74)</f>
        <v/>
      </c>
      <c r="BF74" s="10">
        <f>BD74-BE74</f>
        <v/>
      </c>
      <c r="BG74" s="10">
        <f>MIN('02_Данные'!Z74,BF74)</f>
        <v/>
      </c>
      <c r="BH74" s="10">
        <f>BF74-BG74</f>
        <v/>
      </c>
      <c r="BI74" s="10">
        <f>BH74+'02_Данные'!I74</f>
        <v/>
      </c>
      <c r="BJ74" s="10">
        <f>MIN('02_Данные'!AB74,BI74)</f>
        <v/>
      </c>
      <c r="BK74" s="10">
        <f>BI74-BJ74</f>
        <v/>
      </c>
      <c r="BL74" s="10">
        <f>MIN('02_Данные'!AC74,BK74)</f>
        <v/>
      </c>
      <c r="BM74" s="10">
        <f>BK74-BL74</f>
        <v/>
      </c>
      <c r="BN74" s="10">
        <f>MIN('02_Данные'!AD74,BM74)</f>
        <v/>
      </c>
      <c r="BO74" s="10">
        <f>BM74-BN74</f>
        <v/>
      </c>
      <c r="BP74" s="10">
        <f>MIN('02_Данные'!AI74,BO74)</f>
        <v/>
      </c>
      <c r="BQ74" s="10">
        <f>BO74-BP74</f>
        <v/>
      </c>
      <c r="BR74" s="10">
        <f>MIN('02_Данные'!AF74,BQ74)</f>
        <v/>
      </c>
      <c r="BS74" s="10">
        <f>BQ74-BR74</f>
        <v/>
      </c>
      <c r="BT74" s="10">
        <f>MIN('02_Данные'!AE74,BS74)</f>
        <v/>
      </c>
      <c r="BU74" s="10">
        <f>BS74-BT74</f>
        <v/>
      </c>
      <c r="BV74" s="10">
        <f>MIN('02_Данные'!AG74,BU74)</f>
        <v/>
      </c>
      <c r="BW74" s="10">
        <f>BU74-BV74</f>
        <v/>
      </c>
      <c r="BX74" s="10">
        <f>MIN('02_Данные'!AH74,BW74)</f>
        <v/>
      </c>
      <c r="BY74" s="10">
        <f>BW74-BX74</f>
        <v/>
      </c>
      <c r="BZ74" s="10">
        <f>BY74+'02_Данные'!J74</f>
        <v/>
      </c>
      <c r="CA74" s="10">
        <f>MIN('02_Данные'!AJ74,BZ74)</f>
        <v/>
      </c>
      <c r="CB74" s="10">
        <f>BZ74-CA74</f>
        <v/>
      </c>
      <c r="CC74" s="10">
        <f>MIN('02_Данные'!AK74,CB74)</f>
        <v/>
      </c>
      <c r="CD74" s="10">
        <f>CB74-CC74</f>
        <v/>
      </c>
      <c r="CE74" s="10">
        <f>MIN('02_Данные'!AL74,CD74)</f>
        <v/>
      </c>
      <c r="CF74" s="10">
        <f>CD74-CE74</f>
        <v/>
      </c>
      <c r="CG74" s="10">
        <f>MIN('02_Данные'!AQ74,CF74)</f>
        <v/>
      </c>
      <c r="CH74" s="10">
        <f>CF74-CG74</f>
        <v/>
      </c>
      <c r="CI74" s="10">
        <f>MIN('02_Данные'!AN74,CH74)</f>
        <v/>
      </c>
      <c r="CJ74" s="10">
        <f>CH74-CI74</f>
        <v/>
      </c>
      <c r="CK74" s="10">
        <f>MIN('02_Данные'!AM74,CJ74)</f>
        <v/>
      </c>
      <c r="CL74" s="10">
        <f>CJ74-CK74</f>
        <v/>
      </c>
      <c r="CM74" s="10">
        <f>MIN('02_Данные'!AO74,CL74)</f>
        <v/>
      </c>
      <c r="CN74" s="10">
        <f>CL74-CM74</f>
        <v/>
      </c>
      <c r="CO74" s="10">
        <f>MIN('02_Данные'!AP74,CN74)</f>
        <v/>
      </c>
      <c r="CP74" s="10">
        <f>CN74-CO74</f>
        <v/>
      </c>
      <c r="CQ74" s="10">
        <f>CP74+'02_Данные'!K74</f>
        <v/>
      </c>
      <c r="CR74" s="10">
        <f>MIN('02_Данные'!AR74,CQ74)</f>
        <v/>
      </c>
      <c r="CS74" s="10">
        <f>CQ74-CR74</f>
        <v/>
      </c>
      <c r="CT74" s="10">
        <f>MIN('02_Данные'!AS74,CS74)</f>
        <v/>
      </c>
      <c r="CU74" s="10">
        <f>CS74-CT74</f>
        <v/>
      </c>
      <c r="CV74" s="10">
        <f>MIN('02_Данные'!AT74,CU74)</f>
        <v/>
      </c>
      <c r="CW74" s="10">
        <f>CU74-CV74</f>
        <v/>
      </c>
      <c r="CX74" s="10">
        <f>MIN('02_Данные'!AY74,CW74)</f>
        <v/>
      </c>
      <c r="CY74" s="10">
        <f>CW74-CX74</f>
        <v/>
      </c>
      <c r="CZ74" s="10">
        <f>MIN('02_Данные'!AV74,CY74)</f>
        <v/>
      </c>
      <c r="DA74" s="10">
        <f>CY74-CZ74</f>
        <v/>
      </c>
      <c r="DB74" s="10">
        <f>MIN('02_Данные'!AU74,DA74)</f>
        <v/>
      </c>
      <c r="DC74" s="10">
        <f>DA74-DB74</f>
        <v/>
      </c>
      <c r="DD74" s="10">
        <f>MIN('02_Данные'!AW74,DC74)</f>
        <v/>
      </c>
      <c r="DE74" s="10">
        <f>DC74-DD74</f>
        <v/>
      </c>
      <c r="DF74" s="10">
        <f>MIN('02_Данные'!AX74,DE74)</f>
        <v/>
      </c>
      <c r="DG74" s="10">
        <f>DE74-DF74</f>
        <v/>
      </c>
    </row>
    <row r="75">
      <c r="A75" s="9">
        <f>'02_Данные'!B75</f>
        <v/>
      </c>
      <c r="B75" s="9">
        <f>'02_Данные'!E75</f>
        <v/>
      </c>
      <c r="C75" s="10">
        <f>'02_Данные'!F75+'02_Данные'!G75+'02_Данные'!H75+'02_Данные'!I75+'02_Данные'!J75+'02_Данные'!K75</f>
        <v/>
      </c>
      <c r="D75" s="10">
        <f>SUM('02_Данные'!L75:'02_Данные'!AY75)</f>
        <v/>
      </c>
      <c r="E75" s="10">
        <f>MAX(0,D75-C75)</f>
        <v/>
      </c>
      <c r="F75" s="15">
        <f>IF(E75&gt;0.0001,"ДЕФИЦИТ",IF(Y75&gt;0.0001,"ПРОФИЦИТ","БАЛАНС"))</f>
        <v/>
      </c>
      <c r="G75" s="10">
        <f>AB75+AS75+BJ75+CA75+CR75</f>
        <v/>
      </c>
      <c r="H75" s="10">
        <f>AD75+AU75+BL75+CC75+CT75</f>
        <v/>
      </c>
      <c r="I75" s="10">
        <f>AF75+AW75+BN75+CE75+CV75</f>
        <v/>
      </c>
      <c r="J75" s="10">
        <f>AL75+BC75+BT75+CK75+DB75</f>
        <v/>
      </c>
      <c r="K75" s="10">
        <f>AJ75+BA75+BR75+CI75+CZ75</f>
        <v/>
      </c>
      <c r="L75" s="10">
        <f>AN75+BE75+BV75+CM75+DD75</f>
        <v/>
      </c>
      <c r="M75" s="10">
        <f>AP75+BG75+BX75+CO75+DF75</f>
        <v/>
      </c>
      <c r="N75" s="10">
        <f>AH75+AY75+BP75+CG75+CX75</f>
        <v/>
      </c>
      <c r="O75" s="10">
        <f>SUM(G75:N75)</f>
        <v/>
      </c>
      <c r="P75" s="10">
        <f>IFERROR(G75*MIN(1,'01_Нормативы'!$C$4/SUM(G$2:G$429)),0)</f>
        <v/>
      </c>
      <c r="Q75" s="10">
        <f>IFERROR(H75*MIN(1,'01_Нормативы'!$C$5/SUM(H$2:H$429)),0)</f>
        <v/>
      </c>
      <c r="R75" s="10">
        <f>IFERROR(I75*MIN(1,'01_Нормативы'!$C$6/SUM(I$2:I$429)),0)</f>
        <v/>
      </c>
      <c r="S75" s="10">
        <f>IFERROR(J75*MIN(1,'01_Нормативы'!$C$7/SUM(J$2:J$429)),0)</f>
        <v/>
      </c>
      <c r="T75" s="10">
        <f>IFERROR(K75*MIN(1,'01_Нормативы'!$C$8/SUM(K$2:K$429)),0)</f>
        <v/>
      </c>
      <c r="U75" s="10">
        <f>IFERROR(L75*MIN(1,'01_Нормативы'!$C$9/SUM(L$2:L$429)),0)</f>
        <v/>
      </c>
      <c r="V75" s="10">
        <f>IFERROR(M75*MIN(1,'01_Нормативы'!$C$10/SUM(M$2:M$429)),0)</f>
        <v/>
      </c>
      <c r="W75" s="10">
        <f>IFERROR(N75*MIN(1,'01_Нормативы'!$C$11/SUM(N$2:N$429)),0)</f>
        <v/>
      </c>
      <c r="X75" s="10">
        <f>SUM(P75:W75)</f>
        <v/>
      </c>
      <c r="Y75" s="10">
        <f>MAX(0,C75-X75)</f>
        <v/>
      </c>
      <c r="Z75" s="10">
        <f>IF(D75=0,100,X75/D75*100)</f>
        <v/>
      </c>
      <c r="AA75" s="10">
        <f>'02_Данные'!F75+'02_Данные'!G75</f>
        <v/>
      </c>
      <c r="AB75" s="10">
        <f>MIN('02_Данные'!L75,AA75)</f>
        <v/>
      </c>
      <c r="AC75" s="10">
        <f>AA75-AB75</f>
        <v/>
      </c>
      <c r="AD75" s="10">
        <f>MIN('02_Данные'!M75,AC75)</f>
        <v/>
      </c>
      <c r="AE75" s="10">
        <f>AC75-AD75</f>
        <v/>
      </c>
      <c r="AF75" s="10">
        <f>MIN('02_Данные'!N75,AE75)</f>
        <v/>
      </c>
      <c r="AG75" s="10">
        <f>AE75-AF75</f>
        <v/>
      </c>
      <c r="AH75" s="10">
        <f>MIN('02_Данные'!S75,AG75)</f>
        <v/>
      </c>
      <c r="AI75" s="10">
        <f>AG75-AH75</f>
        <v/>
      </c>
      <c r="AJ75" s="10">
        <f>MIN('02_Данные'!P75,AI75)</f>
        <v/>
      </c>
      <c r="AK75" s="10">
        <f>AI75-AJ75</f>
        <v/>
      </c>
      <c r="AL75" s="10">
        <f>MIN('02_Данные'!O75,AK75)</f>
        <v/>
      </c>
      <c r="AM75" s="10">
        <f>AK75-AL75</f>
        <v/>
      </c>
      <c r="AN75" s="10">
        <f>MIN('02_Данные'!Q75,AM75)</f>
        <v/>
      </c>
      <c r="AO75" s="10">
        <f>AM75-AN75</f>
        <v/>
      </c>
      <c r="AP75" s="10">
        <f>MIN('02_Данные'!R75,AO75)</f>
        <v/>
      </c>
      <c r="AQ75" s="10">
        <f>AO75-AP75</f>
        <v/>
      </c>
      <c r="AR75" s="10">
        <f>AQ75+'02_Данные'!H75</f>
        <v/>
      </c>
      <c r="AS75" s="10">
        <f>MIN('02_Данные'!T75,AR75)</f>
        <v/>
      </c>
      <c r="AT75" s="10">
        <f>AR75-AS75</f>
        <v/>
      </c>
      <c r="AU75" s="10">
        <f>MIN('02_Данные'!U75,AT75)</f>
        <v/>
      </c>
      <c r="AV75" s="10">
        <f>AT75-AU75</f>
        <v/>
      </c>
      <c r="AW75" s="10">
        <f>MIN('02_Данные'!V75,AV75)</f>
        <v/>
      </c>
      <c r="AX75" s="10">
        <f>AV75-AW75</f>
        <v/>
      </c>
      <c r="AY75" s="10">
        <f>MIN('02_Данные'!AA75,AX75)</f>
        <v/>
      </c>
      <c r="AZ75" s="10">
        <f>AX75-AY75</f>
        <v/>
      </c>
      <c r="BA75" s="10">
        <f>MIN('02_Данные'!X75,AZ75)</f>
        <v/>
      </c>
      <c r="BB75" s="10">
        <f>AZ75-BA75</f>
        <v/>
      </c>
      <c r="BC75" s="10">
        <f>MIN('02_Данные'!W75,BB75)</f>
        <v/>
      </c>
      <c r="BD75" s="10">
        <f>BB75-BC75</f>
        <v/>
      </c>
      <c r="BE75" s="10">
        <f>MIN('02_Данные'!Y75,BD75)</f>
        <v/>
      </c>
      <c r="BF75" s="10">
        <f>BD75-BE75</f>
        <v/>
      </c>
      <c r="BG75" s="10">
        <f>MIN('02_Данные'!Z75,BF75)</f>
        <v/>
      </c>
      <c r="BH75" s="10">
        <f>BF75-BG75</f>
        <v/>
      </c>
      <c r="BI75" s="10">
        <f>BH75+'02_Данные'!I75</f>
        <v/>
      </c>
      <c r="BJ75" s="10">
        <f>MIN('02_Данные'!AB75,BI75)</f>
        <v/>
      </c>
      <c r="BK75" s="10">
        <f>BI75-BJ75</f>
        <v/>
      </c>
      <c r="BL75" s="10">
        <f>MIN('02_Данные'!AC75,BK75)</f>
        <v/>
      </c>
      <c r="BM75" s="10">
        <f>BK75-BL75</f>
        <v/>
      </c>
      <c r="BN75" s="10">
        <f>MIN('02_Данные'!AD75,BM75)</f>
        <v/>
      </c>
      <c r="BO75" s="10">
        <f>BM75-BN75</f>
        <v/>
      </c>
      <c r="BP75" s="10">
        <f>MIN('02_Данные'!AI75,BO75)</f>
        <v/>
      </c>
      <c r="BQ75" s="10">
        <f>BO75-BP75</f>
        <v/>
      </c>
      <c r="BR75" s="10">
        <f>MIN('02_Данные'!AF75,BQ75)</f>
        <v/>
      </c>
      <c r="BS75" s="10">
        <f>BQ75-BR75</f>
        <v/>
      </c>
      <c r="BT75" s="10">
        <f>MIN('02_Данные'!AE75,BS75)</f>
        <v/>
      </c>
      <c r="BU75" s="10">
        <f>BS75-BT75</f>
        <v/>
      </c>
      <c r="BV75" s="10">
        <f>MIN('02_Данные'!AG75,BU75)</f>
        <v/>
      </c>
      <c r="BW75" s="10">
        <f>BU75-BV75</f>
        <v/>
      </c>
      <c r="BX75" s="10">
        <f>MIN('02_Данные'!AH75,BW75)</f>
        <v/>
      </c>
      <c r="BY75" s="10">
        <f>BW75-BX75</f>
        <v/>
      </c>
      <c r="BZ75" s="10">
        <f>BY75+'02_Данные'!J75</f>
        <v/>
      </c>
      <c r="CA75" s="10">
        <f>MIN('02_Данные'!AJ75,BZ75)</f>
        <v/>
      </c>
      <c r="CB75" s="10">
        <f>BZ75-CA75</f>
        <v/>
      </c>
      <c r="CC75" s="10">
        <f>MIN('02_Данные'!AK75,CB75)</f>
        <v/>
      </c>
      <c r="CD75" s="10">
        <f>CB75-CC75</f>
        <v/>
      </c>
      <c r="CE75" s="10">
        <f>MIN('02_Данные'!AL75,CD75)</f>
        <v/>
      </c>
      <c r="CF75" s="10">
        <f>CD75-CE75</f>
        <v/>
      </c>
      <c r="CG75" s="10">
        <f>MIN('02_Данные'!AQ75,CF75)</f>
        <v/>
      </c>
      <c r="CH75" s="10">
        <f>CF75-CG75</f>
        <v/>
      </c>
      <c r="CI75" s="10">
        <f>MIN('02_Данные'!AN75,CH75)</f>
        <v/>
      </c>
      <c r="CJ75" s="10">
        <f>CH75-CI75</f>
        <v/>
      </c>
      <c r="CK75" s="10">
        <f>MIN('02_Данные'!AM75,CJ75)</f>
        <v/>
      </c>
      <c r="CL75" s="10">
        <f>CJ75-CK75</f>
        <v/>
      </c>
      <c r="CM75" s="10">
        <f>MIN('02_Данные'!AO75,CL75)</f>
        <v/>
      </c>
      <c r="CN75" s="10">
        <f>CL75-CM75</f>
        <v/>
      </c>
      <c r="CO75" s="10">
        <f>MIN('02_Данные'!AP75,CN75)</f>
        <v/>
      </c>
      <c r="CP75" s="10">
        <f>CN75-CO75</f>
        <v/>
      </c>
      <c r="CQ75" s="10">
        <f>CP75+'02_Данные'!K75</f>
        <v/>
      </c>
      <c r="CR75" s="10">
        <f>MIN('02_Данные'!AR75,CQ75)</f>
        <v/>
      </c>
      <c r="CS75" s="10">
        <f>CQ75-CR75</f>
        <v/>
      </c>
      <c r="CT75" s="10">
        <f>MIN('02_Данные'!AS75,CS75)</f>
        <v/>
      </c>
      <c r="CU75" s="10">
        <f>CS75-CT75</f>
        <v/>
      </c>
      <c r="CV75" s="10">
        <f>MIN('02_Данные'!AT75,CU75)</f>
        <v/>
      </c>
      <c r="CW75" s="10">
        <f>CU75-CV75</f>
        <v/>
      </c>
      <c r="CX75" s="10">
        <f>MIN('02_Данные'!AY75,CW75)</f>
        <v/>
      </c>
      <c r="CY75" s="10">
        <f>CW75-CX75</f>
        <v/>
      </c>
      <c r="CZ75" s="10">
        <f>MIN('02_Данные'!AV75,CY75)</f>
        <v/>
      </c>
      <c r="DA75" s="10">
        <f>CY75-CZ75</f>
        <v/>
      </c>
      <c r="DB75" s="10">
        <f>MIN('02_Данные'!AU75,DA75)</f>
        <v/>
      </c>
      <c r="DC75" s="10">
        <f>DA75-DB75</f>
        <v/>
      </c>
      <c r="DD75" s="10">
        <f>MIN('02_Данные'!AW75,DC75)</f>
        <v/>
      </c>
      <c r="DE75" s="10">
        <f>DC75-DD75</f>
        <v/>
      </c>
      <c r="DF75" s="10">
        <f>MIN('02_Данные'!AX75,DE75)</f>
        <v/>
      </c>
      <c r="DG75" s="10">
        <f>DE75-DF75</f>
        <v/>
      </c>
    </row>
    <row r="76">
      <c r="A76" s="9">
        <f>'02_Данные'!B76</f>
        <v/>
      </c>
      <c r="B76" s="9">
        <f>'02_Данные'!E76</f>
        <v/>
      </c>
      <c r="C76" s="10">
        <f>'02_Данные'!F76+'02_Данные'!G76+'02_Данные'!H76+'02_Данные'!I76+'02_Данные'!J76+'02_Данные'!K76</f>
        <v/>
      </c>
      <c r="D76" s="10">
        <f>SUM('02_Данные'!L76:'02_Данные'!AY76)</f>
        <v/>
      </c>
      <c r="E76" s="10">
        <f>MAX(0,D76-C76)</f>
        <v/>
      </c>
      <c r="F76" s="15">
        <f>IF(E76&gt;0.0001,"ДЕФИЦИТ",IF(Y76&gt;0.0001,"ПРОФИЦИТ","БАЛАНС"))</f>
        <v/>
      </c>
      <c r="G76" s="10">
        <f>AB76+AS76+BJ76+CA76+CR76</f>
        <v/>
      </c>
      <c r="H76" s="10">
        <f>AD76+AU76+BL76+CC76+CT76</f>
        <v/>
      </c>
      <c r="I76" s="10">
        <f>AF76+AW76+BN76+CE76+CV76</f>
        <v/>
      </c>
      <c r="J76" s="10">
        <f>AL76+BC76+BT76+CK76+DB76</f>
        <v/>
      </c>
      <c r="K76" s="10">
        <f>AJ76+BA76+BR76+CI76+CZ76</f>
        <v/>
      </c>
      <c r="L76" s="10">
        <f>AN76+BE76+BV76+CM76+DD76</f>
        <v/>
      </c>
      <c r="M76" s="10">
        <f>AP76+BG76+BX76+CO76+DF76</f>
        <v/>
      </c>
      <c r="N76" s="10">
        <f>AH76+AY76+BP76+CG76+CX76</f>
        <v/>
      </c>
      <c r="O76" s="10">
        <f>SUM(G76:N76)</f>
        <v/>
      </c>
      <c r="P76" s="10">
        <f>IFERROR(G76*MIN(1,'01_Нормативы'!$C$4/SUM(G$2:G$429)),0)</f>
        <v/>
      </c>
      <c r="Q76" s="10">
        <f>IFERROR(H76*MIN(1,'01_Нормативы'!$C$5/SUM(H$2:H$429)),0)</f>
        <v/>
      </c>
      <c r="R76" s="10">
        <f>IFERROR(I76*MIN(1,'01_Нормативы'!$C$6/SUM(I$2:I$429)),0)</f>
        <v/>
      </c>
      <c r="S76" s="10">
        <f>IFERROR(J76*MIN(1,'01_Нормативы'!$C$7/SUM(J$2:J$429)),0)</f>
        <v/>
      </c>
      <c r="T76" s="10">
        <f>IFERROR(K76*MIN(1,'01_Нормативы'!$C$8/SUM(K$2:K$429)),0)</f>
        <v/>
      </c>
      <c r="U76" s="10">
        <f>IFERROR(L76*MIN(1,'01_Нормативы'!$C$9/SUM(L$2:L$429)),0)</f>
        <v/>
      </c>
      <c r="V76" s="10">
        <f>IFERROR(M76*MIN(1,'01_Нормативы'!$C$10/SUM(M$2:M$429)),0)</f>
        <v/>
      </c>
      <c r="W76" s="10">
        <f>IFERROR(N76*MIN(1,'01_Нормативы'!$C$11/SUM(N$2:N$429)),0)</f>
        <v/>
      </c>
      <c r="X76" s="10">
        <f>SUM(P76:W76)</f>
        <v/>
      </c>
      <c r="Y76" s="10">
        <f>MAX(0,C76-X76)</f>
        <v/>
      </c>
      <c r="Z76" s="10">
        <f>IF(D76=0,100,X76/D76*100)</f>
        <v/>
      </c>
      <c r="AA76" s="10">
        <f>'02_Данные'!F76+'02_Данные'!G76</f>
        <v/>
      </c>
      <c r="AB76" s="10">
        <f>MIN('02_Данные'!L76,AA76)</f>
        <v/>
      </c>
      <c r="AC76" s="10">
        <f>AA76-AB76</f>
        <v/>
      </c>
      <c r="AD76" s="10">
        <f>MIN('02_Данные'!M76,AC76)</f>
        <v/>
      </c>
      <c r="AE76" s="10">
        <f>AC76-AD76</f>
        <v/>
      </c>
      <c r="AF76" s="10">
        <f>MIN('02_Данные'!N76,AE76)</f>
        <v/>
      </c>
      <c r="AG76" s="10">
        <f>AE76-AF76</f>
        <v/>
      </c>
      <c r="AH76" s="10">
        <f>MIN('02_Данные'!S76,AG76)</f>
        <v/>
      </c>
      <c r="AI76" s="10">
        <f>AG76-AH76</f>
        <v/>
      </c>
      <c r="AJ76" s="10">
        <f>MIN('02_Данные'!P76,AI76)</f>
        <v/>
      </c>
      <c r="AK76" s="10">
        <f>AI76-AJ76</f>
        <v/>
      </c>
      <c r="AL76" s="10">
        <f>MIN('02_Данные'!O76,AK76)</f>
        <v/>
      </c>
      <c r="AM76" s="10">
        <f>AK76-AL76</f>
        <v/>
      </c>
      <c r="AN76" s="10">
        <f>MIN('02_Данные'!Q76,AM76)</f>
        <v/>
      </c>
      <c r="AO76" s="10">
        <f>AM76-AN76</f>
        <v/>
      </c>
      <c r="AP76" s="10">
        <f>MIN('02_Данные'!R76,AO76)</f>
        <v/>
      </c>
      <c r="AQ76" s="10">
        <f>AO76-AP76</f>
        <v/>
      </c>
      <c r="AR76" s="10">
        <f>AQ76+'02_Данные'!H76</f>
        <v/>
      </c>
      <c r="AS76" s="10">
        <f>MIN('02_Данные'!T76,AR76)</f>
        <v/>
      </c>
      <c r="AT76" s="10">
        <f>AR76-AS76</f>
        <v/>
      </c>
      <c r="AU76" s="10">
        <f>MIN('02_Данные'!U76,AT76)</f>
        <v/>
      </c>
      <c r="AV76" s="10">
        <f>AT76-AU76</f>
        <v/>
      </c>
      <c r="AW76" s="10">
        <f>MIN('02_Данные'!V76,AV76)</f>
        <v/>
      </c>
      <c r="AX76" s="10">
        <f>AV76-AW76</f>
        <v/>
      </c>
      <c r="AY76" s="10">
        <f>MIN('02_Данные'!AA76,AX76)</f>
        <v/>
      </c>
      <c r="AZ76" s="10">
        <f>AX76-AY76</f>
        <v/>
      </c>
      <c r="BA76" s="10">
        <f>MIN('02_Данные'!X76,AZ76)</f>
        <v/>
      </c>
      <c r="BB76" s="10">
        <f>AZ76-BA76</f>
        <v/>
      </c>
      <c r="BC76" s="10">
        <f>MIN('02_Данные'!W76,BB76)</f>
        <v/>
      </c>
      <c r="BD76" s="10">
        <f>BB76-BC76</f>
        <v/>
      </c>
      <c r="BE76" s="10">
        <f>MIN('02_Данные'!Y76,BD76)</f>
        <v/>
      </c>
      <c r="BF76" s="10">
        <f>BD76-BE76</f>
        <v/>
      </c>
      <c r="BG76" s="10">
        <f>MIN('02_Данные'!Z76,BF76)</f>
        <v/>
      </c>
      <c r="BH76" s="10">
        <f>BF76-BG76</f>
        <v/>
      </c>
      <c r="BI76" s="10">
        <f>BH76+'02_Данные'!I76</f>
        <v/>
      </c>
      <c r="BJ76" s="10">
        <f>MIN('02_Данные'!AB76,BI76)</f>
        <v/>
      </c>
      <c r="BK76" s="10">
        <f>BI76-BJ76</f>
        <v/>
      </c>
      <c r="BL76" s="10">
        <f>MIN('02_Данные'!AC76,BK76)</f>
        <v/>
      </c>
      <c r="BM76" s="10">
        <f>BK76-BL76</f>
        <v/>
      </c>
      <c r="BN76" s="10">
        <f>MIN('02_Данные'!AD76,BM76)</f>
        <v/>
      </c>
      <c r="BO76" s="10">
        <f>BM76-BN76</f>
        <v/>
      </c>
      <c r="BP76" s="10">
        <f>MIN('02_Данные'!AI76,BO76)</f>
        <v/>
      </c>
      <c r="BQ76" s="10">
        <f>BO76-BP76</f>
        <v/>
      </c>
      <c r="BR76" s="10">
        <f>MIN('02_Данные'!AF76,BQ76)</f>
        <v/>
      </c>
      <c r="BS76" s="10">
        <f>BQ76-BR76</f>
        <v/>
      </c>
      <c r="BT76" s="10">
        <f>MIN('02_Данные'!AE76,BS76)</f>
        <v/>
      </c>
      <c r="BU76" s="10">
        <f>BS76-BT76</f>
        <v/>
      </c>
      <c r="BV76" s="10">
        <f>MIN('02_Данные'!AG76,BU76)</f>
        <v/>
      </c>
      <c r="BW76" s="10">
        <f>BU76-BV76</f>
        <v/>
      </c>
      <c r="BX76" s="10">
        <f>MIN('02_Данные'!AH76,BW76)</f>
        <v/>
      </c>
      <c r="BY76" s="10">
        <f>BW76-BX76</f>
        <v/>
      </c>
      <c r="BZ76" s="10">
        <f>BY76+'02_Данные'!J76</f>
        <v/>
      </c>
      <c r="CA76" s="10">
        <f>MIN('02_Данные'!AJ76,BZ76)</f>
        <v/>
      </c>
      <c r="CB76" s="10">
        <f>BZ76-CA76</f>
        <v/>
      </c>
      <c r="CC76" s="10">
        <f>MIN('02_Данные'!AK76,CB76)</f>
        <v/>
      </c>
      <c r="CD76" s="10">
        <f>CB76-CC76</f>
        <v/>
      </c>
      <c r="CE76" s="10">
        <f>MIN('02_Данные'!AL76,CD76)</f>
        <v/>
      </c>
      <c r="CF76" s="10">
        <f>CD76-CE76</f>
        <v/>
      </c>
      <c r="CG76" s="10">
        <f>MIN('02_Данные'!AQ76,CF76)</f>
        <v/>
      </c>
      <c r="CH76" s="10">
        <f>CF76-CG76</f>
        <v/>
      </c>
      <c r="CI76" s="10">
        <f>MIN('02_Данные'!AN76,CH76)</f>
        <v/>
      </c>
      <c r="CJ76" s="10">
        <f>CH76-CI76</f>
        <v/>
      </c>
      <c r="CK76" s="10">
        <f>MIN('02_Данные'!AM76,CJ76)</f>
        <v/>
      </c>
      <c r="CL76" s="10">
        <f>CJ76-CK76</f>
        <v/>
      </c>
      <c r="CM76" s="10">
        <f>MIN('02_Данные'!AO76,CL76)</f>
        <v/>
      </c>
      <c r="CN76" s="10">
        <f>CL76-CM76</f>
        <v/>
      </c>
      <c r="CO76" s="10">
        <f>MIN('02_Данные'!AP76,CN76)</f>
        <v/>
      </c>
      <c r="CP76" s="10">
        <f>CN76-CO76</f>
        <v/>
      </c>
      <c r="CQ76" s="10">
        <f>CP76+'02_Данные'!K76</f>
        <v/>
      </c>
      <c r="CR76" s="10">
        <f>MIN('02_Данные'!AR76,CQ76)</f>
        <v/>
      </c>
      <c r="CS76" s="10">
        <f>CQ76-CR76</f>
        <v/>
      </c>
      <c r="CT76" s="10">
        <f>MIN('02_Данные'!AS76,CS76)</f>
        <v/>
      </c>
      <c r="CU76" s="10">
        <f>CS76-CT76</f>
        <v/>
      </c>
      <c r="CV76" s="10">
        <f>MIN('02_Данные'!AT76,CU76)</f>
        <v/>
      </c>
      <c r="CW76" s="10">
        <f>CU76-CV76</f>
        <v/>
      </c>
      <c r="CX76" s="10">
        <f>MIN('02_Данные'!AY76,CW76)</f>
        <v/>
      </c>
      <c r="CY76" s="10">
        <f>CW76-CX76</f>
        <v/>
      </c>
      <c r="CZ76" s="10">
        <f>MIN('02_Данные'!AV76,CY76)</f>
        <v/>
      </c>
      <c r="DA76" s="10">
        <f>CY76-CZ76</f>
        <v/>
      </c>
      <c r="DB76" s="10">
        <f>MIN('02_Данные'!AU76,DA76)</f>
        <v/>
      </c>
      <c r="DC76" s="10">
        <f>DA76-DB76</f>
        <v/>
      </c>
      <c r="DD76" s="10">
        <f>MIN('02_Данные'!AW76,DC76)</f>
        <v/>
      </c>
      <c r="DE76" s="10">
        <f>DC76-DD76</f>
        <v/>
      </c>
      <c r="DF76" s="10">
        <f>MIN('02_Данные'!AX76,DE76)</f>
        <v/>
      </c>
      <c r="DG76" s="10">
        <f>DE76-DF76</f>
        <v/>
      </c>
    </row>
    <row r="77">
      <c r="A77" s="9">
        <f>'02_Данные'!B77</f>
        <v/>
      </c>
      <c r="B77" s="9">
        <f>'02_Данные'!E77</f>
        <v/>
      </c>
      <c r="C77" s="10">
        <f>'02_Данные'!F77+'02_Данные'!G77+'02_Данные'!H77+'02_Данные'!I77+'02_Данные'!J77+'02_Данные'!K77</f>
        <v/>
      </c>
      <c r="D77" s="10">
        <f>SUM('02_Данные'!L77:'02_Данные'!AY77)</f>
        <v/>
      </c>
      <c r="E77" s="10">
        <f>MAX(0,D77-C77)</f>
        <v/>
      </c>
      <c r="F77" s="15">
        <f>IF(E77&gt;0.0001,"ДЕФИЦИТ",IF(Y77&gt;0.0001,"ПРОФИЦИТ","БАЛАНС"))</f>
        <v/>
      </c>
      <c r="G77" s="10">
        <f>AB77+AS77+BJ77+CA77+CR77</f>
        <v/>
      </c>
      <c r="H77" s="10">
        <f>AD77+AU77+BL77+CC77+CT77</f>
        <v/>
      </c>
      <c r="I77" s="10">
        <f>AF77+AW77+BN77+CE77+CV77</f>
        <v/>
      </c>
      <c r="J77" s="10">
        <f>AL77+BC77+BT77+CK77+DB77</f>
        <v/>
      </c>
      <c r="K77" s="10">
        <f>AJ77+BA77+BR77+CI77+CZ77</f>
        <v/>
      </c>
      <c r="L77" s="10">
        <f>AN77+BE77+BV77+CM77+DD77</f>
        <v/>
      </c>
      <c r="M77" s="10">
        <f>AP77+BG77+BX77+CO77+DF77</f>
        <v/>
      </c>
      <c r="N77" s="10">
        <f>AH77+AY77+BP77+CG77+CX77</f>
        <v/>
      </c>
      <c r="O77" s="10">
        <f>SUM(G77:N77)</f>
        <v/>
      </c>
      <c r="P77" s="10">
        <f>IFERROR(G77*MIN(1,'01_Нормативы'!$C$4/SUM(G$2:G$429)),0)</f>
        <v/>
      </c>
      <c r="Q77" s="10">
        <f>IFERROR(H77*MIN(1,'01_Нормативы'!$C$5/SUM(H$2:H$429)),0)</f>
        <v/>
      </c>
      <c r="R77" s="10">
        <f>IFERROR(I77*MIN(1,'01_Нормативы'!$C$6/SUM(I$2:I$429)),0)</f>
        <v/>
      </c>
      <c r="S77" s="10">
        <f>IFERROR(J77*MIN(1,'01_Нормативы'!$C$7/SUM(J$2:J$429)),0)</f>
        <v/>
      </c>
      <c r="T77" s="10">
        <f>IFERROR(K77*MIN(1,'01_Нормативы'!$C$8/SUM(K$2:K$429)),0)</f>
        <v/>
      </c>
      <c r="U77" s="10">
        <f>IFERROR(L77*MIN(1,'01_Нормативы'!$C$9/SUM(L$2:L$429)),0)</f>
        <v/>
      </c>
      <c r="V77" s="10">
        <f>IFERROR(M77*MIN(1,'01_Нормативы'!$C$10/SUM(M$2:M$429)),0)</f>
        <v/>
      </c>
      <c r="W77" s="10">
        <f>IFERROR(N77*MIN(1,'01_Нормативы'!$C$11/SUM(N$2:N$429)),0)</f>
        <v/>
      </c>
      <c r="X77" s="10">
        <f>SUM(P77:W77)</f>
        <v/>
      </c>
      <c r="Y77" s="10">
        <f>MAX(0,C77-X77)</f>
        <v/>
      </c>
      <c r="Z77" s="10">
        <f>IF(D77=0,100,X77/D77*100)</f>
        <v/>
      </c>
      <c r="AA77" s="10">
        <f>'02_Данные'!F77+'02_Данные'!G77</f>
        <v/>
      </c>
      <c r="AB77" s="10">
        <f>MIN('02_Данные'!L77,AA77)</f>
        <v/>
      </c>
      <c r="AC77" s="10">
        <f>AA77-AB77</f>
        <v/>
      </c>
      <c r="AD77" s="10">
        <f>MIN('02_Данные'!M77,AC77)</f>
        <v/>
      </c>
      <c r="AE77" s="10">
        <f>AC77-AD77</f>
        <v/>
      </c>
      <c r="AF77" s="10">
        <f>MIN('02_Данные'!N77,AE77)</f>
        <v/>
      </c>
      <c r="AG77" s="10">
        <f>AE77-AF77</f>
        <v/>
      </c>
      <c r="AH77" s="10">
        <f>MIN('02_Данные'!S77,AG77)</f>
        <v/>
      </c>
      <c r="AI77" s="10">
        <f>AG77-AH77</f>
        <v/>
      </c>
      <c r="AJ77" s="10">
        <f>MIN('02_Данные'!P77,AI77)</f>
        <v/>
      </c>
      <c r="AK77" s="10">
        <f>AI77-AJ77</f>
        <v/>
      </c>
      <c r="AL77" s="10">
        <f>MIN('02_Данные'!O77,AK77)</f>
        <v/>
      </c>
      <c r="AM77" s="10">
        <f>AK77-AL77</f>
        <v/>
      </c>
      <c r="AN77" s="10">
        <f>MIN('02_Данные'!Q77,AM77)</f>
        <v/>
      </c>
      <c r="AO77" s="10">
        <f>AM77-AN77</f>
        <v/>
      </c>
      <c r="AP77" s="10">
        <f>MIN('02_Данные'!R77,AO77)</f>
        <v/>
      </c>
      <c r="AQ77" s="10">
        <f>AO77-AP77</f>
        <v/>
      </c>
      <c r="AR77" s="10">
        <f>AQ77+'02_Данные'!H77</f>
        <v/>
      </c>
      <c r="AS77" s="10">
        <f>MIN('02_Данные'!T77,AR77)</f>
        <v/>
      </c>
      <c r="AT77" s="10">
        <f>AR77-AS77</f>
        <v/>
      </c>
      <c r="AU77" s="10">
        <f>MIN('02_Данные'!U77,AT77)</f>
        <v/>
      </c>
      <c r="AV77" s="10">
        <f>AT77-AU77</f>
        <v/>
      </c>
      <c r="AW77" s="10">
        <f>MIN('02_Данные'!V77,AV77)</f>
        <v/>
      </c>
      <c r="AX77" s="10">
        <f>AV77-AW77</f>
        <v/>
      </c>
      <c r="AY77" s="10">
        <f>MIN('02_Данные'!AA77,AX77)</f>
        <v/>
      </c>
      <c r="AZ77" s="10">
        <f>AX77-AY77</f>
        <v/>
      </c>
      <c r="BA77" s="10">
        <f>MIN('02_Данные'!X77,AZ77)</f>
        <v/>
      </c>
      <c r="BB77" s="10">
        <f>AZ77-BA77</f>
        <v/>
      </c>
      <c r="BC77" s="10">
        <f>MIN('02_Данные'!W77,BB77)</f>
        <v/>
      </c>
      <c r="BD77" s="10">
        <f>BB77-BC77</f>
        <v/>
      </c>
      <c r="BE77" s="10">
        <f>MIN('02_Данные'!Y77,BD77)</f>
        <v/>
      </c>
      <c r="BF77" s="10">
        <f>BD77-BE77</f>
        <v/>
      </c>
      <c r="BG77" s="10">
        <f>MIN('02_Данные'!Z77,BF77)</f>
        <v/>
      </c>
      <c r="BH77" s="10">
        <f>BF77-BG77</f>
        <v/>
      </c>
      <c r="BI77" s="10">
        <f>BH77+'02_Данные'!I77</f>
        <v/>
      </c>
      <c r="BJ77" s="10">
        <f>MIN('02_Данные'!AB77,BI77)</f>
        <v/>
      </c>
      <c r="BK77" s="10">
        <f>BI77-BJ77</f>
        <v/>
      </c>
      <c r="BL77" s="10">
        <f>MIN('02_Данные'!AC77,BK77)</f>
        <v/>
      </c>
      <c r="BM77" s="10">
        <f>BK77-BL77</f>
        <v/>
      </c>
      <c r="BN77" s="10">
        <f>MIN('02_Данные'!AD77,BM77)</f>
        <v/>
      </c>
      <c r="BO77" s="10">
        <f>BM77-BN77</f>
        <v/>
      </c>
      <c r="BP77" s="10">
        <f>MIN('02_Данные'!AI77,BO77)</f>
        <v/>
      </c>
      <c r="BQ77" s="10">
        <f>BO77-BP77</f>
        <v/>
      </c>
      <c r="BR77" s="10">
        <f>MIN('02_Данные'!AF77,BQ77)</f>
        <v/>
      </c>
      <c r="BS77" s="10">
        <f>BQ77-BR77</f>
        <v/>
      </c>
      <c r="BT77" s="10">
        <f>MIN('02_Данные'!AE77,BS77)</f>
        <v/>
      </c>
      <c r="BU77" s="10">
        <f>BS77-BT77</f>
        <v/>
      </c>
      <c r="BV77" s="10">
        <f>MIN('02_Данные'!AG77,BU77)</f>
        <v/>
      </c>
      <c r="BW77" s="10">
        <f>BU77-BV77</f>
        <v/>
      </c>
      <c r="BX77" s="10">
        <f>MIN('02_Данные'!AH77,BW77)</f>
        <v/>
      </c>
      <c r="BY77" s="10">
        <f>BW77-BX77</f>
        <v/>
      </c>
      <c r="BZ77" s="10">
        <f>BY77+'02_Данные'!J77</f>
        <v/>
      </c>
      <c r="CA77" s="10">
        <f>MIN('02_Данные'!AJ77,BZ77)</f>
        <v/>
      </c>
      <c r="CB77" s="10">
        <f>BZ77-CA77</f>
        <v/>
      </c>
      <c r="CC77" s="10">
        <f>MIN('02_Данные'!AK77,CB77)</f>
        <v/>
      </c>
      <c r="CD77" s="10">
        <f>CB77-CC77</f>
        <v/>
      </c>
      <c r="CE77" s="10">
        <f>MIN('02_Данные'!AL77,CD77)</f>
        <v/>
      </c>
      <c r="CF77" s="10">
        <f>CD77-CE77</f>
        <v/>
      </c>
      <c r="CG77" s="10">
        <f>MIN('02_Данные'!AQ77,CF77)</f>
        <v/>
      </c>
      <c r="CH77" s="10">
        <f>CF77-CG77</f>
        <v/>
      </c>
      <c r="CI77" s="10">
        <f>MIN('02_Данные'!AN77,CH77)</f>
        <v/>
      </c>
      <c r="CJ77" s="10">
        <f>CH77-CI77</f>
        <v/>
      </c>
      <c r="CK77" s="10">
        <f>MIN('02_Данные'!AM77,CJ77)</f>
        <v/>
      </c>
      <c r="CL77" s="10">
        <f>CJ77-CK77</f>
        <v/>
      </c>
      <c r="CM77" s="10">
        <f>MIN('02_Данные'!AO77,CL77)</f>
        <v/>
      </c>
      <c r="CN77" s="10">
        <f>CL77-CM77</f>
        <v/>
      </c>
      <c r="CO77" s="10">
        <f>MIN('02_Данные'!AP77,CN77)</f>
        <v/>
      </c>
      <c r="CP77" s="10">
        <f>CN77-CO77</f>
        <v/>
      </c>
      <c r="CQ77" s="10">
        <f>CP77+'02_Данные'!K77</f>
        <v/>
      </c>
      <c r="CR77" s="10">
        <f>MIN('02_Данные'!AR77,CQ77)</f>
        <v/>
      </c>
      <c r="CS77" s="10">
        <f>CQ77-CR77</f>
        <v/>
      </c>
      <c r="CT77" s="10">
        <f>MIN('02_Данные'!AS77,CS77)</f>
        <v/>
      </c>
      <c r="CU77" s="10">
        <f>CS77-CT77</f>
        <v/>
      </c>
      <c r="CV77" s="10">
        <f>MIN('02_Данные'!AT77,CU77)</f>
        <v/>
      </c>
      <c r="CW77" s="10">
        <f>CU77-CV77</f>
        <v/>
      </c>
      <c r="CX77" s="10">
        <f>MIN('02_Данные'!AY77,CW77)</f>
        <v/>
      </c>
      <c r="CY77" s="10">
        <f>CW77-CX77</f>
        <v/>
      </c>
      <c r="CZ77" s="10">
        <f>MIN('02_Данные'!AV77,CY77)</f>
        <v/>
      </c>
      <c r="DA77" s="10">
        <f>CY77-CZ77</f>
        <v/>
      </c>
      <c r="DB77" s="10">
        <f>MIN('02_Данные'!AU77,DA77)</f>
        <v/>
      </c>
      <c r="DC77" s="10">
        <f>DA77-DB77</f>
        <v/>
      </c>
      <c r="DD77" s="10">
        <f>MIN('02_Данные'!AW77,DC77)</f>
        <v/>
      </c>
      <c r="DE77" s="10">
        <f>DC77-DD77</f>
        <v/>
      </c>
      <c r="DF77" s="10">
        <f>MIN('02_Данные'!AX77,DE77)</f>
        <v/>
      </c>
      <c r="DG77" s="10">
        <f>DE77-DF77</f>
        <v/>
      </c>
    </row>
    <row r="78">
      <c r="A78" s="9">
        <f>'02_Данные'!B78</f>
        <v/>
      </c>
      <c r="B78" s="9">
        <f>'02_Данные'!E78</f>
        <v/>
      </c>
      <c r="C78" s="10">
        <f>'02_Данные'!F78+'02_Данные'!G78+'02_Данные'!H78+'02_Данные'!I78+'02_Данные'!J78+'02_Данные'!K78</f>
        <v/>
      </c>
      <c r="D78" s="10">
        <f>SUM('02_Данные'!L78:'02_Данные'!AY78)</f>
        <v/>
      </c>
      <c r="E78" s="10">
        <f>MAX(0,D78-C78)</f>
        <v/>
      </c>
      <c r="F78" s="15">
        <f>IF(E78&gt;0.0001,"ДЕФИЦИТ",IF(Y78&gt;0.0001,"ПРОФИЦИТ","БАЛАНС"))</f>
        <v/>
      </c>
      <c r="G78" s="10">
        <f>AB78+AS78+BJ78+CA78+CR78</f>
        <v/>
      </c>
      <c r="H78" s="10">
        <f>AD78+AU78+BL78+CC78+CT78</f>
        <v/>
      </c>
      <c r="I78" s="10">
        <f>AF78+AW78+BN78+CE78+CV78</f>
        <v/>
      </c>
      <c r="J78" s="10">
        <f>AL78+BC78+BT78+CK78+DB78</f>
        <v/>
      </c>
      <c r="K78" s="10">
        <f>AJ78+BA78+BR78+CI78+CZ78</f>
        <v/>
      </c>
      <c r="L78" s="10">
        <f>AN78+BE78+BV78+CM78+DD78</f>
        <v/>
      </c>
      <c r="M78" s="10">
        <f>AP78+BG78+BX78+CO78+DF78</f>
        <v/>
      </c>
      <c r="N78" s="10">
        <f>AH78+AY78+BP78+CG78+CX78</f>
        <v/>
      </c>
      <c r="O78" s="10">
        <f>SUM(G78:N78)</f>
        <v/>
      </c>
      <c r="P78" s="10">
        <f>IFERROR(G78*MIN(1,'01_Нормативы'!$C$4/SUM(G$2:G$429)),0)</f>
        <v/>
      </c>
      <c r="Q78" s="10">
        <f>IFERROR(H78*MIN(1,'01_Нормативы'!$C$5/SUM(H$2:H$429)),0)</f>
        <v/>
      </c>
      <c r="R78" s="10">
        <f>IFERROR(I78*MIN(1,'01_Нормативы'!$C$6/SUM(I$2:I$429)),0)</f>
        <v/>
      </c>
      <c r="S78" s="10">
        <f>IFERROR(J78*MIN(1,'01_Нормативы'!$C$7/SUM(J$2:J$429)),0)</f>
        <v/>
      </c>
      <c r="T78" s="10">
        <f>IFERROR(K78*MIN(1,'01_Нормативы'!$C$8/SUM(K$2:K$429)),0)</f>
        <v/>
      </c>
      <c r="U78" s="10">
        <f>IFERROR(L78*MIN(1,'01_Нормативы'!$C$9/SUM(L$2:L$429)),0)</f>
        <v/>
      </c>
      <c r="V78" s="10">
        <f>IFERROR(M78*MIN(1,'01_Нормативы'!$C$10/SUM(M$2:M$429)),0)</f>
        <v/>
      </c>
      <c r="W78" s="10">
        <f>IFERROR(N78*MIN(1,'01_Нормативы'!$C$11/SUM(N$2:N$429)),0)</f>
        <v/>
      </c>
      <c r="X78" s="10">
        <f>SUM(P78:W78)</f>
        <v/>
      </c>
      <c r="Y78" s="10">
        <f>MAX(0,C78-X78)</f>
        <v/>
      </c>
      <c r="Z78" s="10">
        <f>IF(D78=0,100,X78/D78*100)</f>
        <v/>
      </c>
      <c r="AA78" s="10">
        <f>'02_Данные'!F78+'02_Данные'!G78</f>
        <v/>
      </c>
      <c r="AB78" s="10">
        <f>MIN('02_Данные'!L78,AA78)</f>
        <v/>
      </c>
      <c r="AC78" s="10">
        <f>AA78-AB78</f>
        <v/>
      </c>
      <c r="AD78" s="10">
        <f>MIN('02_Данные'!M78,AC78)</f>
        <v/>
      </c>
      <c r="AE78" s="10">
        <f>AC78-AD78</f>
        <v/>
      </c>
      <c r="AF78" s="10">
        <f>MIN('02_Данные'!N78,AE78)</f>
        <v/>
      </c>
      <c r="AG78" s="10">
        <f>AE78-AF78</f>
        <v/>
      </c>
      <c r="AH78" s="10">
        <f>MIN('02_Данные'!S78,AG78)</f>
        <v/>
      </c>
      <c r="AI78" s="10">
        <f>AG78-AH78</f>
        <v/>
      </c>
      <c r="AJ78" s="10">
        <f>MIN('02_Данные'!P78,AI78)</f>
        <v/>
      </c>
      <c r="AK78" s="10">
        <f>AI78-AJ78</f>
        <v/>
      </c>
      <c r="AL78" s="10">
        <f>MIN('02_Данные'!O78,AK78)</f>
        <v/>
      </c>
      <c r="AM78" s="10">
        <f>AK78-AL78</f>
        <v/>
      </c>
      <c r="AN78" s="10">
        <f>MIN('02_Данные'!Q78,AM78)</f>
        <v/>
      </c>
      <c r="AO78" s="10">
        <f>AM78-AN78</f>
        <v/>
      </c>
      <c r="AP78" s="10">
        <f>MIN('02_Данные'!R78,AO78)</f>
        <v/>
      </c>
      <c r="AQ78" s="10">
        <f>AO78-AP78</f>
        <v/>
      </c>
      <c r="AR78" s="10">
        <f>AQ78+'02_Данные'!H78</f>
        <v/>
      </c>
      <c r="AS78" s="10">
        <f>MIN('02_Данные'!T78,AR78)</f>
        <v/>
      </c>
      <c r="AT78" s="10">
        <f>AR78-AS78</f>
        <v/>
      </c>
      <c r="AU78" s="10">
        <f>MIN('02_Данные'!U78,AT78)</f>
        <v/>
      </c>
      <c r="AV78" s="10">
        <f>AT78-AU78</f>
        <v/>
      </c>
      <c r="AW78" s="10">
        <f>MIN('02_Данные'!V78,AV78)</f>
        <v/>
      </c>
      <c r="AX78" s="10">
        <f>AV78-AW78</f>
        <v/>
      </c>
      <c r="AY78" s="10">
        <f>MIN('02_Данные'!AA78,AX78)</f>
        <v/>
      </c>
      <c r="AZ78" s="10">
        <f>AX78-AY78</f>
        <v/>
      </c>
      <c r="BA78" s="10">
        <f>MIN('02_Данные'!X78,AZ78)</f>
        <v/>
      </c>
      <c r="BB78" s="10">
        <f>AZ78-BA78</f>
        <v/>
      </c>
      <c r="BC78" s="10">
        <f>MIN('02_Данные'!W78,BB78)</f>
        <v/>
      </c>
      <c r="BD78" s="10">
        <f>BB78-BC78</f>
        <v/>
      </c>
      <c r="BE78" s="10">
        <f>MIN('02_Данные'!Y78,BD78)</f>
        <v/>
      </c>
      <c r="BF78" s="10">
        <f>BD78-BE78</f>
        <v/>
      </c>
      <c r="BG78" s="10">
        <f>MIN('02_Данные'!Z78,BF78)</f>
        <v/>
      </c>
      <c r="BH78" s="10">
        <f>BF78-BG78</f>
        <v/>
      </c>
      <c r="BI78" s="10">
        <f>BH78+'02_Данные'!I78</f>
        <v/>
      </c>
      <c r="BJ78" s="10">
        <f>MIN('02_Данные'!AB78,BI78)</f>
        <v/>
      </c>
      <c r="BK78" s="10">
        <f>BI78-BJ78</f>
        <v/>
      </c>
      <c r="BL78" s="10">
        <f>MIN('02_Данные'!AC78,BK78)</f>
        <v/>
      </c>
      <c r="BM78" s="10">
        <f>BK78-BL78</f>
        <v/>
      </c>
      <c r="BN78" s="10">
        <f>MIN('02_Данные'!AD78,BM78)</f>
        <v/>
      </c>
      <c r="BO78" s="10">
        <f>BM78-BN78</f>
        <v/>
      </c>
      <c r="BP78" s="10">
        <f>MIN('02_Данные'!AI78,BO78)</f>
        <v/>
      </c>
      <c r="BQ78" s="10">
        <f>BO78-BP78</f>
        <v/>
      </c>
      <c r="BR78" s="10">
        <f>MIN('02_Данные'!AF78,BQ78)</f>
        <v/>
      </c>
      <c r="BS78" s="10">
        <f>BQ78-BR78</f>
        <v/>
      </c>
      <c r="BT78" s="10">
        <f>MIN('02_Данные'!AE78,BS78)</f>
        <v/>
      </c>
      <c r="BU78" s="10">
        <f>BS78-BT78</f>
        <v/>
      </c>
      <c r="BV78" s="10">
        <f>MIN('02_Данные'!AG78,BU78)</f>
        <v/>
      </c>
      <c r="BW78" s="10">
        <f>BU78-BV78</f>
        <v/>
      </c>
      <c r="BX78" s="10">
        <f>MIN('02_Данные'!AH78,BW78)</f>
        <v/>
      </c>
      <c r="BY78" s="10">
        <f>BW78-BX78</f>
        <v/>
      </c>
      <c r="BZ78" s="10">
        <f>BY78+'02_Данные'!J78</f>
        <v/>
      </c>
      <c r="CA78" s="10">
        <f>MIN('02_Данные'!AJ78,BZ78)</f>
        <v/>
      </c>
      <c r="CB78" s="10">
        <f>BZ78-CA78</f>
        <v/>
      </c>
      <c r="CC78" s="10">
        <f>MIN('02_Данные'!AK78,CB78)</f>
        <v/>
      </c>
      <c r="CD78" s="10">
        <f>CB78-CC78</f>
        <v/>
      </c>
      <c r="CE78" s="10">
        <f>MIN('02_Данные'!AL78,CD78)</f>
        <v/>
      </c>
      <c r="CF78" s="10">
        <f>CD78-CE78</f>
        <v/>
      </c>
      <c r="CG78" s="10">
        <f>MIN('02_Данные'!AQ78,CF78)</f>
        <v/>
      </c>
      <c r="CH78" s="10">
        <f>CF78-CG78</f>
        <v/>
      </c>
      <c r="CI78" s="10">
        <f>MIN('02_Данные'!AN78,CH78)</f>
        <v/>
      </c>
      <c r="CJ78" s="10">
        <f>CH78-CI78</f>
        <v/>
      </c>
      <c r="CK78" s="10">
        <f>MIN('02_Данные'!AM78,CJ78)</f>
        <v/>
      </c>
      <c r="CL78" s="10">
        <f>CJ78-CK78</f>
        <v/>
      </c>
      <c r="CM78" s="10">
        <f>MIN('02_Данные'!AO78,CL78)</f>
        <v/>
      </c>
      <c r="CN78" s="10">
        <f>CL78-CM78</f>
        <v/>
      </c>
      <c r="CO78" s="10">
        <f>MIN('02_Данные'!AP78,CN78)</f>
        <v/>
      </c>
      <c r="CP78" s="10">
        <f>CN78-CO78</f>
        <v/>
      </c>
      <c r="CQ78" s="10">
        <f>CP78+'02_Данные'!K78</f>
        <v/>
      </c>
      <c r="CR78" s="10">
        <f>MIN('02_Данные'!AR78,CQ78)</f>
        <v/>
      </c>
      <c r="CS78" s="10">
        <f>CQ78-CR78</f>
        <v/>
      </c>
      <c r="CT78" s="10">
        <f>MIN('02_Данные'!AS78,CS78)</f>
        <v/>
      </c>
      <c r="CU78" s="10">
        <f>CS78-CT78</f>
        <v/>
      </c>
      <c r="CV78" s="10">
        <f>MIN('02_Данные'!AT78,CU78)</f>
        <v/>
      </c>
      <c r="CW78" s="10">
        <f>CU78-CV78</f>
        <v/>
      </c>
      <c r="CX78" s="10">
        <f>MIN('02_Данные'!AY78,CW78)</f>
        <v/>
      </c>
      <c r="CY78" s="10">
        <f>CW78-CX78</f>
        <v/>
      </c>
      <c r="CZ78" s="10">
        <f>MIN('02_Данные'!AV78,CY78)</f>
        <v/>
      </c>
      <c r="DA78" s="10">
        <f>CY78-CZ78</f>
        <v/>
      </c>
      <c r="DB78" s="10">
        <f>MIN('02_Данные'!AU78,DA78)</f>
        <v/>
      </c>
      <c r="DC78" s="10">
        <f>DA78-DB78</f>
        <v/>
      </c>
      <c r="DD78" s="10">
        <f>MIN('02_Данные'!AW78,DC78)</f>
        <v/>
      </c>
      <c r="DE78" s="10">
        <f>DC78-DD78</f>
        <v/>
      </c>
      <c r="DF78" s="10">
        <f>MIN('02_Данные'!AX78,DE78)</f>
        <v/>
      </c>
      <c r="DG78" s="10">
        <f>DE78-DF78</f>
        <v/>
      </c>
    </row>
    <row r="79">
      <c r="A79" s="9">
        <f>'02_Данные'!B79</f>
        <v/>
      </c>
      <c r="B79" s="9">
        <f>'02_Данные'!E79</f>
        <v/>
      </c>
      <c r="C79" s="10">
        <f>'02_Данные'!F79+'02_Данные'!G79+'02_Данные'!H79+'02_Данные'!I79+'02_Данные'!J79+'02_Данные'!K79</f>
        <v/>
      </c>
      <c r="D79" s="10">
        <f>SUM('02_Данные'!L79:'02_Данные'!AY79)</f>
        <v/>
      </c>
      <c r="E79" s="10">
        <f>MAX(0,D79-C79)</f>
        <v/>
      </c>
      <c r="F79" s="15">
        <f>IF(E79&gt;0.0001,"ДЕФИЦИТ",IF(Y79&gt;0.0001,"ПРОФИЦИТ","БАЛАНС"))</f>
        <v/>
      </c>
      <c r="G79" s="10">
        <f>AB79+AS79+BJ79+CA79+CR79</f>
        <v/>
      </c>
      <c r="H79" s="10">
        <f>AD79+AU79+BL79+CC79+CT79</f>
        <v/>
      </c>
      <c r="I79" s="10">
        <f>AF79+AW79+BN79+CE79+CV79</f>
        <v/>
      </c>
      <c r="J79" s="10">
        <f>AL79+BC79+BT79+CK79+DB79</f>
        <v/>
      </c>
      <c r="K79" s="10">
        <f>AJ79+BA79+BR79+CI79+CZ79</f>
        <v/>
      </c>
      <c r="L79" s="10">
        <f>AN79+BE79+BV79+CM79+DD79</f>
        <v/>
      </c>
      <c r="M79" s="10">
        <f>AP79+BG79+BX79+CO79+DF79</f>
        <v/>
      </c>
      <c r="N79" s="10">
        <f>AH79+AY79+BP79+CG79+CX79</f>
        <v/>
      </c>
      <c r="O79" s="10">
        <f>SUM(G79:N79)</f>
        <v/>
      </c>
      <c r="P79" s="10">
        <f>IFERROR(G79*MIN(1,'01_Нормативы'!$C$4/SUM(G$2:G$429)),0)</f>
        <v/>
      </c>
      <c r="Q79" s="10">
        <f>IFERROR(H79*MIN(1,'01_Нормативы'!$C$5/SUM(H$2:H$429)),0)</f>
        <v/>
      </c>
      <c r="R79" s="10">
        <f>IFERROR(I79*MIN(1,'01_Нормативы'!$C$6/SUM(I$2:I$429)),0)</f>
        <v/>
      </c>
      <c r="S79" s="10">
        <f>IFERROR(J79*MIN(1,'01_Нормативы'!$C$7/SUM(J$2:J$429)),0)</f>
        <v/>
      </c>
      <c r="T79" s="10">
        <f>IFERROR(K79*MIN(1,'01_Нормативы'!$C$8/SUM(K$2:K$429)),0)</f>
        <v/>
      </c>
      <c r="U79" s="10">
        <f>IFERROR(L79*MIN(1,'01_Нормативы'!$C$9/SUM(L$2:L$429)),0)</f>
        <v/>
      </c>
      <c r="V79" s="10">
        <f>IFERROR(M79*MIN(1,'01_Нормативы'!$C$10/SUM(M$2:M$429)),0)</f>
        <v/>
      </c>
      <c r="W79" s="10">
        <f>IFERROR(N79*MIN(1,'01_Нормативы'!$C$11/SUM(N$2:N$429)),0)</f>
        <v/>
      </c>
      <c r="X79" s="10">
        <f>SUM(P79:W79)</f>
        <v/>
      </c>
      <c r="Y79" s="10">
        <f>MAX(0,C79-X79)</f>
        <v/>
      </c>
      <c r="Z79" s="10">
        <f>IF(D79=0,100,X79/D79*100)</f>
        <v/>
      </c>
      <c r="AA79" s="10">
        <f>'02_Данные'!F79+'02_Данные'!G79</f>
        <v/>
      </c>
      <c r="AB79" s="10">
        <f>MIN('02_Данные'!L79,AA79)</f>
        <v/>
      </c>
      <c r="AC79" s="10">
        <f>AA79-AB79</f>
        <v/>
      </c>
      <c r="AD79" s="10">
        <f>MIN('02_Данные'!M79,AC79)</f>
        <v/>
      </c>
      <c r="AE79" s="10">
        <f>AC79-AD79</f>
        <v/>
      </c>
      <c r="AF79" s="10">
        <f>MIN('02_Данные'!N79,AE79)</f>
        <v/>
      </c>
      <c r="AG79" s="10">
        <f>AE79-AF79</f>
        <v/>
      </c>
      <c r="AH79" s="10">
        <f>MIN('02_Данные'!S79,AG79)</f>
        <v/>
      </c>
      <c r="AI79" s="10">
        <f>AG79-AH79</f>
        <v/>
      </c>
      <c r="AJ79" s="10">
        <f>MIN('02_Данные'!P79,AI79)</f>
        <v/>
      </c>
      <c r="AK79" s="10">
        <f>AI79-AJ79</f>
        <v/>
      </c>
      <c r="AL79" s="10">
        <f>MIN('02_Данные'!O79,AK79)</f>
        <v/>
      </c>
      <c r="AM79" s="10">
        <f>AK79-AL79</f>
        <v/>
      </c>
      <c r="AN79" s="10">
        <f>MIN('02_Данные'!Q79,AM79)</f>
        <v/>
      </c>
      <c r="AO79" s="10">
        <f>AM79-AN79</f>
        <v/>
      </c>
      <c r="AP79" s="10">
        <f>MIN('02_Данные'!R79,AO79)</f>
        <v/>
      </c>
      <c r="AQ79" s="10">
        <f>AO79-AP79</f>
        <v/>
      </c>
      <c r="AR79" s="10">
        <f>AQ79+'02_Данные'!H79</f>
        <v/>
      </c>
      <c r="AS79" s="10">
        <f>MIN('02_Данные'!T79,AR79)</f>
        <v/>
      </c>
      <c r="AT79" s="10">
        <f>AR79-AS79</f>
        <v/>
      </c>
      <c r="AU79" s="10">
        <f>MIN('02_Данные'!U79,AT79)</f>
        <v/>
      </c>
      <c r="AV79" s="10">
        <f>AT79-AU79</f>
        <v/>
      </c>
      <c r="AW79" s="10">
        <f>MIN('02_Данные'!V79,AV79)</f>
        <v/>
      </c>
      <c r="AX79" s="10">
        <f>AV79-AW79</f>
        <v/>
      </c>
      <c r="AY79" s="10">
        <f>MIN('02_Данные'!AA79,AX79)</f>
        <v/>
      </c>
      <c r="AZ79" s="10">
        <f>AX79-AY79</f>
        <v/>
      </c>
      <c r="BA79" s="10">
        <f>MIN('02_Данные'!X79,AZ79)</f>
        <v/>
      </c>
      <c r="BB79" s="10">
        <f>AZ79-BA79</f>
        <v/>
      </c>
      <c r="BC79" s="10">
        <f>MIN('02_Данные'!W79,BB79)</f>
        <v/>
      </c>
      <c r="BD79" s="10">
        <f>BB79-BC79</f>
        <v/>
      </c>
      <c r="BE79" s="10">
        <f>MIN('02_Данные'!Y79,BD79)</f>
        <v/>
      </c>
      <c r="BF79" s="10">
        <f>BD79-BE79</f>
        <v/>
      </c>
      <c r="BG79" s="10">
        <f>MIN('02_Данные'!Z79,BF79)</f>
        <v/>
      </c>
      <c r="BH79" s="10">
        <f>BF79-BG79</f>
        <v/>
      </c>
      <c r="BI79" s="10">
        <f>BH79+'02_Данные'!I79</f>
        <v/>
      </c>
      <c r="BJ79" s="10">
        <f>MIN('02_Данные'!AB79,BI79)</f>
        <v/>
      </c>
      <c r="BK79" s="10">
        <f>BI79-BJ79</f>
        <v/>
      </c>
      <c r="BL79" s="10">
        <f>MIN('02_Данные'!AC79,BK79)</f>
        <v/>
      </c>
      <c r="BM79" s="10">
        <f>BK79-BL79</f>
        <v/>
      </c>
      <c r="BN79" s="10">
        <f>MIN('02_Данные'!AD79,BM79)</f>
        <v/>
      </c>
      <c r="BO79" s="10">
        <f>BM79-BN79</f>
        <v/>
      </c>
      <c r="BP79" s="10">
        <f>MIN('02_Данные'!AI79,BO79)</f>
        <v/>
      </c>
      <c r="BQ79" s="10">
        <f>BO79-BP79</f>
        <v/>
      </c>
      <c r="BR79" s="10">
        <f>MIN('02_Данные'!AF79,BQ79)</f>
        <v/>
      </c>
      <c r="BS79" s="10">
        <f>BQ79-BR79</f>
        <v/>
      </c>
      <c r="BT79" s="10">
        <f>MIN('02_Данные'!AE79,BS79)</f>
        <v/>
      </c>
      <c r="BU79" s="10">
        <f>BS79-BT79</f>
        <v/>
      </c>
      <c r="BV79" s="10">
        <f>MIN('02_Данные'!AG79,BU79)</f>
        <v/>
      </c>
      <c r="BW79" s="10">
        <f>BU79-BV79</f>
        <v/>
      </c>
      <c r="BX79" s="10">
        <f>MIN('02_Данные'!AH79,BW79)</f>
        <v/>
      </c>
      <c r="BY79" s="10">
        <f>BW79-BX79</f>
        <v/>
      </c>
      <c r="BZ79" s="10">
        <f>BY79+'02_Данные'!J79</f>
        <v/>
      </c>
      <c r="CA79" s="10">
        <f>MIN('02_Данные'!AJ79,BZ79)</f>
        <v/>
      </c>
      <c r="CB79" s="10">
        <f>BZ79-CA79</f>
        <v/>
      </c>
      <c r="CC79" s="10">
        <f>MIN('02_Данные'!AK79,CB79)</f>
        <v/>
      </c>
      <c r="CD79" s="10">
        <f>CB79-CC79</f>
        <v/>
      </c>
      <c r="CE79" s="10">
        <f>MIN('02_Данные'!AL79,CD79)</f>
        <v/>
      </c>
      <c r="CF79" s="10">
        <f>CD79-CE79</f>
        <v/>
      </c>
      <c r="CG79" s="10">
        <f>MIN('02_Данные'!AQ79,CF79)</f>
        <v/>
      </c>
      <c r="CH79" s="10">
        <f>CF79-CG79</f>
        <v/>
      </c>
      <c r="CI79" s="10">
        <f>MIN('02_Данные'!AN79,CH79)</f>
        <v/>
      </c>
      <c r="CJ79" s="10">
        <f>CH79-CI79</f>
        <v/>
      </c>
      <c r="CK79" s="10">
        <f>MIN('02_Данные'!AM79,CJ79)</f>
        <v/>
      </c>
      <c r="CL79" s="10">
        <f>CJ79-CK79</f>
        <v/>
      </c>
      <c r="CM79" s="10">
        <f>MIN('02_Данные'!AO79,CL79)</f>
        <v/>
      </c>
      <c r="CN79" s="10">
        <f>CL79-CM79</f>
        <v/>
      </c>
      <c r="CO79" s="10">
        <f>MIN('02_Данные'!AP79,CN79)</f>
        <v/>
      </c>
      <c r="CP79" s="10">
        <f>CN79-CO79</f>
        <v/>
      </c>
      <c r="CQ79" s="10">
        <f>CP79+'02_Данные'!K79</f>
        <v/>
      </c>
      <c r="CR79" s="10">
        <f>MIN('02_Данные'!AR79,CQ79)</f>
        <v/>
      </c>
      <c r="CS79" s="10">
        <f>CQ79-CR79</f>
        <v/>
      </c>
      <c r="CT79" s="10">
        <f>MIN('02_Данные'!AS79,CS79)</f>
        <v/>
      </c>
      <c r="CU79" s="10">
        <f>CS79-CT79</f>
        <v/>
      </c>
      <c r="CV79" s="10">
        <f>MIN('02_Данные'!AT79,CU79)</f>
        <v/>
      </c>
      <c r="CW79" s="10">
        <f>CU79-CV79</f>
        <v/>
      </c>
      <c r="CX79" s="10">
        <f>MIN('02_Данные'!AY79,CW79)</f>
        <v/>
      </c>
      <c r="CY79" s="10">
        <f>CW79-CX79</f>
        <v/>
      </c>
      <c r="CZ79" s="10">
        <f>MIN('02_Данные'!AV79,CY79)</f>
        <v/>
      </c>
      <c r="DA79" s="10">
        <f>CY79-CZ79</f>
        <v/>
      </c>
      <c r="DB79" s="10">
        <f>MIN('02_Данные'!AU79,DA79)</f>
        <v/>
      </c>
      <c r="DC79" s="10">
        <f>DA79-DB79</f>
        <v/>
      </c>
      <c r="DD79" s="10">
        <f>MIN('02_Данные'!AW79,DC79)</f>
        <v/>
      </c>
      <c r="DE79" s="10">
        <f>DC79-DD79</f>
        <v/>
      </c>
      <c r="DF79" s="10">
        <f>MIN('02_Данные'!AX79,DE79)</f>
        <v/>
      </c>
      <c r="DG79" s="10">
        <f>DE79-DF79</f>
        <v/>
      </c>
    </row>
    <row r="80">
      <c r="A80" s="9">
        <f>'02_Данные'!B80</f>
        <v/>
      </c>
      <c r="B80" s="9">
        <f>'02_Данные'!E80</f>
        <v/>
      </c>
      <c r="C80" s="10">
        <f>'02_Данные'!F80+'02_Данные'!G80+'02_Данные'!H80+'02_Данные'!I80+'02_Данные'!J80+'02_Данные'!K80</f>
        <v/>
      </c>
      <c r="D80" s="10">
        <f>SUM('02_Данные'!L80:'02_Данные'!AY80)</f>
        <v/>
      </c>
      <c r="E80" s="10">
        <f>MAX(0,D80-C80)</f>
        <v/>
      </c>
      <c r="F80" s="15">
        <f>IF(E80&gt;0.0001,"ДЕФИЦИТ",IF(Y80&gt;0.0001,"ПРОФИЦИТ","БАЛАНС"))</f>
        <v/>
      </c>
      <c r="G80" s="10">
        <f>AB80+AS80+BJ80+CA80+CR80</f>
        <v/>
      </c>
      <c r="H80" s="10">
        <f>AD80+AU80+BL80+CC80+CT80</f>
        <v/>
      </c>
      <c r="I80" s="10">
        <f>AF80+AW80+BN80+CE80+CV80</f>
        <v/>
      </c>
      <c r="J80" s="10">
        <f>AL80+BC80+BT80+CK80+DB80</f>
        <v/>
      </c>
      <c r="K80" s="10">
        <f>AJ80+BA80+BR80+CI80+CZ80</f>
        <v/>
      </c>
      <c r="L80" s="10">
        <f>AN80+BE80+BV80+CM80+DD80</f>
        <v/>
      </c>
      <c r="M80" s="10">
        <f>AP80+BG80+BX80+CO80+DF80</f>
        <v/>
      </c>
      <c r="N80" s="10">
        <f>AH80+AY80+BP80+CG80+CX80</f>
        <v/>
      </c>
      <c r="O80" s="10">
        <f>SUM(G80:N80)</f>
        <v/>
      </c>
      <c r="P80" s="10">
        <f>IFERROR(G80*MIN(1,'01_Нормативы'!$C$4/SUM(G$2:G$429)),0)</f>
        <v/>
      </c>
      <c r="Q80" s="10">
        <f>IFERROR(H80*MIN(1,'01_Нормативы'!$C$5/SUM(H$2:H$429)),0)</f>
        <v/>
      </c>
      <c r="R80" s="10">
        <f>IFERROR(I80*MIN(1,'01_Нормативы'!$C$6/SUM(I$2:I$429)),0)</f>
        <v/>
      </c>
      <c r="S80" s="10">
        <f>IFERROR(J80*MIN(1,'01_Нормативы'!$C$7/SUM(J$2:J$429)),0)</f>
        <v/>
      </c>
      <c r="T80" s="10">
        <f>IFERROR(K80*MIN(1,'01_Нормативы'!$C$8/SUM(K$2:K$429)),0)</f>
        <v/>
      </c>
      <c r="U80" s="10">
        <f>IFERROR(L80*MIN(1,'01_Нормативы'!$C$9/SUM(L$2:L$429)),0)</f>
        <v/>
      </c>
      <c r="V80" s="10">
        <f>IFERROR(M80*MIN(1,'01_Нормативы'!$C$10/SUM(M$2:M$429)),0)</f>
        <v/>
      </c>
      <c r="W80" s="10">
        <f>IFERROR(N80*MIN(1,'01_Нормативы'!$C$11/SUM(N$2:N$429)),0)</f>
        <v/>
      </c>
      <c r="X80" s="10">
        <f>SUM(P80:W80)</f>
        <v/>
      </c>
      <c r="Y80" s="10">
        <f>MAX(0,C80-X80)</f>
        <v/>
      </c>
      <c r="Z80" s="10">
        <f>IF(D80=0,100,X80/D80*100)</f>
        <v/>
      </c>
      <c r="AA80" s="10">
        <f>'02_Данные'!F80+'02_Данные'!G80</f>
        <v/>
      </c>
      <c r="AB80" s="10">
        <f>MIN('02_Данные'!L80,AA80)</f>
        <v/>
      </c>
      <c r="AC80" s="10">
        <f>AA80-AB80</f>
        <v/>
      </c>
      <c r="AD80" s="10">
        <f>MIN('02_Данные'!M80,AC80)</f>
        <v/>
      </c>
      <c r="AE80" s="10">
        <f>AC80-AD80</f>
        <v/>
      </c>
      <c r="AF80" s="10">
        <f>MIN('02_Данные'!N80,AE80)</f>
        <v/>
      </c>
      <c r="AG80" s="10">
        <f>AE80-AF80</f>
        <v/>
      </c>
      <c r="AH80" s="10">
        <f>MIN('02_Данные'!S80,AG80)</f>
        <v/>
      </c>
      <c r="AI80" s="10">
        <f>AG80-AH80</f>
        <v/>
      </c>
      <c r="AJ80" s="10">
        <f>MIN('02_Данные'!P80,AI80)</f>
        <v/>
      </c>
      <c r="AK80" s="10">
        <f>AI80-AJ80</f>
        <v/>
      </c>
      <c r="AL80" s="10">
        <f>MIN('02_Данные'!O80,AK80)</f>
        <v/>
      </c>
      <c r="AM80" s="10">
        <f>AK80-AL80</f>
        <v/>
      </c>
      <c r="AN80" s="10">
        <f>MIN('02_Данные'!Q80,AM80)</f>
        <v/>
      </c>
      <c r="AO80" s="10">
        <f>AM80-AN80</f>
        <v/>
      </c>
      <c r="AP80" s="10">
        <f>MIN('02_Данные'!R80,AO80)</f>
        <v/>
      </c>
      <c r="AQ80" s="10">
        <f>AO80-AP80</f>
        <v/>
      </c>
      <c r="AR80" s="10">
        <f>AQ80+'02_Данные'!H80</f>
        <v/>
      </c>
      <c r="AS80" s="10">
        <f>MIN('02_Данные'!T80,AR80)</f>
        <v/>
      </c>
      <c r="AT80" s="10">
        <f>AR80-AS80</f>
        <v/>
      </c>
      <c r="AU80" s="10">
        <f>MIN('02_Данные'!U80,AT80)</f>
        <v/>
      </c>
      <c r="AV80" s="10">
        <f>AT80-AU80</f>
        <v/>
      </c>
      <c r="AW80" s="10">
        <f>MIN('02_Данные'!V80,AV80)</f>
        <v/>
      </c>
      <c r="AX80" s="10">
        <f>AV80-AW80</f>
        <v/>
      </c>
      <c r="AY80" s="10">
        <f>MIN('02_Данные'!AA80,AX80)</f>
        <v/>
      </c>
      <c r="AZ80" s="10">
        <f>AX80-AY80</f>
        <v/>
      </c>
      <c r="BA80" s="10">
        <f>MIN('02_Данные'!X80,AZ80)</f>
        <v/>
      </c>
      <c r="BB80" s="10">
        <f>AZ80-BA80</f>
        <v/>
      </c>
      <c r="BC80" s="10">
        <f>MIN('02_Данные'!W80,BB80)</f>
        <v/>
      </c>
      <c r="BD80" s="10">
        <f>BB80-BC80</f>
        <v/>
      </c>
      <c r="BE80" s="10">
        <f>MIN('02_Данные'!Y80,BD80)</f>
        <v/>
      </c>
      <c r="BF80" s="10">
        <f>BD80-BE80</f>
        <v/>
      </c>
      <c r="BG80" s="10">
        <f>MIN('02_Данные'!Z80,BF80)</f>
        <v/>
      </c>
      <c r="BH80" s="10">
        <f>BF80-BG80</f>
        <v/>
      </c>
      <c r="BI80" s="10">
        <f>BH80+'02_Данные'!I80</f>
        <v/>
      </c>
      <c r="BJ80" s="10">
        <f>MIN('02_Данные'!AB80,BI80)</f>
        <v/>
      </c>
      <c r="BK80" s="10">
        <f>BI80-BJ80</f>
        <v/>
      </c>
      <c r="BL80" s="10">
        <f>MIN('02_Данные'!AC80,BK80)</f>
        <v/>
      </c>
      <c r="BM80" s="10">
        <f>BK80-BL80</f>
        <v/>
      </c>
      <c r="BN80" s="10">
        <f>MIN('02_Данные'!AD80,BM80)</f>
        <v/>
      </c>
      <c r="BO80" s="10">
        <f>BM80-BN80</f>
        <v/>
      </c>
      <c r="BP80" s="10">
        <f>MIN('02_Данные'!AI80,BO80)</f>
        <v/>
      </c>
      <c r="BQ80" s="10">
        <f>BO80-BP80</f>
        <v/>
      </c>
      <c r="BR80" s="10">
        <f>MIN('02_Данные'!AF80,BQ80)</f>
        <v/>
      </c>
      <c r="BS80" s="10">
        <f>BQ80-BR80</f>
        <v/>
      </c>
      <c r="BT80" s="10">
        <f>MIN('02_Данные'!AE80,BS80)</f>
        <v/>
      </c>
      <c r="BU80" s="10">
        <f>BS80-BT80</f>
        <v/>
      </c>
      <c r="BV80" s="10">
        <f>MIN('02_Данные'!AG80,BU80)</f>
        <v/>
      </c>
      <c r="BW80" s="10">
        <f>BU80-BV80</f>
        <v/>
      </c>
      <c r="BX80" s="10">
        <f>MIN('02_Данные'!AH80,BW80)</f>
        <v/>
      </c>
      <c r="BY80" s="10">
        <f>BW80-BX80</f>
        <v/>
      </c>
      <c r="BZ80" s="10">
        <f>BY80+'02_Данные'!J80</f>
        <v/>
      </c>
      <c r="CA80" s="10">
        <f>MIN('02_Данные'!AJ80,BZ80)</f>
        <v/>
      </c>
      <c r="CB80" s="10">
        <f>BZ80-CA80</f>
        <v/>
      </c>
      <c r="CC80" s="10">
        <f>MIN('02_Данные'!AK80,CB80)</f>
        <v/>
      </c>
      <c r="CD80" s="10">
        <f>CB80-CC80</f>
        <v/>
      </c>
      <c r="CE80" s="10">
        <f>MIN('02_Данные'!AL80,CD80)</f>
        <v/>
      </c>
      <c r="CF80" s="10">
        <f>CD80-CE80</f>
        <v/>
      </c>
      <c r="CG80" s="10">
        <f>MIN('02_Данные'!AQ80,CF80)</f>
        <v/>
      </c>
      <c r="CH80" s="10">
        <f>CF80-CG80</f>
        <v/>
      </c>
      <c r="CI80" s="10">
        <f>MIN('02_Данные'!AN80,CH80)</f>
        <v/>
      </c>
      <c r="CJ80" s="10">
        <f>CH80-CI80</f>
        <v/>
      </c>
      <c r="CK80" s="10">
        <f>MIN('02_Данные'!AM80,CJ80)</f>
        <v/>
      </c>
      <c r="CL80" s="10">
        <f>CJ80-CK80</f>
        <v/>
      </c>
      <c r="CM80" s="10">
        <f>MIN('02_Данные'!AO80,CL80)</f>
        <v/>
      </c>
      <c r="CN80" s="10">
        <f>CL80-CM80</f>
        <v/>
      </c>
      <c r="CO80" s="10">
        <f>MIN('02_Данные'!AP80,CN80)</f>
        <v/>
      </c>
      <c r="CP80" s="10">
        <f>CN80-CO80</f>
        <v/>
      </c>
      <c r="CQ80" s="10">
        <f>CP80+'02_Данные'!K80</f>
        <v/>
      </c>
      <c r="CR80" s="10">
        <f>MIN('02_Данные'!AR80,CQ80)</f>
        <v/>
      </c>
      <c r="CS80" s="10">
        <f>CQ80-CR80</f>
        <v/>
      </c>
      <c r="CT80" s="10">
        <f>MIN('02_Данные'!AS80,CS80)</f>
        <v/>
      </c>
      <c r="CU80" s="10">
        <f>CS80-CT80</f>
        <v/>
      </c>
      <c r="CV80" s="10">
        <f>MIN('02_Данные'!AT80,CU80)</f>
        <v/>
      </c>
      <c r="CW80" s="10">
        <f>CU80-CV80</f>
        <v/>
      </c>
      <c r="CX80" s="10">
        <f>MIN('02_Данные'!AY80,CW80)</f>
        <v/>
      </c>
      <c r="CY80" s="10">
        <f>CW80-CX80</f>
        <v/>
      </c>
      <c r="CZ80" s="10">
        <f>MIN('02_Данные'!AV80,CY80)</f>
        <v/>
      </c>
      <c r="DA80" s="10">
        <f>CY80-CZ80</f>
        <v/>
      </c>
      <c r="DB80" s="10">
        <f>MIN('02_Данные'!AU80,DA80)</f>
        <v/>
      </c>
      <c r="DC80" s="10">
        <f>DA80-DB80</f>
        <v/>
      </c>
      <c r="DD80" s="10">
        <f>MIN('02_Данные'!AW80,DC80)</f>
        <v/>
      </c>
      <c r="DE80" s="10">
        <f>DC80-DD80</f>
        <v/>
      </c>
      <c r="DF80" s="10">
        <f>MIN('02_Данные'!AX80,DE80)</f>
        <v/>
      </c>
      <c r="DG80" s="10">
        <f>DE80-DF80</f>
        <v/>
      </c>
    </row>
    <row r="81">
      <c r="A81" s="9">
        <f>'02_Данные'!B81</f>
        <v/>
      </c>
      <c r="B81" s="9">
        <f>'02_Данные'!E81</f>
        <v/>
      </c>
      <c r="C81" s="10">
        <f>'02_Данные'!F81+'02_Данные'!G81+'02_Данные'!H81+'02_Данные'!I81+'02_Данные'!J81+'02_Данные'!K81</f>
        <v/>
      </c>
      <c r="D81" s="10">
        <f>SUM('02_Данные'!L81:'02_Данные'!AY81)</f>
        <v/>
      </c>
      <c r="E81" s="10">
        <f>MAX(0,D81-C81)</f>
        <v/>
      </c>
      <c r="F81" s="15">
        <f>IF(E81&gt;0.0001,"ДЕФИЦИТ",IF(Y81&gt;0.0001,"ПРОФИЦИТ","БАЛАНС"))</f>
        <v/>
      </c>
      <c r="G81" s="10">
        <f>AB81+AS81+BJ81+CA81+CR81</f>
        <v/>
      </c>
      <c r="H81" s="10">
        <f>AD81+AU81+BL81+CC81+CT81</f>
        <v/>
      </c>
      <c r="I81" s="10">
        <f>AF81+AW81+BN81+CE81+CV81</f>
        <v/>
      </c>
      <c r="J81" s="10">
        <f>AL81+BC81+BT81+CK81+DB81</f>
        <v/>
      </c>
      <c r="K81" s="10">
        <f>AJ81+BA81+BR81+CI81+CZ81</f>
        <v/>
      </c>
      <c r="L81" s="10">
        <f>AN81+BE81+BV81+CM81+DD81</f>
        <v/>
      </c>
      <c r="M81" s="10">
        <f>AP81+BG81+BX81+CO81+DF81</f>
        <v/>
      </c>
      <c r="N81" s="10">
        <f>AH81+AY81+BP81+CG81+CX81</f>
        <v/>
      </c>
      <c r="O81" s="10">
        <f>SUM(G81:N81)</f>
        <v/>
      </c>
      <c r="P81" s="10">
        <f>IFERROR(G81*MIN(1,'01_Нормативы'!$C$4/SUM(G$2:G$429)),0)</f>
        <v/>
      </c>
      <c r="Q81" s="10">
        <f>IFERROR(H81*MIN(1,'01_Нормативы'!$C$5/SUM(H$2:H$429)),0)</f>
        <v/>
      </c>
      <c r="R81" s="10">
        <f>IFERROR(I81*MIN(1,'01_Нормативы'!$C$6/SUM(I$2:I$429)),0)</f>
        <v/>
      </c>
      <c r="S81" s="10">
        <f>IFERROR(J81*MIN(1,'01_Нормативы'!$C$7/SUM(J$2:J$429)),0)</f>
        <v/>
      </c>
      <c r="T81" s="10">
        <f>IFERROR(K81*MIN(1,'01_Нормативы'!$C$8/SUM(K$2:K$429)),0)</f>
        <v/>
      </c>
      <c r="U81" s="10">
        <f>IFERROR(L81*MIN(1,'01_Нормативы'!$C$9/SUM(L$2:L$429)),0)</f>
        <v/>
      </c>
      <c r="V81" s="10">
        <f>IFERROR(M81*MIN(1,'01_Нормативы'!$C$10/SUM(M$2:M$429)),0)</f>
        <v/>
      </c>
      <c r="W81" s="10">
        <f>IFERROR(N81*MIN(1,'01_Нормативы'!$C$11/SUM(N$2:N$429)),0)</f>
        <v/>
      </c>
      <c r="X81" s="10">
        <f>SUM(P81:W81)</f>
        <v/>
      </c>
      <c r="Y81" s="10">
        <f>MAX(0,C81-X81)</f>
        <v/>
      </c>
      <c r="Z81" s="10">
        <f>IF(D81=0,100,X81/D81*100)</f>
        <v/>
      </c>
      <c r="AA81" s="10">
        <f>'02_Данные'!F81+'02_Данные'!G81</f>
        <v/>
      </c>
      <c r="AB81" s="10">
        <f>MIN('02_Данные'!L81,AA81)</f>
        <v/>
      </c>
      <c r="AC81" s="10">
        <f>AA81-AB81</f>
        <v/>
      </c>
      <c r="AD81" s="10">
        <f>MIN('02_Данные'!M81,AC81)</f>
        <v/>
      </c>
      <c r="AE81" s="10">
        <f>AC81-AD81</f>
        <v/>
      </c>
      <c r="AF81" s="10">
        <f>MIN('02_Данные'!N81,AE81)</f>
        <v/>
      </c>
      <c r="AG81" s="10">
        <f>AE81-AF81</f>
        <v/>
      </c>
      <c r="AH81" s="10">
        <f>MIN('02_Данные'!S81,AG81)</f>
        <v/>
      </c>
      <c r="AI81" s="10">
        <f>AG81-AH81</f>
        <v/>
      </c>
      <c r="AJ81" s="10">
        <f>MIN('02_Данные'!P81,AI81)</f>
        <v/>
      </c>
      <c r="AK81" s="10">
        <f>AI81-AJ81</f>
        <v/>
      </c>
      <c r="AL81" s="10">
        <f>MIN('02_Данные'!O81,AK81)</f>
        <v/>
      </c>
      <c r="AM81" s="10">
        <f>AK81-AL81</f>
        <v/>
      </c>
      <c r="AN81" s="10">
        <f>MIN('02_Данные'!Q81,AM81)</f>
        <v/>
      </c>
      <c r="AO81" s="10">
        <f>AM81-AN81</f>
        <v/>
      </c>
      <c r="AP81" s="10">
        <f>MIN('02_Данные'!R81,AO81)</f>
        <v/>
      </c>
      <c r="AQ81" s="10">
        <f>AO81-AP81</f>
        <v/>
      </c>
      <c r="AR81" s="10">
        <f>AQ81+'02_Данные'!H81</f>
        <v/>
      </c>
      <c r="AS81" s="10">
        <f>MIN('02_Данные'!T81,AR81)</f>
        <v/>
      </c>
      <c r="AT81" s="10">
        <f>AR81-AS81</f>
        <v/>
      </c>
      <c r="AU81" s="10">
        <f>MIN('02_Данные'!U81,AT81)</f>
        <v/>
      </c>
      <c r="AV81" s="10">
        <f>AT81-AU81</f>
        <v/>
      </c>
      <c r="AW81" s="10">
        <f>MIN('02_Данные'!V81,AV81)</f>
        <v/>
      </c>
      <c r="AX81" s="10">
        <f>AV81-AW81</f>
        <v/>
      </c>
      <c r="AY81" s="10">
        <f>MIN('02_Данные'!AA81,AX81)</f>
        <v/>
      </c>
      <c r="AZ81" s="10">
        <f>AX81-AY81</f>
        <v/>
      </c>
      <c r="BA81" s="10">
        <f>MIN('02_Данные'!X81,AZ81)</f>
        <v/>
      </c>
      <c r="BB81" s="10">
        <f>AZ81-BA81</f>
        <v/>
      </c>
      <c r="BC81" s="10">
        <f>MIN('02_Данные'!W81,BB81)</f>
        <v/>
      </c>
      <c r="BD81" s="10">
        <f>BB81-BC81</f>
        <v/>
      </c>
      <c r="BE81" s="10">
        <f>MIN('02_Данные'!Y81,BD81)</f>
        <v/>
      </c>
      <c r="BF81" s="10">
        <f>BD81-BE81</f>
        <v/>
      </c>
      <c r="BG81" s="10">
        <f>MIN('02_Данные'!Z81,BF81)</f>
        <v/>
      </c>
      <c r="BH81" s="10">
        <f>BF81-BG81</f>
        <v/>
      </c>
      <c r="BI81" s="10">
        <f>BH81+'02_Данные'!I81</f>
        <v/>
      </c>
      <c r="BJ81" s="10">
        <f>MIN('02_Данные'!AB81,BI81)</f>
        <v/>
      </c>
      <c r="BK81" s="10">
        <f>BI81-BJ81</f>
        <v/>
      </c>
      <c r="BL81" s="10">
        <f>MIN('02_Данные'!AC81,BK81)</f>
        <v/>
      </c>
      <c r="BM81" s="10">
        <f>BK81-BL81</f>
        <v/>
      </c>
      <c r="BN81" s="10">
        <f>MIN('02_Данные'!AD81,BM81)</f>
        <v/>
      </c>
      <c r="BO81" s="10">
        <f>BM81-BN81</f>
        <v/>
      </c>
      <c r="BP81" s="10">
        <f>MIN('02_Данные'!AI81,BO81)</f>
        <v/>
      </c>
      <c r="BQ81" s="10">
        <f>BO81-BP81</f>
        <v/>
      </c>
      <c r="BR81" s="10">
        <f>MIN('02_Данные'!AF81,BQ81)</f>
        <v/>
      </c>
      <c r="BS81" s="10">
        <f>BQ81-BR81</f>
        <v/>
      </c>
      <c r="BT81" s="10">
        <f>MIN('02_Данные'!AE81,BS81)</f>
        <v/>
      </c>
      <c r="BU81" s="10">
        <f>BS81-BT81</f>
        <v/>
      </c>
      <c r="BV81" s="10">
        <f>MIN('02_Данные'!AG81,BU81)</f>
        <v/>
      </c>
      <c r="BW81" s="10">
        <f>BU81-BV81</f>
        <v/>
      </c>
      <c r="BX81" s="10">
        <f>MIN('02_Данные'!AH81,BW81)</f>
        <v/>
      </c>
      <c r="BY81" s="10">
        <f>BW81-BX81</f>
        <v/>
      </c>
      <c r="BZ81" s="10">
        <f>BY81+'02_Данные'!J81</f>
        <v/>
      </c>
      <c r="CA81" s="10">
        <f>MIN('02_Данные'!AJ81,BZ81)</f>
        <v/>
      </c>
      <c r="CB81" s="10">
        <f>BZ81-CA81</f>
        <v/>
      </c>
      <c r="CC81" s="10">
        <f>MIN('02_Данные'!AK81,CB81)</f>
        <v/>
      </c>
      <c r="CD81" s="10">
        <f>CB81-CC81</f>
        <v/>
      </c>
      <c r="CE81" s="10">
        <f>MIN('02_Данные'!AL81,CD81)</f>
        <v/>
      </c>
      <c r="CF81" s="10">
        <f>CD81-CE81</f>
        <v/>
      </c>
      <c r="CG81" s="10">
        <f>MIN('02_Данные'!AQ81,CF81)</f>
        <v/>
      </c>
      <c r="CH81" s="10">
        <f>CF81-CG81</f>
        <v/>
      </c>
      <c r="CI81" s="10">
        <f>MIN('02_Данные'!AN81,CH81)</f>
        <v/>
      </c>
      <c r="CJ81" s="10">
        <f>CH81-CI81</f>
        <v/>
      </c>
      <c r="CK81" s="10">
        <f>MIN('02_Данные'!AM81,CJ81)</f>
        <v/>
      </c>
      <c r="CL81" s="10">
        <f>CJ81-CK81</f>
        <v/>
      </c>
      <c r="CM81" s="10">
        <f>MIN('02_Данные'!AO81,CL81)</f>
        <v/>
      </c>
      <c r="CN81" s="10">
        <f>CL81-CM81</f>
        <v/>
      </c>
      <c r="CO81" s="10">
        <f>MIN('02_Данные'!AP81,CN81)</f>
        <v/>
      </c>
      <c r="CP81" s="10">
        <f>CN81-CO81</f>
        <v/>
      </c>
      <c r="CQ81" s="10">
        <f>CP81+'02_Данные'!K81</f>
        <v/>
      </c>
      <c r="CR81" s="10">
        <f>MIN('02_Данные'!AR81,CQ81)</f>
        <v/>
      </c>
      <c r="CS81" s="10">
        <f>CQ81-CR81</f>
        <v/>
      </c>
      <c r="CT81" s="10">
        <f>MIN('02_Данные'!AS81,CS81)</f>
        <v/>
      </c>
      <c r="CU81" s="10">
        <f>CS81-CT81</f>
        <v/>
      </c>
      <c r="CV81" s="10">
        <f>MIN('02_Данные'!AT81,CU81)</f>
        <v/>
      </c>
      <c r="CW81" s="10">
        <f>CU81-CV81</f>
        <v/>
      </c>
      <c r="CX81" s="10">
        <f>MIN('02_Данные'!AY81,CW81)</f>
        <v/>
      </c>
      <c r="CY81" s="10">
        <f>CW81-CX81</f>
        <v/>
      </c>
      <c r="CZ81" s="10">
        <f>MIN('02_Данные'!AV81,CY81)</f>
        <v/>
      </c>
      <c r="DA81" s="10">
        <f>CY81-CZ81</f>
        <v/>
      </c>
      <c r="DB81" s="10">
        <f>MIN('02_Данные'!AU81,DA81)</f>
        <v/>
      </c>
      <c r="DC81" s="10">
        <f>DA81-DB81</f>
        <v/>
      </c>
      <c r="DD81" s="10">
        <f>MIN('02_Данные'!AW81,DC81)</f>
        <v/>
      </c>
      <c r="DE81" s="10">
        <f>DC81-DD81</f>
        <v/>
      </c>
      <c r="DF81" s="10">
        <f>MIN('02_Данные'!AX81,DE81)</f>
        <v/>
      </c>
      <c r="DG81" s="10">
        <f>DE81-DF81</f>
        <v/>
      </c>
    </row>
    <row r="82">
      <c r="A82" s="9">
        <f>'02_Данные'!B82</f>
        <v/>
      </c>
      <c r="B82" s="9">
        <f>'02_Данные'!E82</f>
        <v/>
      </c>
      <c r="C82" s="10">
        <f>'02_Данные'!F82+'02_Данные'!G82+'02_Данные'!H82+'02_Данные'!I82+'02_Данные'!J82+'02_Данные'!K82</f>
        <v/>
      </c>
      <c r="D82" s="10">
        <f>SUM('02_Данные'!L82:'02_Данные'!AY82)</f>
        <v/>
      </c>
      <c r="E82" s="10">
        <f>MAX(0,D82-C82)</f>
        <v/>
      </c>
      <c r="F82" s="15">
        <f>IF(E82&gt;0.0001,"ДЕФИЦИТ",IF(Y82&gt;0.0001,"ПРОФИЦИТ","БАЛАНС"))</f>
        <v/>
      </c>
      <c r="G82" s="10">
        <f>AB82+AS82+BJ82+CA82+CR82</f>
        <v/>
      </c>
      <c r="H82" s="10">
        <f>AD82+AU82+BL82+CC82+CT82</f>
        <v/>
      </c>
      <c r="I82" s="10">
        <f>AF82+AW82+BN82+CE82+CV82</f>
        <v/>
      </c>
      <c r="J82" s="10">
        <f>AL82+BC82+BT82+CK82+DB82</f>
        <v/>
      </c>
      <c r="K82" s="10">
        <f>AJ82+BA82+BR82+CI82+CZ82</f>
        <v/>
      </c>
      <c r="L82" s="10">
        <f>AN82+BE82+BV82+CM82+DD82</f>
        <v/>
      </c>
      <c r="M82" s="10">
        <f>AP82+BG82+BX82+CO82+DF82</f>
        <v/>
      </c>
      <c r="N82" s="10">
        <f>AH82+AY82+BP82+CG82+CX82</f>
        <v/>
      </c>
      <c r="O82" s="10">
        <f>SUM(G82:N82)</f>
        <v/>
      </c>
      <c r="P82" s="10">
        <f>IFERROR(G82*MIN(1,'01_Нормативы'!$C$4/SUM(G$2:G$429)),0)</f>
        <v/>
      </c>
      <c r="Q82" s="10">
        <f>IFERROR(H82*MIN(1,'01_Нормативы'!$C$5/SUM(H$2:H$429)),0)</f>
        <v/>
      </c>
      <c r="R82" s="10">
        <f>IFERROR(I82*MIN(1,'01_Нормативы'!$C$6/SUM(I$2:I$429)),0)</f>
        <v/>
      </c>
      <c r="S82" s="10">
        <f>IFERROR(J82*MIN(1,'01_Нормативы'!$C$7/SUM(J$2:J$429)),0)</f>
        <v/>
      </c>
      <c r="T82" s="10">
        <f>IFERROR(K82*MIN(1,'01_Нормативы'!$C$8/SUM(K$2:K$429)),0)</f>
        <v/>
      </c>
      <c r="U82" s="10">
        <f>IFERROR(L82*MIN(1,'01_Нормативы'!$C$9/SUM(L$2:L$429)),0)</f>
        <v/>
      </c>
      <c r="V82" s="10">
        <f>IFERROR(M82*MIN(1,'01_Нормативы'!$C$10/SUM(M$2:M$429)),0)</f>
        <v/>
      </c>
      <c r="W82" s="10">
        <f>IFERROR(N82*MIN(1,'01_Нормативы'!$C$11/SUM(N$2:N$429)),0)</f>
        <v/>
      </c>
      <c r="X82" s="10">
        <f>SUM(P82:W82)</f>
        <v/>
      </c>
      <c r="Y82" s="10">
        <f>MAX(0,C82-X82)</f>
        <v/>
      </c>
      <c r="Z82" s="10">
        <f>IF(D82=0,100,X82/D82*100)</f>
        <v/>
      </c>
      <c r="AA82" s="10">
        <f>'02_Данные'!F82+'02_Данные'!G82</f>
        <v/>
      </c>
      <c r="AB82" s="10">
        <f>MIN('02_Данные'!L82,AA82)</f>
        <v/>
      </c>
      <c r="AC82" s="10">
        <f>AA82-AB82</f>
        <v/>
      </c>
      <c r="AD82" s="10">
        <f>MIN('02_Данные'!M82,AC82)</f>
        <v/>
      </c>
      <c r="AE82" s="10">
        <f>AC82-AD82</f>
        <v/>
      </c>
      <c r="AF82" s="10">
        <f>MIN('02_Данные'!N82,AE82)</f>
        <v/>
      </c>
      <c r="AG82" s="10">
        <f>AE82-AF82</f>
        <v/>
      </c>
      <c r="AH82" s="10">
        <f>MIN('02_Данные'!S82,AG82)</f>
        <v/>
      </c>
      <c r="AI82" s="10">
        <f>AG82-AH82</f>
        <v/>
      </c>
      <c r="AJ82" s="10">
        <f>MIN('02_Данные'!P82,AI82)</f>
        <v/>
      </c>
      <c r="AK82" s="10">
        <f>AI82-AJ82</f>
        <v/>
      </c>
      <c r="AL82" s="10">
        <f>MIN('02_Данные'!O82,AK82)</f>
        <v/>
      </c>
      <c r="AM82" s="10">
        <f>AK82-AL82</f>
        <v/>
      </c>
      <c r="AN82" s="10">
        <f>MIN('02_Данные'!Q82,AM82)</f>
        <v/>
      </c>
      <c r="AO82" s="10">
        <f>AM82-AN82</f>
        <v/>
      </c>
      <c r="AP82" s="10">
        <f>MIN('02_Данные'!R82,AO82)</f>
        <v/>
      </c>
      <c r="AQ82" s="10">
        <f>AO82-AP82</f>
        <v/>
      </c>
      <c r="AR82" s="10">
        <f>AQ82+'02_Данные'!H82</f>
        <v/>
      </c>
      <c r="AS82" s="10">
        <f>MIN('02_Данные'!T82,AR82)</f>
        <v/>
      </c>
      <c r="AT82" s="10">
        <f>AR82-AS82</f>
        <v/>
      </c>
      <c r="AU82" s="10">
        <f>MIN('02_Данные'!U82,AT82)</f>
        <v/>
      </c>
      <c r="AV82" s="10">
        <f>AT82-AU82</f>
        <v/>
      </c>
      <c r="AW82" s="10">
        <f>MIN('02_Данные'!V82,AV82)</f>
        <v/>
      </c>
      <c r="AX82" s="10">
        <f>AV82-AW82</f>
        <v/>
      </c>
      <c r="AY82" s="10">
        <f>MIN('02_Данные'!AA82,AX82)</f>
        <v/>
      </c>
      <c r="AZ82" s="10">
        <f>AX82-AY82</f>
        <v/>
      </c>
      <c r="BA82" s="10">
        <f>MIN('02_Данные'!X82,AZ82)</f>
        <v/>
      </c>
      <c r="BB82" s="10">
        <f>AZ82-BA82</f>
        <v/>
      </c>
      <c r="BC82" s="10">
        <f>MIN('02_Данные'!W82,BB82)</f>
        <v/>
      </c>
      <c r="BD82" s="10">
        <f>BB82-BC82</f>
        <v/>
      </c>
      <c r="BE82" s="10">
        <f>MIN('02_Данные'!Y82,BD82)</f>
        <v/>
      </c>
      <c r="BF82" s="10">
        <f>BD82-BE82</f>
        <v/>
      </c>
      <c r="BG82" s="10">
        <f>MIN('02_Данные'!Z82,BF82)</f>
        <v/>
      </c>
      <c r="BH82" s="10">
        <f>BF82-BG82</f>
        <v/>
      </c>
      <c r="BI82" s="10">
        <f>BH82+'02_Данные'!I82</f>
        <v/>
      </c>
      <c r="BJ82" s="10">
        <f>MIN('02_Данные'!AB82,BI82)</f>
        <v/>
      </c>
      <c r="BK82" s="10">
        <f>BI82-BJ82</f>
        <v/>
      </c>
      <c r="BL82" s="10">
        <f>MIN('02_Данные'!AC82,BK82)</f>
        <v/>
      </c>
      <c r="BM82" s="10">
        <f>BK82-BL82</f>
        <v/>
      </c>
      <c r="BN82" s="10">
        <f>MIN('02_Данные'!AD82,BM82)</f>
        <v/>
      </c>
      <c r="BO82" s="10">
        <f>BM82-BN82</f>
        <v/>
      </c>
      <c r="BP82" s="10">
        <f>MIN('02_Данные'!AI82,BO82)</f>
        <v/>
      </c>
      <c r="BQ82" s="10">
        <f>BO82-BP82</f>
        <v/>
      </c>
      <c r="BR82" s="10">
        <f>MIN('02_Данные'!AF82,BQ82)</f>
        <v/>
      </c>
      <c r="BS82" s="10">
        <f>BQ82-BR82</f>
        <v/>
      </c>
      <c r="BT82" s="10">
        <f>MIN('02_Данные'!AE82,BS82)</f>
        <v/>
      </c>
      <c r="BU82" s="10">
        <f>BS82-BT82</f>
        <v/>
      </c>
      <c r="BV82" s="10">
        <f>MIN('02_Данные'!AG82,BU82)</f>
        <v/>
      </c>
      <c r="BW82" s="10">
        <f>BU82-BV82</f>
        <v/>
      </c>
      <c r="BX82" s="10">
        <f>MIN('02_Данные'!AH82,BW82)</f>
        <v/>
      </c>
      <c r="BY82" s="10">
        <f>BW82-BX82</f>
        <v/>
      </c>
      <c r="BZ82" s="10">
        <f>BY82+'02_Данные'!J82</f>
        <v/>
      </c>
      <c r="CA82" s="10">
        <f>MIN('02_Данные'!AJ82,BZ82)</f>
        <v/>
      </c>
      <c r="CB82" s="10">
        <f>BZ82-CA82</f>
        <v/>
      </c>
      <c r="CC82" s="10">
        <f>MIN('02_Данные'!AK82,CB82)</f>
        <v/>
      </c>
      <c r="CD82" s="10">
        <f>CB82-CC82</f>
        <v/>
      </c>
      <c r="CE82" s="10">
        <f>MIN('02_Данные'!AL82,CD82)</f>
        <v/>
      </c>
      <c r="CF82" s="10">
        <f>CD82-CE82</f>
        <v/>
      </c>
      <c r="CG82" s="10">
        <f>MIN('02_Данные'!AQ82,CF82)</f>
        <v/>
      </c>
      <c r="CH82" s="10">
        <f>CF82-CG82</f>
        <v/>
      </c>
      <c r="CI82" s="10">
        <f>MIN('02_Данные'!AN82,CH82)</f>
        <v/>
      </c>
      <c r="CJ82" s="10">
        <f>CH82-CI82</f>
        <v/>
      </c>
      <c r="CK82" s="10">
        <f>MIN('02_Данные'!AM82,CJ82)</f>
        <v/>
      </c>
      <c r="CL82" s="10">
        <f>CJ82-CK82</f>
        <v/>
      </c>
      <c r="CM82" s="10">
        <f>MIN('02_Данные'!AO82,CL82)</f>
        <v/>
      </c>
      <c r="CN82" s="10">
        <f>CL82-CM82</f>
        <v/>
      </c>
      <c r="CO82" s="10">
        <f>MIN('02_Данные'!AP82,CN82)</f>
        <v/>
      </c>
      <c r="CP82" s="10">
        <f>CN82-CO82</f>
        <v/>
      </c>
      <c r="CQ82" s="10">
        <f>CP82+'02_Данные'!K82</f>
        <v/>
      </c>
      <c r="CR82" s="10">
        <f>MIN('02_Данные'!AR82,CQ82)</f>
        <v/>
      </c>
      <c r="CS82" s="10">
        <f>CQ82-CR82</f>
        <v/>
      </c>
      <c r="CT82" s="10">
        <f>MIN('02_Данные'!AS82,CS82)</f>
        <v/>
      </c>
      <c r="CU82" s="10">
        <f>CS82-CT82</f>
        <v/>
      </c>
      <c r="CV82" s="10">
        <f>MIN('02_Данные'!AT82,CU82)</f>
        <v/>
      </c>
      <c r="CW82" s="10">
        <f>CU82-CV82</f>
        <v/>
      </c>
      <c r="CX82" s="10">
        <f>MIN('02_Данные'!AY82,CW82)</f>
        <v/>
      </c>
      <c r="CY82" s="10">
        <f>CW82-CX82</f>
        <v/>
      </c>
      <c r="CZ82" s="10">
        <f>MIN('02_Данные'!AV82,CY82)</f>
        <v/>
      </c>
      <c r="DA82" s="10">
        <f>CY82-CZ82</f>
        <v/>
      </c>
      <c r="DB82" s="10">
        <f>MIN('02_Данные'!AU82,DA82)</f>
        <v/>
      </c>
      <c r="DC82" s="10">
        <f>DA82-DB82</f>
        <v/>
      </c>
      <c r="DD82" s="10">
        <f>MIN('02_Данные'!AW82,DC82)</f>
        <v/>
      </c>
      <c r="DE82" s="10">
        <f>DC82-DD82</f>
        <v/>
      </c>
      <c r="DF82" s="10">
        <f>MIN('02_Данные'!AX82,DE82)</f>
        <v/>
      </c>
      <c r="DG82" s="10">
        <f>DE82-DF82</f>
        <v/>
      </c>
    </row>
    <row r="83">
      <c r="A83" s="9">
        <f>'02_Данные'!B83</f>
        <v/>
      </c>
      <c r="B83" s="9">
        <f>'02_Данные'!E83</f>
        <v/>
      </c>
      <c r="C83" s="10">
        <f>'02_Данные'!F83+'02_Данные'!G83+'02_Данные'!H83+'02_Данные'!I83+'02_Данные'!J83+'02_Данные'!K83</f>
        <v/>
      </c>
      <c r="D83" s="10">
        <f>SUM('02_Данные'!L83:'02_Данные'!AY83)</f>
        <v/>
      </c>
      <c r="E83" s="10">
        <f>MAX(0,D83-C83)</f>
        <v/>
      </c>
      <c r="F83" s="15">
        <f>IF(E83&gt;0.0001,"ДЕФИЦИТ",IF(Y83&gt;0.0001,"ПРОФИЦИТ","БАЛАНС"))</f>
        <v/>
      </c>
      <c r="G83" s="10">
        <f>AB83+AS83+BJ83+CA83+CR83</f>
        <v/>
      </c>
      <c r="H83" s="10">
        <f>AD83+AU83+BL83+CC83+CT83</f>
        <v/>
      </c>
      <c r="I83" s="10">
        <f>AF83+AW83+BN83+CE83+CV83</f>
        <v/>
      </c>
      <c r="J83" s="10">
        <f>AL83+BC83+BT83+CK83+DB83</f>
        <v/>
      </c>
      <c r="K83" s="10">
        <f>AJ83+BA83+BR83+CI83+CZ83</f>
        <v/>
      </c>
      <c r="L83" s="10">
        <f>AN83+BE83+BV83+CM83+DD83</f>
        <v/>
      </c>
      <c r="M83" s="10">
        <f>AP83+BG83+BX83+CO83+DF83</f>
        <v/>
      </c>
      <c r="N83" s="10">
        <f>AH83+AY83+BP83+CG83+CX83</f>
        <v/>
      </c>
      <c r="O83" s="10">
        <f>SUM(G83:N83)</f>
        <v/>
      </c>
      <c r="P83" s="10">
        <f>IFERROR(G83*MIN(1,'01_Нормативы'!$C$4/SUM(G$2:G$429)),0)</f>
        <v/>
      </c>
      <c r="Q83" s="10">
        <f>IFERROR(H83*MIN(1,'01_Нормативы'!$C$5/SUM(H$2:H$429)),0)</f>
        <v/>
      </c>
      <c r="R83" s="10">
        <f>IFERROR(I83*MIN(1,'01_Нормативы'!$C$6/SUM(I$2:I$429)),0)</f>
        <v/>
      </c>
      <c r="S83" s="10">
        <f>IFERROR(J83*MIN(1,'01_Нормативы'!$C$7/SUM(J$2:J$429)),0)</f>
        <v/>
      </c>
      <c r="T83" s="10">
        <f>IFERROR(K83*MIN(1,'01_Нормативы'!$C$8/SUM(K$2:K$429)),0)</f>
        <v/>
      </c>
      <c r="U83" s="10">
        <f>IFERROR(L83*MIN(1,'01_Нормативы'!$C$9/SUM(L$2:L$429)),0)</f>
        <v/>
      </c>
      <c r="V83" s="10">
        <f>IFERROR(M83*MIN(1,'01_Нормативы'!$C$10/SUM(M$2:M$429)),0)</f>
        <v/>
      </c>
      <c r="W83" s="10">
        <f>IFERROR(N83*MIN(1,'01_Нормативы'!$C$11/SUM(N$2:N$429)),0)</f>
        <v/>
      </c>
      <c r="X83" s="10">
        <f>SUM(P83:W83)</f>
        <v/>
      </c>
      <c r="Y83" s="10">
        <f>MAX(0,C83-X83)</f>
        <v/>
      </c>
      <c r="Z83" s="10">
        <f>IF(D83=0,100,X83/D83*100)</f>
        <v/>
      </c>
      <c r="AA83" s="10">
        <f>'02_Данные'!F83+'02_Данные'!G83</f>
        <v/>
      </c>
      <c r="AB83" s="10">
        <f>MIN('02_Данные'!L83,AA83)</f>
        <v/>
      </c>
      <c r="AC83" s="10">
        <f>AA83-AB83</f>
        <v/>
      </c>
      <c r="AD83" s="10">
        <f>MIN('02_Данные'!M83,AC83)</f>
        <v/>
      </c>
      <c r="AE83" s="10">
        <f>AC83-AD83</f>
        <v/>
      </c>
      <c r="AF83" s="10">
        <f>MIN('02_Данные'!N83,AE83)</f>
        <v/>
      </c>
      <c r="AG83" s="10">
        <f>AE83-AF83</f>
        <v/>
      </c>
      <c r="AH83" s="10">
        <f>MIN('02_Данные'!S83,AG83)</f>
        <v/>
      </c>
      <c r="AI83" s="10">
        <f>AG83-AH83</f>
        <v/>
      </c>
      <c r="AJ83" s="10">
        <f>MIN('02_Данные'!P83,AI83)</f>
        <v/>
      </c>
      <c r="AK83" s="10">
        <f>AI83-AJ83</f>
        <v/>
      </c>
      <c r="AL83" s="10">
        <f>MIN('02_Данные'!O83,AK83)</f>
        <v/>
      </c>
      <c r="AM83" s="10">
        <f>AK83-AL83</f>
        <v/>
      </c>
      <c r="AN83" s="10">
        <f>MIN('02_Данные'!Q83,AM83)</f>
        <v/>
      </c>
      <c r="AO83" s="10">
        <f>AM83-AN83</f>
        <v/>
      </c>
      <c r="AP83" s="10">
        <f>MIN('02_Данные'!R83,AO83)</f>
        <v/>
      </c>
      <c r="AQ83" s="10">
        <f>AO83-AP83</f>
        <v/>
      </c>
      <c r="AR83" s="10">
        <f>AQ83+'02_Данные'!H83</f>
        <v/>
      </c>
      <c r="AS83" s="10">
        <f>MIN('02_Данные'!T83,AR83)</f>
        <v/>
      </c>
      <c r="AT83" s="10">
        <f>AR83-AS83</f>
        <v/>
      </c>
      <c r="AU83" s="10">
        <f>MIN('02_Данные'!U83,AT83)</f>
        <v/>
      </c>
      <c r="AV83" s="10">
        <f>AT83-AU83</f>
        <v/>
      </c>
      <c r="AW83" s="10">
        <f>MIN('02_Данные'!V83,AV83)</f>
        <v/>
      </c>
      <c r="AX83" s="10">
        <f>AV83-AW83</f>
        <v/>
      </c>
      <c r="AY83" s="10">
        <f>MIN('02_Данные'!AA83,AX83)</f>
        <v/>
      </c>
      <c r="AZ83" s="10">
        <f>AX83-AY83</f>
        <v/>
      </c>
      <c r="BA83" s="10">
        <f>MIN('02_Данные'!X83,AZ83)</f>
        <v/>
      </c>
      <c r="BB83" s="10">
        <f>AZ83-BA83</f>
        <v/>
      </c>
      <c r="BC83" s="10">
        <f>MIN('02_Данные'!W83,BB83)</f>
        <v/>
      </c>
      <c r="BD83" s="10">
        <f>BB83-BC83</f>
        <v/>
      </c>
      <c r="BE83" s="10">
        <f>MIN('02_Данные'!Y83,BD83)</f>
        <v/>
      </c>
      <c r="BF83" s="10">
        <f>BD83-BE83</f>
        <v/>
      </c>
      <c r="BG83" s="10">
        <f>MIN('02_Данные'!Z83,BF83)</f>
        <v/>
      </c>
      <c r="BH83" s="10">
        <f>BF83-BG83</f>
        <v/>
      </c>
      <c r="BI83" s="10">
        <f>BH83+'02_Данные'!I83</f>
        <v/>
      </c>
      <c r="BJ83" s="10">
        <f>MIN('02_Данные'!AB83,BI83)</f>
        <v/>
      </c>
      <c r="BK83" s="10">
        <f>BI83-BJ83</f>
        <v/>
      </c>
      <c r="BL83" s="10">
        <f>MIN('02_Данные'!AC83,BK83)</f>
        <v/>
      </c>
      <c r="BM83" s="10">
        <f>BK83-BL83</f>
        <v/>
      </c>
      <c r="BN83" s="10">
        <f>MIN('02_Данные'!AD83,BM83)</f>
        <v/>
      </c>
      <c r="BO83" s="10">
        <f>BM83-BN83</f>
        <v/>
      </c>
      <c r="BP83" s="10">
        <f>MIN('02_Данные'!AI83,BO83)</f>
        <v/>
      </c>
      <c r="BQ83" s="10">
        <f>BO83-BP83</f>
        <v/>
      </c>
      <c r="BR83" s="10">
        <f>MIN('02_Данные'!AF83,BQ83)</f>
        <v/>
      </c>
      <c r="BS83" s="10">
        <f>BQ83-BR83</f>
        <v/>
      </c>
      <c r="BT83" s="10">
        <f>MIN('02_Данные'!AE83,BS83)</f>
        <v/>
      </c>
      <c r="BU83" s="10">
        <f>BS83-BT83</f>
        <v/>
      </c>
      <c r="BV83" s="10">
        <f>MIN('02_Данные'!AG83,BU83)</f>
        <v/>
      </c>
      <c r="BW83" s="10">
        <f>BU83-BV83</f>
        <v/>
      </c>
      <c r="BX83" s="10">
        <f>MIN('02_Данные'!AH83,BW83)</f>
        <v/>
      </c>
      <c r="BY83" s="10">
        <f>BW83-BX83</f>
        <v/>
      </c>
      <c r="BZ83" s="10">
        <f>BY83+'02_Данные'!J83</f>
        <v/>
      </c>
      <c r="CA83" s="10">
        <f>MIN('02_Данные'!AJ83,BZ83)</f>
        <v/>
      </c>
      <c r="CB83" s="10">
        <f>BZ83-CA83</f>
        <v/>
      </c>
      <c r="CC83" s="10">
        <f>MIN('02_Данные'!AK83,CB83)</f>
        <v/>
      </c>
      <c r="CD83" s="10">
        <f>CB83-CC83</f>
        <v/>
      </c>
      <c r="CE83" s="10">
        <f>MIN('02_Данные'!AL83,CD83)</f>
        <v/>
      </c>
      <c r="CF83" s="10">
        <f>CD83-CE83</f>
        <v/>
      </c>
      <c r="CG83" s="10">
        <f>MIN('02_Данные'!AQ83,CF83)</f>
        <v/>
      </c>
      <c r="CH83" s="10">
        <f>CF83-CG83</f>
        <v/>
      </c>
      <c r="CI83" s="10">
        <f>MIN('02_Данные'!AN83,CH83)</f>
        <v/>
      </c>
      <c r="CJ83" s="10">
        <f>CH83-CI83</f>
        <v/>
      </c>
      <c r="CK83" s="10">
        <f>MIN('02_Данные'!AM83,CJ83)</f>
        <v/>
      </c>
      <c r="CL83" s="10">
        <f>CJ83-CK83</f>
        <v/>
      </c>
      <c r="CM83" s="10">
        <f>MIN('02_Данные'!AO83,CL83)</f>
        <v/>
      </c>
      <c r="CN83" s="10">
        <f>CL83-CM83</f>
        <v/>
      </c>
      <c r="CO83" s="10">
        <f>MIN('02_Данные'!AP83,CN83)</f>
        <v/>
      </c>
      <c r="CP83" s="10">
        <f>CN83-CO83</f>
        <v/>
      </c>
      <c r="CQ83" s="10">
        <f>CP83+'02_Данные'!K83</f>
        <v/>
      </c>
      <c r="CR83" s="10">
        <f>MIN('02_Данные'!AR83,CQ83)</f>
        <v/>
      </c>
      <c r="CS83" s="10">
        <f>CQ83-CR83</f>
        <v/>
      </c>
      <c r="CT83" s="10">
        <f>MIN('02_Данные'!AS83,CS83)</f>
        <v/>
      </c>
      <c r="CU83" s="10">
        <f>CS83-CT83</f>
        <v/>
      </c>
      <c r="CV83" s="10">
        <f>MIN('02_Данные'!AT83,CU83)</f>
        <v/>
      </c>
      <c r="CW83" s="10">
        <f>CU83-CV83</f>
        <v/>
      </c>
      <c r="CX83" s="10">
        <f>MIN('02_Данные'!AY83,CW83)</f>
        <v/>
      </c>
      <c r="CY83" s="10">
        <f>CW83-CX83</f>
        <v/>
      </c>
      <c r="CZ83" s="10">
        <f>MIN('02_Данные'!AV83,CY83)</f>
        <v/>
      </c>
      <c r="DA83" s="10">
        <f>CY83-CZ83</f>
        <v/>
      </c>
      <c r="DB83" s="10">
        <f>MIN('02_Данные'!AU83,DA83)</f>
        <v/>
      </c>
      <c r="DC83" s="10">
        <f>DA83-DB83</f>
        <v/>
      </c>
      <c r="DD83" s="10">
        <f>MIN('02_Данные'!AW83,DC83)</f>
        <v/>
      </c>
      <c r="DE83" s="10">
        <f>DC83-DD83</f>
        <v/>
      </c>
      <c r="DF83" s="10">
        <f>MIN('02_Данные'!AX83,DE83)</f>
        <v/>
      </c>
      <c r="DG83" s="10">
        <f>DE83-DF83</f>
        <v/>
      </c>
    </row>
    <row r="84">
      <c r="A84" s="9">
        <f>'02_Данные'!B84</f>
        <v/>
      </c>
      <c r="B84" s="9">
        <f>'02_Данные'!E84</f>
        <v/>
      </c>
      <c r="C84" s="10">
        <f>'02_Данные'!F84+'02_Данные'!G84+'02_Данные'!H84+'02_Данные'!I84+'02_Данные'!J84+'02_Данные'!K84</f>
        <v/>
      </c>
      <c r="D84" s="10">
        <f>SUM('02_Данные'!L84:'02_Данные'!AY84)</f>
        <v/>
      </c>
      <c r="E84" s="10">
        <f>MAX(0,D84-C84)</f>
        <v/>
      </c>
      <c r="F84" s="15">
        <f>IF(E84&gt;0.0001,"ДЕФИЦИТ",IF(Y84&gt;0.0001,"ПРОФИЦИТ","БАЛАНС"))</f>
        <v/>
      </c>
      <c r="G84" s="10">
        <f>AB84+AS84+BJ84+CA84+CR84</f>
        <v/>
      </c>
      <c r="H84" s="10">
        <f>AD84+AU84+BL84+CC84+CT84</f>
        <v/>
      </c>
      <c r="I84" s="10">
        <f>AF84+AW84+BN84+CE84+CV84</f>
        <v/>
      </c>
      <c r="J84" s="10">
        <f>AL84+BC84+BT84+CK84+DB84</f>
        <v/>
      </c>
      <c r="K84" s="10">
        <f>AJ84+BA84+BR84+CI84+CZ84</f>
        <v/>
      </c>
      <c r="L84" s="10">
        <f>AN84+BE84+BV84+CM84+DD84</f>
        <v/>
      </c>
      <c r="M84" s="10">
        <f>AP84+BG84+BX84+CO84+DF84</f>
        <v/>
      </c>
      <c r="N84" s="10">
        <f>AH84+AY84+BP84+CG84+CX84</f>
        <v/>
      </c>
      <c r="O84" s="10">
        <f>SUM(G84:N84)</f>
        <v/>
      </c>
      <c r="P84" s="10">
        <f>IFERROR(G84*MIN(1,'01_Нормативы'!$C$4/SUM(G$2:G$429)),0)</f>
        <v/>
      </c>
      <c r="Q84" s="10">
        <f>IFERROR(H84*MIN(1,'01_Нормативы'!$C$5/SUM(H$2:H$429)),0)</f>
        <v/>
      </c>
      <c r="R84" s="10">
        <f>IFERROR(I84*MIN(1,'01_Нормативы'!$C$6/SUM(I$2:I$429)),0)</f>
        <v/>
      </c>
      <c r="S84" s="10">
        <f>IFERROR(J84*MIN(1,'01_Нормативы'!$C$7/SUM(J$2:J$429)),0)</f>
        <v/>
      </c>
      <c r="T84" s="10">
        <f>IFERROR(K84*MIN(1,'01_Нормативы'!$C$8/SUM(K$2:K$429)),0)</f>
        <v/>
      </c>
      <c r="U84" s="10">
        <f>IFERROR(L84*MIN(1,'01_Нормативы'!$C$9/SUM(L$2:L$429)),0)</f>
        <v/>
      </c>
      <c r="V84" s="10">
        <f>IFERROR(M84*MIN(1,'01_Нормативы'!$C$10/SUM(M$2:M$429)),0)</f>
        <v/>
      </c>
      <c r="W84" s="10">
        <f>IFERROR(N84*MIN(1,'01_Нормативы'!$C$11/SUM(N$2:N$429)),0)</f>
        <v/>
      </c>
      <c r="X84" s="10">
        <f>SUM(P84:W84)</f>
        <v/>
      </c>
      <c r="Y84" s="10">
        <f>MAX(0,C84-X84)</f>
        <v/>
      </c>
      <c r="Z84" s="10">
        <f>IF(D84=0,100,X84/D84*100)</f>
        <v/>
      </c>
      <c r="AA84" s="10">
        <f>'02_Данные'!F84+'02_Данные'!G84</f>
        <v/>
      </c>
      <c r="AB84" s="10">
        <f>MIN('02_Данные'!L84,AA84)</f>
        <v/>
      </c>
      <c r="AC84" s="10">
        <f>AA84-AB84</f>
        <v/>
      </c>
      <c r="AD84" s="10">
        <f>MIN('02_Данные'!M84,AC84)</f>
        <v/>
      </c>
      <c r="AE84" s="10">
        <f>AC84-AD84</f>
        <v/>
      </c>
      <c r="AF84" s="10">
        <f>MIN('02_Данные'!N84,AE84)</f>
        <v/>
      </c>
      <c r="AG84" s="10">
        <f>AE84-AF84</f>
        <v/>
      </c>
      <c r="AH84" s="10">
        <f>MIN('02_Данные'!S84,AG84)</f>
        <v/>
      </c>
      <c r="AI84" s="10">
        <f>AG84-AH84</f>
        <v/>
      </c>
      <c r="AJ84" s="10">
        <f>MIN('02_Данные'!P84,AI84)</f>
        <v/>
      </c>
      <c r="AK84" s="10">
        <f>AI84-AJ84</f>
        <v/>
      </c>
      <c r="AL84" s="10">
        <f>MIN('02_Данные'!O84,AK84)</f>
        <v/>
      </c>
      <c r="AM84" s="10">
        <f>AK84-AL84</f>
        <v/>
      </c>
      <c r="AN84" s="10">
        <f>MIN('02_Данные'!Q84,AM84)</f>
        <v/>
      </c>
      <c r="AO84" s="10">
        <f>AM84-AN84</f>
        <v/>
      </c>
      <c r="AP84" s="10">
        <f>MIN('02_Данные'!R84,AO84)</f>
        <v/>
      </c>
      <c r="AQ84" s="10">
        <f>AO84-AP84</f>
        <v/>
      </c>
      <c r="AR84" s="10">
        <f>AQ84+'02_Данные'!H84</f>
        <v/>
      </c>
      <c r="AS84" s="10">
        <f>MIN('02_Данные'!T84,AR84)</f>
        <v/>
      </c>
      <c r="AT84" s="10">
        <f>AR84-AS84</f>
        <v/>
      </c>
      <c r="AU84" s="10">
        <f>MIN('02_Данные'!U84,AT84)</f>
        <v/>
      </c>
      <c r="AV84" s="10">
        <f>AT84-AU84</f>
        <v/>
      </c>
      <c r="AW84" s="10">
        <f>MIN('02_Данные'!V84,AV84)</f>
        <v/>
      </c>
      <c r="AX84" s="10">
        <f>AV84-AW84</f>
        <v/>
      </c>
      <c r="AY84" s="10">
        <f>MIN('02_Данные'!AA84,AX84)</f>
        <v/>
      </c>
      <c r="AZ84" s="10">
        <f>AX84-AY84</f>
        <v/>
      </c>
      <c r="BA84" s="10">
        <f>MIN('02_Данные'!X84,AZ84)</f>
        <v/>
      </c>
      <c r="BB84" s="10">
        <f>AZ84-BA84</f>
        <v/>
      </c>
      <c r="BC84" s="10">
        <f>MIN('02_Данные'!W84,BB84)</f>
        <v/>
      </c>
      <c r="BD84" s="10">
        <f>BB84-BC84</f>
        <v/>
      </c>
      <c r="BE84" s="10">
        <f>MIN('02_Данные'!Y84,BD84)</f>
        <v/>
      </c>
      <c r="BF84" s="10">
        <f>BD84-BE84</f>
        <v/>
      </c>
      <c r="BG84" s="10">
        <f>MIN('02_Данные'!Z84,BF84)</f>
        <v/>
      </c>
      <c r="BH84" s="10">
        <f>BF84-BG84</f>
        <v/>
      </c>
      <c r="BI84" s="10">
        <f>BH84+'02_Данные'!I84</f>
        <v/>
      </c>
      <c r="BJ84" s="10">
        <f>MIN('02_Данные'!AB84,BI84)</f>
        <v/>
      </c>
      <c r="BK84" s="10">
        <f>BI84-BJ84</f>
        <v/>
      </c>
      <c r="BL84" s="10">
        <f>MIN('02_Данные'!AC84,BK84)</f>
        <v/>
      </c>
      <c r="BM84" s="10">
        <f>BK84-BL84</f>
        <v/>
      </c>
      <c r="BN84" s="10">
        <f>MIN('02_Данные'!AD84,BM84)</f>
        <v/>
      </c>
      <c r="BO84" s="10">
        <f>BM84-BN84</f>
        <v/>
      </c>
      <c r="BP84" s="10">
        <f>MIN('02_Данные'!AI84,BO84)</f>
        <v/>
      </c>
      <c r="BQ84" s="10">
        <f>BO84-BP84</f>
        <v/>
      </c>
      <c r="BR84" s="10">
        <f>MIN('02_Данные'!AF84,BQ84)</f>
        <v/>
      </c>
      <c r="BS84" s="10">
        <f>BQ84-BR84</f>
        <v/>
      </c>
      <c r="BT84" s="10">
        <f>MIN('02_Данные'!AE84,BS84)</f>
        <v/>
      </c>
      <c r="BU84" s="10">
        <f>BS84-BT84</f>
        <v/>
      </c>
      <c r="BV84" s="10">
        <f>MIN('02_Данные'!AG84,BU84)</f>
        <v/>
      </c>
      <c r="BW84" s="10">
        <f>BU84-BV84</f>
        <v/>
      </c>
      <c r="BX84" s="10">
        <f>MIN('02_Данные'!AH84,BW84)</f>
        <v/>
      </c>
      <c r="BY84" s="10">
        <f>BW84-BX84</f>
        <v/>
      </c>
      <c r="BZ84" s="10">
        <f>BY84+'02_Данные'!J84</f>
        <v/>
      </c>
      <c r="CA84" s="10">
        <f>MIN('02_Данные'!AJ84,BZ84)</f>
        <v/>
      </c>
      <c r="CB84" s="10">
        <f>BZ84-CA84</f>
        <v/>
      </c>
      <c r="CC84" s="10">
        <f>MIN('02_Данные'!AK84,CB84)</f>
        <v/>
      </c>
      <c r="CD84" s="10">
        <f>CB84-CC84</f>
        <v/>
      </c>
      <c r="CE84" s="10">
        <f>MIN('02_Данные'!AL84,CD84)</f>
        <v/>
      </c>
      <c r="CF84" s="10">
        <f>CD84-CE84</f>
        <v/>
      </c>
      <c r="CG84" s="10">
        <f>MIN('02_Данные'!AQ84,CF84)</f>
        <v/>
      </c>
      <c r="CH84" s="10">
        <f>CF84-CG84</f>
        <v/>
      </c>
      <c r="CI84" s="10">
        <f>MIN('02_Данные'!AN84,CH84)</f>
        <v/>
      </c>
      <c r="CJ84" s="10">
        <f>CH84-CI84</f>
        <v/>
      </c>
      <c r="CK84" s="10">
        <f>MIN('02_Данные'!AM84,CJ84)</f>
        <v/>
      </c>
      <c r="CL84" s="10">
        <f>CJ84-CK84</f>
        <v/>
      </c>
      <c r="CM84" s="10">
        <f>MIN('02_Данные'!AO84,CL84)</f>
        <v/>
      </c>
      <c r="CN84" s="10">
        <f>CL84-CM84</f>
        <v/>
      </c>
      <c r="CO84" s="10">
        <f>MIN('02_Данные'!AP84,CN84)</f>
        <v/>
      </c>
      <c r="CP84" s="10">
        <f>CN84-CO84</f>
        <v/>
      </c>
      <c r="CQ84" s="10">
        <f>CP84+'02_Данные'!K84</f>
        <v/>
      </c>
      <c r="CR84" s="10">
        <f>MIN('02_Данные'!AR84,CQ84)</f>
        <v/>
      </c>
      <c r="CS84" s="10">
        <f>CQ84-CR84</f>
        <v/>
      </c>
      <c r="CT84" s="10">
        <f>MIN('02_Данные'!AS84,CS84)</f>
        <v/>
      </c>
      <c r="CU84" s="10">
        <f>CS84-CT84</f>
        <v/>
      </c>
      <c r="CV84" s="10">
        <f>MIN('02_Данные'!AT84,CU84)</f>
        <v/>
      </c>
      <c r="CW84" s="10">
        <f>CU84-CV84</f>
        <v/>
      </c>
      <c r="CX84" s="10">
        <f>MIN('02_Данные'!AY84,CW84)</f>
        <v/>
      </c>
      <c r="CY84" s="10">
        <f>CW84-CX84</f>
        <v/>
      </c>
      <c r="CZ84" s="10">
        <f>MIN('02_Данные'!AV84,CY84)</f>
        <v/>
      </c>
      <c r="DA84" s="10">
        <f>CY84-CZ84</f>
        <v/>
      </c>
      <c r="DB84" s="10">
        <f>MIN('02_Данные'!AU84,DA84)</f>
        <v/>
      </c>
      <c r="DC84" s="10">
        <f>DA84-DB84</f>
        <v/>
      </c>
      <c r="DD84" s="10">
        <f>MIN('02_Данные'!AW84,DC84)</f>
        <v/>
      </c>
      <c r="DE84" s="10">
        <f>DC84-DD84</f>
        <v/>
      </c>
      <c r="DF84" s="10">
        <f>MIN('02_Данные'!AX84,DE84)</f>
        <v/>
      </c>
      <c r="DG84" s="10">
        <f>DE84-DF84</f>
        <v/>
      </c>
    </row>
    <row r="85">
      <c r="A85" s="9">
        <f>'02_Данные'!B85</f>
        <v/>
      </c>
      <c r="B85" s="9">
        <f>'02_Данные'!E85</f>
        <v/>
      </c>
      <c r="C85" s="10">
        <f>'02_Данные'!F85+'02_Данные'!G85+'02_Данные'!H85+'02_Данные'!I85+'02_Данные'!J85+'02_Данные'!K85</f>
        <v/>
      </c>
      <c r="D85" s="10">
        <f>SUM('02_Данные'!L85:'02_Данные'!AY85)</f>
        <v/>
      </c>
      <c r="E85" s="10">
        <f>MAX(0,D85-C85)</f>
        <v/>
      </c>
      <c r="F85" s="15">
        <f>IF(E85&gt;0.0001,"ДЕФИЦИТ",IF(Y85&gt;0.0001,"ПРОФИЦИТ","БАЛАНС"))</f>
        <v/>
      </c>
      <c r="G85" s="10">
        <f>AB85+AS85+BJ85+CA85+CR85</f>
        <v/>
      </c>
      <c r="H85" s="10">
        <f>AD85+AU85+BL85+CC85+CT85</f>
        <v/>
      </c>
      <c r="I85" s="10">
        <f>AF85+AW85+BN85+CE85+CV85</f>
        <v/>
      </c>
      <c r="J85" s="10">
        <f>AL85+BC85+BT85+CK85+DB85</f>
        <v/>
      </c>
      <c r="K85" s="10">
        <f>AJ85+BA85+BR85+CI85+CZ85</f>
        <v/>
      </c>
      <c r="L85" s="10">
        <f>AN85+BE85+BV85+CM85+DD85</f>
        <v/>
      </c>
      <c r="M85" s="10">
        <f>AP85+BG85+BX85+CO85+DF85</f>
        <v/>
      </c>
      <c r="N85" s="10">
        <f>AH85+AY85+BP85+CG85+CX85</f>
        <v/>
      </c>
      <c r="O85" s="10">
        <f>SUM(G85:N85)</f>
        <v/>
      </c>
      <c r="P85" s="10">
        <f>IFERROR(G85*MIN(1,'01_Нормативы'!$C$4/SUM(G$2:G$429)),0)</f>
        <v/>
      </c>
      <c r="Q85" s="10">
        <f>IFERROR(H85*MIN(1,'01_Нормативы'!$C$5/SUM(H$2:H$429)),0)</f>
        <v/>
      </c>
      <c r="R85" s="10">
        <f>IFERROR(I85*MIN(1,'01_Нормативы'!$C$6/SUM(I$2:I$429)),0)</f>
        <v/>
      </c>
      <c r="S85" s="10">
        <f>IFERROR(J85*MIN(1,'01_Нормативы'!$C$7/SUM(J$2:J$429)),0)</f>
        <v/>
      </c>
      <c r="T85" s="10">
        <f>IFERROR(K85*MIN(1,'01_Нормативы'!$C$8/SUM(K$2:K$429)),0)</f>
        <v/>
      </c>
      <c r="U85" s="10">
        <f>IFERROR(L85*MIN(1,'01_Нормативы'!$C$9/SUM(L$2:L$429)),0)</f>
        <v/>
      </c>
      <c r="V85" s="10">
        <f>IFERROR(M85*MIN(1,'01_Нормативы'!$C$10/SUM(M$2:M$429)),0)</f>
        <v/>
      </c>
      <c r="W85" s="10">
        <f>IFERROR(N85*MIN(1,'01_Нормативы'!$C$11/SUM(N$2:N$429)),0)</f>
        <v/>
      </c>
      <c r="X85" s="10">
        <f>SUM(P85:W85)</f>
        <v/>
      </c>
      <c r="Y85" s="10">
        <f>MAX(0,C85-X85)</f>
        <v/>
      </c>
      <c r="Z85" s="10">
        <f>IF(D85=0,100,X85/D85*100)</f>
        <v/>
      </c>
      <c r="AA85" s="10">
        <f>'02_Данные'!F85+'02_Данные'!G85</f>
        <v/>
      </c>
      <c r="AB85" s="10">
        <f>MIN('02_Данные'!L85,AA85)</f>
        <v/>
      </c>
      <c r="AC85" s="10">
        <f>AA85-AB85</f>
        <v/>
      </c>
      <c r="AD85" s="10">
        <f>MIN('02_Данные'!M85,AC85)</f>
        <v/>
      </c>
      <c r="AE85" s="10">
        <f>AC85-AD85</f>
        <v/>
      </c>
      <c r="AF85" s="10">
        <f>MIN('02_Данные'!N85,AE85)</f>
        <v/>
      </c>
      <c r="AG85" s="10">
        <f>AE85-AF85</f>
        <v/>
      </c>
      <c r="AH85" s="10">
        <f>MIN('02_Данные'!S85,AG85)</f>
        <v/>
      </c>
      <c r="AI85" s="10">
        <f>AG85-AH85</f>
        <v/>
      </c>
      <c r="AJ85" s="10">
        <f>MIN('02_Данные'!P85,AI85)</f>
        <v/>
      </c>
      <c r="AK85" s="10">
        <f>AI85-AJ85</f>
        <v/>
      </c>
      <c r="AL85" s="10">
        <f>MIN('02_Данные'!O85,AK85)</f>
        <v/>
      </c>
      <c r="AM85" s="10">
        <f>AK85-AL85</f>
        <v/>
      </c>
      <c r="AN85" s="10">
        <f>MIN('02_Данные'!Q85,AM85)</f>
        <v/>
      </c>
      <c r="AO85" s="10">
        <f>AM85-AN85</f>
        <v/>
      </c>
      <c r="AP85" s="10">
        <f>MIN('02_Данные'!R85,AO85)</f>
        <v/>
      </c>
      <c r="AQ85" s="10">
        <f>AO85-AP85</f>
        <v/>
      </c>
      <c r="AR85" s="10">
        <f>AQ85+'02_Данные'!H85</f>
        <v/>
      </c>
      <c r="AS85" s="10">
        <f>MIN('02_Данные'!T85,AR85)</f>
        <v/>
      </c>
      <c r="AT85" s="10">
        <f>AR85-AS85</f>
        <v/>
      </c>
      <c r="AU85" s="10">
        <f>MIN('02_Данные'!U85,AT85)</f>
        <v/>
      </c>
      <c r="AV85" s="10">
        <f>AT85-AU85</f>
        <v/>
      </c>
      <c r="AW85" s="10">
        <f>MIN('02_Данные'!V85,AV85)</f>
        <v/>
      </c>
      <c r="AX85" s="10">
        <f>AV85-AW85</f>
        <v/>
      </c>
      <c r="AY85" s="10">
        <f>MIN('02_Данные'!AA85,AX85)</f>
        <v/>
      </c>
      <c r="AZ85" s="10">
        <f>AX85-AY85</f>
        <v/>
      </c>
      <c r="BA85" s="10">
        <f>MIN('02_Данные'!X85,AZ85)</f>
        <v/>
      </c>
      <c r="BB85" s="10">
        <f>AZ85-BA85</f>
        <v/>
      </c>
      <c r="BC85" s="10">
        <f>MIN('02_Данные'!W85,BB85)</f>
        <v/>
      </c>
      <c r="BD85" s="10">
        <f>BB85-BC85</f>
        <v/>
      </c>
      <c r="BE85" s="10">
        <f>MIN('02_Данные'!Y85,BD85)</f>
        <v/>
      </c>
      <c r="BF85" s="10">
        <f>BD85-BE85</f>
        <v/>
      </c>
      <c r="BG85" s="10">
        <f>MIN('02_Данные'!Z85,BF85)</f>
        <v/>
      </c>
      <c r="BH85" s="10">
        <f>BF85-BG85</f>
        <v/>
      </c>
      <c r="BI85" s="10">
        <f>BH85+'02_Данные'!I85</f>
        <v/>
      </c>
      <c r="BJ85" s="10">
        <f>MIN('02_Данные'!AB85,BI85)</f>
        <v/>
      </c>
      <c r="BK85" s="10">
        <f>BI85-BJ85</f>
        <v/>
      </c>
      <c r="BL85" s="10">
        <f>MIN('02_Данные'!AC85,BK85)</f>
        <v/>
      </c>
      <c r="BM85" s="10">
        <f>BK85-BL85</f>
        <v/>
      </c>
      <c r="BN85" s="10">
        <f>MIN('02_Данные'!AD85,BM85)</f>
        <v/>
      </c>
      <c r="BO85" s="10">
        <f>BM85-BN85</f>
        <v/>
      </c>
      <c r="BP85" s="10">
        <f>MIN('02_Данные'!AI85,BO85)</f>
        <v/>
      </c>
      <c r="BQ85" s="10">
        <f>BO85-BP85</f>
        <v/>
      </c>
      <c r="BR85" s="10">
        <f>MIN('02_Данные'!AF85,BQ85)</f>
        <v/>
      </c>
      <c r="BS85" s="10">
        <f>BQ85-BR85</f>
        <v/>
      </c>
      <c r="BT85" s="10">
        <f>MIN('02_Данные'!AE85,BS85)</f>
        <v/>
      </c>
      <c r="BU85" s="10">
        <f>BS85-BT85</f>
        <v/>
      </c>
      <c r="BV85" s="10">
        <f>MIN('02_Данные'!AG85,BU85)</f>
        <v/>
      </c>
      <c r="BW85" s="10">
        <f>BU85-BV85</f>
        <v/>
      </c>
      <c r="BX85" s="10">
        <f>MIN('02_Данные'!AH85,BW85)</f>
        <v/>
      </c>
      <c r="BY85" s="10">
        <f>BW85-BX85</f>
        <v/>
      </c>
      <c r="BZ85" s="10">
        <f>BY85+'02_Данные'!J85</f>
        <v/>
      </c>
      <c r="CA85" s="10">
        <f>MIN('02_Данные'!AJ85,BZ85)</f>
        <v/>
      </c>
      <c r="CB85" s="10">
        <f>BZ85-CA85</f>
        <v/>
      </c>
      <c r="CC85" s="10">
        <f>MIN('02_Данные'!AK85,CB85)</f>
        <v/>
      </c>
      <c r="CD85" s="10">
        <f>CB85-CC85</f>
        <v/>
      </c>
      <c r="CE85" s="10">
        <f>MIN('02_Данные'!AL85,CD85)</f>
        <v/>
      </c>
      <c r="CF85" s="10">
        <f>CD85-CE85</f>
        <v/>
      </c>
      <c r="CG85" s="10">
        <f>MIN('02_Данные'!AQ85,CF85)</f>
        <v/>
      </c>
      <c r="CH85" s="10">
        <f>CF85-CG85</f>
        <v/>
      </c>
      <c r="CI85" s="10">
        <f>MIN('02_Данные'!AN85,CH85)</f>
        <v/>
      </c>
      <c r="CJ85" s="10">
        <f>CH85-CI85</f>
        <v/>
      </c>
      <c r="CK85" s="10">
        <f>MIN('02_Данные'!AM85,CJ85)</f>
        <v/>
      </c>
      <c r="CL85" s="10">
        <f>CJ85-CK85</f>
        <v/>
      </c>
      <c r="CM85" s="10">
        <f>MIN('02_Данные'!AO85,CL85)</f>
        <v/>
      </c>
      <c r="CN85" s="10">
        <f>CL85-CM85</f>
        <v/>
      </c>
      <c r="CO85" s="10">
        <f>MIN('02_Данные'!AP85,CN85)</f>
        <v/>
      </c>
      <c r="CP85" s="10">
        <f>CN85-CO85</f>
        <v/>
      </c>
      <c r="CQ85" s="10">
        <f>CP85+'02_Данные'!K85</f>
        <v/>
      </c>
      <c r="CR85" s="10">
        <f>MIN('02_Данные'!AR85,CQ85)</f>
        <v/>
      </c>
      <c r="CS85" s="10">
        <f>CQ85-CR85</f>
        <v/>
      </c>
      <c r="CT85" s="10">
        <f>MIN('02_Данные'!AS85,CS85)</f>
        <v/>
      </c>
      <c r="CU85" s="10">
        <f>CS85-CT85</f>
        <v/>
      </c>
      <c r="CV85" s="10">
        <f>MIN('02_Данные'!AT85,CU85)</f>
        <v/>
      </c>
      <c r="CW85" s="10">
        <f>CU85-CV85</f>
        <v/>
      </c>
      <c r="CX85" s="10">
        <f>MIN('02_Данные'!AY85,CW85)</f>
        <v/>
      </c>
      <c r="CY85" s="10">
        <f>CW85-CX85</f>
        <v/>
      </c>
      <c r="CZ85" s="10">
        <f>MIN('02_Данные'!AV85,CY85)</f>
        <v/>
      </c>
      <c r="DA85" s="10">
        <f>CY85-CZ85</f>
        <v/>
      </c>
      <c r="DB85" s="10">
        <f>MIN('02_Данные'!AU85,DA85)</f>
        <v/>
      </c>
      <c r="DC85" s="10">
        <f>DA85-DB85</f>
        <v/>
      </c>
      <c r="DD85" s="10">
        <f>MIN('02_Данные'!AW85,DC85)</f>
        <v/>
      </c>
      <c r="DE85" s="10">
        <f>DC85-DD85</f>
        <v/>
      </c>
      <c r="DF85" s="10">
        <f>MIN('02_Данные'!AX85,DE85)</f>
        <v/>
      </c>
      <c r="DG85" s="10">
        <f>DE85-DF85</f>
        <v/>
      </c>
    </row>
    <row r="86">
      <c r="A86" s="9">
        <f>'02_Данные'!B86</f>
        <v/>
      </c>
      <c r="B86" s="9">
        <f>'02_Данные'!E86</f>
        <v/>
      </c>
      <c r="C86" s="10">
        <f>'02_Данные'!F86+'02_Данные'!G86+'02_Данные'!H86+'02_Данные'!I86+'02_Данные'!J86+'02_Данные'!K86</f>
        <v/>
      </c>
      <c r="D86" s="10">
        <f>SUM('02_Данные'!L86:'02_Данные'!AY86)</f>
        <v/>
      </c>
      <c r="E86" s="10">
        <f>MAX(0,D86-C86)</f>
        <v/>
      </c>
      <c r="F86" s="15">
        <f>IF(E86&gt;0.0001,"ДЕФИЦИТ",IF(Y86&gt;0.0001,"ПРОФИЦИТ","БАЛАНС"))</f>
        <v/>
      </c>
      <c r="G86" s="10">
        <f>AB86+AS86+BJ86+CA86+CR86</f>
        <v/>
      </c>
      <c r="H86" s="10">
        <f>AD86+AU86+BL86+CC86+CT86</f>
        <v/>
      </c>
      <c r="I86" s="10">
        <f>AF86+AW86+BN86+CE86+CV86</f>
        <v/>
      </c>
      <c r="J86" s="10">
        <f>AL86+BC86+BT86+CK86+DB86</f>
        <v/>
      </c>
      <c r="K86" s="10">
        <f>AJ86+BA86+BR86+CI86+CZ86</f>
        <v/>
      </c>
      <c r="L86" s="10">
        <f>AN86+BE86+BV86+CM86+DD86</f>
        <v/>
      </c>
      <c r="M86" s="10">
        <f>AP86+BG86+BX86+CO86+DF86</f>
        <v/>
      </c>
      <c r="N86" s="10">
        <f>AH86+AY86+BP86+CG86+CX86</f>
        <v/>
      </c>
      <c r="O86" s="10">
        <f>SUM(G86:N86)</f>
        <v/>
      </c>
      <c r="P86" s="10">
        <f>IFERROR(G86*MIN(1,'01_Нормативы'!$C$4/SUM(G$2:G$429)),0)</f>
        <v/>
      </c>
      <c r="Q86" s="10">
        <f>IFERROR(H86*MIN(1,'01_Нормативы'!$C$5/SUM(H$2:H$429)),0)</f>
        <v/>
      </c>
      <c r="R86" s="10">
        <f>IFERROR(I86*MIN(1,'01_Нормативы'!$C$6/SUM(I$2:I$429)),0)</f>
        <v/>
      </c>
      <c r="S86" s="10">
        <f>IFERROR(J86*MIN(1,'01_Нормативы'!$C$7/SUM(J$2:J$429)),0)</f>
        <v/>
      </c>
      <c r="T86" s="10">
        <f>IFERROR(K86*MIN(1,'01_Нормативы'!$C$8/SUM(K$2:K$429)),0)</f>
        <v/>
      </c>
      <c r="U86" s="10">
        <f>IFERROR(L86*MIN(1,'01_Нормативы'!$C$9/SUM(L$2:L$429)),0)</f>
        <v/>
      </c>
      <c r="V86" s="10">
        <f>IFERROR(M86*MIN(1,'01_Нормативы'!$C$10/SUM(M$2:M$429)),0)</f>
        <v/>
      </c>
      <c r="W86" s="10">
        <f>IFERROR(N86*MIN(1,'01_Нормативы'!$C$11/SUM(N$2:N$429)),0)</f>
        <v/>
      </c>
      <c r="X86" s="10">
        <f>SUM(P86:W86)</f>
        <v/>
      </c>
      <c r="Y86" s="10">
        <f>MAX(0,C86-X86)</f>
        <v/>
      </c>
      <c r="Z86" s="10">
        <f>IF(D86=0,100,X86/D86*100)</f>
        <v/>
      </c>
      <c r="AA86" s="10">
        <f>'02_Данные'!F86+'02_Данные'!G86</f>
        <v/>
      </c>
      <c r="AB86" s="10">
        <f>MIN('02_Данные'!L86,AA86)</f>
        <v/>
      </c>
      <c r="AC86" s="10">
        <f>AA86-AB86</f>
        <v/>
      </c>
      <c r="AD86" s="10">
        <f>MIN('02_Данные'!M86,AC86)</f>
        <v/>
      </c>
      <c r="AE86" s="10">
        <f>AC86-AD86</f>
        <v/>
      </c>
      <c r="AF86" s="10">
        <f>MIN('02_Данные'!N86,AE86)</f>
        <v/>
      </c>
      <c r="AG86" s="10">
        <f>AE86-AF86</f>
        <v/>
      </c>
      <c r="AH86" s="10">
        <f>MIN('02_Данные'!S86,AG86)</f>
        <v/>
      </c>
      <c r="AI86" s="10">
        <f>AG86-AH86</f>
        <v/>
      </c>
      <c r="AJ86" s="10">
        <f>MIN('02_Данные'!P86,AI86)</f>
        <v/>
      </c>
      <c r="AK86" s="10">
        <f>AI86-AJ86</f>
        <v/>
      </c>
      <c r="AL86" s="10">
        <f>MIN('02_Данные'!O86,AK86)</f>
        <v/>
      </c>
      <c r="AM86" s="10">
        <f>AK86-AL86</f>
        <v/>
      </c>
      <c r="AN86" s="10">
        <f>MIN('02_Данные'!Q86,AM86)</f>
        <v/>
      </c>
      <c r="AO86" s="10">
        <f>AM86-AN86</f>
        <v/>
      </c>
      <c r="AP86" s="10">
        <f>MIN('02_Данные'!R86,AO86)</f>
        <v/>
      </c>
      <c r="AQ86" s="10">
        <f>AO86-AP86</f>
        <v/>
      </c>
      <c r="AR86" s="10">
        <f>AQ86+'02_Данные'!H86</f>
        <v/>
      </c>
      <c r="AS86" s="10">
        <f>MIN('02_Данные'!T86,AR86)</f>
        <v/>
      </c>
      <c r="AT86" s="10">
        <f>AR86-AS86</f>
        <v/>
      </c>
      <c r="AU86" s="10">
        <f>MIN('02_Данные'!U86,AT86)</f>
        <v/>
      </c>
      <c r="AV86" s="10">
        <f>AT86-AU86</f>
        <v/>
      </c>
      <c r="AW86" s="10">
        <f>MIN('02_Данные'!V86,AV86)</f>
        <v/>
      </c>
      <c r="AX86" s="10">
        <f>AV86-AW86</f>
        <v/>
      </c>
      <c r="AY86" s="10">
        <f>MIN('02_Данные'!AA86,AX86)</f>
        <v/>
      </c>
      <c r="AZ86" s="10">
        <f>AX86-AY86</f>
        <v/>
      </c>
      <c r="BA86" s="10">
        <f>MIN('02_Данные'!X86,AZ86)</f>
        <v/>
      </c>
      <c r="BB86" s="10">
        <f>AZ86-BA86</f>
        <v/>
      </c>
      <c r="BC86" s="10">
        <f>MIN('02_Данные'!W86,BB86)</f>
        <v/>
      </c>
      <c r="BD86" s="10">
        <f>BB86-BC86</f>
        <v/>
      </c>
      <c r="BE86" s="10">
        <f>MIN('02_Данные'!Y86,BD86)</f>
        <v/>
      </c>
      <c r="BF86" s="10">
        <f>BD86-BE86</f>
        <v/>
      </c>
      <c r="BG86" s="10">
        <f>MIN('02_Данные'!Z86,BF86)</f>
        <v/>
      </c>
      <c r="BH86" s="10">
        <f>BF86-BG86</f>
        <v/>
      </c>
      <c r="BI86" s="10">
        <f>BH86+'02_Данные'!I86</f>
        <v/>
      </c>
      <c r="BJ86" s="10">
        <f>MIN('02_Данные'!AB86,BI86)</f>
        <v/>
      </c>
      <c r="BK86" s="10">
        <f>BI86-BJ86</f>
        <v/>
      </c>
      <c r="BL86" s="10">
        <f>MIN('02_Данные'!AC86,BK86)</f>
        <v/>
      </c>
      <c r="BM86" s="10">
        <f>BK86-BL86</f>
        <v/>
      </c>
      <c r="BN86" s="10">
        <f>MIN('02_Данные'!AD86,BM86)</f>
        <v/>
      </c>
      <c r="BO86" s="10">
        <f>BM86-BN86</f>
        <v/>
      </c>
      <c r="BP86" s="10">
        <f>MIN('02_Данные'!AI86,BO86)</f>
        <v/>
      </c>
      <c r="BQ86" s="10">
        <f>BO86-BP86</f>
        <v/>
      </c>
      <c r="BR86" s="10">
        <f>MIN('02_Данные'!AF86,BQ86)</f>
        <v/>
      </c>
      <c r="BS86" s="10">
        <f>BQ86-BR86</f>
        <v/>
      </c>
      <c r="BT86" s="10">
        <f>MIN('02_Данные'!AE86,BS86)</f>
        <v/>
      </c>
      <c r="BU86" s="10">
        <f>BS86-BT86</f>
        <v/>
      </c>
      <c r="BV86" s="10">
        <f>MIN('02_Данные'!AG86,BU86)</f>
        <v/>
      </c>
      <c r="BW86" s="10">
        <f>BU86-BV86</f>
        <v/>
      </c>
      <c r="BX86" s="10">
        <f>MIN('02_Данные'!AH86,BW86)</f>
        <v/>
      </c>
      <c r="BY86" s="10">
        <f>BW86-BX86</f>
        <v/>
      </c>
      <c r="BZ86" s="10">
        <f>BY86+'02_Данные'!J86</f>
        <v/>
      </c>
      <c r="CA86" s="10">
        <f>MIN('02_Данные'!AJ86,BZ86)</f>
        <v/>
      </c>
      <c r="CB86" s="10">
        <f>BZ86-CA86</f>
        <v/>
      </c>
      <c r="CC86" s="10">
        <f>MIN('02_Данные'!AK86,CB86)</f>
        <v/>
      </c>
      <c r="CD86" s="10">
        <f>CB86-CC86</f>
        <v/>
      </c>
      <c r="CE86" s="10">
        <f>MIN('02_Данные'!AL86,CD86)</f>
        <v/>
      </c>
      <c r="CF86" s="10">
        <f>CD86-CE86</f>
        <v/>
      </c>
      <c r="CG86" s="10">
        <f>MIN('02_Данные'!AQ86,CF86)</f>
        <v/>
      </c>
      <c r="CH86" s="10">
        <f>CF86-CG86</f>
        <v/>
      </c>
      <c r="CI86" s="10">
        <f>MIN('02_Данные'!AN86,CH86)</f>
        <v/>
      </c>
      <c r="CJ86" s="10">
        <f>CH86-CI86</f>
        <v/>
      </c>
      <c r="CK86" s="10">
        <f>MIN('02_Данные'!AM86,CJ86)</f>
        <v/>
      </c>
      <c r="CL86" s="10">
        <f>CJ86-CK86</f>
        <v/>
      </c>
      <c r="CM86" s="10">
        <f>MIN('02_Данные'!AO86,CL86)</f>
        <v/>
      </c>
      <c r="CN86" s="10">
        <f>CL86-CM86</f>
        <v/>
      </c>
      <c r="CO86" s="10">
        <f>MIN('02_Данные'!AP86,CN86)</f>
        <v/>
      </c>
      <c r="CP86" s="10">
        <f>CN86-CO86</f>
        <v/>
      </c>
      <c r="CQ86" s="10">
        <f>CP86+'02_Данные'!K86</f>
        <v/>
      </c>
      <c r="CR86" s="10">
        <f>MIN('02_Данные'!AR86,CQ86)</f>
        <v/>
      </c>
      <c r="CS86" s="10">
        <f>CQ86-CR86</f>
        <v/>
      </c>
      <c r="CT86" s="10">
        <f>MIN('02_Данные'!AS86,CS86)</f>
        <v/>
      </c>
      <c r="CU86" s="10">
        <f>CS86-CT86</f>
        <v/>
      </c>
      <c r="CV86" s="10">
        <f>MIN('02_Данные'!AT86,CU86)</f>
        <v/>
      </c>
      <c r="CW86" s="10">
        <f>CU86-CV86</f>
        <v/>
      </c>
      <c r="CX86" s="10">
        <f>MIN('02_Данные'!AY86,CW86)</f>
        <v/>
      </c>
      <c r="CY86" s="10">
        <f>CW86-CX86</f>
        <v/>
      </c>
      <c r="CZ86" s="10">
        <f>MIN('02_Данные'!AV86,CY86)</f>
        <v/>
      </c>
      <c r="DA86" s="10">
        <f>CY86-CZ86</f>
        <v/>
      </c>
      <c r="DB86" s="10">
        <f>MIN('02_Данные'!AU86,DA86)</f>
        <v/>
      </c>
      <c r="DC86" s="10">
        <f>DA86-DB86</f>
        <v/>
      </c>
      <c r="DD86" s="10">
        <f>MIN('02_Данные'!AW86,DC86)</f>
        <v/>
      </c>
      <c r="DE86" s="10">
        <f>DC86-DD86</f>
        <v/>
      </c>
      <c r="DF86" s="10">
        <f>MIN('02_Данные'!AX86,DE86)</f>
        <v/>
      </c>
      <c r="DG86" s="10">
        <f>DE86-DF86</f>
        <v/>
      </c>
    </row>
    <row r="87">
      <c r="A87" s="9">
        <f>'02_Данные'!B87</f>
        <v/>
      </c>
      <c r="B87" s="9">
        <f>'02_Данные'!E87</f>
        <v/>
      </c>
      <c r="C87" s="10">
        <f>'02_Данные'!F87+'02_Данные'!G87+'02_Данные'!H87+'02_Данные'!I87+'02_Данные'!J87+'02_Данные'!K87</f>
        <v/>
      </c>
      <c r="D87" s="10">
        <f>SUM('02_Данные'!L87:'02_Данные'!AY87)</f>
        <v/>
      </c>
      <c r="E87" s="10">
        <f>MAX(0,D87-C87)</f>
        <v/>
      </c>
      <c r="F87" s="15">
        <f>IF(E87&gt;0.0001,"ДЕФИЦИТ",IF(Y87&gt;0.0001,"ПРОФИЦИТ","БАЛАНС"))</f>
        <v/>
      </c>
      <c r="G87" s="10">
        <f>AB87+AS87+BJ87+CA87+CR87</f>
        <v/>
      </c>
      <c r="H87" s="10">
        <f>AD87+AU87+BL87+CC87+CT87</f>
        <v/>
      </c>
      <c r="I87" s="10">
        <f>AF87+AW87+BN87+CE87+CV87</f>
        <v/>
      </c>
      <c r="J87" s="10">
        <f>AL87+BC87+BT87+CK87+DB87</f>
        <v/>
      </c>
      <c r="K87" s="10">
        <f>AJ87+BA87+BR87+CI87+CZ87</f>
        <v/>
      </c>
      <c r="L87" s="10">
        <f>AN87+BE87+BV87+CM87+DD87</f>
        <v/>
      </c>
      <c r="M87" s="10">
        <f>AP87+BG87+BX87+CO87+DF87</f>
        <v/>
      </c>
      <c r="N87" s="10">
        <f>AH87+AY87+BP87+CG87+CX87</f>
        <v/>
      </c>
      <c r="O87" s="10">
        <f>SUM(G87:N87)</f>
        <v/>
      </c>
      <c r="P87" s="10">
        <f>IFERROR(G87*MIN(1,'01_Нормативы'!$C$4/SUM(G$2:G$429)),0)</f>
        <v/>
      </c>
      <c r="Q87" s="10">
        <f>IFERROR(H87*MIN(1,'01_Нормативы'!$C$5/SUM(H$2:H$429)),0)</f>
        <v/>
      </c>
      <c r="R87" s="10">
        <f>IFERROR(I87*MIN(1,'01_Нормативы'!$C$6/SUM(I$2:I$429)),0)</f>
        <v/>
      </c>
      <c r="S87" s="10">
        <f>IFERROR(J87*MIN(1,'01_Нормативы'!$C$7/SUM(J$2:J$429)),0)</f>
        <v/>
      </c>
      <c r="T87" s="10">
        <f>IFERROR(K87*MIN(1,'01_Нормативы'!$C$8/SUM(K$2:K$429)),0)</f>
        <v/>
      </c>
      <c r="U87" s="10">
        <f>IFERROR(L87*MIN(1,'01_Нормативы'!$C$9/SUM(L$2:L$429)),0)</f>
        <v/>
      </c>
      <c r="V87" s="10">
        <f>IFERROR(M87*MIN(1,'01_Нормативы'!$C$10/SUM(M$2:M$429)),0)</f>
        <v/>
      </c>
      <c r="W87" s="10">
        <f>IFERROR(N87*MIN(1,'01_Нормативы'!$C$11/SUM(N$2:N$429)),0)</f>
        <v/>
      </c>
      <c r="X87" s="10">
        <f>SUM(P87:W87)</f>
        <v/>
      </c>
      <c r="Y87" s="10">
        <f>MAX(0,C87-X87)</f>
        <v/>
      </c>
      <c r="Z87" s="10">
        <f>IF(D87=0,100,X87/D87*100)</f>
        <v/>
      </c>
      <c r="AA87" s="10">
        <f>'02_Данные'!F87+'02_Данные'!G87</f>
        <v/>
      </c>
      <c r="AB87" s="10">
        <f>MIN('02_Данные'!L87,AA87)</f>
        <v/>
      </c>
      <c r="AC87" s="10">
        <f>AA87-AB87</f>
        <v/>
      </c>
      <c r="AD87" s="10">
        <f>MIN('02_Данные'!M87,AC87)</f>
        <v/>
      </c>
      <c r="AE87" s="10">
        <f>AC87-AD87</f>
        <v/>
      </c>
      <c r="AF87" s="10">
        <f>MIN('02_Данные'!N87,AE87)</f>
        <v/>
      </c>
      <c r="AG87" s="10">
        <f>AE87-AF87</f>
        <v/>
      </c>
      <c r="AH87" s="10">
        <f>MIN('02_Данные'!S87,AG87)</f>
        <v/>
      </c>
      <c r="AI87" s="10">
        <f>AG87-AH87</f>
        <v/>
      </c>
      <c r="AJ87" s="10">
        <f>MIN('02_Данные'!P87,AI87)</f>
        <v/>
      </c>
      <c r="AK87" s="10">
        <f>AI87-AJ87</f>
        <v/>
      </c>
      <c r="AL87" s="10">
        <f>MIN('02_Данные'!O87,AK87)</f>
        <v/>
      </c>
      <c r="AM87" s="10">
        <f>AK87-AL87</f>
        <v/>
      </c>
      <c r="AN87" s="10">
        <f>MIN('02_Данные'!Q87,AM87)</f>
        <v/>
      </c>
      <c r="AO87" s="10">
        <f>AM87-AN87</f>
        <v/>
      </c>
      <c r="AP87" s="10">
        <f>MIN('02_Данные'!R87,AO87)</f>
        <v/>
      </c>
      <c r="AQ87" s="10">
        <f>AO87-AP87</f>
        <v/>
      </c>
      <c r="AR87" s="10">
        <f>AQ87+'02_Данные'!H87</f>
        <v/>
      </c>
      <c r="AS87" s="10">
        <f>MIN('02_Данные'!T87,AR87)</f>
        <v/>
      </c>
      <c r="AT87" s="10">
        <f>AR87-AS87</f>
        <v/>
      </c>
      <c r="AU87" s="10">
        <f>MIN('02_Данные'!U87,AT87)</f>
        <v/>
      </c>
      <c r="AV87" s="10">
        <f>AT87-AU87</f>
        <v/>
      </c>
      <c r="AW87" s="10">
        <f>MIN('02_Данные'!V87,AV87)</f>
        <v/>
      </c>
      <c r="AX87" s="10">
        <f>AV87-AW87</f>
        <v/>
      </c>
      <c r="AY87" s="10">
        <f>MIN('02_Данные'!AA87,AX87)</f>
        <v/>
      </c>
      <c r="AZ87" s="10">
        <f>AX87-AY87</f>
        <v/>
      </c>
      <c r="BA87" s="10">
        <f>MIN('02_Данные'!X87,AZ87)</f>
        <v/>
      </c>
      <c r="BB87" s="10">
        <f>AZ87-BA87</f>
        <v/>
      </c>
      <c r="BC87" s="10">
        <f>MIN('02_Данные'!W87,BB87)</f>
        <v/>
      </c>
      <c r="BD87" s="10">
        <f>BB87-BC87</f>
        <v/>
      </c>
      <c r="BE87" s="10">
        <f>MIN('02_Данные'!Y87,BD87)</f>
        <v/>
      </c>
      <c r="BF87" s="10">
        <f>BD87-BE87</f>
        <v/>
      </c>
      <c r="BG87" s="10">
        <f>MIN('02_Данные'!Z87,BF87)</f>
        <v/>
      </c>
      <c r="BH87" s="10">
        <f>BF87-BG87</f>
        <v/>
      </c>
      <c r="BI87" s="10">
        <f>BH87+'02_Данные'!I87</f>
        <v/>
      </c>
      <c r="BJ87" s="10">
        <f>MIN('02_Данные'!AB87,BI87)</f>
        <v/>
      </c>
      <c r="BK87" s="10">
        <f>BI87-BJ87</f>
        <v/>
      </c>
      <c r="BL87" s="10">
        <f>MIN('02_Данные'!AC87,BK87)</f>
        <v/>
      </c>
      <c r="BM87" s="10">
        <f>BK87-BL87</f>
        <v/>
      </c>
      <c r="BN87" s="10">
        <f>MIN('02_Данные'!AD87,BM87)</f>
        <v/>
      </c>
      <c r="BO87" s="10">
        <f>BM87-BN87</f>
        <v/>
      </c>
      <c r="BP87" s="10">
        <f>MIN('02_Данные'!AI87,BO87)</f>
        <v/>
      </c>
      <c r="BQ87" s="10">
        <f>BO87-BP87</f>
        <v/>
      </c>
      <c r="BR87" s="10">
        <f>MIN('02_Данные'!AF87,BQ87)</f>
        <v/>
      </c>
      <c r="BS87" s="10">
        <f>BQ87-BR87</f>
        <v/>
      </c>
      <c r="BT87" s="10">
        <f>MIN('02_Данные'!AE87,BS87)</f>
        <v/>
      </c>
      <c r="BU87" s="10">
        <f>BS87-BT87</f>
        <v/>
      </c>
      <c r="BV87" s="10">
        <f>MIN('02_Данные'!AG87,BU87)</f>
        <v/>
      </c>
      <c r="BW87" s="10">
        <f>BU87-BV87</f>
        <v/>
      </c>
      <c r="BX87" s="10">
        <f>MIN('02_Данные'!AH87,BW87)</f>
        <v/>
      </c>
      <c r="BY87" s="10">
        <f>BW87-BX87</f>
        <v/>
      </c>
      <c r="BZ87" s="10">
        <f>BY87+'02_Данные'!J87</f>
        <v/>
      </c>
      <c r="CA87" s="10">
        <f>MIN('02_Данные'!AJ87,BZ87)</f>
        <v/>
      </c>
      <c r="CB87" s="10">
        <f>BZ87-CA87</f>
        <v/>
      </c>
      <c r="CC87" s="10">
        <f>MIN('02_Данные'!AK87,CB87)</f>
        <v/>
      </c>
      <c r="CD87" s="10">
        <f>CB87-CC87</f>
        <v/>
      </c>
      <c r="CE87" s="10">
        <f>MIN('02_Данные'!AL87,CD87)</f>
        <v/>
      </c>
      <c r="CF87" s="10">
        <f>CD87-CE87</f>
        <v/>
      </c>
      <c r="CG87" s="10">
        <f>MIN('02_Данные'!AQ87,CF87)</f>
        <v/>
      </c>
      <c r="CH87" s="10">
        <f>CF87-CG87</f>
        <v/>
      </c>
      <c r="CI87" s="10">
        <f>MIN('02_Данные'!AN87,CH87)</f>
        <v/>
      </c>
      <c r="CJ87" s="10">
        <f>CH87-CI87</f>
        <v/>
      </c>
      <c r="CK87" s="10">
        <f>MIN('02_Данные'!AM87,CJ87)</f>
        <v/>
      </c>
      <c r="CL87" s="10">
        <f>CJ87-CK87</f>
        <v/>
      </c>
      <c r="CM87" s="10">
        <f>MIN('02_Данные'!AO87,CL87)</f>
        <v/>
      </c>
      <c r="CN87" s="10">
        <f>CL87-CM87</f>
        <v/>
      </c>
      <c r="CO87" s="10">
        <f>MIN('02_Данные'!AP87,CN87)</f>
        <v/>
      </c>
      <c r="CP87" s="10">
        <f>CN87-CO87</f>
        <v/>
      </c>
      <c r="CQ87" s="10">
        <f>CP87+'02_Данные'!K87</f>
        <v/>
      </c>
      <c r="CR87" s="10">
        <f>MIN('02_Данные'!AR87,CQ87)</f>
        <v/>
      </c>
      <c r="CS87" s="10">
        <f>CQ87-CR87</f>
        <v/>
      </c>
      <c r="CT87" s="10">
        <f>MIN('02_Данные'!AS87,CS87)</f>
        <v/>
      </c>
      <c r="CU87" s="10">
        <f>CS87-CT87</f>
        <v/>
      </c>
      <c r="CV87" s="10">
        <f>MIN('02_Данные'!AT87,CU87)</f>
        <v/>
      </c>
      <c r="CW87" s="10">
        <f>CU87-CV87</f>
        <v/>
      </c>
      <c r="CX87" s="10">
        <f>MIN('02_Данные'!AY87,CW87)</f>
        <v/>
      </c>
      <c r="CY87" s="10">
        <f>CW87-CX87</f>
        <v/>
      </c>
      <c r="CZ87" s="10">
        <f>MIN('02_Данные'!AV87,CY87)</f>
        <v/>
      </c>
      <c r="DA87" s="10">
        <f>CY87-CZ87</f>
        <v/>
      </c>
      <c r="DB87" s="10">
        <f>MIN('02_Данные'!AU87,DA87)</f>
        <v/>
      </c>
      <c r="DC87" s="10">
        <f>DA87-DB87</f>
        <v/>
      </c>
      <c r="DD87" s="10">
        <f>MIN('02_Данные'!AW87,DC87)</f>
        <v/>
      </c>
      <c r="DE87" s="10">
        <f>DC87-DD87</f>
        <v/>
      </c>
      <c r="DF87" s="10">
        <f>MIN('02_Данные'!AX87,DE87)</f>
        <v/>
      </c>
      <c r="DG87" s="10">
        <f>DE87-DF87</f>
        <v/>
      </c>
    </row>
    <row r="88">
      <c r="A88" s="9">
        <f>'02_Данные'!B88</f>
        <v/>
      </c>
      <c r="B88" s="9">
        <f>'02_Данные'!E88</f>
        <v/>
      </c>
      <c r="C88" s="10">
        <f>'02_Данные'!F88+'02_Данные'!G88+'02_Данные'!H88+'02_Данные'!I88+'02_Данные'!J88+'02_Данные'!K88</f>
        <v/>
      </c>
      <c r="D88" s="10">
        <f>SUM('02_Данные'!L88:'02_Данные'!AY88)</f>
        <v/>
      </c>
      <c r="E88" s="10">
        <f>MAX(0,D88-C88)</f>
        <v/>
      </c>
      <c r="F88" s="15">
        <f>IF(E88&gt;0.0001,"ДЕФИЦИТ",IF(Y88&gt;0.0001,"ПРОФИЦИТ","БАЛАНС"))</f>
        <v/>
      </c>
      <c r="G88" s="10">
        <f>AB88+AS88+BJ88+CA88+CR88</f>
        <v/>
      </c>
      <c r="H88" s="10">
        <f>AD88+AU88+BL88+CC88+CT88</f>
        <v/>
      </c>
      <c r="I88" s="10">
        <f>AF88+AW88+BN88+CE88+CV88</f>
        <v/>
      </c>
      <c r="J88" s="10">
        <f>AL88+BC88+BT88+CK88+DB88</f>
        <v/>
      </c>
      <c r="K88" s="10">
        <f>AJ88+BA88+BR88+CI88+CZ88</f>
        <v/>
      </c>
      <c r="L88" s="10">
        <f>AN88+BE88+BV88+CM88+DD88</f>
        <v/>
      </c>
      <c r="M88" s="10">
        <f>AP88+BG88+BX88+CO88+DF88</f>
        <v/>
      </c>
      <c r="N88" s="10">
        <f>AH88+AY88+BP88+CG88+CX88</f>
        <v/>
      </c>
      <c r="O88" s="10">
        <f>SUM(G88:N88)</f>
        <v/>
      </c>
      <c r="P88" s="10">
        <f>IFERROR(G88*MIN(1,'01_Нормативы'!$C$4/SUM(G$2:G$429)),0)</f>
        <v/>
      </c>
      <c r="Q88" s="10">
        <f>IFERROR(H88*MIN(1,'01_Нормативы'!$C$5/SUM(H$2:H$429)),0)</f>
        <v/>
      </c>
      <c r="R88" s="10">
        <f>IFERROR(I88*MIN(1,'01_Нормативы'!$C$6/SUM(I$2:I$429)),0)</f>
        <v/>
      </c>
      <c r="S88" s="10">
        <f>IFERROR(J88*MIN(1,'01_Нормативы'!$C$7/SUM(J$2:J$429)),0)</f>
        <v/>
      </c>
      <c r="T88" s="10">
        <f>IFERROR(K88*MIN(1,'01_Нормативы'!$C$8/SUM(K$2:K$429)),0)</f>
        <v/>
      </c>
      <c r="U88" s="10">
        <f>IFERROR(L88*MIN(1,'01_Нормативы'!$C$9/SUM(L$2:L$429)),0)</f>
        <v/>
      </c>
      <c r="V88" s="10">
        <f>IFERROR(M88*MIN(1,'01_Нормативы'!$C$10/SUM(M$2:M$429)),0)</f>
        <v/>
      </c>
      <c r="W88" s="10">
        <f>IFERROR(N88*MIN(1,'01_Нормативы'!$C$11/SUM(N$2:N$429)),0)</f>
        <v/>
      </c>
      <c r="X88" s="10">
        <f>SUM(P88:W88)</f>
        <v/>
      </c>
      <c r="Y88" s="10">
        <f>MAX(0,C88-X88)</f>
        <v/>
      </c>
      <c r="Z88" s="10">
        <f>IF(D88=0,100,X88/D88*100)</f>
        <v/>
      </c>
      <c r="AA88" s="10">
        <f>'02_Данные'!F88+'02_Данные'!G88</f>
        <v/>
      </c>
      <c r="AB88" s="10">
        <f>MIN('02_Данные'!L88,AA88)</f>
        <v/>
      </c>
      <c r="AC88" s="10">
        <f>AA88-AB88</f>
        <v/>
      </c>
      <c r="AD88" s="10">
        <f>MIN('02_Данные'!M88,AC88)</f>
        <v/>
      </c>
      <c r="AE88" s="10">
        <f>AC88-AD88</f>
        <v/>
      </c>
      <c r="AF88" s="10">
        <f>MIN('02_Данные'!N88,AE88)</f>
        <v/>
      </c>
      <c r="AG88" s="10">
        <f>AE88-AF88</f>
        <v/>
      </c>
      <c r="AH88" s="10">
        <f>MIN('02_Данные'!S88,AG88)</f>
        <v/>
      </c>
      <c r="AI88" s="10">
        <f>AG88-AH88</f>
        <v/>
      </c>
      <c r="AJ88" s="10">
        <f>MIN('02_Данные'!P88,AI88)</f>
        <v/>
      </c>
      <c r="AK88" s="10">
        <f>AI88-AJ88</f>
        <v/>
      </c>
      <c r="AL88" s="10">
        <f>MIN('02_Данные'!O88,AK88)</f>
        <v/>
      </c>
      <c r="AM88" s="10">
        <f>AK88-AL88</f>
        <v/>
      </c>
      <c r="AN88" s="10">
        <f>MIN('02_Данные'!Q88,AM88)</f>
        <v/>
      </c>
      <c r="AO88" s="10">
        <f>AM88-AN88</f>
        <v/>
      </c>
      <c r="AP88" s="10">
        <f>MIN('02_Данные'!R88,AO88)</f>
        <v/>
      </c>
      <c r="AQ88" s="10">
        <f>AO88-AP88</f>
        <v/>
      </c>
      <c r="AR88" s="10">
        <f>AQ88+'02_Данные'!H88</f>
        <v/>
      </c>
      <c r="AS88" s="10">
        <f>MIN('02_Данные'!T88,AR88)</f>
        <v/>
      </c>
      <c r="AT88" s="10">
        <f>AR88-AS88</f>
        <v/>
      </c>
      <c r="AU88" s="10">
        <f>MIN('02_Данные'!U88,AT88)</f>
        <v/>
      </c>
      <c r="AV88" s="10">
        <f>AT88-AU88</f>
        <v/>
      </c>
      <c r="AW88" s="10">
        <f>MIN('02_Данные'!V88,AV88)</f>
        <v/>
      </c>
      <c r="AX88" s="10">
        <f>AV88-AW88</f>
        <v/>
      </c>
      <c r="AY88" s="10">
        <f>MIN('02_Данные'!AA88,AX88)</f>
        <v/>
      </c>
      <c r="AZ88" s="10">
        <f>AX88-AY88</f>
        <v/>
      </c>
      <c r="BA88" s="10">
        <f>MIN('02_Данные'!X88,AZ88)</f>
        <v/>
      </c>
      <c r="BB88" s="10">
        <f>AZ88-BA88</f>
        <v/>
      </c>
      <c r="BC88" s="10">
        <f>MIN('02_Данные'!W88,BB88)</f>
        <v/>
      </c>
      <c r="BD88" s="10">
        <f>BB88-BC88</f>
        <v/>
      </c>
      <c r="BE88" s="10">
        <f>MIN('02_Данные'!Y88,BD88)</f>
        <v/>
      </c>
      <c r="BF88" s="10">
        <f>BD88-BE88</f>
        <v/>
      </c>
      <c r="BG88" s="10">
        <f>MIN('02_Данные'!Z88,BF88)</f>
        <v/>
      </c>
      <c r="BH88" s="10">
        <f>BF88-BG88</f>
        <v/>
      </c>
      <c r="BI88" s="10">
        <f>BH88+'02_Данные'!I88</f>
        <v/>
      </c>
      <c r="BJ88" s="10">
        <f>MIN('02_Данные'!AB88,BI88)</f>
        <v/>
      </c>
      <c r="BK88" s="10">
        <f>BI88-BJ88</f>
        <v/>
      </c>
      <c r="BL88" s="10">
        <f>MIN('02_Данные'!AC88,BK88)</f>
        <v/>
      </c>
      <c r="BM88" s="10">
        <f>BK88-BL88</f>
        <v/>
      </c>
      <c r="BN88" s="10">
        <f>MIN('02_Данные'!AD88,BM88)</f>
        <v/>
      </c>
      <c r="BO88" s="10">
        <f>BM88-BN88</f>
        <v/>
      </c>
      <c r="BP88" s="10">
        <f>MIN('02_Данные'!AI88,BO88)</f>
        <v/>
      </c>
      <c r="BQ88" s="10">
        <f>BO88-BP88</f>
        <v/>
      </c>
      <c r="BR88" s="10">
        <f>MIN('02_Данные'!AF88,BQ88)</f>
        <v/>
      </c>
      <c r="BS88" s="10">
        <f>BQ88-BR88</f>
        <v/>
      </c>
      <c r="BT88" s="10">
        <f>MIN('02_Данные'!AE88,BS88)</f>
        <v/>
      </c>
      <c r="BU88" s="10">
        <f>BS88-BT88</f>
        <v/>
      </c>
      <c r="BV88" s="10">
        <f>MIN('02_Данные'!AG88,BU88)</f>
        <v/>
      </c>
      <c r="BW88" s="10">
        <f>BU88-BV88</f>
        <v/>
      </c>
      <c r="BX88" s="10">
        <f>MIN('02_Данные'!AH88,BW88)</f>
        <v/>
      </c>
      <c r="BY88" s="10">
        <f>BW88-BX88</f>
        <v/>
      </c>
      <c r="BZ88" s="10">
        <f>BY88+'02_Данные'!J88</f>
        <v/>
      </c>
      <c r="CA88" s="10">
        <f>MIN('02_Данные'!AJ88,BZ88)</f>
        <v/>
      </c>
      <c r="CB88" s="10">
        <f>BZ88-CA88</f>
        <v/>
      </c>
      <c r="CC88" s="10">
        <f>MIN('02_Данные'!AK88,CB88)</f>
        <v/>
      </c>
      <c r="CD88" s="10">
        <f>CB88-CC88</f>
        <v/>
      </c>
      <c r="CE88" s="10">
        <f>MIN('02_Данные'!AL88,CD88)</f>
        <v/>
      </c>
      <c r="CF88" s="10">
        <f>CD88-CE88</f>
        <v/>
      </c>
      <c r="CG88" s="10">
        <f>MIN('02_Данные'!AQ88,CF88)</f>
        <v/>
      </c>
      <c r="CH88" s="10">
        <f>CF88-CG88</f>
        <v/>
      </c>
      <c r="CI88" s="10">
        <f>MIN('02_Данные'!AN88,CH88)</f>
        <v/>
      </c>
      <c r="CJ88" s="10">
        <f>CH88-CI88</f>
        <v/>
      </c>
      <c r="CK88" s="10">
        <f>MIN('02_Данные'!AM88,CJ88)</f>
        <v/>
      </c>
      <c r="CL88" s="10">
        <f>CJ88-CK88</f>
        <v/>
      </c>
      <c r="CM88" s="10">
        <f>MIN('02_Данные'!AO88,CL88)</f>
        <v/>
      </c>
      <c r="CN88" s="10">
        <f>CL88-CM88</f>
        <v/>
      </c>
      <c r="CO88" s="10">
        <f>MIN('02_Данные'!AP88,CN88)</f>
        <v/>
      </c>
      <c r="CP88" s="10">
        <f>CN88-CO88</f>
        <v/>
      </c>
      <c r="CQ88" s="10">
        <f>CP88+'02_Данные'!K88</f>
        <v/>
      </c>
      <c r="CR88" s="10">
        <f>MIN('02_Данные'!AR88,CQ88)</f>
        <v/>
      </c>
      <c r="CS88" s="10">
        <f>CQ88-CR88</f>
        <v/>
      </c>
      <c r="CT88" s="10">
        <f>MIN('02_Данные'!AS88,CS88)</f>
        <v/>
      </c>
      <c r="CU88" s="10">
        <f>CS88-CT88</f>
        <v/>
      </c>
      <c r="CV88" s="10">
        <f>MIN('02_Данные'!AT88,CU88)</f>
        <v/>
      </c>
      <c r="CW88" s="10">
        <f>CU88-CV88</f>
        <v/>
      </c>
      <c r="CX88" s="10">
        <f>MIN('02_Данные'!AY88,CW88)</f>
        <v/>
      </c>
      <c r="CY88" s="10">
        <f>CW88-CX88</f>
        <v/>
      </c>
      <c r="CZ88" s="10">
        <f>MIN('02_Данные'!AV88,CY88)</f>
        <v/>
      </c>
      <c r="DA88" s="10">
        <f>CY88-CZ88</f>
        <v/>
      </c>
      <c r="DB88" s="10">
        <f>MIN('02_Данные'!AU88,DA88)</f>
        <v/>
      </c>
      <c r="DC88" s="10">
        <f>DA88-DB88</f>
        <v/>
      </c>
      <c r="DD88" s="10">
        <f>MIN('02_Данные'!AW88,DC88)</f>
        <v/>
      </c>
      <c r="DE88" s="10">
        <f>DC88-DD88</f>
        <v/>
      </c>
      <c r="DF88" s="10">
        <f>MIN('02_Данные'!AX88,DE88)</f>
        <v/>
      </c>
      <c r="DG88" s="10">
        <f>DE88-DF88</f>
        <v/>
      </c>
    </row>
    <row r="89">
      <c r="A89" s="9">
        <f>'02_Данные'!B89</f>
        <v/>
      </c>
      <c r="B89" s="9">
        <f>'02_Данные'!E89</f>
        <v/>
      </c>
      <c r="C89" s="10">
        <f>'02_Данные'!F89+'02_Данные'!G89+'02_Данные'!H89+'02_Данные'!I89+'02_Данные'!J89+'02_Данные'!K89</f>
        <v/>
      </c>
      <c r="D89" s="10">
        <f>SUM('02_Данные'!L89:'02_Данные'!AY89)</f>
        <v/>
      </c>
      <c r="E89" s="10">
        <f>MAX(0,D89-C89)</f>
        <v/>
      </c>
      <c r="F89" s="15">
        <f>IF(E89&gt;0.0001,"ДЕФИЦИТ",IF(Y89&gt;0.0001,"ПРОФИЦИТ","БАЛАНС"))</f>
        <v/>
      </c>
      <c r="G89" s="10">
        <f>AB89+AS89+BJ89+CA89+CR89</f>
        <v/>
      </c>
      <c r="H89" s="10">
        <f>AD89+AU89+BL89+CC89+CT89</f>
        <v/>
      </c>
      <c r="I89" s="10">
        <f>AF89+AW89+BN89+CE89+CV89</f>
        <v/>
      </c>
      <c r="J89" s="10">
        <f>AL89+BC89+BT89+CK89+DB89</f>
        <v/>
      </c>
      <c r="K89" s="10">
        <f>AJ89+BA89+BR89+CI89+CZ89</f>
        <v/>
      </c>
      <c r="L89" s="10">
        <f>AN89+BE89+BV89+CM89+DD89</f>
        <v/>
      </c>
      <c r="M89" s="10">
        <f>AP89+BG89+BX89+CO89+DF89</f>
        <v/>
      </c>
      <c r="N89" s="10">
        <f>AH89+AY89+BP89+CG89+CX89</f>
        <v/>
      </c>
      <c r="O89" s="10">
        <f>SUM(G89:N89)</f>
        <v/>
      </c>
      <c r="P89" s="10">
        <f>IFERROR(G89*MIN(1,'01_Нормативы'!$C$4/SUM(G$2:G$429)),0)</f>
        <v/>
      </c>
      <c r="Q89" s="10">
        <f>IFERROR(H89*MIN(1,'01_Нормативы'!$C$5/SUM(H$2:H$429)),0)</f>
        <v/>
      </c>
      <c r="R89" s="10">
        <f>IFERROR(I89*MIN(1,'01_Нормативы'!$C$6/SUM(I$2:I$429)),0)</f>
        <v/>
      </c>
      <c r="S89" s="10">
        <f>IFERROR(J89*MIN(1,'01_Нормативы'!$C$7/SUM(J$2:J$429)),0)</f>
        <v/>
      </c>
      <c r="T89" s="10">
        <f>IFERROR(K89*MIN(1,'01_Нормативы'!$C$8/SUM(K$2:K$429)),0)</f>
        <v/>
      </c>
      <c r="U89" s="10">
        <f>IFERROR(L89*MIN(1,'01_Нормативы'!$C$9/SUM(L$2:L$429)),0)</f>
        <v/>
      </c>
      <c r="V89" s="10">
        <f>IFERROR(M89*MIN(1,'01_Нормативы'!$C$10/SUM(M$2:M$429)),0)</f>
        <v/>
      </c>
      <c r="W89" s="10">
        <f>IFERROR(N89*MIN(1,'01_Нормативы'!$C$11/SUM(N$2:N$429)),0)</f>
        <v/>
      </c>
      <c r="X89" s="10">
        <f>SUM(P89:W89)</f>
        <v/>
      </c>
      <c r="Y89" s="10">
        <f>MAX(0,C89-X89)</f>
        <v/>
      </c>
      <c r="Z89" s="10">
        <f>IF(D89=0,100,X89/D89*100)</f>
        <v/>
      </c>
      <c r="AA89" s="10">
        <f>'02_Данные'!F89+'02_Данные'!G89</f>
        <v/>
      </c>
      <c r="AB89" s="10">
        <f>MIN('02_Данные'!L89,AA89)</f>
        <v/>
      </c>
      <c r="AC89" s="10">
        <f>AA89-AB89</f>
        <v/>
      </c>
      <c r="AD89" s="10">
        <f>MIN('02_Данные'!M89,AC89)</f>
        <v/>
      </c>
      <c r="AE89" s="10">
        <f>AC89-AD89</f>
        <v/>
      </c>
      <c r="AF89" s="10">
        <f>MIN('02_Данные'!N89,AE89)</f>
        <v/>
      </c>
      <c r="AG89" s="10">
        <f>AE89-AF89</f>
        <v/>
      </c>
      <c r="AH89" s="10">
        <f>MIN('02_Данные'!S89,AG89)</f>
        <v/>
      </c>
      <c r="AI89" s="10">
        <f>AG89-AH89</f>
        <v/>
      </c>
      <c r="AJ89" s="10">
        <f>MIN('02_Данные'!P89,AI89)</f>
        <v/>
      </c>
      <c r="AK89" s="10">
        <f>AI89-AJ89</f>
        <v/>
      </c>
      <c r="AL89" s="10">
        <f>MIN('02_Данные'!O89,AK89)</f>
        <v/>
      </c>
      <c r="AM89" s="10">
        <f>AK89-AL89</f>
        <v/>
      </c>
      <c r="AN89" s="10">
        <f>MIN('02_Данные'!Q89,AM89)</f>
        <v/>
      </c>
      <c r="AO89" s="10">
        <f>AM89-AN89</f>
        <v/>
      </c>
      <c r="AP89" s="10">
        <f>MIN('02_Данные'!R89,AO89)</f>
        <v/>
      </c>
      <c r="AQ89" s="10">
        <f>AO89-AP89</f>
        <v/>
      </c>
      <c r="AR89" s="10">
        <f>AQ89+'02_Данные'!H89</f>
        <v/>
      </c>
      <c r="AS89" s="10">
        <f>MIN('02_Данные'!T89,AR89)</f>
        <v/>
      </c>
      <c r="AT89" s="10">
        <f>AR89-AS89</f>
        <v/>
      </c>
      <c r="AU89" s="10">
        <f>MIN('02_Данные'!U89,AT89)</f>
        <v/>
      </c>
      <c r="AV89" s="10">
        <f>AT89-AU89</f>
        <v/>
      </c>
      <c r="AW89" s="10">
        <f>MIN('02_Данные'!V89,AV89)</f>
        <v/>
      </c>
      <c r="AX89" s="10">
        <f>AV89-AW89</f>
        <v/>
      </c>
      <c r="AY89" s="10">
        <f>MIN('02_Данные'!AA89,AX89)</f>
        <v/>
      </c>
      <c r="AZ89" s="10">
        <f>AX89-AY89</f>
        <v/>
      </c>
      <c r="BA89" s="10">
        <f>MIN('02_Данные'!X89,AZ89)</f>
        <v/>
      </c>
      <c r="BB89" s="10">
        <f>AZ89-BA89</f>
        <v/>
      </c>
      <c r="BC89" s="10">
        <f>MIN('02_Данные'!W89,BB89)</f>
        <v/>
      </c>
      <c r="BD89" s="10">
        <f>BB89-BC89</f>
        <v/>
      </c>
      <c r="BE89" s="10">
        <f>MIN('02_Данные'!Y89,BD89)</f>
        <v/>
      </c>
      <c r="BF89" s="10">
        <f>BD89-BE89</f>
        <v/>
      </c>
      <c r="BG89" s="10">
        <f>MIN('02_Данные'!Z89,BF89)</f>
        <v/>
      </c>
      <c r="BH89" s="10">
        <f>BF89-BG89</f>
        <v/>
      </c>
      <c r="BI89" s="10">
        <f>BH89+'02_Данные'!I89</f>
        <v/>
      </c>
      <c r="BJ89" s="10">
        <f>MIN('02_Данные'!AB89,BI89)</f>
        <v/>
      </c>
      <c r="BK89" s="10">
        <f>BI89-BJ89</f>
        <v/>
      </c>
      <c r="BL89" s="10">
        <f>MIN('02_Данные'!AC89,BK89)</f>
        <v/>
      </c>
      <c r="BM89" s="10">
        <f>BK89-BL89</f>
        <v/>
      </c>
      <c r="BN89" s="10">
        <f>MIN('02_Данные'!AD89,BM89)</f>
        <v/>
      </c>
      <c r="BO89" s="10">
        <f>BM89-BN89</f>
        <v/>
      </c>
      <c r="BP89" s="10">
        <f>MIN('02_Данные'!AI89,BO89)</f>
        <v/>
      </c>
      <c r="BQ89" s="10">
        <f>BO89-BP89</f>
        <v/>
      </c>
      <c r="BR89" s="10">
        <f>MIN('02_Данные'!AF89,BQ89)</f>
        <v/>
      </c>
      <c r="BS89" s="10">
        <f>BQ89-BR89</f>
        <v/>
      </c>
      <c r="BT89" s="10">
        <f>MIN('02_Данные'!AE89,BS89)</f>
        <v/>
      </c>
      <c r="BU89" s="10">
        <f>BS89-BT89</f>
        <v/>
      </c>
      <c r="BV89" s="10">
        <f>MIN('02_Данные'!AG89,BU89)</f>
        <v/>
      </c>
      <c r="BW89" s="10">
        <f>BU89-BV89</f>
        <v/>
      </c>
      <c r="BX89" s="10">
        <f>MIN('02_Данные'!AH89,BW89)</f>
        <v/>
      </c>
      <c r="BY89" s="10">
        <f>BW89-BX89</f>
        <v/>
      </c>
      <c r="BZ89" s="10">
        <f>BY89+'02_Данные'!J89</f>
        <v/>
      </c>
      <c r="CA89" s="10">
        <f>MIN('02_Данные'!AJ89,BZ89)</f>
        <v/>
      </c>
      <c r="CB89" s="10">
        <f>BZ89-CA89</f>
        <v/>
      </c>
      <c r="CC89" s="10">
        <f>MIN('02_Данные'!AK89,CB89)</f>
        <v/>
      </c>
      <c r="CD89" s="10">
        <f>CB89-CC89</f>
        <v/>
      </c>
      <c r="CE89" s="10">
        <f>MIN('02_Данные'!AL89,CD89)</f>
        <v/>
      </c>
      <c r="CF89" s="10">
        <f>CD89-CE89</f>
        <v/>
      </c>
      <c r="CG89" s="10">
        <f>MIN('02_Данные'!AQ89,CF89)</f>
        <v/>
      </c>
      <c r="CH89" s="10">
        <f>CF89-CG89</f>
        <v/>
      </c>
      <c r="CI89" s="10">
        <f>MIN('02_Данные'!AN89,CH89)</f>
        <v/>
      </c>
      <c r="CJ89" s="10">
        <f>CH89-CI89</f>
        <v/>
      </c>
      <c r="CK89" s="10">
        <f>MIN('02_Данные'!AM89,CJ89)</f>
        <v/>
      </c>
      <c r="CL89" s="10">
        <f>CJ89-CK89</f>
        <v/>
      </c>
      <c r="CM89" s="10">
        <f>MIN('02_Данные'!AO89,CL89)</f>
        <v/>
      </c>
      <c r="CN89" s="10">
        <f>CL89-CM89</f>
        <v/>
      </c>
      <c r="CO89" s="10">
        <f>MIN('02_Данные'!AP89,CN89)</f>
        <v/>
      </c>
      <c r="CP89" s="10">
        <f>CN89-CO89</f>
        <v/>
      </c>
      <c r="CQ89" s="10">
        <f>CP89+'02_Данные'!K89</f>
        <v/>
      </c>
      <c r="CR89" s="10">
        <f>MIN('02_Данные'!AR89,CQ89)</f>
        <v/>
      </c>
      <c r="CS89" s="10">
        <f>CQ89-CR89</f>
        <v/>
      </c>
      <c r="CT89" s="10">
        <f>MIN('02_Данные'!AS89,CS89)</f>
        <v/>
      </c>
      <c r="CU89" s="10">
        <f>CS89-CT89</f>
        <v/>
      </c>
      <c r="CV89" s="10">
        <f>MIN('02_Данные'!AT89,CU89)</f>
        <v/>
      </c>
      <c r="CW89" s="10">
        <f>CU89-CV89</f>
        <v/>
      </c>
      <c r="CX89" s="10">
        <f>MIN('02_Данные'!AY89,CW89)</f>
        <v/>
      </c>
      <c r="CY89" s="10">
        <f>CW89-CX89</f>
        <v/>
      </c>
      <c r="CZ89" s="10">
        <f>MIN('02_Данные'!AV89,CY89)</f>
        <v/>
      </c>
      <c r="DA89" s="10">
        <f>CY89-CZ89</f>
        <v/>
      </c>
      <c r="DB89" s="10">
        <f>MIN('02_Данные'!AU89,DA89)</f>
        <v/>
      </c>
      <c r="DC89" s="10">
        <f>DA89-DB89</f>
        <v/>
      </c>
      <c r="DD89" s="10">
        <f>MIN('02_Данные'!AW89,DC89)</f>
        <v/>
      </c>
      <c r="DE89" s="10">
        <f>DC89-DD89</f>
        <v/>
      </c>
      <c r="DF89" s="10">
        <f>MIN('02_Данные'!AX89,DE89)</f>
        <v/>
      </c>
      <c r="DG89" s="10">
        <f>DE89-DF89</f>
        <v/>
      </c>
    </row>
    <row r="90">
      <c r="A90" s="9">
        <f>'02_Данные'!B90</f>
        <v/>
      </c>
      <c r="B90" s="9">
        <f>'02_Данные'!E90</f>
        <v/>
      </c>
      <c r="C90" s="10">
        <f>'02_Данные'!F90+'02_Данные'!G90+'02_Данные'!H90+'02_Данные'!I90+'02_Данные'!J90+'02_Данные'!K90</f>
        <v/>
      </c>
      <c r="D90" s="10">
        <f>SUM('02_Данные'!L90:'02_Данные'!AY90)</f>
        <v/>
      </c>
      <c r="E90" s="10">
        <f>MAX(0,D90-C90)</f>
        <v/>
      </c>
      <c r="F90" s="15">
        <f>IF(E90&gt;0.0001,"ДЕФИЦИТ",IF(Y90&gt;0.0001,"ПРОФИЦИТ","БАЛАНС"))</f>
        <v/>
      </c>
      <c r="G90" s="10">
        <f>AB90+AS90+BJ90+CA90+CR90</f>
        <v/>
      </c>
      <c r="H90" s="10">
        <f>AD90+AU90+BL90+CC90+CT90</f>
        <v/>
      </c>
      <c r="I90" s="10">
        <f>AF90+AW90+BN90+CE90+CV90</f>
        <v/>
      </c>
      <c r="J90" s="10">
        <f>AL90+BC90+BT90+CK90+DB90</f>
        <v/>
      </c>
      <c r="K90" s="10">
        <f>AJ90+BA90+BR90+CI90+CZ90</f>
        <v/>
      </c>
      <c r="L90" s="10">
        <f>AN90+BE90+BV90+CM90+DD90</f>
        <v/>
      </c>
      <c r="M90" s="10">
        <f>AP90+BG90+BX90+CO90+DF90</f>
        <v/>
      </c>
      <c r="N90" s="10">
        <f>AH90+AY90+BP90+CG90+CX90</f>
        <v/>
      </c>
      <c r="O90" s="10">
        <f>SUM(G90:N90)</f>
        <v/>
      </c>
      <c r="P90" s="10">
        <f>IFERROR(G90*MIN(1,'01_Нормативы'!$C$4/SUM(G$2:G$429)),0)</f>
        <v/>
      </c>
      <c r="Q90" s="10">
        <f>IFERROR(H90*MIN(1,'01_Нормативы'!$C$5/SUM(H$2:H$429)),0)</f>
        <v/>
      </c>
      <c r="R90" s="10">
        <f>IFERROR(I90*MIN(1,'01_Нормативы'!$C$6/SUM(I$2:I$429)),0)</f>
        <v/>
      </c>
      <c r="S90" s="10">
        <f>IFERROR(J90*MIN(1,'01_Нормативы'!$C$7/SUM(J$2:J$429)),0)</f>
        <v/>
      </c>
      <c r="T90" s="10">
        <f>IFERROR(K90*MIN(1,'01_Нормативы'!$C$8/SUM(K$2:K$429)),0)</f>
        <v/>
      </c>
      <c r="U90" s="10">
        <f>IFERROR(L90*MIN(1,'01_Нормативы'!$C$9/SUM(L$2:L$429)),0)</f>
        <v/>
      </c>
      <c r="V90" s="10">
        <f>IFERROR(M90*MIN(1,'01_Нормативы'!$C$10/SUM(M$2:M$429)),0)</f>
        <v/>
      </c>
      <c r="W90" s="10">
        <f>IFERROR(N90*MIN(1,'01_Нормативы'!$C$11/SUM(N$2:N$429)),0)</f>
        <v/>
      </c>
      <c r="X90" s="10">
        <f>SUM(P90:W90)</f>
        <v/>
      </c>
      <c r="Y90" s="10">
        <f>MAX(0,C90-X90)</f>
        <v/>
      </c>
      <c r="Z90" s="10">
        <f>IF(D90=0,100,X90/D90*100)</f>
        <v/>
      </c>
      <c r="AA90" s="10">
        <f>'02_Данные'!F90+'02_Данные'!G90</f>
        <v/>
      </c>
      <c r="AB90" s="10">
        <f>MIN('02_Данные'!L90,AA90)</f>
        <v/>
      </c>
      <c r="AC90" s="10">
        <f>AA90-AB90</f>
        <v/>
      </c>
      <c r="AD90" s="10">
        <f>MIN('02_Данные'!M90,AC90)</f>
        <v/>
      </c>
      <c r="AE90" s="10">
        <f>AC90-AD90</f>
        <v/>
      </c>
      <c r="AF90" s="10">
        <f>MIN('02_Данные'!N90,AE90)</f>
        <v/>
      </c>
      <c r="AG90" s="10">
        <f>AE90-AF90</f>
        <v/>
      </c>
      <c r="AH90" s="10">
        <f>MIN('02_Данные'!S90,AG90)</f>
        <v/>
      </c>
      <c r="AI90" s="10">
        <f>AG90-AH90</f>
        <v/>
      </c>
      <c r="AJ90" s="10">
        <f>MIN('02_Данные'!P90,AI90)</f>
        <v/>
      </c>
      <c r="AK90" s="10">
        <f>AI90-AJ90</f>
        <v/>
      </c>
      <c r="AL90" s="10">
        <f>MIN('02_Данные'!O90,AK90)</f>
        <v/>
      </c>
      <c r="AM90" s="10">
        <f>AK90-AL90</f>
        <v/>
      </c>
      <c r="AN90" s="10">
        <f>MIN('02_Данные'!Q90,AM90)</f>
        <v/>
      </c>
      <c r="AO90" s="10">
        <f>AM90-AN90</f>
        <v/>
      </c>
      <c r="AP90" s="10">
        <f>MIN('02_Данные'!R90,AO90)</f>
        <v/>
      </c>
      <c r="AQ90" s="10">
        <f>AO90-AP90</f>
        <v/>
      </c>
      <c r="AR90" s="10">
        <f>AQ90+'02_Данные'!H90</f>
        <v/>
      </c>
      <c r="AS90" s="10">
        <f>MIN('02_Данные'!T90,AR90)</f>
        <v/>
      </c>
      <c r="AT90" s="10">
        <f>AR90-AS90</f>
        <v/>
      </c>
      <c r="AU90" s="10">
        <f>MIN('02_Данные'!U90,AT90)</f>
        <v/>
      </c>
      <c r="AV90" s="10">
        <f>AT90-AU90</f>
        <v/>
      </c>
      <c r="AW90" s="10">
        <f>MIN('02_Данные'!V90,AV90)</f>
        <v/>
      </c>
      <c r="AX90" s="10">
        <f>AV90-AW90</f>
        <v/>
      </c>
      <c r="AY90" s="10">
        <f>MIN('02_Данные'!AA90,AX90)</f>
        <v/>
      </c>
      <c r="AZ90" s="10">
        <f>AX90-AY90</f>
        <v/>
      </c>
      <c r="BA90" s="10">
        <f>MIN('02_Данные'!X90,AZ90)</f>
        <v/>
      </c>
      <c r="BB90" s="10">
        <f>AZ90-BA90</f>
        <v/>
      </c>
      <c r="BC90" s="10">
        <f>MIN('02_Данные'!W90,BB90)</f>
        <v/>
      </c>
      <c r="BD90" s="10">
        <f>BB90-BC90</f>
        <v/>
      </c>
      <c r="BE90" s="10">
        <f>MIN('02_Данные'!Y90,BD90)</f>
        <v/>
      </c>
      <c r="BF90" s="10">
        <f>BD90-BE90</f>
        <v/>
      </c>
      <c r="BG90" s="10">
        <f>MIN('02_Данные'!Z90,BF90)</f>
        <v/>
      </c>
      <c r="BH90" s="10">
        <f>BF90-BG90</f>
        <v/>
      </c>
      <c r="BI90" s="10">
        <f>BH90+'02_Данные'!I90</f>
        <v/>
      </c>
      <c r="BJ90" s="10">
        <f>MIN('02_Данные'!AB90,BI90)</f>
        <v/>
      </c>
      <c r="BK90" s="10">
        <f>BI90-BJ90</f>
        <v/>
      </c>
      <c r="BL90" s="10">
        <f>MIN('02_Данные'!AC90,BK90)</f>
        <v/>
      </c>
      <c r="BM90" s="10">
        <f>BK90-BL90</f>
        <v/>
      </c>
      <c r="BN90" s="10">
        <f>MIN('02_Данные'!AD90,BM90)</f>
        <v/>
      </c>
      <c r="BO90" s="10">
        <f>BM90-BN90</f>
        <v/>
      </c>
      <c r="BP90" s="10">
        <f>MIN('02_Данные'!AI90,BO90)</f>
        <v/>
      </c>
      <c r="BQ90" s="10">
        <f>BO90-BP90</f>
        <v/>
      </c>
      <c r="BR90" s="10">
        <f>MIN('02_Данные'!AF90,BQ90)</f>
        <v/>
      </c>
      <c r="BS90" s="10">
        <f>BQ90-BR90</f>
        <v/>
      </c>
      <c r="BT90" s="10">
        <f>MIN('02_Данные'!AE90,BS90)</f>
        <v/>
      </c>
      <c r="BU90" s="10">
        <f>BS90-BT90</f>
        <v/>
      </c>
      <c r="BV90" s="10">
        <f>MIN('02_Данные'!AG90,BU90)</f>
        <v/>
      </c>
      <c r="BW90" s="10">
        <f>BU90-BV90</f>
        <v/>
      </c>
      <c r="BX90" s="10">
        <f>MIN('02_Данные'!AH90,BW90)</f>
        <v/>
      </c>
      <c r="BY90" s="10">
        <f>BW90-BX90</f>
        <v/>
      </c>
      <c r="BZ90" s="10">
        <f>BY90+'02_Данные'!J90</f>
        <v/>
      </c>
      <c r="CA90" s="10">
        <f>MIN('02_Данные'!AJ90,BZ90)</f>
        <v/>
      </c>
      <c r="CB90" s="10">
        <f>BZ90-CA90</f>
        <v/>
      </c>
      <c r="CC90" s="10">
        <f>MIN('02_Данные'!AK90,CB90)</f>
        <v/>
      </c>
      <c r="CD90" s="10">
        <f>CB90-CC90</f>
        <v/>
      </c>
      <c r="CE90" s="10">
        <f>MIN('02_Данные'!AL90,CD90)</f>
        <v/>
      </c>
      <c r="CF90" s="10">
        <f>CD90-CE90</f>
        <v/>
      </c>
      <c r="CG90" s="10">
        <f>MIN('02_Данные'!AQ90,CF90)</f>
        <v/>
      </c>
      <c r="CH90" s="10">
        <f>CF90-CG90</f>
        <v/>
      </c>
      <c r="CI90" s="10">
        <f>MIN('02_Данные'!AN90,CH90)</f>
        <v/>
      </c>
      <c r="CJ90" s="10">
        <f>CH90-CI90</f>
        <v/>
      </c>
      <c r="CK90" s="10">
        <f>MIN('02_Данные'!AM90,CJ90)</f>
        <v/>
      </c>
      <c r="CL90" s="10">
        <f>CJ90-CK90</f>
        <v/>
      </c>
      <c r="CM90" s="10">
        <f>MIN('02_Данные'!AO90,CL90)</f>
        <v/>
      </c>
      <c r="CN90" s="10">
        <f>CL90-CM90</f>
        <v/>
      </c>
      <c r="CO90" s="10">
        <f>MIN('02_Данные'!AP90,CN90)</f>
        <v/>
      </c>
      <c r="CP90" s="10">
        <f>CN90-CO90</f>
        <v/>
      </c>
      <c r="CQ90" s="10">
        <f>CP90+'02_Данные'!K90</f>
        <v/>
      </c>
      <c r="CR90" s="10">
        <f>MIN('02_Данные'!AR90,CQ90)</f>
        <v/>
      </c>
      <c r="CS90" s="10">
        <f>CQ90-CR90</f>
        <v/>
      </c>
      <c r="CT90" s="10">
        <f>MIN('02_Данные'!AS90,CS90)</f>
        <v/>
      </c>
      <c r="CU90" s="10">
        <f>CS90-CT90</f>
        <v/>
      </c>
      <c r="CV90" s="10">
        <f>MIN('02_Данные'!AT90,CU90)</f>
        <v/>
      </c>
      <c r="CW90" s="10">
        <f>CU90-CV90</f>
        <v/>
      </c>
      <c r="CX90" s="10">
        <f>MIN('02_Данные'!AY90,CW90)</f>
        <v/>
      </c>
      <c r="CY90" s="10">
        <f>CW90-CX90</f>
        <v/>
      </c>
      <c r="CZ90" s="10">
        <f>MIN('02_Данные'!AV90,CY90)</f>
        <v/>
      </c>
      <c r="DA90" s="10">
        <f>CY90-CZ90</f>
        <v/>
      </c>
      <c r="DB90" s="10">
        <f>MIN('02_Данные'!AU90,DA90)</f>
        <v/>
      </c>
      <c r="DC90" s="10">
        <f>DA90-DB90</f>
        <v/>
      </c>
      <c r="DD90" s="10">
        <f>MIN('02_Данные'!AW90,DC90)</f>
        <v/>
      </c>
      <c r="DE90" s="10">
        <f>DC90-DD90</f>
        <v/>
      </c>
      <c r="DF90" s="10">
        <f>MIN('02_Данные'!AX90,DE90)</f>
        <v/>
      </c>
      <c r="DG90" s="10">
        <f>DE90-DF90</f>
        <v/>
      </c>
    </row>
    <row r="91">
      <c r="A91" s="9">
        <f>'02_Данные'!B91</f>
        <v/>
      </c>
      <c r="B91" s="9">
        <f>'02_Данные'!E91</f>
        <v/>
      </c>
      <c r="C91" s="10">
        <f>'02_Данные'!F91+'02_Данные'!G91+'02_Данные'!H91+'02_Данные'!I91+'02_Данные'!J91+'02_Данные'!K91</f>
        <v/>
      </c>
      <c r="D91" s="10">
        <f>SUM('02_Данные'!L91:'02_Данные'!AY91)</f>
        <v/>
      </c>
      <c r="E91" s="10">
        <f>MAX(0,D91-C91)</f>
        <v/>
      </c>
      <c r="F91" s="15">
        <f>IF(E91&gt;0.0001,"ДЕФИЦИТ",IF(Y91&gt;0.0001,"ПРОФИЦИТ","БАЛАНС"))</f>
        <v/>
      </c>
      <c r="G91" s="10">
        <f>AB91+AS91+BJ91+CA91+CR91</f>
        <v/>
      </c>
      <c r="H91" s="10">
        <f>AD91+AU91+BL91+CC91+CT91</f>
        <v/>
      </c>
      <c r="I91" s="10">
        <f>AF91+AW91+BN91+CE91+CV91</f>
        <v/>
      </c>
      <c r="J91" s="10">
        <f>AL91+BC91+BT91+CK91+DB91</f>
        <v/>
      </c>
      <c r="K91" s="10">
        <f>AJ91+BA91+BR91+CI91+CZ91</f>
        <v/>
      </c>
      <c r="L91" s="10">
        <f>AN91+BE91+BV91+CM91+DD91</f>
        <v/>
      </c>
      <c r="M91" s="10">
        <f>AP91+BG91+BX91+CO91+DF91</f>
        <v/>
      </c>
      <c r="N91" s="10">
        <f>AH91+AY91+BP91+CG91+CX91</f>
        <v/>
      </c>
      <c r="O91" s="10">
        <f>SUM(G91:N91)</f>
        <v/>
      </c>
      <c r="P91" s="10">
        <f>IFERROR(G91*MIN(1,'01_Нормативы'!$C$4/SUM(G$2:G$429)),0)</f>
        <v/>
      </c>
      <c r="Q91" s="10">
        <f>IFERROR(H91*MIN(1,'01_Нормативы'!$C$5/SUM(H$2:H$429)),0)</f>
        <v/>
      </c>
      <c r="R91" s="10">
        <f>IFERROR(I91*MIN(1,'01_Нормативы'!$C$6/SUM(I$2:I$429)),0)</f>
        <v/>
      </c>
      <c r="S91" s="10">
        <f>IFERROR(J91*MIN(1,'01_Нормативы'!$C$7/SUM(J$2:J$429)),0)</f>
        <v/>
      </c>
      <c r="T91" s="10">
        <f>IFERROR(K91*MIN(1,'01_Нормативы'!$C$8/SUM(K$2:K$429)),0)</f>
        <v/>
      </c>
      <c r="U91" s="10">
        <f>IFERROR(L91*MIN(1,'01_Нормативы'!$C$9/SUM(L$2:L$429)),0)</f>
        <v/>
      </c>
      <c r="V91" s="10">
        <f>IFERROR(M91*MIN(1,'01_Нормативы'!$C$10/SUM(M$2:M$429)),0)</f>
        <v/>
      </c>
      <c r="W91" s="10">
        <f>IFERROR(N91*MIN(1,'01_Нормативы'!$C$11/SUM(N$2:N$429)),0)</f>
        <v/>
      </c>
      <c r="X91" s="10">
        <f>SUM(P91:W91)</f>
        <v/>
      </c>
      <c r="Y91" s="10">
        <f>MAX(0,C91-X91)</f>
        <v/>
      </c>
      <c r="Z91" s="10">
        <f>IF(D91=0,100,X91/D91*100)</f>
        <v/>
      </c>
      <c r="AA91" s="10">
        <f>'02_Данные'!F91+'02_Данные'!G91</f>
        <v/>
      </c>
      <c r="AB91" s="10">
        <f>MIN('02_Данные'!L91,AA91)</f>
        <v/>
      </c>
      <c r="AC91" s="10">
        <f>AA91-AB91</f>
        <v/>
      </c>
      <c r="AD91" s="10">
        <f>MIN('02_Данные'!M91,AC91)</f>
        <v/>
      </c>
      <c r="AE91" s="10">
        <f>AC91-AD91</f>
        <v/>
      </c>
      <c r="AF91" s="10">
        <f>MIN('02_Данные'!N91,AE91)</f>
        <v/>
      </c>
      <c r="AG91" s="10">
        <f>AE91-AF91</f>
        <v/>
      </c>
      <c r="AH91" s="10">
        <f>MIN('02_Данные'!S91,AG91)</f>
        <v/>
      </c>
      <c r="AI91" s="10">
        <f>AG91-AH91</f>
        <v/>
      </c>
      <c r="AJ91" s="10">
        <f>MIN('02_Данные'!P91,AI91)</f>
        <v/>
      </c>
      <c r="AK91" s="10">
        <f>AI91-AJ91</f>
        <v/>
      </c>
      <c r="AL91" s="10">
        <f>MIN('02_Данные'!O91,AK91)</f>
        <v/>
      </c>
      <c r="AM91" s="10">
        <f>AK91-AL91</f>
        <v/>
      </c>
      <c r="AN91" s="10">
        <f>MIN('02_Данные'!Q91,AM91)</f>
        <v/>
      </c>
      <c r="AO91" s="10">
        <f>AM91-AN91</f>
        <v/>
      </c>
      <c r="AP91" s="10">
        <f>MIN('02_Данные'!R91,AO91)</f>
        <v/>
      </c>
      <c r="AQ91" s="10">
        <f>AO91-AP91</f>
        <v/>
      </c>
      <c r="AR91" s="10">
        <f>AQ91+'02_Данные'!H91</f>
        <v/>
      </c>
      <c r="AS91" s="10">
        <f>MIN('02_Данные'!T91,AR91)</f>
        <v/>
      </c>
      <c r="AT91" s="10">
        <f>AR91-AS91</f>
        <v/>
      </c>
      <c r="AU91" s="10">
        <f>MIN('02_Данные'!U91,AT91)</f>
        <v/>
      </c>
      <c r="AV91" s="10">
        <f>AT91-AU91</f>
        <v/>
      </c>
      <c r="AW91" s="10">
        <f>MIN('02_Данные'!V91,AV91)</f>
        <v/>
      </c>
      <c r="AX91" s="10">
        <f>AV91-AW91</f>
        <v/>
      </c>
      <c r="AY91" s="10">
        <f>MIN('02_Данные'!AA91,AX91)</f>
        <v/>
      </c>
      <c r="AZ91" s="10">
        <f>AX91-AY91</f>
        <v/>
      </c>
      <c r="BA91" s="10">
        <f>MIN('02_Данные'!X91,AZ91)</f>
        <v/>
      </c>
      <c r="BB91" s="10">
        <f>AZ91-BA91</f>
        <v/>
      </c>
      <c r="BC91" s="10">
        <f>MIN('02_Данные'!W91,BB91)</f>
        <v/>
      </c>
      <c r="BD91" s="10">
        <f>BB91-BC91</f>
        <v/>
      </c>
      <c r="BE91" s="10">
        <f>MIN('02_Данные'!Y91,BD91)</f>
        <v/>
      </c>
      <c r="BF91" s="10">
        <f>BD91-BE91</f>
        <v/>
      </c>
      <c r="BG91" s="10">
        <f>MIN('02_Данные'!Z91,BF91)</f>
        <v/>
      </c>
      <c r="BH91" s="10">
        <f>BF91-BG91</f>
        <v/>
      </c>
      <c r="BI91" s="10">
        <f>BH91+'02_Данные'!I91</f>
        <v/>
      </c>
      <c r="BJ91" s="10">
        <f>MIN('02_Данные'!AB91,BI91)</f>
        <v/>
      </c>
      <c r="BK91" s="10">
        <f>BI91-BJ91</f>
        <v/>
      </c>
      <c r="BL91" s="10">
        <f>MIN('02_Данные'!AC91,BK91)</f>
        <v/>
      </c>
      <c r="BM91" s="10">
        <f>BK91-BL91</f>
        <v/>
      </c>
      <c r="BN91" s="10">
        <f>MIN('02_Данные'!AD91,BM91)</f>
        <v/>
      </c>
      <c r="BO91" s="10">
        <f>BM91-BN91</f>
        <v/>
      </c>
      <c r="BP91" s="10">
        <f>MIN('02_Данные'!AI91,BO91)</f>
        <v/>
      </c>
      <c r="BQ91" s="10">
        <f>BO91-BP91</f>
        <v/>
      </c>
      <c r="BR91" s="10">
        <f>MIN('02_Данные'!AF91,BQ91)</f>
        <v/>
      </c>
      <c r="BS91" s="10">
        <f>BQ91-BR91</f>
        <v/>
      </c>
      <c r="BT91" s="10">
        <f>MIN('02_Данные'!AE91,BS91)</f>
        <v/>
      </c>
      <c r="BU91" s="10">
        <f>BS91-BT91</f>
        <v/>
      </c>
      <c r="BV91" s="10">
        <f>MIN('02_Данные'!AG91,BU91)</f>
        <v/>
      </c>
      <c r="BW91" s="10">
        <f>BU91-BV91</f>
        <v/>
      </c>
      <c r="BX91" s="10">
        <f>MIN('02_Данные'!AH91,BW91)</f>
        <v/>
      </c>
      <c r="BY91" s="10">
        <f>BW91-BX91</f>
        <v/>
      </c>
      <c r="BZ91" s="10">
        <f>BY91+'02_Данные'!J91</f>
        <v/>
      </c>
      <c r="CA91" s="10">
        <f>MIN('02_Данные'!AJ91,BZ91)</f>
        <v/>
      </c>
      <c r="CB91" s="10">
        <f>BZ91-CA91</f>
        <v/>
      </c>
      <c r="CC91" s="10">
        <f>MIN('02_Данные'!AK91,CB91)</f>
        <v/>
      </c>
      <c r="CD91" s="10">
        <f>CB91-CC91</f>
        <v/>
      </c>
      <c r="CE91" s="10">
        <f>MIN('02_Данные'!AL91,CD91)</f>
        <v/>
      </c>
      <c r="CF91" s="10">
        <f>CD91-CE91</f>
        <v/>
      </c>
      <c r="CG91" s="10">
        <f>MIN('02_Данные'!AQ91,CF91)</f>
        <v/>
      </c>
      <c r="CH91" s="10">
        <f>CF91-CG91</f>
        <v/>
      </c>
      <c r="CI91" s="10">
        <f>MIN('02_Данные'!AN91,CH91)</f>
        <v/>
      </c>
      <c r="CJ91" s="10">
        <f>CH91-CI91</f>
        <v/>
      </c>
      <c r="CK91" s="10">
        <f>MIN('02_Данные'!AM91,CJ91)</f>
        <v/>
      </c>
      <c r="CL91" s="10">
        <f>CJ91-CK91</f>
        <v/>
      </c>
      <c r="CM91" s="10">
        <f>MIN('02_Данные'!AO91,CL91)</f>
        <v/>
      </c>
      <c r="CN91" s="10">
        <f>CL91-CM91</f>
        <v/>
      </c>
      <c r="CO91" s="10">
        <f>MIN('02_Данные'!AP91,CN91)</f>
        <v/>
      </c>
      <c r="CP91" s="10">
        <f>CN91-CO91</f>
        <v/>
      </c>
      <c r="CQ91" s="10">
        <f>CP91+'02_Данные'!K91</f>
        <v/>
      </c>
      <c r="CR91" s="10">
        <f>MIN('02_Данные'!AR91,CQ91)</f>
        <v/>
      </c>
      <c r="CS91" s="10">
        <f>CQ91-CR91</f>
        <v/>
      </c>
      <c r="CT91" s="10">
        <f>MIN('02_Данные'!AS91,CS91)</f>
        <v/>
      </c>
      <c r="CU91" s="10">
        <f>CS91-CT91</f>
        <v/>
      </c>
      <c r="CV91" s="10">
        <f>MIN('02_Данные'!AT91,CU91)</f>
        <v/>
      </c>
      <c r="CW91" s="10">
        <f>CU91-CV91</f>
        <v/>
      </c>
      <c r="CX91" s="10">
        <f>MIN('02_Данные'!AY91,CW91)</f>
        <v/>
      </c>
      <c r="CY91" s="10">
        <f>CW91-CX91</f>
        <v/>
      </c>
      <c r="CZ91" s="10">
        <f>MIN('02_Данные'!AV91,CY91)</f>
        <v/>
      </c>
      <c r="DA91" s="10">
        <f>CY91-CZ91</f>
        <v/>
      </c>
      <c r="DB91" s="10">
        <f>MIN('02_Данные'!AU91,DA91)</f>
        <v/>
      </c>
      <c r="DC91" s="10">
        <f>DA91-DB91</f>
        <v/>
      </c>
      <c r="DD91" s="10">
        <f>MIN('02_Данные'!AW91,DC91)</f>
        <v/>
      </c>
      <c r="DE91" s="10">
        <f>DC91-DD91</f>
        <v/>
      </c>
      <c r="DF91" s="10">
        <f>MIN('02_Данные'!AX91,DE91)</f>
        <v/>
      </c>
      <c r="DG91" s="10">
        <f>DE91-DF91</f>
        <v/>
      </c>
    </row>
    <row r="92">
      <c r="A92" s="9">
        <f>'02_Данные'!B92</f>
        <v/>
      </c>
      <c r="B92" s="9">
        <f>'02_Данные'!E92</f>
        <v/>
      </c>
      <c r="C92" s="10">
        <f>'02_Данные'!F92+'02_Данные'!G92+'02_Данные'!H92+'02_Данные'!I92+'02_Данные'!J92+'02_Данные'!K92</f>
        <v/>
      </c>
      <c r="D92" s="10">
        <f>SUM('02_Данные'!L92:'02_Данные'!AY92)</f>
        <v/>
      </c>
      <c r="E92" s="10">
        <f>MAX(0,D92-C92)</f>
        <v/>
      </c>
      <c r="F92" s="15">
        <f>IF(E92&gt;0.0001,"ДЕФИЦИТ",IF(Y92&gt;0.0001,"ПРОФИЦИТ","БАЛАНС"))</f>
        <v/>
      </c>
      <c r="G92" s="10">
        <f>AB92+AS92+BJ92+CA92+CR92</f>
        <v/>
      </c>
      <c r="H92" s="10">
        <f>AD92+AU92+BL92+CC92+CT92</f>
        <v/>
      </c>
      <c r="I92" s="10">
        <f>AF92+AW92+BN92+CE92+CV92</f>
        <v/>
      </c>
      <c r="J92" s="10">
        <f>AL92+BC92+BT92+CK92+DB92</f>
        <v/>
      </c>
      <c r="K92" s="10">
        <f>AJ92+BA92+BR92+CI92+CZ92</f>
        <v/>
      </c>
      <c r="L92" s="10">
        <f>AN92+BE92+BV92+CM92+DD92</f>
        <v/>
      </c>
      <c r="M92" s="10">
        <f>AP92+BG92+BX92+CO92+DF92</f>
        <v/>
      </c>
      <c r="N92" s="10">
        <f>AH92+AY92+BP92+CG92+CX92</f>
        <v/>
      </c>
      <c r="O92" s="10">
        <f>SUM(G92:N92)</f>
        <v/>
      </c>
      <c r="P92" s="10">
        <f>IFERROR(G92*MIN(1,'01_Нормативы'!$C$4/SUM(G$2:G$429)),0)</f>
        <v/>
      </c>
      <c r="Q92" s="10">
        <f>IFERROR(H92*MIN(1,'01_Нормативы'!$C$5/SUM(H$2:H$429)),0)</f>
        <v/>
      </c>
      <c r="R92" s="10">
        <f>IFERROR(I92*MIN(1,'01_Нормативы'!$C$6/SUM(I$2:I$429)),0)</f>
        <v/>
      </c>
      <c r="S92" s="10">
        <f>IFERROR(J92*MIN(1,'01_Нормативы'!$C$7/SUM(J$2:J$429)),0)</f>
        <v/>
      </c>
      <c r="T92" s="10">
        <f>IFERROR(K92*MIN(1,'01_Нормативы'!$C$8/SUM(K$2:K$429)),0)</f>
        <v/>
      </c>
      <c r="U92" s="10">
        <f>IFERROR(L92*MIN(1,'01_Нормативы'!$C$9/SUM(L$2:L$429)),0)</f>
        <v/>
      </c>
      <c r="V92" s="10">
        <f>IFERROR(M92*MIN(1,'01_Нормативы'!$C$10/SUM(M$2:M$429)),0)</f>
        <v/>
      </c>
      <c r="W92" s="10">
        <f>IFERROR(N92*MIN(1,'01_Нормативы'!$C$11/SUM(N$2:N$429)),0)</f>
        <v/>
      </c>
      <c r="X92" s="10">
        <f>SUM(P92:W92)</f>
        <v/>
      </c>
      <c r="Y92" s="10">
        <f>MAX(0,C92-X92)</f>
        <v/>
      </c>
      <c r="Z92" s="10">
        <f>IF(D92=0,100,X92/D92*100)</f>
        <v/>
      </c>
      <c r="AA92" s="10">
        <f>'02_Данные'!F92+'02_Данные'!G92</f>
        <v/>
      </c>
      <c r="AB92" s="10">
        <f>MIN('02_Данные'!L92,AA92)</f>
        <v/>
      </c>
      <c r="AC92" s="10">
        <f>AA92-AB92</f>
        <v/>
      </c>
      <c r="AD92" s="10">
        <f>MIN('02_Данные'!M92,AC92)</f>
        <v/>
      </c>
      <c r="AE92" s="10">
        <f>AC92-AD92</f>
        <v/>
      </c>
      <c r="AF92" s="10">
        <f>MIN('02_Данные'!N92,AE92)</f>
        <v/>
      </c>
      <c r="AG92" s="10">
        <f>AE92-AF92</f>
        <v/>
      </c>
      <c r="AH92" s="10">
        <f>MIN('02_Данные'!S92,AG92)</f>
        <v/>
      </c>
      <c r="AI92" s="10">
        <f>AG92-AH92</f>
        <v/>
      </c>
      <c r="AJ92" s="10">
        <f>MIN('02_Данные'!P92,AI92)</f>
        <v/>
      </c>
      <c r="AK92" s="10">
        <f>AI92-AJ92</f>
        <v/>
      </c>
      <c r="AL92" s="10">
        <f>MIN('02_Данные'!O92,AK92)</f>
        <v/>
      </c>
      <c r="AM92" s="10">
        <f>AK92-AL92</f>
        <v/>
      </c>
      <c r="AN92" s="10">
        <f>MIN('02_Данные'!Q92,AM92)</f>
        <v/>
      </c>
      <c r="AO92" s="10">
        <f>AM92-AN92</f>
        <v/>
      </c>
      <c r="AP92" s="10">
        <f>MIN('02_Данные'!R92,AO92)</f>
        <v/>
      </c>
      <c r="AQ92" s="10">
        <f>AO92-AP92</f>
        <v/>
      </c>
      <c r="AR92" s="10">
        <f>AQ92+'02_Данные'!H92</f>
        <v/>
      </c>
      <c r="AS92" s="10">
        <f>MIN('02_Данные'!T92,AR92)</f>
        <v/>
      </c>
      <c r="AT92" s="10">
        <f>AR92-AS92</f>
        <v/>
      </c>
      <c r="AU92" s="10">
        <f>MIN('02_Данные'!U92,AT92)</f>
        <v/>
      </c>
      <c r="AV92" s="10">
        <f>AT92-AU92</f>
        <v/>
      </c>
      <c r="AW92" s="10">
        <f>MIN('02_Данные'!V92,AV92)</f>
        <v/>
      </c>
      <c r="AX92" s="10">
        <f>AV92-AW92</f>
        <v/>
      </c>
      <c r="AY92" s="10">
        <f>MIN('02_Данные'!AA92,AX92)</f>
        <v/>
      </c>
      <c r="AZ92" s="10">
        <f>AX92-AY92</f>
        <v/>
      </c>
      <c r="BA92" s="10">
        <f>MIN('02_Данные'!X92,AZ92)</f>
        <v/>
      </c>
      <c r="BB92" s="10">
        <f>AZ92-BA92</f>
        <v/>
      </c>
      <c r="BC92" s="10">
        <f>MIN('02_Данные'!W92,BB92)</f>
        <v/>
      </c>
      <c r="BD92" s="10">
        <f>BB92-BC92</f>
        <v/>
      </c>
      <c r="BE92" s="10">
        <f>MIN('02_Данные'!Y92,BD92)</f>
        <v/>
      </c>
      <c r="BF92" s="10">
        <f>BD92-BE92</f>
        <v/>
      </c>
      <c r="BG92" s="10">
        <f>MIN('02_Данные'!Z92,BF92)</f>
        <v/>
      </c>
      <c r="BH92" s="10">
        <f>BF92-BG92</f>
        <v/>
      </c>
      <c r="BI92" s="10">
        <f>BH92+'02_Данные'!I92</f>
        <v/>
      </c>
      <c r="BJ92" s="10">
        <f>MIN('02_Данные'!AB92,BI92)</f>
        <v/>
      </c>
      <c r="BK92" s="10">
        <f>BI92-BJ92</f>
        <v/>
      </c>
      <c r="BL92" s="10">
        <f>MIN('02_Данные'!AC92,BK92)</f>
        <v/>
      </c>
      <c r="BM92" s="10">
        <f>BK92-BL92</f>
        <v/>
      </c>
      <c r="BN92" s="10">
        <f>MIN('02_Данные'!AD92,BM92)</f>
        <v/>
      </c>
      <c r="BO92" s="10">
        <f>BM92-BN92</f>
        <v/>
      </c>
      <c r="BP92" s="10">
        <f>MIN('02_Данные'!AI92,BO92)</f>
        <v/>
      </c>
      <c r="BQ92" s="10">
        <f>BO92-BP92</f>
        <v/>
      </c>
      <c r="BR92" s="10">
        <f>MIN('02_Данные'!AF92,BQ92)</f>
        <v/>
      </c>
      <c r="BS92" s="10">
        <f>BQ92-BR92</f>
        <v/>
      </c>
      <c r="BT92" s="10">
        <f>MIN('02_Данные'!AE92,BS92)</f>
        <v/>
      </c>
      <c r="BU92" s="10">
        <f>BS92-BT92</f>
        <v/>
      </c>
      <c r="BV92" s="10">
        <f>MIN('02_Данные'!AG92,BU92)</f>
        <v/>
      </c>
      <c r="BW92" s="10">
        <f>BU92-BV92</f>
        <v/>
      </c>
      <c r="BX92" s="10">
        <f>MIN('02_Данные'!AH92,BW92)</f>
        <v/>
      </c>
      <c r="BY92" s="10">
        <f>BW92-BX92</f>
        <v/>
      </c>
      <c r="BZ92" s="10">
        <f>BY92+'02_Данные'!J92</f>
        <v/>
      </c>
      <c r="CA92" s="10">
        <f>MIN('02_Данные'!AJ92,BZ92)</f>
        <v/>
      </c>
      <c r="CB92" s="10">
        <f>BZ92-CA92</f>
        <v/>
      </c>
      <c r="CC92" s="10">
        <f>MIN('02_Данные'!AK92,CB92)</f>
        <v/>
      </c>
      <c r="CD92" s="10">
        <f>CB92-CC92</f>
        <v/>
      </c>
      <c r="CE92" s="10">
        <f>MIN('02_Данные'!AL92,CD92)</f>
        <v/>
      </c>
      <c r="CF92" s="10">
        <f>CD92-CE92</f>
        <v/>
      </c>
      <c r="CG92" s="10">
        <f>MIN('02_Данные'!AQ92,CF92)</f>
        <v/>
      </c>
      <c r="CH92" s="10">
        <f>CF92-CG92</f>
        <v/>
      </c>
      <c r="CI92" s="10">
        <f>MIN('02_Данные'!AN92,CH92)</f>
        <v/>
      </c>
      <c r="CJ92" s="10">
        <f>CH92-CI92</f>
        <v/>
      </c>
      <c r="CK92" s="10">
        <f>MIN('02_Данные'!AM92,CJ92)</f>
        <v/>
      </c>
      <c r="CL92" s="10">
        <f>CJ92-CK92</f>
        <v/>
      </c>
      <c r="CM92" s="10">
        <f>MIN('02_Данные'!AO92,CL92)</f>
        <v/>
      </c>
      <c r="CN92" s="10">
        <f>CL92-CM92</f>
        <v/>
      </c>
      <c r="CO92" s="10">
        <f>MIN('02_Данные'!AP92,CN92)</f>
        <v/>
      </c>
      <c r="CP92" s="10">
        <f>CN92-CO92</f>
        <v/>
      </c>
      <c r="CQ92" s="10">
        <f>CP92+'02_Данные'!K92</f>
        <v/>
      </c>
      <c r="CR92" s="10">
        <f>MIN('02_Данные'!AR92,CQ92)</f>
        <v/>
      </c>
      <c r="CS92" s="10">
        <f>CQ92-CR92</f>
        <v/>
      </c>
      <c r="CT92" s="10">
        <f>MIN('02_Данные'!AS92,CS92)</f>
        <v/>
      </c>
      <c r="CU92" s="10">
        <f>CS92-CT92</f>
        <v/>
      </c>
      <c r="CV92" s="10">
        <f>MIN('02_Данные'!AT92,CU92)</f>
        <v/>
      </c>
      <c r="CW92" s="10">
        <f>CU92-CV92</f>
        <v/>
      </c>
      <c r="CX92" s="10">
        <f>MIN('02_Данные'!AY92,CW92)</f>
        <v/>
      </c>
      <c r="CY92" s="10">
        <f>CW92-CX92</f>
        <v/>
      </c>
      <c r="CZ92" s="10">
        <f>MIN('02_Данные'!AV92,CY92)</f>
        <v/>
      </c>
      <c r="DA92" s="10">
        <f>CY92-CZ92</f>
        <v/>
      </c>
      <c r="DB92" s="10">
        <f>MIN('02_Данные'!AU92,DA92)</f>
        <v/>
      </c>
      <c r="DC92" s="10">
        <f>DA92-DB92</f>
        <v/>
      </c>
      <c r="DD92" s="10">
        <f>MIN('02_Данные'!AW92,DC92)</f>
        <v/>
      </c>
      <c r="DE92" s="10">
        <f>DC92-DD92</f>
        <v/>
      </c>
      <c r="DF92" s="10">
        <f>MIN('02_Данные'!AX92,DE92)</f>
        <v/>
      </c>
      <c r="DG92" s="10">
        <f>DE92-DF92</f>
        <v/>
      </c>
    </row>
    <row r="93">
      <c r="A93" s="9">
        <f>'02_Данные'!B93</f>
        <v/>
      </c>
      <c r="B93" s="9">
        <f>'02_Данные'!E93</f>
        <v/>
      </c>
      <c r="C93" s="10">
        <f>'02_Данные'!F93+'02_Данные'!G93+'02_Данные'!H93+'02_Данные'!I93+'02_Данные'!J93+'02_Данные'!K93</f>
        <v/>
      </c>
      <c r="D93" s="10">
        <f>SUM('02_Данные'!L93:'02_Данные'!AY93)</f>
        <v/>
      </c>
      <c r="E93" s="10">
        <f>MAX(0,D93-C93)</f>
        <v/>
      </c>
      <c r="F93" s="15">
        <f>IF(E93&gt;0.0001,"ДЕФИЦИТ",IF(Y93&gt;0.0001,"ПРОФИЦИТ","БАЛАНС"))</f>
        <v/>
      </c>
      <c r="G93" s="10">
        <f>AB93+AS93+BJ93+CA93+CR93</f>
        <v/>
      </c>
      <c r="H93" s="10">
        <f>AD93+AU93+BL93+CC93+CT93</f>
        <v/>
      </c>
      <c r="I93" s="10">
        <f>AF93+AW93+BN93+CE93+CV93</f>
        <v/>
      </c>
      <c r="J93" s="10">
        <f>AL93+BC93+BT93+CK93+DB93</f>
        <v/>
      </c>
      <c r="K93" s="10">
        <f>AJ93+BA93+BR93+CI93+CZ93</f>
        <v/>
      </c>
      <c r="L93" s="10">
        <f>AN93+BE93+BV93+CM93+DD93</f>
        <v/>
      </c>
      <c r="M93" s="10">
        <f>AP93+BG93+BX93+CO93+DF93</f>
        <v/>
      </c>
      <c r="N93" s="10">
        <f>AH93+AY93+BP93+CG93+CX93</f>
        <v/>
      </c>
      <c r="O93" s="10">
        <f>SUM(G93:N93)</f>
        <v/>
      </c>
      <c r="P93" s="10">
        <f>IFERROR(G93*MIN(1,'01_Нормативы'!$C$4/SUM(G$2:G$429)),0)</f>
        <v/>
      </c>
      <c r="Q93" s="10">
        <f>IFERROR(H93*MIN(1,'01_Нормативы'!$C$5/SUM(H$2:H$429)),0)</f>
        <v/>
      </c>
      <c r="R93" s="10">
        <f>IFERROR(I93*MIN(1,'01_Нормативы'!$C$6/SUM(I$2:I$429)),0)</f>
        <v/>
      </c>
      <c r="S93" s="10">
        <f>IFERROR(J93*MIN(1,'01_Нормативы'!$C$7/SUM(J$2:J$429)),0)</f>
        <v/>
      </c>
      <c r="T93" s="10">
        <f>IFERROR(K93*MIN(1,'01_Нормативы'!$C$8/SUM(K$2:K$429)),0)</f>
        <v/>
      </c>
      <c r="U93" s="10">
        <f>IFERROR(L93*MIN(1,'01_Нормативы'!$C$9/SUM(L$2:L$429)),0)</f>
        <v/>
      </c>
      <c r="V93" s="10">
        <f>IFERROR(M93*MIN(1,'01_Нормативы'!$C$10/SUM(M$2:M$429)),0)</f>
        <v/>
      </c>
      <c r="W93" s="10">
        <f>IFERROR(N93*MIN(1,'01_Нормативы'!$C$11/SUM(N$2:N$429)),0)</f>
        <v/>
      </c>
      <c r="X93" s="10">
        <f>SUM(P93:W93)</f>
        <v/>
      </c>
      <c r="Y93" s="10">
        <f>MAX(0,C93-X93)</f>
        <v/>
      </c>
      <c r="Z93" s="10">
        <f>IF(D93=0,100,X93/D93*100)</f>
        <v/>
      </c>
      <c r="AA93" s="10">
        <f>'02_Данные'!F93+'02_Данные'!G93</f>
        <v/>
      </c>
      <c r="AB93" s="10">
        <f>MIN('02_Данные'!L93,AA93)</f>
        <v/>
      </c>
      <c r="AC93" s="10">
        <f>AA93-AB93</f>
        <v/>
      </c>
      <c r="AD93" s="10">
        <f>MIN('02_Данные'!M93,AC93)</f>
        <v/>
      </c>
      <c r="AE93" s="10">
        <f>AC93-AD93</f>
        <v/>
      </c>
      <c r="AF93" s="10">
        <f>MIN('02_Данные'!N93,AE93)</f>
        <v/>
      </c>
      <c r="AG93" s="10">
        <f>AE93-AF93</f>
        <v/>
      </c>
      <c r="AH93" s="10">
        <f>MIN('02_Данные'!S93,AG93)</f>
        <v/>
      </c>
      <c r="AI93" s="10">
        <f>AG93-AH93</f>
        <v/>
      </c>
      <c r="AJ93" s="10">
        <f>MIN('02_Данные'!P93,AI93)</f>
        <v/>
      </c>
      <c r="AK93" s="10">
        <f>AI93-AJ93</f>
        <v/>
      </c>
      <c r="AL93" s="10">
        <f>MIN('02_Данные'!O93,AK93)</f>
        <v/>
      </c>
      <c r="AM93" s="10">
        <f>AK93-AL93</f>
        <v/>
      </c>
      <c r="AN93" s="10">
        <f>MIN('02_Данные'!Q93,AM93)</f>
        <v/>
      </c>
      <c r="AO93" s="10">
        <f>AM93-AN93</f>
        <v/>
      </c>
      <c r="AP93" s="10">
        <f>MIN('02_Данные'!R93,AO93)</f>
        <v/>
      </c>
      <c r="AQ93" s="10">
        <f>AO93-AP93</f>
        <v/>
      </c>
      <c r="AR93" s="10">
        <f>AQ93+'02_Данные'!H93</f>
        <v/>
      </c>
      <c r="AS93" s="10">
        <f>MIN('02_Данные'!T93,AR93)</f>
        <v/>
      </c>
      <c r="AT93" s="10">
        <f>AR93-AS93</f>
        <v/>
      </c>
      <c r="AU93" s="10">
        <f>MIN('02_Данные'!U93,AT93)</f>
        <v/>
      </c>
      <c r="AV93" s="10">
        <f>AT93-AU93</f>
        <v/>
      </c>
      <c r="AW93" s="10">
        <f>MIN('02_Данные'!V93,AV93)</f>
        <v/>
      </c>
      <c r="AX93" s="10">
        <f>AV93-AW93</f>
        <v/>
      </c>
      <c r="AY93" s="10">
        <f>MIN('02_Данные'!AA93,AX93)</f>
        <v/>
      </c>
      <c r="AZ93" s="10">
        <f>AX93-AY93</f>
        <v/>
      </c>
      <c r="BA93" s="10">
        <f>MIN('02_Данные'!X93,AZ93)</f>
        <v/>
      </c>
      <c r="BB93" s="10">
        <f>AZ93-BA93</f>
        <v/>
      </c>
      <c r="BC93" s="10">
        <f>MIN('02_Данные'!W93,BB93)</f>
        <v/>
      </c>
      <c r="BD93" s="10">
        <f>BB93-BC93</f>
        <v/>
      </c>
      <c r="BE93" s="10">
        <f>MIN('02_Данные'!Y93,BD93)</f>
        <v/>
      </c>
      <c r="BF93" s="10">
        <f>BD93-BE93</f>
        <v/>
      </c>
      <c r="BG93" s="10">
        <f>MIN('02_Данные'!Z93,BF93)</f>
        <v/>
      </c>
      <c r="BH93" s="10">
        <f>BF93-BG93</f>
        <v/>
      </c>
      <c r="BI93" s="10">
        <f>BH93+'02_Данные'!I93</f>
        <v/>
      </c>
      <c r="BJ93" s="10">
        <f>MIN('02_Данные'!AB93,BI93)</f>
        <v/>
      </c>
      <c r="BK93" s="10">
        <f>BI93-BJ93</f>
        <v/>
      </c>
      <c r="BL93" s="10">
        <f>MIN('02_Данные'!AC93,BK93)</f>
        <v/>
      </c>
      <c r="BM93" s="10">
        <f>BK93-BL93</f>
        <v/>
      </c>
      <c r="BN93" s="10">
        <f>MIN('02_Данные'!AD93,BM93)</f>
        <v/>
      </c>
      <c r="BO93" s="10">
        <f>BM93-BN93</f>
        <v/>
      </c>
      <c r="BP93" s="10">
        <f>MIN('02_Данные'!AI93,BO93)</f>
        <v/>
      </c>
      <c r="BQ93" s="10">
        <f>BO93-BP93</f>
        <v/>
      </c>
      <c r="BR93" s="10">
        <f>MIN('02_Данные'!AF93,BQ93)</f>
        <v/>
      </c>
      <c r="BS93" s="10">
        <f>BQ93-BR93</f>
        <v/>
      </c>
      <c r="BT93" s="10">
        <f>MIN('02_Данные'!AE93,BS93)</f>
        <v/>
      </c>
      <c r="BU93" s="10">
        <f>BS93-BT93</f>
        <v/>
      </c>
      <c r="BV93" s="10">
        <f>MIN('02_Данные'!AG93,BU93)</f>
        <v/>
      </c>
      <c r="BW93" s="10">
        <f>BU93-BV93</f>
        <v/>
      </c>
      <c r="BX93" s="10">
        <f>MIN('02_Данные'!AH93,BW93)</f>
        <v/>
      </c>
      <c r="BY93" s="10">
        <f>BW93-BX93</f>
        <v/>
      </c>
      <c r="BZ93" s="10">
        <f>BY93+'02_Данные'!J93</f>
        <v/>
      </c>
      <c r="CA93" s="10">
        <f>MIN('02_Данные'!AJ93,BZ93)</f>
        <v/>
      </c>
      <c r="CB93" s="10">
        <f>BZ93-CA93</f>
        <v/>
      </c>
      <c r="CC93" s="10">
        <f>MIN('02_Данные'!AK93,CB93)</f>
        <v/>
      </c>
      <c r="CD93" s="10">
        <f>CB93-CC93</f>
        <v/>
      </c>
      <c r="CE93" s="10">
        <f>MIN('02_Данные'!AL93,CD93)</f>
        <v/>
      </c>
      <c r="CF93" s="10">
        <f>CD93-CE93</f>
        <v/>
      </c>
      <c r="CG93" s="10">
        <f>MIN('02_Данные'!AQ93,CF93)</f>
        <v/>
      </c>
      <c r="CH93" s="10">
        <f>CF93-CG93</f>
        <v/>
      </c>
      <c r="CI93" s="10">
        <f>MIN('02_Данные'!AN93,CH93)</f>
        <v/>
      </c>
      <c r="CJ93" s="10">
        <f>CH93-CI93</f>
        <v/>
      </c>
      <c r="CK93" s="10">
        <f>MIN('02_Данные'!AM93,CJ93)</f>
        <v/>
      </c>
      <c r="CL93" s="10">
        <f>CJ93-CK93</f>
        <v/>
      </c>
      <c r="CM93" s="10">
        <f>MIN('02_Данные'!AO93,CL93)</f>
        <v/>
      </c>
      <c r="CN93" s="10">
        <f>CL93-CM93</f>
        <v/>
      </c>
      <c r="CO93" s="10">
        <f>MIN('02_Данные'!AP93,CN93)</f>
        <v/>
      </c>
      <c r="CP93" s="10">
        <f>CN93-CO93</f>
        <v/>
      </c>
      <c r="CQ93" s="10">
        <f>CP93+'02_Данные'!K93</f>
        <v/>
      </c>
      <c r="CR93" s="10">
        <f>MIN('02_Данные'!AR93,CQ93)</f>
        <v/>
      </c>
      <c r="CS93" s="10">
        <f>CQ93-CR93</f>
        <v/>
      </c>
      <c r="CT93" s="10">
        <f>MIN('02_Данные'!AS93,CS93)</f>
        <v/>
      </c>
      <c r="CU93" s="10">
        <f>CS93-CT93</f>
        <v/>
      </c>
      <c r="CV93" s="10">
        <f>MIN('02_Данные'!AT93,CU93)</f>
        <v/>
      </c>
      <c r="CW93" s="10">
        <f>CU93-CV93</f>
        <v/>
      </c>
      <c r="CX93" s="10">
        <f>MIN('02_Данные'!AY93,CW93)</f>
        <v/>
      </c>
      <c r="CY93" s="10">
        <f>CW93-CX93</f>
        <v/>
      </c>
      <c r="CZ93" s="10">
        <f>MIN('02_Данные'!AV93,CY93)</f>
        <v/>
      </c>
      <c r="DA93" s="10">
        <f>CY93-CZ93</f>
        <v/>
      </c>
      <c r="DB93" s="10">
        <f>MIN('02_Данные'!AU93,DA93)</f>
        <v/>
      </c>
      <c r="DC93" s="10">
        <f>DA93-DB93</f>
        <v/>
      </c>
      <c r="DD93" s="10">
        <f>MIN('02_Данные'!AW93,DC93)</f>
        <v/>
      </c>
      <c r="DE93" s="10">
        <f>DC93-DD93</f>
        <v/>
      </c>
      <c r="DF93" s="10">
        <f>MIN('02_Данные'!AX93,DE93)</f>
        <v/>
      </c>
      <c r="DG93" s="10">
        <f>DE93-DF93</f>
        <v/>
      </c>
    </row>
    <row r="94">
      <c r="A94" s="9">
        <f>'02_Данные'!B94</f>
        <v/>
      </c>
      <c r="B94" s="9">
        <f>'02_Данные'!E94</f>
        <v/>
      </c>
      <c r="C94" s="10">
        <f>'02_Данные'!F94+'02_Данные'!G94+'02_Данные'!H94+'02_Данные'!I94+'02_Данные'!J94+'02_Данные'!K94</f>
        <v/>
      </c>
      <c r="D94" s="10">
        <f>SUM('02_Данные'!L94:'02_Данные'!AY94)</f>
        <v/>
      </c>
      <c r="E94" s="10">
        <f>MAX(0,D94-C94)</f>
        <v/>
      </c>
      <c r="F94" s="15">
        <f>IF(E94&gt;0.0001,"ДЕФИЦИТ",IF(Y94&gt;0.0001,"ПРОФИЦИТ","БАЛАНС"))</f>
        <v/>
      </c>
      <c r="G94" s="10">
        <f>AB94+AS94+BJ94+CA94+CR94</f>
        <v/>
      </c>
      <c r="H94" s="10">
        <f>AD94+AU94+BL94+CC94+CT94</f>
        <v/>
      </c>
      <c r="I94" s="10">
        <f>AF94+AW94+BN94+CE94+CV94</f>
        <v/>
      </c>
      <c r="J94" s="10">
        <f>AL94+BC94+BT94+CK94+DB94</f>
        <v/>
      </c>
      <c r="K94" s="10">
        <f>AJ94+BA94+BR94+CI94+CZ94</f>
        <v/>
      </c>
      <c r="L94" s="10">
        <f>AN94+BE94+BV94+CM94+DD94</f>
        <v/>
      </c>
      <c r="M94" s="10">
        <f>AP94+BG94+BX94+CO94+DF94</f>
        <v/>
      </c>
      <c r="N94" s="10">
        <f>AH94+AY94+BP94+CG94+CX94</f>
        <v/>
      </c>
      <c r="O94" s="10">
        <f>SUM(G94:N94)</f>
        <v/>
      </c>
      <c r="P94" s="10">
        <f>IFERROR(G94*MIN(1,'01_Нормативы'!$C$4/SUM(G$2:G$429)),0)</f>
        <v/>
      </c>
      <c r="Q94" s="10">
        <f>IFERROR(H94*MIN(1,'01_Нормативы'!$C$5/SUM(H$2:H$429)),0)</f>
        <v/>
      </c>
      <c r="R94" s="10">
        <f>IFERROR(I94*MIN(1,'01_Нормативы'!$C$6/SUM(I$2:I$429)),0)</f>
        <v/>
      </c>
      <c r="S94" s="10">
        <f>IFERROR(J94*MIN(1,'01_Нормативы'!$C$7/SUM(J$2:J$429)),0)</f>
        <v/>
      </c>
      <c r="T94" s="10">
        <f>IFERROR(K94*MIN(1,'01_Нормативы'!$C$8/SUM(K$2:K$429)),0)</f>
        <v/>
      </c>
      <c r="U94" s="10">
        <f>IFERROR(L94*MIN(1,'01_Нормативы'!$C$9/SUM(L$2:L$429)),0)</f>
        <v/>
      </c>
      <c r="V94" s="10">
        <f>IFERROR(M94*MIN(1,'01_Нормативы'!$C$10/SUM(M$2:M$429)),0)</f>
        <v/>
      </c>
      <c r="W94" s="10">
        <f>IFERROR(N94*MIN(1,'01_Нормативы'!$C$11/SUM(N$2:N$429)),0)</f>
        <v/>
      </c>
      <c r="X94" s="10">
        <f>SUM(P94:W94)</f>
        <v/>
      </c>
      <c r="Y94" s="10">
        <f>MAX(0,C94-X94)</f>
        <v/>
      </c>
      <c r="Z94" s="10">
        <f>IF(D94=0,100,X94/D94*100)</f>
        <v/>
      </c>
      <c r="AA94" s="10">
        <f>'02_Данные'!F94+'02_Данные'!G94</f>
        <v/>
      </c>
      <c r="AB94" s="10">
        <f>MIN('02_Данные'!L94,AA94)</f>
        <v/>
      </c>
      <c r="AC94" s="10">
        <f>AA94-AB94</f>
        <v/>
      </c>
      <c r="AD94" s="10">
        <f>MIN('02_Данные'!M94,AC94)</f>
        <v/>
      </c>
      <c r="AE94" s="10">
        <f>AC94-AD94</f>
        <v/>
      </c>
      <c r="AF94" s="10">
        <f>MIN('02_Данные'!N94,AE94)</f>
        <v/>
      </c>
      <c r="AG94" s="10">
        <f>AE94-AF94</f>
        <v/>
      </c>
      <c r="AH94" s="10">
        <f>MIN('02_Данные'!S94,AG94)</f>
        <v/>
      </c>
      <c r="AI94" s="10">
        <f>AG94-AH94</f>
        <v/>
      </c>
      <c r="AJ94" s="10">
        <f>MIN('02_Данные'!P94,AI94)</f>
        <v/>
      </c>
      <c r="AK94" s="10">
        <f>AI94-AJ94</f>
        <v/>
      </c>
      <c r="AL94" s="10">
        <f>MIN('02_Данные'!O94,AK94)</f>
        <v/>
      </c>
      <c r="AM94" s="10">
        <f>AK94-AL94</f>
        <v/>
      </c>
      <c r="AN94" s="10">
        <f>MIN('02_Данные'!Q94,AM94)</f>
        <v/>
      </c>
      <c r="AO94" s="10">
        <f>AM94-AN94</f>
        <v/>
      </c>
      <c r="AP94" s="10">
        <f>MIN('02_Данные'!R94,AO94)</f>
        <v/>
      </c>
      <c r="AQ94" s="10">
        <f>AO94-AP94</f>
        <v/>
      </c>
      <c r="AR94" s="10">
        <f>AQ94+'02_Данные'!H94</f>
        <v/>
      </c>
      <c r="AS94" s="10">
        <f>MIN('02_Данные'!T94,AR94)</f>
        <v/>
      </c>
      <c r="AT94" s="10">
        <f>AR94-AS94</f>
        <v/>
      </c>
      <c r="AU94" s="10">
        <f>MIN('02_Данные'!U94,AT94)</f>
        <v/>
      </c>
      <c r="AV94" s="10">
        <f>AT94-AU94</f>
        <v/>
      </c>
      <c r="AW94" s="10">
        <f>MIN('02_Данные'!V94,AV94)</f>
        <v/>
      </c>
      <c r="AX94" s="10">
        <f>AV94-AW94</f>
        <v/>
      </c>
      <c r="AY94" s="10">
        <f>MIN('02_Данные'!AA94,AX94)</f>
        <v/>
      </c>
      <c r="AZ94" s="10">
        <f>AX94-AY94</f>
        <v/>
      </c>
      <c r="BA94" s="10">
        <f>MIN('02_Данные'!X94,AZ94)</f>
        <v/>
      </c>
      <c r="BB94" s="10">
        <f>AZ94-BA94</f>
        <v/>
      </c>
      <c r="BC94" s="10">
        <f>MIN('02_Данные'!W94,BB94)</f>
        <v/>
      </c>
      <c r="BD94" s="10">
        <f>BB94-BC94</f>
        <v/>
      </c>
      <c r="BE94" s="10">
        <f>MIN('02_Данные'!Y94,BD94)</f>
        <v/>
      </c>
      <c r="BF94" s="10">
        <f>BD94-BE94</f>
        <v/>
      </c>
      <c r="BG94" s="10">
        <f>MIN('02_Данные'!Z94,BF94)</f>
        <v/>
      </c>
      <c r="BH94" s="10">
        <f>BF94-BG94</f>
        <v/>
      </c>
      <c r="BI94" s="10">
        <f>BH94+'02_Данные'!I94</f>
        <v/>
      </c>
      <c r="BJ94" s="10">
        <f>MIN('02_Данные'!AB94,BI94)</f>
        <v/>
      </c>
      <c r="BK94" s="10">
        <f>BI94-BJ94</f>
        <v/>
      </c>
      <c r="BL94" s="10">
        <f>MIN('02_Данные'!AC94,BK94)</f>
        <v/>
      </c>
      <c r="BM94" s="10">
        <f>BK94-BL94</f>
        <v/>
      </c>
      <c r="BN94" s="10">
        <f>MIN('02_Данные'!AD94,BM94)</f>
        <v/>
      </c>
      <c r="BO94" s="10">
        <f>BM94-BN94</f>
        <v/>
      </c>
      <c r="BP94" s="10">
        <f>MIN('02_Данные'!AI94,BO94)</f>
        <v/>
      </c>
      <c r="BQ94" s="10">
        <f>BO94-BP94</f>
        <v/>
      </c>
      <c r="BR94" s="10">
        <f>MIN('02_Данные'!AF94,BQ94)</f>
        <v/>
      </c>
      <c r="BS94" s="10">
        <f>BQ94-BR94</f>
        <v/>
      </c>
      <c r="BT94" s="10">
        <f>MIN('02_Данные'!AE94,BS94)</f>
        <v/>
      </c>
      <c r="BU94" s="10">
        <f>BS94-BT94</f>
        <v/>
      </c>
      <c r="BV94" s="10">
        <f>MIN('02_Данные'!AG94,BU94)</f>
        <v/>
      </c>
      <c r="BW94" s="10">
        <f>BU94-BV94</f>
        <v/>
      </c>
      <c r="BX94" s="10">
        <f>MIN('02_Данные'!AH94,BW94)</f>
        <v/>
      </c>
      <c r="BY94" s="10">
        <f>BW94-BX94</f>
        <v/>
      </c>
      <c r="BZ94" s="10">
        <f>BY94+'02_Данные'!J94</f>
        <v/>
      </c>
      <c r="CA94" s="10">
        <f>MIN('02_Данные'!AJ94,BZ94)</f>
        <v/>
      </c>
      <c r="CB94" s="10">
        <f>BZ94-CA94</f>
        <v/>
      </c>
      <c r="CC94" s="10">
        <f>MIN('02_Данные'!AK94,CB94)</f>
        <v/>
      </c>
      <c r="CD94" s="10">
        <f>CB94-CC94</f>
        <v/>
      </c>
      <c r="CE94" s="10">
        <f>MIN('02_Данные'!AL94,CD94)</f>
        <v/>
      </c>
      <c r="CF94" s="10">
        <f>CD94-CE94</f>
        <v/>
      </c>
      <c r="CG94" s="10">
        <f>MIN('02_Данные'!AQ94,CF94)</f>
        <v/>
      </c>
      <c r="CH94" s="10">
        <f>CF94-CG94</f>
        <v/>
      </c>
      <c r="CI94" s="10">
        <f>MIN('02_Данные'!AN94,CH94)</f>
        <v/>
      </c>
      <c r="CJ94" s="10">
        <f>CH94-CI94</f>
        <v/>
      </c>
      <c r="CK94" s="10">
        <f>MIN('02_Данные'!AM94,CJ94)</f>
        <v/>
      </c>
      <c r="CL94" s="10">
        <f>CJ94-CK94</f>
        <v/>
      </c>
      <c r="CM94" s="10">
        <f>MIN('02_Данные'!AO94,CL94)</f>
        <v/>
      </c>
      <c r="CN94" s="10">
        <f>CL94-CM94</f>
        <v/>
      </c>
      <c r="CO94" s="10">
        <f>MIN('02_Данные'!AP94,CN94)</f>
        <v/>
      </c>
      <c r="CP94" s="10">
        <f>CN94-CO94</f>
        <v/>
      </c>
      <c r="CQ94" s="10">
        <f>CP94+'02_Данные'!K94</f>
        <v/>
      </c>
      <c r="CR94" s="10">
        <f>MIN('02_Данные'!AR94,CQ94)</f>
        <v/>
      </c>
      <c r="CS94" s="10">
        <f>CQ94-CR94</f>
        <v/>
      </c>
      <c r="CT94" s="10">
        <f>MIN('02_Данные'!AS94,CS94)</f>
        <v/>
      </c>
      <c r="CU94" s="10">
        <f>CS94-CT94</f>
        <v/>
      </c>
      <c r="CV94" s="10">
        <f>MIN('02_Данные'!AT94,CU94)</f>
        <v/>
      </c>
      <c r="CW94" s="10">
        <f>CU94-CV94</f>
        <v/>
      </c>
      <c r="CX94" s="10">
        <f>MIN('02_Данные'!AY94,CW94)</f>
        <v/>
      </c>
      <c r="CY94" s="10">
        <f>CW94-CX94</f>
        <v/>
      </c>
      <c r="CZ94" s="10">
        <f>MIN('02_Данные'!AV94,CY94)</f>
        <v/>
      </c>
      <c r="DA94" s="10">
        <f>CY94-CZ94</f>
        <v/>
      </c>
      <c r="DB94" s="10">
        <f>MIN('02_Данные'!AU94,DA94)</f>
        <v/>
      </c>
      <c r="DC94" s="10">
        <f>DA94-DB94</f>
        <v/>
      </c>
      <c r="DD94" s="10">
        <f>MIN('02_Данные'!AW94,DC94)</f>
        <v/>
      </c>
      <c r="DE94" s="10">
        <f>DC94-DD94</f>
        <v/>
      </c>
      <c r="DF94" s="10">
        <f>MIN('02_Данные'!AX94,DE94)</f>
        <v/>
      </c>
      <c r="DG94" s="10">
        <f>DE94-DF94</f>
        <v/>
      </c>
    </row>
    <row r="95">
      <c r="A95" s="9">
        <f>'02_Данные'!B95</f>
        <v/>
      </c>
      <c r="B95" s="9">
        <f>'02_Данные'!E95</f>
        <v/>
      </c>
      <c r="C95" s="10">
        <f>'02_Данные'!F95+'02_Данные'!G95+'02_Данные'!H95+'02_Данные'!I95+'02_Данные'!J95+'02_Данные'!K95</f>
        <v/>
      </c>
      <c r="D95" s="10">
        <f>SUM('02_Данные'!L95:'02_Данные'!AY95)</f>
        <v/>
      </c>
      <c r="E95" s="10">
        <f>MAX(0,D95-C95)</f>
        <v/>
      </c>
      <c r="F95" s="15">
        <f>IF(E95&gt;0.0001,"ДЕФИЦИТ",IF(Y95&gt;0.0001,"ПРОФИЦИТ","БАЛАНС"))</f>
        <v/>
      </c>
      <c r="G95" s="10">
        <f>AB95+AS95+BJ95+CA95+CR95</f>
        <v/>
      </c>
      <c r="H95" s="10">
        <f>AD95+AU95+BL95+CC95+CT95</f>
        <v/>
      </c>
      <c r="I95" s="10">
        <f>AF95+AW95+BN95+CE95+CV95</f>
        <v/>
      </c>
      <c r="J95" s="10">
        <f>AL95+BC95+BT95+CK95+DB95</f>
        <v/>
      </c>
      <c r="K95" s="10">
        <f>AJ95+BA95+BR95+CI95+CZ95</f>
        <v/>
      </c>
      <c r="L95" s="10">
        <f>AN95+BE95+BV95+CM95+DD95</f>
        <v/>
      </c>
      <c r="M95" s="10">
        <f>AP95+BG95+BX95+CO95+DF95</f>
        <v/>
      </c>
      <c r="N95" s="10">
        <f>AH95+AY95+BP95+CG95+CX95</f>
        <v/>
      </c>
      <c r="O95" s="10">
        <f>SUM(G95:N95)</f>
        <v/>
      </c>
      <c r="P95" s="10">
        <f>IFERROR(G95*MIN(1,'01_Нормативы'!$C$4/SUM(G$2:G$429)),0)</f>
        <v/>
      </c>
      <c r="Q95" s="10">
        <f>IFERROR(H95*MIN(1,'01_Нормативы'!$C$5/SUM(H$2:H$429)),0)</f>
        <v/>
      </c>
      <c r="R95" s="10">
        <f>IFERROR(I95*MIN(1,'01_Нормативы'!$C$6/SUM(I$2:I$429)),0)</f>
        <v/>
      </c>
      <c r="S95" s="10">
        <f>IFERROR(J95*MIN(1,'01_Нормативы'!$C$7/SUM(J$2:J$429)),0)</f>
        <v/>
      </c>
      <c r="T95" s="10">
        <f>IFERROR(K95*MIN(1,'01_Нормативы'!$C$8/SUM(K$2:K$429)),0)</f>
        <v/>
      </c>
      <c r="U95" s="10">
        <f>IFERROR(L95*MIN(1,'01_Нормативы'!$C$9/SUM(L$2:L$429)),0)</f>
        <v/>
      </c>
      <c r="V95" s="10">
        <f>IFERROR(M95*MIN(1,'01_Нормативы'!$C$10/SUM(M$2:M$429)),0)</f>
        <v/>
      </c>
      <c r="W95" s="10">
        <f>IFERROR(N95*MIN(1,'01_Нормативы'!$C$11/SUM(N$2:N$429)),0)</f>
        <v/>
      </c>
      <c r="X95" s="10">
        <f>SUM(P95:W95)</f>
        <v/>
      </c>
      <c r="Y95" s="10">
        <f>MAX(0,C95-X95)</f>
        <v/>
      </c>
      <c r="Z95" s="10">
        <f>IF(D95=0,100,X95/D95*100)</f>
        <v/>
      </c>
      <c r="AA95" s="10">
        <f>'02_Данные'!F95+'02_Данные'!G95</f>
        <v/>
      </c>
      <c r="AB95" s="10">
        <f>MIN('02_Данные'!L95,AA95)</f>
        <v/>
      </c>
      <c r="AC95" s="10">
        <f>AA95-AB95</f>
        <v/>
      </c>
      <c r="AD95" s="10">
        <f>MIN('02_Данные'!M95,AC95)</f>
        <v/>
      </c>
      <c r="AE95" s="10">
        <f>AC95-AD95</f>
        <v/>
      </c>
      <c r="AF95" s="10">
        <f>MIN('02_Данные'!N95,AE95)</f>
        <v/>
      </c>
      <c r="AG95" s="10">
        <f>AE95-AF95</f>
        <v/>
      </c>
      <c r="AH95" s="10">
        <f>MIN('02_Данные'!S95,AG95)</f>
        <v/>
      </c>
      <c r="AI95" s="10">
        <f>AG95-AH95</f>
        <v/>
      </c>
      <c r="AJ95" s="10">
        <f>MIN('02_Данные'!P95,AI95)</f>
        <v/>
      </c>
      <c r="AK95" s="10">
        <f>AI95-AJ95</f>
        <v/>
      </c>
      <c r="AL95" s="10">
        <f>MIN('02_Данные'!O95,AK95)</f>
        <v/>
      </c>
      <c r="AM95" s="10">
        <f>AK95-AL95</f>
        <v/>
      </c>
      <c r="AN95" s="10">
        <f>MIN('02_Данные'!Q95,AM95)</f>
        <v/>
      </c>
      <c r="AO95" s="10">
        <f>AM95-AN95</f>
        <v/>
      </c>
      <c r="AP95" s="10">
        <f>MIN('02_Данные'!R95,AO95)</f>
        <v/>
      </c>
      <c r="AQ95" s="10">
        <f>AO95-AP95</f>
        <v/>
      </c>
      <c r="AR95" s="10">
        <f>AQ95+'02_Данные'!H95</f>
        <v/>
      </c>
      <c r="AS95" s="10">
        <f>MIN('02_Данные'!T95,AR95)</f>
        <v/>
      </c>
      <c r="AT95" s="10">
        <f>AR95-AS95</f>
        <v/>
      </c>
      <c r="AU95" s="10">
        <f>MIN('02_Данные'!U95,AT95)</f>
        <v/>
      </c>
      <c r="AV95" s="10">
        <f>AT95-AU95</f>
        <v/>
      </c>
      <c r="AW95" s="10">
        <f>MIN('02_Данные'!V95,AV95)</f>
        <v/>
      </c>
      <c r="AX95" s="10">
        <f>AV95-AW95</f>
        <v/>
      </c>
      <c r="AY95" s="10">
        <f>MIN('02_Данные'!AA95,AX95)</f>
        <v/>
      </c>
      <c r="AZ95" s="10">
        <f>AX95-AY95</f>
        <v/>
      </c>
      <c r="BA95" s="10">
        <f>MIN('02_Данные'!X95,AZ95)</f>
        <v/>
      </c>
      <c r="BB95" s="10">
        <f>AZ95-BA95</f>
        <v/>
      </c>
      <c r="BC95" s="10">
        <f>MIN('02_Данные'!W95,BB95)</f>
        <v/>
      </c>
      <c r="BD95" s="10">
        <f>BB95-BC95</f>
        <v/>
      </c>
      <c r="BE95" s="10">
        <f>MIN('02_Данные'!Y95,BD95)</f>
        <v/>
      </c>
      <c r="BF95" s="10">
        <f>BD95-BE95</f>
        <v/>
      </c>
      <c r="BG95" s="10">
        <f>MIN('02_Данные'!Z95,BF95)</f>
        <v/>
      </c>
      <c r="BH95" s="10">
        <f>BF95-BG95</f>
        <v/>
      </c>
      <c r="BI95" s="10">
        <f>BH95+'02_Данные'!I95</f>
        <v/>
      </c>
      <c r="BJ95" s="10">
        <f>MIN('02_Данные'!AB95,BI95)</f>
        <v/>
      </c>
      <c r="BK95" s="10">
        <f>BI95-BJ95</f>
        <v/>
      </c>
      <c r="BL95" s="10">
        <f>MIN('02_Данные'!AC95,BK95)</f>
        <v/>
      </c>
      <c r="BM95" s="10">
        <f>BK95-BL95</f>
        <v/>
      </c>
      <c r="BN95" s="10">
        <f>MIN('02_Данные'!AD95,BM95)</f>
        <v/>
      </c>
      <c r="BO95" s="10">
        <f>BM95-BN95</f>
        <v/>
      </c>
      <c r="BP95" s="10">
        <f>MIN('02_Данные'!AI95,BO95)</f>
        <v/>
      </c>
      <c r="BQ95" s="10">
        <f>BO95-BP95</f>
        <v/>
      </c>
      <c r="BR95" s="10">
        <f>MIN('02_Данные'!AF95,BQ95)</f>
        <v/>
      </c>
      <c r="BS95" s="10">
        <f>BQ95-BR95</f>
        <v/>
      </c>
      <c r="BT95" s="10">
        <f>MIN('02_Данные'!AE95,BS95)</f>
        <v/>
      </c>
      <c r="BU95" s="10">
        <f>BS95-BT95</f>
        <v/>
      </c>
      <c r="BV95" s="10">
        <f>MIN('02_Данные'!AG95,BU95)</f>
        <v/>
      </c>
      <c r="BW95" s="10">
        <f>BU95-BV95</f>
        <v/>
      </c>
      <c r="BX95" s="10">
        <f>MIN('02_Данные'!AH95,BW95)</f>
        <v/>
      </c>
      <c r="BY95" s="10">
        <f>BW95-BX95</f>
        <v/>
      </c>
      <c r="BZ95" s="10">
        <f>BY95+'02_Данные'!J95</f>
        <v/>
      </c>
      <c r="CA95" s="10">
        <f>MIN('02_Данные'!AJ95,BZ95)</f>
        <v/>
      </c>
      <c r="CB95" s="10">
        <f>BZ95-CA95</f>
        <v/>
      </c>
      <c r="CC95" s="10">
        <f>MIN('02_Данные'!AK95,CB95)</f>
        <v/>
      </c>
      <c r="CD95" s="10">
        <f>CB95-CC95</f>
        <v/>
      </c>
      <c r="CE95" s="10">
        <f>MIN('02_Данные'!AL95,CD95)</f>
        <v/>
      </c>
      <c r="CF95" s="10">
        <f>CD95-CE95</f>
        <v/>
      </c>
      <c r="CG95" s="10">
        <f>MIN('02_Данные'!AQ95,CF95)</f>
        <v/>
      </c>
      <c r="CH95" s="10">
        <f>CF95-CG95</f>
        <v/>
      </c>
      <c r="CI95" s="10">
        <f>MIN('02_Данные'!AN95,CH95)</f>
        <v/>
      </c>
      <c r="CJ95" s="10">
        <f>CH95-CI95</f>
        <v/>
      </c>
      <c r="CK95" s="10">
        <f>MIN('02_Данные'!AM95,CJ95)</f>
        <v/>
      </c>
      <c r="CL95" s="10">
        <f>CJ95-CK95</f>
        <v/>
      </c>
      <c r="CM95" s="10">
        <f>MIN('02_Данные'!AO95,CL95)</f>
        <v/>
      </c>
      <c r="CN95" s="10">
        <f>CL95-CM95</f>
        <v/>
      </c>
      <c r="CO95" s="10">
        <f>MIN('02_Данные'!AP95,CN95)</f>
        <v/>
      </c>
      <c r="CP95" s="10">
        <f>CN95-CO95</f>
        <v/>
      </c>
      <c r="CQ95" s="10">
        <f>CP95+'02_Данные'!K95</f>
        <v/>
      </c>
      <c r="CR95" s="10">
        <f>MIN('02_Данные'!AR95,CQ95)</f>
        <v/>
      </c>
      <c r="CS95" s="10">
        <f>CQ95-CR95</f>
        <v/>
      </c>
      <c r="CT95" s="10">
        <f>MIN('02_Данные'!AS95,CS95)</f>
        <v/>
      </c>
      <c r="CU95" s="10">
        <f>CS95-CT95</f>
        <v/>
      </c>
      <c r="CV95" s="10">
        <f>MIN('02_Данные'!AT95,CU95)</f>
        <v/>
      </c>
      <c r="CW95" s="10">
        <f>CU95-CV95</f>
        <v/>
      </c>
      <c r="CX95" s="10">
        <f>MIN('02_Данные'!AY95,CW95)</f>
        <v/>
      </c>
      <c r="CY95" s="10">
        <f>CW95-CX95</f>
        <v/>
      </c>
      <c r="CZ95" s="10">
        <f>MIN('02_Данные'!AV95,CY95)</f>
        <v/>
      </c>
      <c r="DA95" s="10">
        <f>CY95-CZ95</f>
        <v/>
      </c>
      <c r="DB95" s="10">
        <f>MIN('02_Данные'!AU95,DA95)</f>
        <v/>
      </c>
      <c r="DC95" s="10">
        <f>DA95-DB95</f>
        <v/>
      </c>
      <c r="DD95" s="10">
        <f>MIN('02_Данные'!AW95,DC95)</f>
        <v/>
      </c>
      <c r="DE95" s="10">
        <f>DC95-DD95</f>
        <v/>
      </c>
      <c r="DF95" s="10">
        <f>MIN('02_Данные'!AX95,DE95)</f>
        <v/>
      </c>
      <c r="DG95" s="10">
        <f>DE95-DF95</f>
        <v/>
      </c>
    </row>
    <row r="96">
      <c r="A96" s="9">
        <f>'02_Данные'!B96</f>
        <v/>
      </c>
      <c r="B96" s="9">
        <f>'02_Данные'!E96</f>
        <v/>
      </c>
      <c r="C96" s="10">
        <f>'02_Данные'!F96+'02_Данные'!G96+'02_Данные'!H96+'02_Данные'!I96+'02_Данные'!J96+'02_Данные'!K96</f>
        <v/>
      </c>
      <c r="D96" s="10">
        <f>SUM('02_Данные'!L96:'02_Данные'!AY96)</f>
        <v/>
      </c>
      <c r="E96" s="10">
        <f>MAX(0,D96-C96)</f>
        <v/>
      </c>
      <c r="F96" s="15">
        <f>IF(E96&gt;0.0001,"ДЕФИЦИТ",IF(Y96&gt;0.0001,"ПРОФИЦИТ","БАЛАНС"))</f>
        <v/>
      </c>
      <c r="G96" s="10">
        <f>AB96+AS96+BJ96+CA96+CR96</f>
        <v/>
      </c>
      <c r="H96" s="10">
        <f>AD96+AU96+BL96+CC96+CT96</f>
        <v/>
      </c>
      <c r="I96" s="10">
        <f>AF96+AW96+BN96+CE96+CV96</f>
        <v/>
      </c>
      <c r="J96" s="10">
        <f>AL96+BC96+BT96+CK96+DB96</f>
        <v/>
      </c>
      <c r="K96" s="10">
        <f>AJ96+BA96+BR96+CI96+CZ96</f>
        <v/>
      </c>
      <c r="L96" s="10">
        <f>AN96+BE96+BV96+CM96+DD96</f>
        <v/>
      </c>
      <c r="M96" s="10">
        <f>AP96+BG96+BX96+CO96+DF96</f>
        <v/>
      </c>
      <c r="N96" s="10">
        <f>AH96+AY96+BP96+CG96+CX96</f>
        <v/>
      </c>
      <c r="O96" s="10">
        <f>SUM(G96:N96)</f>
        <v/>
      </c>
      <c r="P96" s="10">
        <f>IFERROR(G96*MIN(1,'01_Нормативы'!$C$4/SUM(G$2:G$429)),0)</f>
        <v/>
      </c>
      <c r="Q96" s="10">
        <f>IFERROR(H96*MIN(1,'01_Нормативы'!$C$5/SUM(H$2:H$429)),0)</f>
        <v/>
      </c>
      <c r="R96" s="10">
        <f>IFERROR(I96*MIN(1,'01_Нормативы'!$C$6/SUM(I$2:I$429)),0)</f>
        <v/>
      </c>
      <c r="S96" s="10">
        <f>IFERROR(J96*MIN(1,'01_Нормативы'!$C$7/SUM(J$2:J$429)),0)</f>
        <v/>
      </c>
      <c r="T96" s="10">
        <f>IFERROR(K96*MIN(1,'01_Нормативы'!$C$8/SUM(K$2:K$429)),0)</f>
        <v/>
      </c>
      <c r="U96" s="10">
        <f>IFERROR(L96*MIN(1,'01_Нормативы'!$C$9/SUM(L$2:L$429)),0)</f>
        <v/>
      </c>
      <c r="V96" s="10">
        <f>IFERROR(M96*MIN(1,'01_Нормативы'!$C$10/SUM(M$2:M$429)),0)</f>
        <v/>
      </c>
      <c r="W96" s="10">
        <f>IFERROR(N96*MIN(1,'01_Нормативы'!$C$11/SUM(N$2:N$429)),0)</f>
        <v/>
      </c>
      <c r="X96" s="10">
        <f>SUM(P96:W96)</f>
        <v/>
      </c>
      <c r="Y96" s="10">
        <f>MAX(0,C96-X96)</f>
        <v/>
      </c>
      <c r="Z96" s="10">
        <f>IF(D96=0,100,X96/D96*100)</f>
        <v/>
      </c>
      <c r="AA96" s="10">
        <f>'02_Данные'!F96+'02_Данные'!G96</f>
        <v/>
      </c>
      <c r="AB96" s="10">
        <f>MIN('02_Данные'!L96,AA96)</f>
        <v/>
      </c>
      <c r="AC96" s="10">
        <f>AA96-AB96</f>
        <v/>
      </c>
      <c r="AD96" s="10">
        <f>MIN('02_Данные'!M96,AC96)</f>
        <v/>
      </c>
      <c r="AE96" s="10">
        <f>AC96-AD96</f>
        <v/>
      </c>
      <c r="AF96" s="10">
        <f>MIN('02_Данные'!N96,AE96)</f>
        <v/>
      </c>
      <c r="AG96" s="10">
        <f>AE96-AF96</f>
        <v/>
      </c>
      <c r="AH96" s="10">
        <f>MIN('02_Данные'!S96,AG96)</f>
        <v/>
      </c>
      <c r="AI96" s="10">
        <f>AG96-AH96</f>
        <v/>
      </c>
      <c r="AJ96" s="10">
        <f>MIN('02_Данные'!P96,AI96)</f>
        <v/>
      </c>
      <c r="AK96" s="10">
        <f>AI96-AJ96</f>
        <v/>
      </c>
      <c r="AL96" s="10">
        <f>MIN('02_Данные'!O96,AK96)</f>
        <v/>
      </c>
      <c r="AM96" s="10">
        <f>AK96-AL96</f>
        <v/>
      </c>
      <c r="AN96" s="10">
        <f>MIN('02_Данные'!Q96,AM96)</f>
        <v/>
      </c>
      <c r="AO96" s="10">
        <f>AM96-AN96</f>
        <v/>
      </c>
      <c r="AP96" s="10">
        <f>MIN('02_Данные'!R96,AO96)</f>
        <v/>
      </c>
      <c r="AQ96" s="10">
        <f>AO96-AP96</f>
        <v/>
      </c>
      <c r="AR96" s="10">
        <f>AQ96+'02_Данные'!H96</f>
        <v/>
      </c>
      <c r="AS96" s="10">
        <f>MIN('02_Данные'!T96,AR96)</f>
        <v/>
      </c>
      <c r="AT96" s="10">
        <f>AR96-AS96</f>
        <v/>
      </c>
      <c r="AU96" s="10">
        <f>MIN('02_Данные'!U96,AT96)</f>
        <v/>
      </c>
      <c r="AV96" s="10">
        <f>AT96-AU96</f>
        <v/>
      </c>
      <c r="AW96" s="10">
        <f>MIN('02_Данные'!V96,AV96)</f>
        <v/>
      </c>
      <c r="AX96" s="10">
        <f>AV96-AW96</f>
        <v/>
      </c>
      <c r="AY96" s="10">
        <f>MIN('02_Данные'!AA96,AX96)</f>
        <v/>
      </c>
      <c r="AZ96" s="10">
        <f>AX96-AY96</f>
        <v/>
      </c>
      <c r="BA96" s="10">
        <f>MIN('02_Данные'!X96,AZ96)</f>
        <v/>
      </c>
      <c r="BB96" s="10">
        <f>AZ96-BA96</f>
        <v/>
      </c>
      <c r="BC96" s="10">
        <f>MIN('02_Данные'!W96,BB96)</f>
        <v/>
      </c>
      <c r="BD96" s="10">
        <f>BB96-BC96</f>
        <v/>
      </c>
      <c r="BE96" s="10">
        <f>MIN('02_Данные'!Y96,BD96)</f>
        <v/>
      </c>
      <c r="BF96" s="10">
        <f>BD96-BE96</f>
        <v/>
      </c>
      <c r="BG96" s="10">
        <f>MIN('02_Данные'!Z96,BF96)</f>
        <v/>
      </c>
      <c r="BH96" s="10">
        <f>BF96-BG96</f>
        <v/>
      </c>
      <c r="BI96" s="10">
        <f>BH96+'02_Данные'!I96</f>
        <v/>
      </c>
      <c r="BJ96" s="10">
        <f>MIN('02_Данные'!AB96,BI96)</f>
        <v/>
      </c>
      <c r="BK96" s="10">
        <f>BI96-BJ96</f>
        <v/>
      </c>
      <c r="BL96" s="10">
        <f>MIN('02_Данные'!AC96,BK96)</f>
        <v/>
      </c>
      <c r="BM96" s="10">
        <f>BK96-BL96</f>
        <v/>
      </c>
      <c r="BN96" s="10">
        <f>MIN('02_Данные'!AD96,BM96)</f>
        <v/>
      </c>
      <c r="BO96" s="10">
        <f>BM96-BN96</f>
        <v/>
      </c>
      <c r="BP96" s="10">
        <f>MIN('02_Данные'!AI96,BO96)</f>
        <v/>
      </c>
      <c r="BQ96" s="10">
        <f>BO96-BP96</f>
        <v/>
      </c>
      <c r="BR96" s="10">
        <f>MIN('02_Данные'!AF96,BQ96)</f>
        <v/>
      </c>
      <c r="BS96" s="10">
        <f>BQ96-BR96</f>
        <v/>
      </c>
      <c r="BT96" s="10">
        <f>MIN('02_Данные'!AE96,BS96)</f>
        <v/>
      </c>
      <c r="BU96" s="10">
        <f>BS96-BT96</f>
        <v/>
      </c>
      <c r="BV96" s="10">
        <f>MIN('02_Данные'!AG96,BU96)</f>
        <v/>
      </c>
      <c r="BW96" s="10">
        <f>BU96-BV96</f>
        <v/>
      </c>
      <c r="BX96" s="10">
        <f>MIN('02_Данные'!AH96,BW96)</f>
        <v/>
      </c>
      <c r="BY96" s="10">
        <f>BW96-BX96</f>
        <v/>
      </c>
      <c r="BZ96" s="10">
        <f>BY96+'02_Данные'!J96</f>
        <v/>
      </c>
      <c r="CA96" s="10">
        <f>MIN('02_Данные'!AJ96,BZ96)</f>
        <v/>
      </c>
      <c r="CB96" s="10">
        <f>BZ96-CA96</f>
        <v/>
      </c>
      <c r="CC96" s="10">
        <f>MIN('02_Данные'!AK96,CB96)</f>
        <v/>
      </c>
      <c r="CD96" s="10">
        <f>CB96-CC96</f>
        <v/>
      </c>
      <c r="CE96" s="10">
        <f>MIN('02_Данные'!AL96,CD96)</f>
        <v/>
      </c>
      <c r="CF96" s="10">
        <f>CD96-CE96</f>
        <v/>
      </c>
      <c r="CG96" s="10">
        <f>MIN('02_Данные'!AQ96,CF96)</f>
        <v/>
      </c>
      <c r="CH96" s="10">
        <f>CF96-CG96</f>
        <v/>
      </c>
      <c r="CI96" s="10">
        <f>MIN('02_Данные'!AN96,CH96)</f>
        <v/>
      </c>
      <c r="CJ96" s="10">
        <f>CH96-CI96</f>
        <v/>
      </c>
      <c r="CK96" s="10">
        <f>MIN('02_Данные'!AM96,CJ96)</f>
        <v/>
      </c>
      <c r="CL96" s="10">
        <f>CJ96-CK96</f>
        <v/>
      </c>
      <c r="CM96" s="10">
        <f>MIN('02_Данные'!AO96,CL96)</f>
        <v/>
      </c>
      <c r="CN96" s="10">
        <f>CL96-CM96</f>
        <v/>
      </c>
      <c r="CO96" s="10">
        <f>MIN('02_Данные'!AP96,CN96)</f>
        <v/>
      </c>
      <c r="CP96" s="10">
        <f>CN96-CO96</f>
        <v/>
      </c>
      <c r="CQ96" s="10">
        <f>CP96+'02_Данные'!K96</f>
        <v/>
      </c>
      <c r="CR96" s="10">
        <f>MIN('02_Данные'!AR96,CQ96)</f>
        <v/>
      </c>
      <c r="CS96" s="10">
        <f>CQ96-CR96</f>
        <v/>
      </c>
      <c r="CT96" s="10">
        <f>MIN('02_Данные'!AS96,CS96)</f>
        <v/>
      </c>
      <c r="CU96" s="10">
        <f>CS96-CT96</f>
        <v/>
      </c>
      <c r="CV96" s="10">
        <f>MIN('02_Данные'!AT96,CU96)</f>
        <v/>
      </c>
      <c r="CW96" s="10">
        <f>CU96-CV96</f>
        <v/>
      </c>
      <c r="CX96" s="10">
        <f>MIN('02_Данные'!AY96,CW96)</f>
        <v/>
      </c>
      <c r="CY96" s="10">
        <f>CW96-CX96</f>
        <v/>
      </c>
      <c r="CZ96" s="10">
        <f>MIN('02_Данные'!AV96,CY96)</f>
        <v/>
      </c>
      <c r="DA96" s="10">
        <f>CY96-CZ96</f>
        <v/>
      </c>
      <c r="DB96" s="10">
        <f>MIN('02_Данные'!AU96,DA96)</f>
        <v/>
      </c>
      <c r="DC96" s="10">
        <f>DA96-DB96</f>
        <v/>
      </c>
      <c r="DD96" s="10">
        <f>MIN('02_Данные'!AW96,DC96)</f>
        <v/>
      </c>
      <c r="DE96" s="10">
        <f>DC96-DD96</f>
        <v/>
      </c>
      <c r="DF96" s="10">
        <f>MIN('02_Данные'!AX96,DE96)</f>
        <v/>
      </c>
      <c r="DG96" s="10">
        <f>DE96-DF96</f>
        <v/>
      </c>
    </row>
    <row r="97">
      <c r="A97" s="9">
        <f>'02_Данные'!B97</f>
        <v/>
      </c>
      <c r="B97" s="9">
        <f>'02_Данные'!E97</f>
        <v/>
      </c>
      <c r="C97" s="10">
        <f>'02_Данные'!F97+'02_Данные'!G97+'02_Данные'!H97+'02_Данные'!I97+'02_Данные'!J97+'02_Данные'!K97</f>
        <v/>
      </c>
      <c r="D97" s="10">
        <f>SUM('02_Данные'!L97:'02_Данные'!AY97)</f>
        <v/>
      </c>
      <c r="E97" s="10">
        <f>MAX(0,D97-C97)</f>
        <v/>
      </c>
      <c r="F97" s="15">
        <f>IF(E97&gt;0.0001,"ДЕФИЦИТ",IF(Y97&gt;0.0001,"ПРОФИЦИТ","БАЛАНС"))</f>
        <v/>
      </c>
      <c r="G97" s="10">
        <f>AB97+AS97+BJ97+CA97+CR97</f>
        <v/>
      </c>
      <c r="H97" s="10">
        <f>AD97+AU97+BL97+CC97+CT97</f>
        <v/>
      </c>
      <c r="I97" s="10">
        <f>AF97+AW97+BN97+CE97+CV97</f>
        <v/>
      </c>
      <c r="J97" s="10">
        <f>AL97+BC97+BT97+CK97+DB97</f>
        <v/>
      </c>
      <c r="K97" s="10">
        <f>AJ97+BA97+BR97+CI97+CZ97</f>
        <v/>
      </c>
      <c r="L97" s="10">
        <f>AN97+BE97+BV97+CM97+DD97</f>
        <v/>
      </c>
      <c r="M97" s="10">
        <f>AP97+BG97+BX97+CO97+DF97</f>
        <v/>
      </c>
      <c r="N97" s="10">
        <f>AH97+AY97+BP97+CG97+CX97</f>
        <v/>
      </c>
      <c r="O97" s="10">
        <f>SUM(G97:N97)</f>
        <v/>
      </c>
      <c r="P97" s="10">
        <f>IFERROR(G97*MIN(1,'01_Нормативы'!$C$4/SUM(G$2:G$429)),0)</f>
        <v/>
      </c>
      <c r="Q97" s="10">
        <f>IFERROR(H97*MIN(1,'01_Нормативы'!$C$5/SUM(H$2:H$429)),0)</f>
        <v/>
      </c>
      <c r="R97" s="10">
        <f>IFERROR(I97*MIN(1,'01_Нормативы'!$C$6/SUM(I$2:I$429)),0)</f>
        <v/>
      </c>
      <c r="S97" s="10">
        <f>IFERROR(J97*MIN(1,'01_Нормативы'!$C$7/SUM(J$2:J$429)),0)</f>
        <v/>
      </c>
      <c r="T97" s="10">
        <f>IFERROR(K97*MIN(1,'01_Нормативы'!$C$8/SUM(K$2:K$429)),0)</f>
        <v/>
      </c>
      <c r="U97" s="10">
        <f>IFERROR(L97*MIN(1,'01_Нормативы'!$C$9/SUM(L$2:L$429)),0)</f>
        <v/>
      </c>
      <c r="V97" s="10">
        <f>IFERROR(M97*MIN(1,'01_Нормативы'!$C$10/SUM(M$2:M$429)),0)</f>
        <v/>
      </c>
      <c r="W97" s="10">
        <f>IFERROR(N97*MIN(1,'01_Нормативы'!$C$11/SUM(N$2:N$429)),0)</f>
        <v/>
      </c>
      <c r="X97" s="10">
        <f>SUM(P97:W97)</f>
        <v/>
      </c>
      <c r="Y97" s="10">
        <f>MAX(0,C97-X97)</f>
        <v/>
      </c>
      <c r="Z97" s="10">
        <f>IF(D97=0,100,X97/D97*100)</f>
        <v/>
      </c>
      <c r="AA97" s="10">
        <f>'02_Данные'!F97+'02_Данные'!G97</f>
        <v/>
      </c>
      <c r="AB97" s="10">
        <f>MIN('02_Данные'!L97,AA97)</f>
        <v/>
      </c>
      <c r="AC97" s="10">
        <f>AA97-AB97</f>
        <v/>
      </c>
      <c r="AD97" s="10">
        <f>MIN('02_Данные'!M97,AC97)</f>
        <v/>
      </c>
      <c r="AE97" s="10">
        <f>AC97-AD97</f>
        <v/>
      </c>
      <c r="AF97" s="10">
        <f>MIN('02_Данные'!N97,AE97)</f>
        <v/>
      </c>
      <c r="AG97" s="10">
        <f>AE97-AF97</f>
        <v/>
      </c>
      <c r="AH97" s="10">
        <f>MIN('02_Данные'!S97,AG97)</f>
        <v/>
      </c>
      <c r="AI97" s="10">
        <f>AG97-AH97</f>
        <v/>
      </c>
      <c r="AJ97" s="10">
        <f>MIN('02_Данные'!P97,AI97)</f>
        <v/>
      </c>
      <c r="AK97" s="10">
        <f>AI97-AJ97</f>
        <v/>
      </c>
      <c r="AL97" s="10">
        <f>MIN('02_Данные'!O97,AK97)</f>
        <v/>
      </c>
      <c r="AM97" s="10">
        <f>AK97-AL97</f>
        <v/>
      </c>
      <c r="AN97" s="10">
        <f>MIN('02_Данные'!Q97,AM97)</f>
        <v/>
      </c>
      <c r="AO97" s="10">
        <f>AM97-AN97</f>
        <v/>
      </c>
      <c r="AP97" s="10">
        <f>MIN('02_Данные'!R97,AO97)</f>
        <v/>
      </c>
      <c r="AQ97" s="10">
        <f>AO97-AP97</f>
        <v/>
      </c>
      <c r="AR97" s="10">
        <f>AQ97+'02_Данные'!H97</f>
        <v/>
      </c>
      <c r="AS97" s="10">
        <f>MIN('02_Данные'!T97,AR97)</f>
        <v/>
      </c>
      <c r="AT97" s="10">
        <f>AR97-AS97</f>
        <v/>
      </c>
      <c r="AU97" s="10">
        <f>MIN('02_Данные'!U97,AT97)</f>
        <v/>
      </c>
      <c r="AV97" s="10">
        <f>AT97-AU97</f>
        <v/>
      </c>
      <c r="AW97" s="10">
        <f>MIN('02_Данные'!V97,AV97)</f>
        <v/>
      </c>
      <c r="AX97" s="10">
        <f>AV97-AW97</f>
        <v/>
      </c>
      <c r="AY97" s="10">
        <f>MIN('02_Данные'!AA97,AX97)</f>
        <v/>
      </c>
      <c r="AZ97" s="10">
        <f>AX97-AY97</f>
        <v/>
      </c>
      <c r="BA97" s="10">
        <f>MIN('02_Данные'!X97,AZ97)</f>
        <v/>
      </c>
      <c r="BB97" s="10">
        <f>AZ97-BA97</f>
        <v/>
      </c>
      <c r="BC97" s="10">
        <f>MIN('02_Данные'!W97,BB97)</f>
        <v/>
      </c>
      <c r="BD97" s="10">
        <f>BB97-BC97</f>
        <v/>
      </c>
      <c r="BE97" s="10">
        <f>MIN('02_Данные'!Y97,BD97)</f>
        <v/>
      </c>
      <c r="BF97" s="10">
        <f>BD97-BE97</f>
        <v/>
      </c>
      <c r="BG97" s="10">
        <f>MIN('02_Данные'!Z97,BF97)</f>
        <v/>
      </c>
      <c r="BH97" s="10">
        <f>BF97-BG97</f>
        <v/>
      </c>
      <c r="BI97" s="10">
        <f>BH97+'02_Данные'!I97</f>
        <v/>
      </c>
      <c r="BJ97" s="10">
        <f>MIN('02_Данные'!AB97,BI97)</f>
        <v/>
      </c>
      <c r="BK97" s="10">
        <f>BI97-BJ97</f>
        <v/>
      </c>
      <c r="BL97" s="10">
        <f>MIN('02_Данные'!AC97,BK97)</f>
        <v/>
      </c>
      <c r="BM97" s="10">
        <f>BK97-BL97</f>
        <v/>
      </c>
      <c r="BN97" s="10">
        <f>MIN('02_Данные'!AD97,BM97)</f>
        <v/>
      </c>
      <c r="BO97" s="10">
        <f>BM97-BN97</f>
        <v/>
      </c>
      <c r="BP97" s="10">
        <f>MIN('02_Данные'!AI97,BO97)</f>
        <v/>
      </c>
      <c r="BQ97" s="10">
        <f>BO97-BP97</f>
        <v/>
      </c>
      <c r="BR97" s="10">
        <f>MIN('02_Данные'!AF97,BQ97)</f>
        <v/>
      </c>
      <c r="BS97" s="10">
        <f>BQ97-BR97</f>
        <v/>
      </c>
      <c r="BT97" s="10">
        <f>MIN('02_Данные'!AE97,BS97)</f>
        <v/>
      </c>
      <c r="BU97" s="10">
        <f>BS97-BT97</f>
        <v/>
      </c>
      <c r="BV97" s="10">
        <f>MIN('02_Данные'!AG97,BU97)</f>
        <v/>
      </c>
      <c r="BW97" s="10">
        <f>BU97-BV97</f>
        <v/>
      </c>
      <c r="BX97" s="10">
        <f>MIN('02_Данные'!AH97,BW97)</f>
        <v/>
      </c>
      <c r="BY97" s="10">
        <f>BW97-BX97</f>
        <v/>
      </c>
      <c r="BZ97" s="10">
        <f>BY97+'02_Данные'!J97</f>
        <v/>
      </c>
      <c r="CA97" s="10">
        <f>MIN('02_Данные'!AJ97,BZ97)</f>
        <v/>
      </c>
      <c r="CB97" s="10">
        <f>BZ97-CA97</f>
        <v/>
      </c>
      <c r="CC97" s="10">
        <f>MIN('02_Данные'!AK97,CB97)</f>
        <v/>
      </c>
      <c r="CD97" s="10">
        <f>CB97-CC97</f>
        <v/>
      </c>
      <c r="CE97" s="10">
        <f>MIN('02_Данные'!AL97,CD97)</f>
        <v/>
      </c>
      <c r="CF97" s="10">
        <f>CD97-CE97</f>
        <v/>
      </c>
      <c r="CG97" s="10">
        <f>MIN('02_Данные'!AQ97,CF97)</f>
        <v/>
      </c>
      <c r="CH97" s="10">
        <f>CF97-CG97</f>
        <v/>
      </c>
      <c r="CI97" s="10">
        <f>MIN('02_Данные'!AN97,CH97)</f>
        <v/>
      </c>
      <c r="CJ97" s="10">
        <f>CH97-CI97</f>
        <v/>
      </c>
      <c r="CK97" s="10">
        <f>MIN('02_Данные'!AM97,CJ97)</f>
        <v/>
      </c>
      <c r="CL97" s="10">
        <f>CJ97-CK97</f>
        <v/>
      </c>
      <c r="CM97" s="10">
        <f>MIN('02_Данные'!AO97,CL97)</f>
        <v/>
      </c>
      <c r="CN97" s="10">
        <f>CL97-CM97</f>
        <v/>
      </c>
      <c r="CO97" s="10">
        <f>MIN('02_Данные'!AP97,CN97)</f>
        <v/>
      </c>
      <c r="CP97" s="10">
        <f>CN97-CO97</f>
        <v/>
      </c>
      <c r="CQ97" s="10">
        <f>CP97+'02_Данные'!K97</f>
        <v/>
      </c>
      <c r="CR97" s="10">
        <f>MIN('02_Данные'!AR97,CQ97)</f>
        <v/>
      </c>
      <c r="CS97" s="10">
        <f>CQ97-CR97</f>
        <v/>
      </c>
      <c r="CT97" s="10">
        <f>MIN('02_Данные'!AS97,CS97)</f>
        <v/>
      </c>
      <c r="CU97" s="10">
        <f>CS97-CT97</f>
        <v/>
      </c>
      <c r="CV97" s="10">
        <f>MIN('02_Данные'!AT97,CU97)</f>
        <v/>
      </c>
      <c r="CW97" s="10">
        <f>CU97-CV97</f>
        <v/>
      </c>
      <c r="CX97" s="10">
        <f>MIN('02_Данные'!AY97,CW97)</f>
        <v/>
      </c>
      <c r="CY97" s="10">
        <f>CW97-CX97</f>
        <v/>
      </c>
      <c r="CZ97" s="10">
        <f>MIN('02_Данные'!AV97,CY97)</f>
        <v/>
      </c>
      <c r="DA97" s="10">
        <f>CY97-CZ97</f>
        <v/>
      </c>
      <c r="DB97" s="10">
        <f>MIN('02_Данные'!AU97,DA97)</f>
        <v/>
      </c>
      <c r="DC97" s="10">
        <f>DA97-DB97</f>
        <v/>
      </c>
      <c r="DD97" s="10">
        <f>MIN('02_Данные'!AW97,DC97)</f>
        <v/>
      </c>
      <c r="DE97" s="10">
        <f>DC97-DD97</f>
        <v/>
      </c>
      <c r="DF97" s="10">
        <f>MIN('02_Данные'!AX97,DE97)</f>
        <v/>
      </c>
      <c r="DG97" s="10">
        <f>DE97-DF97</f>
        <v/>
      </c>
    </row>
    <row r="98">
      <c r="A98" s="9">
        <f>'02_Данные'!B98</f>
        <v/>
      </c>
      <c r="B98" s="9">
        <f>'02_Данные'!E98</f>
        <v/>
      </c>
      <c r="C98" s="10">
        <f>'02_Данные'!F98+'02_Данные'!G98+'02_Данные'!H98+'02_Данные'!I98+'02_Данные'!J98+'02_Данные'!K98</f>
        <v/>
      </c>
      <c r="D98" s="10">
        <f>SUM('02_Данные'!L98:'02_Данные'!AY98)</f>
        <v/>
      </c>
      <c r="E98" s="10">
        <f>MAX(0,D98-C98)</f>
        <v/>
      </c>
      <c r="F98" s="15">
        <f>IF(E98&gt;0.0001,"ДЕФИЦИТ",IF(Y98&gt;0.0001,"ПРОФИЦИТ","БАЛАНС"))</f>
        <v/>
      </c>
      <c r="G98" s="10">
        <f>AB98+AS98+BJ98+CA98+CR98</f>
        <v/>
      </c>
      <c r="H98" s="10">
        <f>AD98+AU98+BL98+CC98+CT98</f>
        <v/>
      </c>
      <c r="I98" s="10">
        <f>AF98+AW98+BN98+CE98+CV98</f>
        <v/>
      </c>
      <c r="J98" s="10">
        <f>AL98+BC98+BT98+CK98+DB98</f>
        <v/>
      </c>
      <c r="K98" s="10">
        <f>AJ98+BA98+BR98+CI98+CZ98</f>
        <v/>
      </c>
      <c r="L98" s="10">
        <f>AN98+BE98+BV98+CM98+DD98</f>
        <v/>
      </c>
      <c r="M98" s="10">
        <f>AP98+BG98+BX98+CO98+DF98</f>
        <v/>
      </c>
      <c r="N98" s="10">
        <f>AH98+AY98+BP98+CG98+CX98</f>
        <v/>
      </c>
      <c r="O98" s="10">
        <f>SUM(G98:N98)</f>
        <v/>
      </c>
      <c r="P98" s="10">
        <f>IFERROR(G98*MIN(1,'01_Нормативы'!$C$4/SUM(G$2:G$429)),0)</f>
        <v/>
      </c>
      <c r="Q98" s="10">
        <f>IFERROR(H98*MIN(1,'01_Нормативы'!$C$5/SUM(H$2:H$429)),0)</f>
        <v/>
      </c>
      <c r="R98" s="10">
        <f>IFERROR(I98*MIN(1,'01_Нормативы'!$C$6/SUM(I$2:I$429)),0)</f>
        <v/>
      </c>
      <c r="S98" s="10">
        <f>IFERROR(J98*MIN(1,'01_Нормативы'!$C$7/SUM(J$2:J$429)),0)</f>
        <v/>
      </c>
      <c r="T98" s="10">
        <f>IFERROR(K98*MIN(1,'01_Нормативы'!$C$8/SUM(K$2:K$429)),0)</f>
        <v/>
      </c>
      <c r="U98" s="10">
        <f>IFERROR(L98*MIN(1,'01_Нормативы'!$C$9/SUM(L$2:L$429)),0)</f>
        <v/>
      </c>
      <c r="V98" s="10">
        <f>IFERROR(M98*MIN(1,'01_Нормативы'!$C$10/SUM(M$2:M$429)),0)</f>
        <v/>
      </c>
      <c r="W98" s="10">
        <f>IFERROR(N98*MIN(1,'01_Нормативы'!$C$11/SUM(N$2:N$429)),0)</f>
        <v/>
      </c>
      <c r="X98" s="10">
        <f>SUM(P98:W98)</f>
        <v/>
      </c>
      <c r="Y98" s="10">
        <f>MAX(0,C98-X98)</f>
        <v/>
      </c>
      <c r="Z98" s="10">
        <f>IF(D98=0,100,X98/D98*100)</f>
        <v/>
      </c>
      <c r="AA98" s="10">
        <f>'02_Данные'!F98+'02_Данные'!G98</f>
        <v/>
      </c>
      <c r="AB98" s="10">
        <f>MIN('02_Данные'!L98,AA98)</f>
        <v/>
      </c>
      <c r="AC98" s="10">
        <f>AA98-AB98</f>
        <v/>
      </c>
      <c r="AD98" s="10">
        <f>MIN('02_Данные'!M98,AC98)</f>
        <v/>
      </c>
      <c r="AE98" s="10">
        <f>AC98-AD98</f>
        <v/>
      </c>
      <c r="AF98" s="10">
        <f>MIN('02_Данные'!N98,AE98)</f>
        <v/>
      </c>
      <c r="AG98" s="10">
        <f>AE98-AF98</f>
        <v/>
      </c>
      <c r="AH98" s="10">
        <f>MIN('02_Данные'!S98,AG98)</f>
        <v/>
      </c>
      <c r="AI98" s="10">
        <f>AG98-AH98</f>
        <v/>
      </c>
      <c r="AJ98" s="10">
        <f>MIN('02_Данные'!P98,AI98)</f>
        <v/>
      </c>
      <c r="AK98" s="10">
        <f>AI98-AJ98</f>
        <v/>
      </c>
      <c r="AL98" s="10">
        <f>MIN('02_Данные'!O98,AK98)</f>
        <v/>
      </c>
      <c r="AM98" s="10">
        <f>AK98-AL98</f>
        <v/>
      </c>
      <c r="AN98" s="10">
        <f>MIN('02_Данные'!Q98,AM98)</f>
        <v/>
      </c>
      <c r="AO98" s="10">
        <f>AM98-AN98</f>
        <v/>
      </c>
      <c r="AP98" s="10">
        <f>MIN('02_Данные'!R98,AO98)</f>
        <v/>
      </c>
      <c r="AQ98" s="10">
        <f>AO98-AP98</f>
        <v/>
      </c>
      <c r="AR98" s="10">
        <f>AQ98+'02_Данные'!H98</f>
        <v/>
      </c>
      <c r="AS98" s="10">
        <f>MIN('02_Данные'!T98,AR98)</f>
        <v/>
      </c>
      <c r="AT98" s="10">
        <f>AR98-AS98</f>
        <v/>
      </c>
      <c r="AU98" s="10">
        <f>MIN('02_Данные'!U98,AT98)</f>
        <v/>
      </c>
      <c r="AV98" s="10">
        <f>AT98-AU98</f>
        <v/>
      </c>
      <c r="AW98" s="10">
        <f>MIN('02_Данные'!V98,AV98)</f>
        <v/>
      </c>
      <c r="AX98" s="10">
        <f>AV98-AW98</f>
        <v/>
      </c>
      <c r="AY98" s="10">
        <f>MIN('02_Данные'!AA98,AX98)</f>
        <v/>
      </c>
      <c r="AZ98" s="10">
        <f>AX98-AY98</f>
        <v/>
      </c>
      <c r="BA98" s="10">
        <f>MIN('02_Данные'!X98,AZ98)</f>
        <v/>
      </c>
      <c r="BB98" s="10">
        <f>AZ98-BA98</f>
        <v/>
      </c>
      <c r="BC98" s="10">
        <f>MIN('02_Данные'!W98,BB98)</f>
        <v/>
      </c>
      <c r="BD98" s="10">
        <f>BB98-BC98</f>
        <v/>
      </c>
      <c r="BE98" s="10">
        <f>MIN('02_Данные'!Y98,BD98)</f>
        <v/>
      </c>
      <c r="BF98" s="10">
        <f>BD98-BE98</f>
        <v/>
      </c>
      <c r="BG98" s="10">
        <f>MIN('02_Данные'!Z98,BF98)</f>
        <v/>
      </c>
      <c r="BH98" s="10">
        <f>BF98-BG98</f>
        <v/>
      </c>
      <c r="BI98" s="10">
        <f>BH98+'02_Данные'!I98</f>
        <v/>
      </c>
      <c r="BJ98" s="10">
        <f>MIN('02_Данные'!AB98,BI98)</f>
        <v/>
      </c>
      <c r="BK98" s="10">
        <f>BI98-BJ98</f>
        <v/>
      </c>
      <c r="BL98" s="10">
        <f>MIN('02_Данные'!AC98,BK98)</f>
        <v/>
      </c>
      <c r="BM98" s="10">
        <f>BK98-BL98</f>
        <v/>
      </c>
      <c r="BN98" s="10">
        <f>MIN('02_Данные'!AD98,BM98)</f>
        <v/>
      </c>
      <c r="BO98" s="10">
        <f>BM98-BN98</f>
        <v/>
      </c>
      <c r="BP98" s="10">
        <f>MIN('02_Данные'!AI98,BO98)</f>
        <v/>
      </c>
      <c r="BQ98" s="10">
        <f>BO98-BP98</f>
        <v/>
      </c>
      <c r="BR98" s="10">
        <f>MIN('02_Данные'!AF98,BQ98)</f>
        <v/>
      </c>
      <c r="BS98" s="10">
        <f>BQ98-BR98</f>
        <v/>
      </c>
      <c r="BT98" s="10">
        <f>MIN('02_Данные'!AE98,BS98)</f>
        <v/>
      </c>
      <c r="BU98" s="10">
        <f>BS98-BT98</f>
        <v/>
      </c>
      <c r="BV98" s="10">
        <f>MIN('02_Данные'!AG98,BU98)</f>
        <v/>
      </c>
      <c r="BW98" s="10">
        <f>BU98-BV98</f>
        <v/>
      </c>
      <c r="BX98" s="10">
        <f>MIN('02_Данные'!AH98,BW98)</f>
        <v/>
      </c>
      <c r="BY98" s="10">
        <f>BW98-BX98</f>
        <v/>
      </c>
      <c r="BZ98" s="10">
        <f>BY98+'02_Данные'!J98</f>
        <v/>
      </c>
      <c r="CA98" s="10">
        <f>MIN('02_Данные'!AJ98,BZ98)</f>
        <v/>
      </c>
      <c r="CB98" s="10">
        <f>BZ98-CA98</f>
        <v/>
      </c>
      <c r="CC98" s="10">
        <f>MIN('02_Данные'!AK98,CB98)</f>
        <v/>
      </c>
      <c r="CD98" s="10">
        <f>CB98-CC98</f>
        <v/>
      </c>
      <c r="CE98" s="10">
        <f>MIN('02_Данные'!AL98,CD98)</f>
        <v/>
      </c>
      <c r="CF98" s="10">
        <f>CD98-CE98</f>
        <v/>
      </c>
      <c r="CG98" s="10">
        <f>MIN('02_Данные'!AQ98,CF98)</f>
        <v/>
      </c>
      <c r="CH98" s="10">
        <f>CF98-CG98</f>
        <v/>
      </c>
      <c r="CI98" s="10">
        <f>MIN('02_Данные'!AN98,CH98)</f>
        <v/>
      </c>
      <c r="CJ98" s="10">
        <f>CH98-CI98</f>
        <v/>
      </c>
      <c r="CK98" s="10">
        <f>MIN('02_Данные'!AM98,CJ98)</f>
        <v/>
      </c>
      <c r="CL98" s="10">
        <f>CJ98-CK98</f>
        <v/>
      </c>
      <c r="CM98" s="10">
        <f>MIN('02_Данные'!AO98,CL98)</f>
        <v/>
      </c>
      <c r="CN98" s="10">
        <f>CL98-CM98</f>
        <v/>
      </c>
      <c r="CO98" s="10">
        <f>MIN('02_Данные'!AP98,CN98)</f>
        <v/>
      </c>
      <c r="CP98" s="10">
        <f>CN98-CO98</f>
        <v/>
      </c>
      <c r="CQ98" s="10">
        <f>CP98+'02_Данные'!K98</f>
        <v/>
      </c>
      <c r="CR98" s="10">
        <f>MIN('02_Данные'!AR98,CQ98)</f>
        <v/>
      </c>
      <c r="CS98" s="10">
        <f>CQ98-CR98</f>
        <v/>
      </c>
      <c r="CT98" s="10">
        <f>MIN('02_Данные'!AS98,CS98)</f>
        <v/>
      </c>
      <c r="CU98" s="10">
        <f>CS98-CT98</f>
        <v/>
      </c>
      <c r="CV98" s="10">
        <f>MIN('02_Данные'!AT98,CU98)</f>
        <v/>
      </c>
      <c r="CW98" s="10">
        <f>CU98-CV98</f>
        <v/>
      </c>
      <c r="CX98" s="10">
        <f>MIN('02_Данные'!AY98,CW98)</f>
        <v/>
      </c>
      <c r="CY98" s="10">
        <f>CW98-CX98</f>
        <v/>
      </c>
      <c r="CZ98" s="10">
        <f>MIN('02_Данные'!AV98,CY98)</f>
        <v/>
      </c>
      <c r="DA98" s="10">
        <f>CY98-CZ98</f>
        <v/>
      </c>
      <c r="DB98" s="10">
        <f>MIN('02_Данные'!AU98,DA98)</f>
        <v/>
      </c>
      <c r="DC98" s="10">
        <f>DA98-DB98</f>
        <v/>
      </c>
      <c r="DD98" s="10">
        <f>MIN('02_Данные'!AW98,DC98)</f>
        <v/>
      </c>
      <c r="DE98" s="10">
        <f>DC98-DD98</f>
        <v/>
      </c>
      <c r="DF98" s="10">
        <f>MIN('02_Данные'!AX98,DE98)</f>
        <v/>
      </c>
      <c r="DG98" s="10">
        <f>DE98-DF98</f>
        <v/>
      </c>
    </row>
    <row r="99">
      <c r="A99" s="9">
        <f>'02_Данные'!B99</f>
        <v/>
      </c>
      <c r="B99" s="9">
        <f>'02_Данные'!E99</f>
        <v/>
      </c>
      <c r="C99" s="10">
        <f>'02_Данные'!F99+'02_Данные'!G99+'02_Данные'!H99+'02_Данные'!I99+'02_Данные'!J99+'02_Данные'!K99</f>
        <v/>
      </c>
      <c r="D99" s="10">
        <f>SUM('02_Данные'!L99:'02_Данные'!AY99)</f>
        <v/>
      </c>
      <c r="E99" s="10">
        <f>MAX(0,D99-C99)</f>
        <v/>
      </c>
      <c r="F99" s="15">
        <f>IF(E99&gt;0.0001,"ДЕФИЦИТ",IF(Y99&gt;0.0001,"ПРОФИЦИТ","БАЛАНС"))</f>
        <v/>
      </c>
      <c r="G99" s="10">
        <f>AB99+AS99+BJ99+CA99+CR99</f>
        <v/>
      </c>
      <c r="H99" s="10">
        <f>AD99+AU99+BL99+CC99+CT99</f>
        <v/>
      </c>
      <c r="I99" s="10">
        <f>AF99+AW99+BN99+CE99+CV99</f>
        <v/>
      </c>
      <c r="J99" s="10">
        <f>AL99+BC99+BT99+CK99+DB99</f>
        <v/>
      </c>
      <c r="K99" s="10">
        <f>AJ99+BA99+BR99+CI99+CZ99</f>
        <v/>
      </c>
      <c r="L99" s="10">
        <f>AN99+BE99+BV99+CM99+DD99</f>
        <v/>
      </c>
      <c r="M99" s="10">
        <f>AP99+BG99+BX99+CO99+DF99</f>
        <v/>
      </c>
      <c r="N99" s="10">
        <f>AH99+AY99+BP99+CG99+CX99</f>
        <v/>
      </c>
      <c r="O99" s="10">
        <f>SUM(G99:N99)</f>
        <v/>
      </c>
      <c r="P99" s="10">
        <f>IFERROR(G99*MIN(1,'01_Нормативы'!$C$4/SUM(G$2:G$429)),0)</f>
        <v/>
      </c>
      <c r="Q99" s="10">
        <f>IFERROR(H99*MIN(1,'01_Нормативы'!$C$5/SUM(H$2:H$429)),0)</f>
        <v/>
      </c>
      <c r="R99" s="10">
        <f>IFERROR(I99*MIN(1,'01_Нормативы'!$C$6/SUM(I$2:I$429)),0)</f>
        <v/>
      </c>
      <c r="S99" s="10">
        <f>IFERROR(J99*MIN(1,'01_Нормативы'!$C$7/SUM(J$2:J$429)),0)</f>
        <v/>
      </c>
      <c r="T99" s="10">
        <f>IFERROR(K99*MIN(1,'01_Нормативы'!$C$8/SUM(K$2:K$429)),0)</f>
        <v/>
      </c>
      <c r="U99" s="10">
        <f>IFERROR(L99*MIN(1,'01_Нормативы'!$C$9/SUM(L$2:L$429)),0)</f>
        <v/>
      </c>
      <c r="V99" s="10">
        <f>IFERROR(M99*MIN(1,'01_Нормативы'!$C$10/SUM(M$2:M$429)),0)</f>
        <v/>
      </c>
      <c r="W99" s="10">
        <f>IFERROR(N99*MIN(1,'01_Нормативы'!$C$11/SUM(N$2:N$429)),0)</f>
        <v/>
      </c>
      <c r="X99" s="10">
        <f>SUM(P99:W99)</f>
        <v/>
      </c>
      <c r="Y99" s="10">
        <f>MAX(0,C99-X99)</f>
        <v/>
      </c>
      <c r="Z99" s="10">
        <f>IF(D99=0,100,X99/D99*100)</f>
        <v/>
      </c>
      <c r="AA99" s="10">
        <f>'02_Данные'!F99+'02_Данные'!G99</f>
        <v/>
      </c>
      <c r="AB99" s="10">
        <f>MIN('02_Данные'!L99,AA99)</f>
        <v/>
      </c>
      <c r="AC99" s="10">
        <f>AA99-AB99</f>
        <v/>
      </c>
      <c r="AD99" s="10">
        <f>MIN('02_Данные'!M99,AC99)</f>
        <v/>
      </c>
      <c r="AE99" s="10">
        <f>AC99-AD99</f>
        <v/>
      </c>
      <c r="AF99" s="10">
        <f>MIN('02_Данные'!N99,AE99)</f>
        <v/>
      </c>
      <c r="AG99" s="10">
        <f>AE99-AF99</f>
        <v/>
      </c>
      <c r="AH99" s="10">
        <f>MIN('02_Данные'!S99,AG99)</f>
        <v/>
      </c>
      <c r="AI99" s="10">
        <f>AG99-AH99</f>
        <v/>
      </c>
      <c r="AJ99" s="10">
        <f>MIN('02_Данные'!P99,AI99)</f>
        <v/>
      </c>
      <c r="AK99" s="10">
        <f>AI99-AJ99</f>
        <v/>
      </c>
      <c r="AL99" s="10">
        <f>MIN('02_Данные'!O99,AK99)</f>
        <v/>
      </c>
      <c r="AM99" s="10">
        <f>AK99-AL99</f>
        <v/>
      </c>
      <c r="AN99" s="10">
        <f>MIN('02_Данные'!Q99,AM99)</f>
        <v/>
      </c>
      <c r="AO99" s="10">
        <f>AM99-AN99</f>
        <v/>
      </c>
      <c r="AP99" s="10">
        <f>MIN('02_Данные'!R99,AO99)</f>
        <v/>
      </c>
      <c r="AQ99" s="10">
        <f>AO99-AP99</f>
        <v/>
      </c>
      <c r="AR99" s="10">
        <f>AQ99+'02_Данные'!H99</f>
        <v/>
      </c>
      <c r="AS99" s="10">
        <f>MIN('02_Данные'!T99,AR99)</f>
        <v/>
      </c>
      <c r="AT99" s="10">
        <f>AR99-AS99</f>
        <v/>
      </c>
      <c r="AU99" s="10">
        <f>MIN('02_Данные'!U99,AT99)</f>
        <v/>
      </c>
      <c r="AV99" s="10">
        <f>AT99-AU99</f>
        <v/>
      </c>
      <c r="AW99" s="10">
        <f>MIN('02_Данные'!V99,AV99)</f>
        <v/>
      </c>
      <c r="AX99" s="10">
        <f>AV99-AW99</f>
        <v/>
      </c>
      <c r="AY99" s="10">
        <f>MIN('02_Данные'!AA99,AX99)</f>
        <v/>
      </c>
      <c r="AZ99" s="10">
        <f>AX99-AY99</f>
        <v/>
      </c>
      <c r="BA99" s="10">
        <f>MIN('02_Данные'!X99,AZ99)</f>
        <v/>
      </c>
      <c r="BB99" s="10">
        <f>AZ99-BA99</f>
        <v/>
      </c>
      <c r="BC99" s="10">
        <f>MIN('02_Данные'!W99,BB99)</f>
        <v/>
      </c>
      <c r="BD99" s="10">
        <f>BB99-BC99</f>
        <v/>
      </c>
      <c r="BE99" s="10">
        <f>MIN('02_Данные'!Y99,BD99)</f>
        <v/>
      </c>
      <c r="BF99" s="10">
        <f>BD99-BE99</f>
        <v/>
      </c>
      <c r="BG99" s="10">
        <f>MIN('02_Данные'!Z99,BF99)</f>
        <v/>
      </c>
      <c r="BH99" s="10">
        <f>BF99-BG99</f>
        <v/>
      </c>
      <c r="BI99" s="10">
        <f>BH99+'02_Данные'!I99</f>
        <v/>
      </c>
      <c r="BJ99" s="10">
        <f>MIN('02_Данные'!AB99,BI99)</f>
        <v/>
      </c>
      <c r="BK99" s="10">
        <f>BI99-BJ99</f>
        <v/>
      </c>
      <c r="BL99" s="10">
        <f>MIN('02_Данные'!AC99,BK99)</f>
        <v/>
      </c>
      <c r="BM99" s="10">
        <f>BK99-BL99</f>
        <v/>
      </c>
      <c r="BN99" s="10">
        <f>MIN('02_Данные'!AD99,BM99)</f>
        <v/>
      </c>
      <c r="BO99" s="10">
        <f>BM99-BN99</f>
        <v/>
      </c>
      <c r="BP99" s="10">
        <f>MIN('02_Данные'!AI99,BO99)</f>
        <v/>
      </c>
      <c r="BQ99" s="10">
        <f>BO99-BP99</f>
        <v/>
      </c>
      <c r="BR99" s="10">
        <f>MIN('02_Данные'!AF99,BQ99)</f>
        <v/>
      </c>
      <c r="BS99" s="10">
        <f>BQ99-BR99</f>
        <v/>
      </c>
      <c r="BT99" s="10">
        <f>MIN('02_Данные'!AE99,BS99)</f>
        <v/>
      </c>
      <c r="BU99" s="10">
        <f>BS99-BT99</f>
        <v/>
      </c>
      <c r="BV99" s="10">
        <f>MIN('02_Данные'!AG99,BU99)</f>
        <v/>
      </c>
      <c r="BW99" s="10">
        <f>BU99-BV99</f>
        <v/>
      </c>
      <c r="BX99" s="10">
        <f>MIN('02_Данные'!AH99,BW99)</f>
        <v/>
      </c>
      <c r="BY99" s="10">
        <f>BW99-BX99</f>
        <v/>
      </c>
      <c r="BZ99" s="10">
        <f>BY99+'02_Данные'!J99</f>
        <v/>
      </c>
      <c r="CA99" s="10">
        <f>MIN('02_Данные'!AJ99,BZ99)</f>
        <v/>
      </c>
      <c r="CB99" s="10">
        <f>BZ99-CA99</f>
        <v/>
      </c>
      <c r="CC99" s="10">
        <f>MIN('02_Данные'!AK99,CB99)</f>
        <v/>
      </c>
      <c r="CD99" s="10">
        <f>CB99-CC99</f>
        <v/>
      </c>
      <c r="CE99" s="10">
        <f>MIN('02_Данные'!AL99,CD99)</f>
        <v/>
      </c>
      <c r="CF99" s="10">
        <f>CD99-CE99</f>
        <v/>
      </c>
      <c r="CG99" s="10">
        <f>MIN('02_Данные'!AQ99,CF99)</f>
        <v/>
      </c>
      <c r="CH99" s="10">
        <f>CF99-CG99</f>
        <v/>
      </c>
      <c r="CI99" s="10">
        <f>MIN('02_Данные'!AN99,CH99)</f>
        <v/>
      </c>
      <c r="CJ99" s="10">
        <f>CH99-CI99</f>
        <v/>
      </c>
      <c r="CK99" s="10">
        <f>MIN('02_Данные'!AM99,CJ99)</f>
        <v/>
      </c>
      <c r="CL99" s="10">
        <f>CJ99-CK99</f>
        <v/>
      </c>
      <c r="CM99" s="10">
        <f>MIN('02_Данные'!AO99,CL99)</f>
        <v/>
      </c>
      <c r="CN99" s="10">
        <f>CL99-CM99</f>
        <v/>
      </c>
      <c r="CO99" s="10">
        <f>MIN('02_Данные'!AP99,CN99)</f>
        <v/>
      </c>
      <c r="CP99" s="10">
        <f>CN99-CO99</f>
        <v/>
      </c>
      <c r="CQ99" s="10">
        <f>CP99+'02_Данные'!K99</f>
        <v/>
      </c>
      <c r="CR99" s="10">
        <f>MIN('02_Данные'!AR99,CQ99)</f>
        <v/>
      </c>
      <c r="CS99" s="10">
        <f>CQ99-CR99</f>
        <v/>
      </c>
      <c r="CT99" s="10">
        <f>MIN('02_Данные'!AS99,CS99)</f>
        <v/>
      </c>
      <c r="CU99" s="10">
        <f>CS99-CT99</f>
        <v/>
      </c>
      <c r="CV99" s="10">
        <f>MIN('02_Данные'!AT99,CU99)</f>
        <v/>
      </c>
      <c r="CW99" s="10">
        <f>CU99-CV99</f>
        <v/>
      </c>
      <c r="CX99" s="10">
        <f>MIN('02_Данные'!AY99,CW99)</f>
        <v/>
      </c>
      <c r="CY99" s="10">
        <f>CW99-CX99</f>
        <v/>
      </c>
      <c r="CZ99" s="10">
        <f>MIN('02_Данные'!AV99,CY99)</f>
        <v/>
      </c>
      <c r="DA99" s="10">
        <f>CY99-CZ99</f>
        <v/>
      </c>
      <c r="DB99" s="10">
        <f>MIN('02_Данные'!AU99,DA99)</f>
        <v/>
      </c>
      <c r="DC99" s="10">
        <f>DA99-DB99</f>
        <v/>
      </c>
      <c r="DD99" s="10">
        <f>MIN('02_Данные'!AW99,DC99)</f>
        <v/>
      </c>
      <c r="DE99" s="10">
        <f>DC99-DD99</f>
        <v/>
      </c>
      <c r="DF99" s="10">
        <f>MIN('02_Данные'!AX99,DE99)</f>
        <v/>
      </c>
      <c r="DG99" s="10">
        <f>DE99-DF99</f>
        <v/>
      </c>
    </row>
    <row r="100">
      <c r="A100" s="9">
        <f>'02_Данные'!B100</f>
        <v/>
      </c>
      <c r="B100" s="9">
        <f>'02_Данные'!E100</f>
        <v/>
      </c>
      <c r="C100" s="10">
        <f>'02_Данные'!F100+'02_Данные'!G100+'02_Данные'!H100+'02_Данные'!I100+'02_Данные'!J100+'02_Данные'!K100</f>
        <v/>
      </c>
      <c r="D100" s="10">
        <f>SUM('02_Данные'!L100:'02_Данные'!AY100)</f>
        <v/>
      </c>
      <c r="E100" s="10">
        <f>MAX(0,D100-C100)</f>
        <v/>
      </c>
      <c r="F100" s="15">
        <f>IF(E100&gt;0.0001,"ДЕФИЦИТ",IF(Y100&gt;0.0001,"ПРОФИЦИТ","БАЛАНС"))</f>
        <v/>
      </c>
      <c r="G100" s="10">
        <f>AB100+AS100+BJ100+CA100+CR100</f>
        <v/>
      </c>
      <c r="H100" s="10">
        <f>AD100+AU100+BL100+CC100+CT100</f>
        <v/>
      </c>
      <c r="I100" s="10">
        <f>AF100+AW100+BN100+CE100+CV100</f>
        <v/>
      </c>
      <c r="J100" s="10">
        <f>AL100+BC100+BT100+CK100+DB100</f>
        <v/>
      </c>
      <c r="K100" s="10">
        <f>AJ100+BA100+BR100+CI100+CZ100</f>
        <v/>
      </c>
      <c r="L100" s="10">
        <f>AN100+BE100+BV100+CM100+DD100</f>
        <v/>
      </c>
      <c r="M100" s="10">
        <f>AP100+BG100+BX100+CO100+DF100</f>
        <v/>
      </c>
      <c r="N100" s="10">
        <f>AH100+AY100+BP100+CG100+CX100</f>
        <v/>
      </c>
      <c r="O100" s="10">
        <f>SUM(G100:N100)</f>
        <v/>
      </c>
      <c r="P100" s="10">
        <f>IFERROR(G100*MIN(1,'01_Нормативы'!$C$4/SUM(G$2:G$429)),0)</f>
        <v/>
      </c>
      <c r="Q100" s="10">
        <f>IFERROR(H100*MIN(1,'01_Нормативы'!$C$5/SUM(H$2:H$429)),0)</f>
        <v/>
      </c>
      <c r="R100" s="10">
        <f>IFERROR(I100*MIN(1,'01_Нормативы'!$C$6/SUM(I$2:I$429)),0)</f>
        <v/>
      </c>
      <c r="S100" s="10">
        <f>IFERROR(J100*MIN(1,'01_Нормативы'!$C$7/SUM(J$2:J$429)),0)</f>
        <v/>
      </c>
      <c r="T100" s="10">
        <f>IFERROR(K100*MIN(1,'01_Нормативы'!$C$8/SUM(K$2:K$429)),0)</f>
        <v/>
      </c>
      <c r="U100" s="10">
        <f>IFERROR(L100*MIN(1,'01_Нормативы'!$C$9/SUM(L$2:L$429)),0)</f>
        <v/>
      </c>
      <c r="V100" s="10">
        <f>IFERROR(M100*MIN(1,'01_Нормативы'!$C$10/SUM(M$2:M$429)),0)</f>
        <v/>
      </c>
      <c r="W100" s="10">
        <f>IFERROR(N100*MIN(1,'01_Нормативы'!$C$11/SUM(N$2:N$429)),0)</f>
        <v/>
      </c>
      <c r="X100" s="10">
        <f>SUM(P100:W100)</f>
        <v/>
      </c>
      <c r="Y100" s="10">
        <f>MAX(0,C100-X100)</f>
        <v/>
      </c>
      <c r="Z100" s="10">
        <f>IF(D100=0,100,X100/D100*100)</f>
        <v/>
      </c>
      <c r="AA100" s="10">
        <f>'02_Данные'!F100+'02_Данные'!G100</f>
        <v/>
      </c>
      <c r="AB100" s="10">
        <f>MIN('02_Данные'!L100,AA100)</f>
        <v/>
      </c>
      <c r="AC100" s="10">
        <f>AA100-AB100</f>
        <v/>
      </c>
      <c r="AD100" s="10">
        <f>MIN('02_Данные'!M100,AC100)</f>
        <v/>
      </c>
      <c r="AE100" s="10">
        <f>AC100-AD100</f>
        <v/>
      </c>
      <c r="AF100" s="10">
        <f>MIN('02_Данные'!N100,AE100)</f>
        <v/>
      </c>
      <c r="AG100" s="10">
        <f>AE100-AF100</f>
        <v/>
      </c>
      <c r="AH100" s="10">
        <f>MIN('02_Данные'!S100,AG100)</f>
        <v/>
      </c>
      <c r="AI100" s="10">
        <f>AG100-AH100</f>
        <v/>
      </c>
      <c r="AJ100" s="10">
        <f>MIN('02_Данные'!P100,AI100)</f>
        <v/>
      </c>
      <c r="AK100" s="10">
        <f>AI100-AJ100</f>
        <v/>
      </c>
      <c r="AL100" s="10">
        <f>MIN('02_Данные'!O100,AK100)</f>
        <v/>
      </c>
      <c r="AM100" s="10">
        <f>AK100-AL100</f>
        <v/>
      </c>
      <c r="AN100" s="10">
        <f>MIN('02_Данные'!Q100,AM100)</f>
        <v/>
      </c>
      <c r="AO100" s="10">
        <f>AM100-AN100</f>
        <v/>
      </c>
      <c r="AP100" s="10">
        <f>MIN('02_Данные'!R100,AO100)</f>
        <v/>
      </c>
      <c r="AQ100" s="10">
        <f>AO100-AP100</f>
        <v/>
      </c>
      <c r="AR100" s="10">
        <f>AQ100+'02_Данные'!H100</f>
        <v/>
      </c>
      <c r="AS100" s="10">
        <f>MIN('02_Данные'!T100,AR100)</f>
        <v/>
      </c>
      <c r="AT100" s="10">
        <f>AR100-AS100</f>
        <v/>
      </c>
      <c r="AU100" s="10">
        <f>MIN('02_Данные'!U100,AT100)</f>
        <v/>
      </c>
      <c r="AV100" s="10">
        <f>AT100-AU100</f>
        <v/>
      </c>
      <c r="AW100" s="10">
        <f>MIN('02_Данные'!V100,AV100)</f>
        <v/>
      </c>
      <c r="AX100" s="10">
        <f>AV100-AW100</f>
        <v/>
      </c>
      <c r="AY100" s="10">
        <f>MIN('02_Данные'!AA100,AX100)</f>
        <v/>
      </c>
      <c r="AZ100" s="10">
        <f>AX100-AY100</f>
        <v/>
      </c>
      <c r="BA100" s="10">
        <f>MIN('02_Данные'!X100,AZ100)</f>
        <v/>
      </c>
      <c r="BB100" s="10">
        <f>AZ100-BA100</f>
        <v/>
      </c>
      <c r="BC100" s="10">
        <f>MIN('02_Данные'!W100,BB100)</f>
        <v/>
      </c>
      <c r="BD100" s="10">
        <f>BB100-BC100</f>
        <v/>
      </c>
      <c r="BE100" s="10">
        <f>MIN('02_Данные'!Y100,BD100)</f>
        <v/>
      </c>
      <c r="BF100" s="10">
        <f>BD100-BE100</f>
        <v/>
      </c>
      <c r="BG100" s="10">
        <f>MIN('02_Данные'!Z100,BF100)</f>
        <v/>
      </c>
      <c r="BH100" s="10">
        <f>BF100-BG100</f>
        <v/>
      </c>
      <c r="BI100" s="10">
        <f>BH100+'02_Данные'!I100</f>
        <v/>
      </c>
      <c r="BJ100" s="10">
        <f>MIN('02_Данные'!AB100,BI100)</f>
        <v/>
      </c>
      <c r="BK100" s="10">
        <f>BI100-BJ100</f>
        <v/>
      </c>
      <c r="BL100" s="10">
        <f>MIN('02_Данные'!AC100,BK100)</f>
        <v/>
      </c>
      <c r="BM100" s="10">
        <f>BK100-BL100</f>
        <v/>
      </c>
      <c r="BN100" s="10">
        <f>MIN('02_Данные'!AD100,BM100)</f>
        <v/>
      </c>
      <c r="BO100" s="10">
        <f>BM100-BN100</f>
        <v/>
      </c>
      <c r="BP100" s="10">
        <f>MIN('02_Данные'!AI100,BO100)</f>
        <v/>
      </c>
      <c r="BQ100" s="10">
        <f>BO100-BP100</f>
        <v/>
      </c>
      <c r="BR100" s="10">
        <f>MIN('02_Данные'!AF100,BQ100)</f>
        <v/>
      </c>
      <c r="BS100" s="10">
        <f>BQ100-BR100</f>
        <v/>
      </c>
      <c r="BT100" s="10">
        <f>MIN('02_Данные'!AE100,BS100)</f>
        <v/>
      </c>
      <c r="BU100" s="10">
        <f>BS100-BT100</f>
        <v/>
      </c>
      <c r="BV100" s="10">
        <f>MIN('02_Данные'!AG100,BU100)</f>
        <v/>
      </c>
      <c r="BW100" s="10">
        <f>BU100-BV100</f>
        <v/>
      </c>
      <c r="BX100" s="10">
        <f>MIN('02_Данные'!AH100,BW100)</f>
        <v/>
      </c>
      <c r="BY100" s="10">
        <f>BW100-BX100</f>
        <v/>
      </c>
      <c r="BZ100" s="10">
        <f>BY100+'02_Данные'!J100</f>
        <v/>
      </c>
      <c r="CA100" s="10">
        <f>MIN('02_Данные'!AJ100,BZ100)</f>
        <v/>
      </c>
      <c r="CB100" s="10">
        <f>BZ100-CA100</f>
        <v/>
      </c>
      <c r="CC100" s="10">
        <f>MIN('02_Данные'!AK100,CB100)</f>
        <v/>
      </c>
      <c r="CD100" s="10">
        <f>CB100-CC100</f>
        <v/>
      </c>
      <c r="CE100" s="10">
        <f>MIN('02_Данные'!AL100,CD100)</f>
        <v/>
      </c>
      <c r="CF100" s="10">
        <f>CD100-CE100</f>
        <v/>
      </c>
      <c r="CG100" s="10">
        <f>MIN('02_Данные'!AQ100,CF100)</f>
        <v/>
      </c>
      <c r="CH100" s="10">
        <f>CF100-CG100</f>
        <v/>
      </c>
      <c r="CI100" s="10">
        <f>MIN('02_Данные'!AN100,CH100)</f>
        <v/>
      </c>
      <c r="CJ100" s="10">
        <f>CH100-CI100</f>
        <v/>
      </c>
      <c r="CK100" s="10">
        <f>MIN('02_Данные'!AM100,CJ100)</f>
        <v/>
      </c>
      <c r="CL100" s="10">
        <f>CJ100-CK100</f>
        <v/>
      </c>
      <c r="CM100" s="10">
        <f>MIN('02_Данные'!AO100,CL100)</f>
        <v/>
      </c>
      <c r="CN100" s="10">
        <f>CL100-CM100</f>
        <v/>
      </c>
      <c r="CO100" s="10">
        <f>MIN('02_Данные'!AP100,CN100)</f>
        <v/>
      </c>
      <c r="CP100" s="10">
        <f>CN100-CO100</f>
        <v/>
      </c>
      <c r="CQ100" s="10">
        <f>CP100+'02_Данные'!K100</f>
        <v/>
      </c>
      <c r="CR100" s="10">
        <f>MIN('02_Данные'!AR100,CQ100)</f>
        <v/>
      </c>
      <c r="CS100" s="10">
        <f>CQ100-CR100</f>
        <v/>
      </c>
      <c r="CT100" s="10">
        <f>MIN('02_Данные'!AS100,CS100)</f>
        <v/>
      </c>
      <c r="CU100" s="10">
        <f>CS100-CT100</f>
        <v/>
      </c>
      <c r="CV100" s="10">
        <f>MIN('02_Данные'!AT100,CU100)</f>
        <v/>
      </c>
      <c r="CW100" s="10">
        <f>CU100-CV100</f>
        <v/>
      </c>
      <c r="CX100" s="10">
        <f>MIN('02_Данные'!AY100,CW100)</f>
        <v/>
      </c>
      <c r="CY100" s="10">
        <f>CW100-CX100</f>
        <v/>
      </c>
      <c r="CZ100" s="10">
        <f>MIN('02_Данные'!AV100,CY100)</f>
        <v/>
      </c>
      <c r="DA100" s="10">
        <f>CY100-CZ100</f>
        <v/>
      </c>
      <c r="DB100" s="10">
        <f>MIN('02_Данные'!AU100,DA100)</f>
        <v/>
      </c>
      <c r="DC100" s="10">
        <f>DA100-DB100</f>
        <v/>
      </c>
      <c r="DD100" s="10">
        <f>MIN('02_Данные'!AW100,DC100)</f>
        <v/>
      </c>
      <c r="DE100" s="10">
        <f>DC100-DD100</f>
        <v/>
      </c>
      <c r="DF100" s="10">
        <f>MIN('02_Данные'!AX100,DE100)</f>
        <v/>
      </c>
      <c r="DG100" s="10">
        <f>DE100-DF100</f>
        <v/>
      </c>
    </row>
    <row r="101">
      <c r="A101" s="9">
        <f>'02_Данные'!B101</f>
        <v/>
      </c>
      <c r="B101" s="9">
        <f>'02_Данные'!E101</f>
        <v/>
      </c>
      <c r="C101" s="10">
        <f>'02_Данные'!F101+'02_Данные'!G101+'02_Данные'!H101+'02_Данные'!I101+'02_Данные'!J101+'02_Данные'!K101</f>
        <v/>
      </c>
      <c r="D101" s="10">
        <f>SUM('02_Данные'!L101:'02_Данные'!AY101)</f>
        <v/>
      </c>
      <c r="E101" s="10">
        <f>MAX(0,D101-C101)</f>
        <v/>
      </c>
      <c r="F101" s="15">
        <f>IF(E101&gt;0.0001,"ДЕФИЦИТ",IF(Y101&gt;0.0001,"ПРОФИЦИТ","БАЛАНС"))</f>
        <v/>
      </c>
      <c r="G101" s="10">
        <f>AB101+AS101+BJ101+CA101+CR101</f>
        <v/>
      </c>
      <c r="H101" s="10">
        <f>AD101+AU101+BL101+CC101+CT101</f>
        <v/>
      </c>
      <c r="I101" s="10">
        <f>AF101+AW101+BN101+CE101+CV101</f>
        <v/>
      </c>
      <c r="J101" s="10">
        <f>AL101+BC101+BT101+CK101+DB101</f>
        <v/>
      </c>
      <c r="K101" s="10">
        <f>AJ101+BA101+BR101+CI101+CZ101</f>
        <v/>
      </c>
      <c r="L101" s="10">
        <f>AN101+BE101+BV101+CM101+DD101</f>
        <v/>
      </c>
      <c r="M101" s="10">
        <f>AP101+BG101+BX101+CO101+DF101</f>
        <v/>
      </c>
      <c r="N101" s="10">
        <f>AH101+AY101+BP101+CG101+CX101</f>
        <v/>
      </c>
      <c r="O101" s="10">
        <f>SUM(G101:N101)</f>
        <v/>
      </c>
      <c r="P101" s="10">
        <f>IFERROR(G101*MIN(1,'01_Нормативы'!$C$4/SUM(G$2:G$429)),0)</f>
        <v/>
      </c>
      <c r="Q101" s="10">
        <f>IFERROR(H101*MIN(1,'01_Нормативы'!$C$5/SUM(H$2:H$429)),0)</f>
        <v/>
      </c>
      <c r="R101" s="10">
        <f>IFERROR(I101*MIN(1,'01_Нормативы'!$C$6/SUM(I$2:I$429)),0)</f>
        <v/>
      </c>
      <c r="S101" s="10">
        <f>IFERROR(J101*MIN(1,'01_Нормативы'!$C$7/SUM(J$2:J$429)),0)</f>
        <v/>
      </c>
      <c r="T101" s="10">
        <f>IFERROR(K101*MIN(1,'01_Нормативы'!$C$8/SUM(K$2:K$429)),0)</f>
        <v/>
      </c>
      <c r="U101" s="10">
        <f>IFERROR(L101*MIN(1,'01_Нормативы'!$C$9/SUM(L$2:L$429)),0)</f>
        <v/>
      </c>
      <c r="V101" s="10">
        <f>IFERROR(M101*MIN(1,'01_Нормативы'!$C$10/SUM(M$2:M$429)),0)</f>
        <v/>
      </c>
      <c r="W101" s="10">
        <f>IFERROR(N101*MIN(1,'01_Нормативы'!$C$11/SUM(N$2:N$429)),0)</f>
        <v/>
      </c>
      <c r="X101" s="10">
        <f>SUM(P101:W101)</f>
        <v/>
      </c>
      <c r="Y101" s="10">
        <f>MAX(0,C101-X101)</f>
        <v/>
      </c>
      <c r="Z101" s="10">
        <f>IF(D101=0,100,X101/D101*100)</f>
        <v/>
      </c>
      <c r="AA101" s="10">
        <f>'02_Данные'!F101+'02_Данные'!G101</f>
        <v/>
      </c>
      <c r="AB101" s="10">
        <f>MIN('02_Данные'!L101,AA101)</f>
        <v/>
      </c>
      <c r="AC101" s="10">
        <f>AA101-AB101</f>
        <v/>
      </c>
      <c r="AD101" s="10">
        <f>MIN('02_Данные'!M101,AC101)</f>
        <v/>
      </c>
      <c r="AE101" s="10">
        <f>AC101-AD101</f>
        <v/>
      </c>
      <c r="AF101" s="10">
        <f>MIN('02_Данные'!N101,AE101)</f>
        <v/>
      </c>
      <c r="AG101" s="10">
        <f>AE101-AF101</f>
        <v/>
      </c>
      <c r="AH101" s="10">
        <f>MIN('02_Данные'!S101,AG101)</f>
        <v/>
      </c>
      <c r="AI101" s="10">
        <f>AG101-AH101</f>
        <v/>
      </c>
      <c r="AJ101" s="10">
        <f>MIN('02_Данные'!P101,AI101)</f>
        <v/>
      </c>
      <c r="AK101" s="10">
        <f>AI101-AJ101</f>
        <v/>
      </c>
      <c r="AL101" s="10">
        <f>MIN('02_Данные'!O101,AK101)</f>
        <v/>
      </c>
      <c r="AM101" s="10">
        <f>AK101-AL101</f>
        <v/>
      </c>
      <c r="AN101" s="10">
        <f>MIN('02_Данные'!Q101,AM101)</f>
        <v/>
      </c>
      <c r="AO101" s="10">
        <f>AM101-AN101</f>
        <v/>
      </c>
      <c r="AP101" s="10">
        <f>MIN('02_Данные'!R101,AO101)</f>
        <v/>
      </c>
      <c r="AQ101" s="10">
        <f>AO101-AP101</f>
        <v/>
      </c>
      <c r="AR101" s="10">
        <f>AQ101+'02_Данные'!H101</f>
        <v/>
      </c>
      <c r="AS101" s="10">
        <f>MIN('02_Данные'!T101,AR101)</f>
        <v/>
      </c>
      <c r="AT101" s="10">
        <f>AR101-AS101</f>
        <v/>
      </c>
      <c r="AU101" s="10">
        <f>MIN('02_Данные'!U101,AT101)</f>
        <v/>
      </c>
      <c r="AV101" s="10">
        <f>AT101-AU101</f>
        <v/>
      </c>
      <c r="AW101" s="10">
        <f>MIN('02_Данные'!V101,AV101)</f>
        <v/>
      </c>
      <c r="AX101" s="10">
        <f>AV101-AW101</f>
        <v/>
      </c>
      <c r="AY101" s="10">
        <f>MIN('02_Данные'!AA101,AX101)</f>
        <v/>
      </c>
      <c r="AZ101" s="10">
        <f>AX101-AY101</f>
        <v/>
      </c>
      <c r="BA101" s="10">
        <f>MIN('02_Данные'!X101,AZ101)</f>
        <v/>
      </c>
      <c r="BB101" s="10">
        <f>AZ101-BA101</f>
        <v/>
      </c>
      <c r="BC101" s="10">
        <f>MIN('02_Данные'!W101,BB101)</f>
        <v/>
      </c>
      <c r="BD101" s="10">
        <f>BB101-BC101</f>
        <v/>
      </c>
      <c r="BE101" s="10">
        <f>MIN('02_Данные'!Y101,BD101)</f>
        <v/>
      </c>
      <c r="BF101" s="10">
        <f>BD101-BE101</f>
        <v/>
      </c>
      <c r="BG101" s="10">
        <f>MIN('02_Данные'!Z101,BF101)</f>
        <v/>
      </c>
      <c r="BH101" s="10">
        <f>BF101-BG101</f>
        <v/>
      </c>
      <c r="BI101" s="10">
        <f>BH101+'02_Данные'!I101</f>
        <v/>
      </c>
      <c r="BJ101" s="10">
        <f>MIN('02_Данные'!AB101,BI101)</f>
        <v/>
      </c>
      <c r="BK101" s="10">
        <f>BI101-BJ101</f>
        <v/>
      </c>
      <c r="BL101" s="10">
        <f>MIN('02_Данные'!AC101,BK101)</f>
        <v/>
      </c>
      <c r="BM101" s="10">
        <f>BK101-BL101</f>
        <v/>
      </c>
      <c r="BN101" s="10">
        <f>MIN('02_Данные'!AD101,BM101)</f>
        <v/>
      </c>
      <c r="BO101" s="10">
        <f>BM101-BN101</f>
        <v/>
      </c>
      <c r="BP101" s="10">
        <f>MIN('02_Данные'!AI101,BO101)</f>
        <v/>
      </c>
      <c r="BQ101" s="10">
        <f>BO101-BP101</f>
        <v/>
      </c>
      <c r="BR101" s="10">
        <f>MIN('02_Данные'!AF101,BQ101)</f>
        <v/>
      </c>
      <c r="BS101" s="10">
        <f>BQ101-BR101</f>
        <v/>
      </c>
      <c r="BT101" s="10">
        <f>MIN('02_Данные'!AE101,BS101)</f>
        <v/>
      </c>
      <c r="BU101" s="10">
        <f>BS101-BT101</f>
        <v/>
      </c>
      <c r="BV101" s="10">
        <f>MIN('02_Данные'!AG101,BU101)</f>
        <v/>
      </c>
      <c r="BW101" s="10">
        <f>BU101-BV101</f>
        <v/>
      </c>
      <c r="BX101" s="10">
        <f>MIN('02_Данные'!AH101,BW101)</f>
        <v/>
      </c>
      <c r="BY101" s="10">
        <f>BW101-BX101</f>
        <v/>
      </c>
      <c r="BZ101" s="10">
        <f>BY101+'02_Данные'!J101</f>
        <v/>
      </c>
      <c r="CA101" s="10">
        <f>MIN('02_Данные'!AJ101,BZ101)</f>
        <v/>
      </c>
      <c r="CB101" s="10">
        <f>BZ101-CA101</f>
        <v/>
      </c>
      <c r="CC101" s="10">
        <f>MIN('02_Данные'!AK101,CB101)</f>
        <v/>
      </c>
      <c r="CD101" s="10">
        <f>CB101-CC101</f>
        <v/>
      </c>
      <c r="CE101" s="10">
        <f>MIN('02_Данные'!AL101,CD101)</f>
        <v/>
      </c>
      <c r="CF101" s="10">
        <f>CD101-CE101</f>
        <v/>
      </c>
      <c r="CG101" s="10">
        <f>MIN('02_Данные'!AQ101,CF101)</f>
        <v/>
      </c>
      <c r="CH101" s="10">
        <f>CF101-CG101</f>
        <v/>
      </c>
      <c r="CI101" s="10">
        <f>MIN('02_Данные'!AN101,CH101)</f>
        <v/>
      </c>
      <c r="CJ101" s="10">
        <f>CH101-CI101</f>
        <v/>
      </c>
      <c r="CK101" s="10">
        <f>MIN('02_Данные'!AM101,CJ101)</f>
        <v/>
      </c>
      <c r="CL101" s="10">
        <f>CJ101-CK101</f>
        <v/>
      </c>
      <c r="CM101" s="10">
        <f>MIN('02_Данные'!AO101,CL101)</f>
        <v/>
      </c>
      <c r="CN101" s="10">
        <f>CL101-CM101</f>
        <v/>
      </c>
      <c r="CO101" s="10">
        <f>MIN('02_Данные'!AP101,CN101)</f>
        <v/>
      </c>
      <c r="CP101" s="10">
        <f>CN101-CO101</f>
        <v/>
      </c>
      <c r="CQ101" s="10">
        <f>CP101+'02_Данные'!K101</f>
        <v/>
      </c>
      <c r="CR101" s="10">
        <f>MIN('02_Данные'!AR101,CQ101)</f>
        <v/>
      </c>
      <c r="CS101" s="10">
        <f>CQ101-CR101</f>
        <v/>
      </c>
      <c r="CT101" s="10">
        <f>MIN('02_Данные'!AS101,CS101)</f>
        <v/>
      </c>
      <c r="CU101" s="10">
        <f>CS101-CT101</f>
        <v/>
      </c>
      <c r="CV101" s="10">
        <f>MIN('02_Данные'!AT101,CU101)</f>
        <v/>
      </c>
      <c r="CW101" s="10">
        <f>CU101-CV101</f>
        <v/>
      </c>
      <c r="CX101" s="10">
        <f>MIN('02_Данные'!AY101,CW101)</f>
        <v/>
      </c>
      <c r="CY101" s="10">
        <f>CW101-CX101</f>
        <v/>
      </c>
      <c r="CZ101" s="10">
        <f>MIN('02_Данные'!AV101,CY101)</f>
        <v/>
      </c>
      <c r="DA101" s="10">
        <f>CY101-CZ101</f>
        <v/>
      </c>
      <c r="DB101" s="10">
        <f>MIN('02_Данные'!AU101,DA101)</f>
        <v/>
      </c>
      <c r="DC101" s="10">
        <f>DA101-DB101</f>
        <v/>
      </c>
      <c r="DD101" s="10">
        <f>MIN('02_Данные'!AW101,DC101)</f>
        <v/>
      </c>
      <c r="DE101" s="10">
        <f>DC101-DD101</f>
        <v/>
      </c>
      <c r="DF101" s="10">
        <f>MIN('02_Данные'!AX101,DE101)</f>
        <v/>
      </c>
      <c r="DG101" s="10">
        <f>DE101-DF101</f>
        <v/>
      </c>
    </row>
    <row r="102">
      <c r="A102" s="9">
        <f>'02_Данные'!B102</f>
        <v/>
      </c>
      <c r="B102" s="9">
        <f>'02_Данные'!E102</f>
        <v/>
      </c>
      <c r="C102" s="10">
        <f>'02_Данные'!F102+'02_Данные'!G102+'02_Данные'!H102+'02_Данные'!I102+'02_Данные'!J102+'02_Данные'!K102</f>
        <v/>
      </c>
      <c r="D102" s="10">
        <f>SUM('02_Данные'!L102:'02_Данные'!AY102)</f>
        <v/>
      </c>
      <c r="E102" s="10">
        <f>MAX(0,D102-C102)</f>
        <v/>
      </c>
      <c r="F102" s="15">
        <f>IF(E102&gt;0.0001,"ДЕФИЦИТ",IF(Y102&gt;0.0001,"ПРОФИЦИТ","БАЛАНС"))</f>
        <v/>
      </c>
      <c r="G102" s="10">
        <f>AB102+AS102+BJ102+CA102+CR102</f>
        <v/>
      </c>
      <c r="H102" s="10">
        <f>AD102+AU102+BL102+CC102+CT102</f>
        <v/>
      </c>
      <c r="I102" s="10">
        <f>AF102+AW102+BN102+CE102+CV102</f>
        <v/>
      </c>
      <c r="J102" s="10">
        <f>AL102+BC102+BT102+CK102+DB102</f>
        <v/>
      </c>
      <c r="K102" s="10">
        <f>AJ102+BA102+BR102+CI102+CZ102</f>
        <v/>
      </c>
      <c r="L102" s="10">
        <f>AN102+BE102+BV102+CM102+DD102</f>
        <v/>
      </c>
      <c r="M102" s="10">
        <f>AP102+BG102+BX102+CO102+DF102</f>
        <v/>
      </c>
      <c r="N102" s="10">
        <f>AH102+AY102+BP102+CG102+CX102</f>
        <v/>
      </c>
      <c r="O102" s="10">
        <f>SUM(G102:N102)</f>
        <v/>
      </c>
      <c r="P102" s="10">
        <f>IFERROR(G102*MIN(1,'01_Нормативы'!$C$4/SUM(G$2:G$429)),0)</f>
        <v/>
      </c>
      <c r="Q102" s="10">
        <f>IFERROR(H102*MIN(1,'01_Нормативы'!$C$5/SUM(H$2:H$429)),0)</f>
        <v/>
      </c>
      <c r="R102" s="10">
        <f>IFERROR(I102*MIN(1,'01_Нормативы'!$C$6/SUM(I$2:I$429)),0)</f>
        <v/>
      </c>
      <c r="S102" s="10">
        <f>IFERROR(J102*MIN(1,'01_Нормативы'!$C$7/SUM(J$2:J$429)),0)</f>
        <v/>
      </c>
      <c r="T102" s="10">
        <f>IFERROR(K102*MIN(1,'01_Нормативы'!$C$8/SUM(K$2:K$429)),0)</f>
        <v/>
      </c>
      <c r="U102" s="10">
        <f>IFERROR(L102*MIN(1,'01_Нормативы'!$C$9/SUM(L$2:L$429)),0)</f>
        <v/>
      </c>
      <c r="V102" s="10">
        <f>IFERROR(M102*MIN(1,'01_Нормативы'!$C$10/SUM(M$2:M$429)),0)</f>
        <v/>
      </c>
      <c r="W102" s="10">
        <f>IFERROR(N102*MIN(1,'01_Нормативы'!$C$11/SUM(N$2:N$429)),0)</f>
        <v/>
      </c>
      <c r="X102" s="10">
        <f>SUM(P102:W102)</f>
        <v/>
      </c>
      <c r="Y102" s="10">
        <f>MAX(0,C102-X102)</f>
        <v/>
      </c>
      <c r="Z102" s="10">
        <f>IF(D102=0,100,X102/D102*100)</f>
        <v/>
      </c>
      <c r="AA102" s="10">
        <f>'02_Данные'!F102+'02_Данные'!G102</f>
        <v/>
      </c>
      <c r="AB102" s="10">
        <f>MIN('02_Данные'!L102,AA102)</f>
        <v/>
      </c>
      <c r="AC102" s="10">
        <f>AA102-AB102</f>
        <v/>
      </c>
      <c r="AD102" s="10">
        <f>MIN('02_Данные'!M102,AC102)</f>
        <v/>
      </c>
      <c r="AE102" s="10">
        <f>AC102-AD102</f>
        <v/>
      </c>
      <c r="AF102" s="10">
        <f>MIN('02_Данные'!N102,AE102)</f>
        <v/>
      </c>
      <c r="AG102" s="10">
        <f>AE102-AF102</f>
        <v/>
      </c>
      <c r="AH102" s="10">
        <f>MIN('02_Данные'!S102,AG102)</f>
        <v/>
      </c>
      <c r="AI102" s="10">
        <f>AG102-AH102</f>
        <v/>
      </c>
      <c r="AJ102" s="10">
        <f>MIN('02_Данные'!P102,AI102)</f>
        <v/>
      </c>
      <c r="AK102" s="10">
        <f>AI102-AJ102</f>
        <v/>
      </c>
      <c r="AL102" s="10">
        <f>MIN('02_Данные'!O102,AK102)</f>
        <v/>
      </c>
      <c r="AM102" s="10">
        <f>AK102-AL102</f>
        <v/>
      </c>
      <c r="AN102" s="10">
        <f>MIN('02_Данные'!Q102,AM102)</f>
        <v/>
      </c>
      <c r="AO102" s="10">
        <f>AM102-AN102</f>
        <v/>
      </c>
      <c r="AP102" s="10">
        <f>MIN('02_Данные'!R102,AO102)</f>
        <v/>
      </c>
      <c r="AQ102" s="10">
        <f>AO102-AP102</f>
        <v/>
      </c>
      <c r="AR102" s="10">
        <f>AQ102+'02_Данные'!H102</f>
        <v/>
      </c>
      <c r="AS102" s="10">
        <f>MIN('02_Данные'!T102,AR102)</f>
        <v/>
      </c>
      <c r="AT102" s="10">
        <f>AR102-AS102</f>
        <v/>
      </c>
      <c r="AU102" s="10">
        <f>MIN('02_Данные'!U102,AT102)</f>
        <v/>
      </c>
      <c r="AV102" s="10">
        <f>AT102-AU102</f>
        <v/>
      </c>
      <c r="AW102" s="10">
        <f>MIN('02_Данные'!V102,AV102)</f>
        <v/>
      </c>
      <c r="AX102" s="10">
        <f>AV102-AW102</f>
        <v/>
      </c>
      <c r="AY102" s="10">
        <f>MIN('02_Данные'!AA102,AX102)</f>
        <v/>
      </c>
      <c r="AZ102" s="10">
        <f>AX102-AY102</f>
        <v/>
      </c>
      <c r="BA102" s="10">
        <f>MIN('02_Данные'!X102,AZ102)</f>
        <v/>
      </c>
      <c r="BB102" s="10">
        <f>AZ102-BA102</f>
        <v/>
      </c>
      <c r="BC102" s="10">
        <f>MIN('02_Данные'!W102,BB102)</f>
        <v/>
      </c>
      <c r="BD102" s="10">
        <f>BB102-BC102</f>
        <v/>
      </c>
      <c r="BE102" s="10">
        <f>MIN('02_Данные'!Y102,BD102)</f>
        <v/>
      </c>
      <c r="BF102" s="10">
        <f>BD102-BE102</f>
        <v/>
      </c>
      <c r="BG102" s="10">
        <f>MIN('02_Данные'!Z102,BF102)</f>
        <v/>
      </c>
      <c r="BH102" s="10">
        <f>BF102-BG102</f>
        <v/>
      </c>
      <c r="BI102" s="10">
        <f>BH102+'02_Данные'!I102</f>
        <v/>
      </c>
      <c r="BJ102" s="10">
        <f>MIN('02_Данные'!AB102,BI102)</f>
        <v/>
      </c>
      <c r="BK102" s="10">
        <f>BI102-BJ102</f>
        <v/>
      </c>
      <c r="BL102" s="10">
        <f>MIN('02_Данные'!AC102,BK102)</f>
        <v/>
      </c>
      <c r="BM102" s="10">
        <f>BK102-BL102</f>
        <v/>
      </c>
      <c r="BN102" s="10">
        <f>MIN('02_Данные'!AD102,BM102)</f>
        <v/>
      </c>
      <c r="BO102" s="10">
        <f>BM102-BN102</f>
        <v/>
      </c>
      <c r="BP102" s="10">
        <f>MIN('02_Данные'!AI102,BO102)</f>
        <v/>
      </c>
      <c r="BQ102" s="10">
        <f>BO102-BP102</f>
        <v/>
      </c>
      <c r="BR102" s="10">
        <f>MIN('02_Данные'!AF102,BQ102)</f>
        <v/>
      </c>
      <c r="BS102" s="10">
        <f>BQ102-BR102</f>
        <v/>
      </c>
      <c r="BT102" s="10">
        <f>MIN('02_Данные'!AE102,BS102)</f>
        <v/>
      </c>
      <c r="BU102" s="10">
        <f>BS102-BT102</f>
        <v/>
      </c>
      <c r="BV102" s="10">
        <f>MIN('02_Данные'!AG102,BU102)</f>
        <v/>
      </c>
      <c r="BW102" s="10">
        <f>BU102-BV102</f>
        <v/>
      </c>
      <c r="BX102" s="10">
        <f>MIN('02_Данные'!AH102,BW102)</f>
        <v/>
      </c>
      <c r="BY102" s="10">
        <f>BW102-BX102</f>
        <v/>
      </c>
      <c r="BZ102" s="10">
        <f>BY102+'02_Данные'!J102</f>
        <v/>
      </c>
      <c r="CA102" s="10">
        <f>MIN('02_Данные'!AJ102,BZ102)</f>
        <v/>
      </c>
      <c r="CB102" s="10">
        <f>BZ102-CA102</f>
        <v/>
      </c>
      <c r="CC102" s="10">
        <f>MIN('02_Данные'!AK102,CB102)</f>
        <v/>
      </c>
      <c r="CD102" s="10">
        <f>CB102-CC102</f>
        <v/>
      </c>
      <c r="CE102" s="10">
        <f>MIN('02_Данные'!AL102,CD102)</f>
        <v/>
      </c>
      <c r="CF102" s="10">
        <f>CD102-CE102</f>
        <v/>
      </c>
      <c r="CG102" s="10">
        <f>MIN('02_Данные'!AQ102,CF102)</f>
        <v/>
      </c>
      <c r="CH102" s="10">
        <f>CF102-CG102</f>
        <v/>
      </c>
      <c r="CI102" s="10">
        <f>MIN('02_Данные'!AN102,CH102)</f>
        <v/>
      </c>
      <c r="CJ102" s="10">
        <f>CH102-CI102</f>
        <v/>
      </c>
      <c r="CK102" s="10">
        <f>MIN('02_Данные'!AM102,CJ102)</f>
        <v/>
      </c>
      <c r="CL102" s="10">
        <f>CJ102-CK102</f>
        <v/>
      </c>
      <c r="CM102" s="10">
        <f>MIN('02_Данные'!AO102,CL102)</f>
        <v/>
      </c>
      <c r="CN102" s="10">
        <f>CL102-CM102</f>
        <v/>
      </c>
      <c r="CO102" s="10">
        <f>MIN('02_Данные'!AP102,CN102)</f>
        <v/>
      </c>
      <c r="CP102" s="10">
        <f>CN102-CO102</f>
        <v/>
      </c>
      <c r="CQ102" s="10">
        <f>CP102+'02_Данные'!K102</f>
        <v/>
      </c>
      <c r="CR102" s="10">
        <f>MIN('02_Данные'!AR102,CQ102)</f>
        <v/>
      </c>
      <c r="CS102" s="10">
        <f>CQ102-CR102</f>
        <v/>
      </c>
      <c r="CT102" s="10">
        <f>MIN('02_Данные'!AS102,CS102)</f>
        <v/>
      </c>
      <c r="CU102" s="10">
        <f>CS102-CT102</f>
        <v/>
      </c>
      <c r="CV102" s="10">
        <f>MIN('02_Данные'!AT102,CU102)</f>
        <v/>
      </c>
      <c r="CW102" s="10">
        <f>CU102-CV102</f>
        <v/>
      </c>
      <c r="CX102" s="10">
        <f>MIN('02_Данные'!AY102,CW102)</f>
        <v/>
      </c>
      <c r="CY102" s="10">
        <f>CW102-CX102</f>
        <v/>
      </c>
      <c r="CZ102" s="10">
        <f>MIN('02_Данные'!AV102,CY102)</f>
        <v/>
      </c>
      <c r="DA102" s="10">
        <f>CY102-CZ102</f>
        <v/>
      </c>
      <c r="DB102" s="10">
        <f>MIN('02_Данные'!AU102,DA102)</f>
        <v/>
      </c>
      <c r="DC102" s="10">
        <f>DA102-DB102</f>
        <v/>
      </c>
      <c r="DD102" s="10">
        <f>MIN('02_Данные'!AW102,DC102)</f>
        <v/>
      </c>
      <c r="DE102" s="10">
        <f>DC102-DD102</f>
        <v/>
      </c>
      <c r="DF102" s="10">
        <f>MIN('02_Данные'!AX102,DE102)</f>
        <v/>
      </c>
      <c r="DG102" s="10">
        <f>DE102-DF102</f>
        <v/>
      </c>
    </row>
    <row r="103">
      <c r="A103" s="9">
        <f>'02_Данные'!B103</f>
        <v/>
      </c>
      <c r="B103" s="9">
        <f>'02_Данные'!E103</f>
        <v/>
      </c>
      <c r="C103" s="10">
        <f>'02_Данные'!F103+'02_Данные'!G103+'02_Данные'!H103+'02_Данные'!I103+'02_Данные'!J103+'02_Данные'!K103</f>
        <v/>
      </c>
      <c r="D103" s="10">
        <f>SUM('02_Данные'!L103:'02_Данные'!AY103)</f>
        <v/>
      </c>
      <c r="E103" s="10">
        <f>MAX(0,D103-C103)</f>
        <v/>
      </c>
      <c r="F103" s="15">
        <f>IF(E103&gt;0.0001,"ДЕФИЦИТ",IF(Y103&gt;0.0001,"ПРОФИЦИТ","БАЛАНС"))</f>
        <v/>
      </c>
      <c r="G103" s="10">
        <f>AB103+AS103+BJ103+CA103+CR103</f>
        <v/>
      </c>
      <c r="H103" s="10">
        <f>AD103+AU103+BL103+CC103+CT103</f>
        <v/>
      </c>
      <c r="I103" s="10">
        <f>AF103+AW103+BN103+CE103+CV103</f>
        <v/>
      </c>
      <c r="J103" s="10">
        <f>AL103+BC103+BT103+CK103+DB103</f>
        <v/>
      </c>
      <c r="K103" s="10">
        <f>AJ103+BA103+BR103+CI103+CZ103</f>
        <v/>
      </c>
      <c r="L103" s="10">
        <f>AN103+BE103+BV103+CM103+DD103</f>
        <v/>
      </c>
      <c r="M103" s="10">
        <f>AP103+BG103+BX103+CO103+DF103</f>
        <v/>
      </c>
      <c r="N103" s="10">
        <f>AH103+AY103+BP103+CG103+CX103</f>
        <v/>
      </c>
      <c r="O103" s="10">
        <f>SUM(G103:N103)</f>
        <v/>
      </c>
      <c r="P103" s="10">
        <f>IFERROR(G103*MIN(1,'01_Нормативы'!$C$4/SUM(G$2:G$429)),0)</f>
        <v/>
      </c>
      <c r="Q103" s="10">
        <f>IFERROR(H103*MIN(1,'01_Нормативы'!$C$5/SUM(H$2:H$429)),0)</f>
        <v/>
      </c>
      <c r="R103" s="10">
        <f>IFERROR(I103*MIN(1,'01_Нормативы'!$C$6/SUM(I$2:I$429)),0)</f>
        <v/>
      </c>
      <c r="S103" s="10">
        <f>IFERROR(J103*MIN(1,'01_Нормативы'!$C$7/SUM(J$2:J$429)),0)</f>
        <v/>
      </c>
      <c r="T103" s="10">
        <f>IFERROR(K103*MIN(1,'01_Нормативы'!$C$8/SUM(K$2:K$429)),0)</f>
        <v/>
      </c>
      <c r="U103" s="10">
        <f>IFERROR(L103*MIN(1,'01_Нормативы'!$C$9/SUM(L$2:L$429)),0)</f>
        <v/>
      </c>
      <c r="V103" s="10">
        <f>IFERROR(M103*MIN(1,'01_Нормативы'!$C$10/SUM(M$2:M$429)),0)</f>
        <v/>
      </c>
      <c r="W103" s="10">
        <f>IFERROR(N103*MIN(1,'01_Нормативы'!$C$11/SUM(N$2:N$429)),0)</f>
        <v/>
      </c>
      <c r="X103" s="10">
        <f>SUM(P103:W103)</f>
        <v/>
      </c>
      <c r="Y103" s="10">
        <f>MAX(0,C103-X103)</f>
        <v/>
      </c>
      <c r="Z103" s="10">
        <f>IF(D103=0,100,X103/D103*100)</f>
        <v/>
      </c>
      <c r="AA103" s="10">
        <f>'02_Данные'!F103+'02_Данные'!G103</f>
        <v/>
      </c>
      <c r="AB103" s="10">
        <f>MIN('02_Данные'!L103,AA103)</f>
        <v/>
      </c>
      <c r="AC103" s="10">
        <f>AA103-AB103</f>
        <v/>
      </c>
      <c r="AD103" s="10">
        <f>MIN('02_Данные'!M103,AC103)</f>
        <v/>
      </c>
      <c r="AE103" s="10">
        <f>AC103-AD103</f>
        <v/>
      </c>
      <c r="AF103" s="10">
        <f>MIN('02_Данные'!N103,AE103)</f>
        <v/>
      </c>
      <c r="AG103" s="10">
        <f>AE103-AF103</f>
        <v/>
      </c>
      <c r="AH103" s="10">
        <f>MIN('02_Данные'!S103,AG103)</f>
        <v/>
      </c>
      <c r="AI103" s="10">
        <f>AG103-AH103</f>
        <v/>
      </c>
      <c r="AJ103" s="10">
        <f>MIN('02_Данные'!P103,AI103)</f>
        <v/>
      </c>
      <c r="AK103" s="10">
        <f>AI103-AJ103</f>
        <v/>
      </c>
      <c r="AL103" s="10">
        <f>MIN('02_Данные'!O103,AK103)</f>
        <v/>
      </c>
      <c r="AM103" s="10">
        <f>AK103-AL103</f>
        <v/>
      </c>
      <c r="AN103" s="10">
        <f>MIN('02_Данные'!Q103,AM103)</f>
        <v/>
      </c>
      <c r="AO103" s="10">
        <f>AM103-AN103</f>
        <v/>
      </c>
      <c r="AP103" s="10">
        <f>MIN('02_Данные'!R103,AO103)</f>
        <v/>
      </c>
      <c r="AQ103" s="10">
        <f>AO103-AP103</f>
        <v/>
      </c>
      <c r="AR103" s="10">
        <f>AQ103+'02_Данные'!H103</f>
        <v/>
      </c>
      <c r="AS103" s="10">
        <f>MIN('02_Данные'!T103,AR103)</f>
        <v/>
      </c>
      <c r="AT103" s="10">
        <f>AR103-AS103</f>
        <v/>
      </c>
      <c r="AU103" s="10">
        <f>MIN('02_Данные'!U103,AT103)</f>
        <v/>
      </c>
      <c r="AV103" s="10">
        <f>AT103-AU103</f>
        <v/>
      </c>
      <c r="AW103" s="10">
        <f>MIN('02_Данные'!V103,AV103)</f>
        <v/>
      </c>
      <c r="AX103" s="10">
        <f>AV103-AW103</f>
        <v/>
      </c>
      <c r="AY103" s="10">
        <f>MIN('02_Данные'!AA103,AX103)</f>
        <v/>
      </c>
      <c r="AZ103" s="10">
        <f>AX103-AY103</f>
        <v/>
      </c>
      <c r="BA103" s="10">
        <f>MIN('02_Данные'!X103,AZ103)</f>
        <v/>
      </c>
      <c r="BB103" s="10">
        <f>AZ103-BA103</f>
        <v/>
      </c>
      <c r="BC103" s="10">
        <f>MIN('02_Данные'!W103,BB103)</f>
        <v/>
      </c>
      <c r="BD103" s="10">
        <f>BB103-BC103</f>
        <v/>
      </c>
      <c r="BE103" s="10">
        <f>MIN('02_Данные'!Y103,BD103)</f>
        <v/>
      </c>
      <c r="BF103" s="10">
        <f>BD103-BE103</f>
        <v/>
      </c>
      <c r="BG103" s="10">
        <f>MIN('02_Данные'!Z103,BF103)</f>
        <v/>
      </c>
      <c r="BH103" s="10">
        <f>BF103-BG103</f>
        <v/>
      </c>
      <c r="BI103" s="10">
        <f>BH103+'02_Данные'!I103</f>
        <v/>
      </c>
      <c r="BJ103" s="10">
        <f>MIN('02_Данные'!AB103,BI103)</f>
        <v/>
      </c>
      <c r="BK103" s="10">
        <f>BI103-BJ103</f>
        <v/>
      </c>
      <c r="BL103" s="10">
        <f>MIN('02_Данные'!AC103,BK103)</f>
        <v/>
      </c>
      <c r="BM103" s="10">
        <f>BK103-BL103</f>
        <v/>
      </c>
      <c r="BN103" s="10">
        <f>MIN('02_Данные'!AD103,BM103)</f>
        <v/>
      </c>
      <c r="BO103" s="10">
        <f>BM103-BN103</f>
        <v/>
      </c>
      <c r="BP103" s="10">
        <f>MIN('02_Данные'!AI103,BO103)</f>
        <v/>
      </c>
      <c r="BQ103" s="10">
        <f>BO103-BP103</f>
        <v/>
      </c>
      <c r="BR103" s="10">
        <f>MIN('02_Данные'!AF103,BQ103)</f>
        <v/>
      </c>
      <c r="BS103" s="10">
        <f>BQ103-BR103</f>
        <v/>
      </c>
      <c r="BT103" s="10">
        <f>MIN('02_Данные'!AE103,BS103)</f>
        <v/>
      </c>
      <c r="BU103" s="10">
        <f>BS103-BT103</f>
        <v/>
      </c>
      <c r="BV103" s="10">
        <f>MIN('02_Данные'!AG103,BU103)</f>
        <v/>
      </c>
      <c r="BW103" s="10">
        <f>BU103-BV103</f>
        <v/>
      </c>
      <c r="BX103" s="10">
        <f>MIN('02_Данные'!AH103,BW103)</f>
        <v/>
      </c>
      <c r="BY103" s="10">
        <f>BW103-BX103</f>
        <v/>
      </c>
      <c r="BZ103" s="10">
        <f>BY103+'02_Данные'!J103</f>
        <v/>
      </c>
      <c r="CA103" s="10">
        <f>MIN('02_Данные'!AJ103,BZ103)</f>
        <v/>
      </c>
      <c r="CB103" s="10">
        <f>BZ103-CA103</f>
        <v/>
      </c>
      <c r="CC103" s="10">
        <f>MIN('02_Данные'!AK103,CB103)</f>
        <v/>
      </c>
      <c r="CD103" s="10">
        <f>CB103-CC103</f>
        <v/>
      </c>
      <c r="CE103" s="10">
        <f>MIN('02_Данные'!AL103,CD103)</f>
        <v/>
      </c>
      <c r="CF103" s="10">
        <f>CD103-CE103</f>
        <v/>
      </c>
      <c r="CG103" s="10">
        <f>MIN('02_Данные'!AQ103,CF103)</f>
        <v/>
      </c>
      <c r="CH103" s="10">
        <f>CF103-CG103</f>
        <v/>
      </c>
      <c r="CI103" s="10">
        <f>MIN('02_Данные'!AN103,CH103)</f>
        <v/>
      </c>
      <c r="CJ103" s="10">
        <f>CH103-CI103</f>
        <v/>
      </c>
      <c r="CK103" s="10">
        <f>MIN('02_Данные'!AM103,CJ103)</f>
        <v/>
      </c>
      <c r="CL103" s="10">
        <f>CJ103-CK103</f>
        <v/>
      </c>
      <c r="CM103" s="10">
        <f>MIN('02_Данные'!AO103,CL103)</f>
        <v/>
      </c>
      <c r="CN103" s="10">
        <f>CL103-CM103</f>
        <v/>
      </c>
      <c r="CO103" s="10">
        <f>MIN('02_Данные'!AP103,CN103)</f>
        <v/>
      </c>
      <c r="CP103" s="10">
        <f>CN103-CO103</f>
        <v/>
      </c>
      <c r="CQ103" s="10">
        <f>CP103+'02_Данные'!K103</f>
        <v/>
      </c>
      <c r="CR103" s="10">
        <f>MIN('02_Данные'!AR103,CQ103)</f>
        <v/>
      </c>
      <c r="CS103" s="10">
        <f>CQ103-CR103</f>
        <v/>
      </c>
      <c r="CT103" s="10">
        <f>MIN('02_Данные'!AS103,CS103)</f>
        <v/>
      </c>
      <c r="CU103" s="10">
        <f>CS103-CT103</f>
        <v/>
      </c>
      <c r="CV103" s="10">
        <f>MIN('02_Данные'!AT103,CU103)</f>
        <v/>
      </c>
      <c r="CW103" s="10">
        <f>CU103-CV103</f>
        <v/>
      </c>
      <c r="CX103" s="10">
        <f>MIN('02_Данные'!AY103,CW103)</f>
        <v/>
      </c>
      <c r="CY103" s="10">
        <f>CW103-CX103</f>
        <v/>
      </c>
      <c r="CZ103" s="10">
        <f>MIN('02_Данные'!AV103,CY103)</f>
        <v/>
      </c>
      <c r="DA103" s="10">
        <f>CY103-CZ103</f>
        <v/>
      </c>
      <c r="DB103" s="10">
        <f>MIN('02_Данные'!AU103,DA103)</f>
        <v/>
      </c>
      <c r="DC103" s="10">
        <f>DA103-DB103</f>
        <v/>
      </c>
      <c r="DD103" s="10">
        <f>MIN('02_Данные'!AW103,DC103)</f>
        <v/>
      </c>
      <c r="DE103" s="10">
        <f>DC103-DD103</f>
        <v/>
      </c>
      <c r="DF103" s="10">
        <f>MIN('02_Данные'!AX103,DE103)</f>
        <v/>
      </c>
      <c r="DG103" s="10">
        <f>DE103-DF103</f>
        <v/>
      </c>
    </row>
    <row r="104">
      <c r="A104" s="9">
        <f>'02_Данные'!B104</f>
        <v/>
      </c>
      <c r="B104" s="9">
        <f>'02_Данные'!E104</f>
        <v/>
      </c>
      <c r="C104" s="10">
        <f>'02_Данные'!F104+'02_Данные'!G104+'02_Данные'!H104+'02_Данные'!I104+'02_Данные'!J104+'02_Данные'!K104</f>
        <v/>
      </c>
      <c r="D104" s="10">
        <f>SUM('02_Данные'!L104:'02_Данные'!AY104)</f>
        <v/>
      </c>
      <c r="E104" s="10">
        <f>MAX(0,D104-C104)</f>
        <v/>
      </c>
      <c r="F104" s="15">
        <f>IF(E104&gt;0.0001,"ДЕФИЦИТ",IF(Y104&gt;0.0001,"ПРОФИЦИТ","БАЛАНС"))</f>
        <v/>
      </c>
      <c r="G104" s="10">
        <f>AB104+AS104+BJ104+CA104+CR104</f>
        <v/>
      </c>
      <c r="H104" s="10">
        <f>AD104+AU104+BL104+CC104+CT104</f>
        <v/>
      </c>
      <c r="I104" s="10">
        <f>AF104+AW104+BN104+CE104+CV104</f>
        <v/>
      </c>
      <c r="J104" s="10">
        <f>AL104+BC104+BT104+CK104+DB104</f>
        <v/>
      </c>
      <c r="K104" s="10">
        <f>AJ104+BA104+BR104+CI104+CZ104</f>
        <v/>
      </c>
      <c r="L104" s="10">
        <f>AN104+BE104+BV104+CM104+DD104</f>
        <v/>
      </c>
      <c r="M104" s="10">
        <f>AP104+BG104+BX104+CO104+DF104</f>
        <v/>
      </c>
      <c r="N104" s="10">
        <f>AH104+AY104+BP104+CG104+CX104</f>
        <v/>
      </c>
      <c r="O104" s="10">
        <f>SUM(G104:N104)</f>
        <v/>
      </c>
      <c r="P104" s="10">
        <f>IFERROR(G104*MIN(1,'01_Нормативы'!$C$4/SUM(G$2:G$429)),0)</f>
        <v/>
      </c>
      <c r="Q104" s="10">
        <f>IFERROR(H104*MIN(1,'01_Нормативы'!$C$5/SUM(H$2:H$429)),0)</f>
        <v/>
      </c>
      <c r="R104" s="10">
        <f>IFERROR(I104*MIN(1,'01_Нормативы'!$C$6/SUM(I$2:I$429)),0)</f>
        <v/>
      </c>
      <c r="S104" s="10">
        <f>IFERROR(J104*MIN(1,'01_Нормативы'!$C$7/SUM(J$2:J$429)),0)</f>
        <v/>
      </c>
      <c r="T104" s="10">
        <f>IFERROR(K104*MIN(1,'01_Нормативы'!$C$8/SUM(K$2:K$429)),0)</f>
        <v/>
      </c>
      <c r="U104" s="10">
        <f>IFERROR(L104*MIN(1,'01_Нормативы'!$C$9/SUM(L$2:L$429)),0)</f>
        <v/>
      </c>
      <c r="V104" s="10">
        <f>IFERROR(M104*MIN(1,'01_Нормативы'!$C$10/SUM(M$2:M$429)),0)</f>
        <v/>
      </c>
      <c r="W104" s="10">
        <f>IFERROR(N104*MIN(1,'01_Нормативы'!$C$11/SUM(N$2:N$429)),0)</f>
        <v/>
      </c>
      <c r="X104" s="10">
        <f>SUM(P104:W104)</f>
        <v/>
      </c>
      <c r="Y104" s="10">
        <f>MAX(0,C104-X104)</f>
        <v/>
      </c>
      <c r="Z104" s="10">
        <f>IF(D104=0,100,X104/D104*100)</f>
        <v/>
      </c>
      <c r="AA104" s="10">
        <f>'02_Данные'!F104+'02_Данные'!G104</f>
        <v/>
      </c>
      <c r="AB104" s="10">
        <f>MIN('02_Данные'!L104,AA104)</f>
        <v/>
      </c>
      <c r="AC104" s="10">
        <f>AA104-AB104</f>
        <v/>
      </c>
      <c r="AD104" s="10">
        <f>MIN('02_Данные'!M104,AC104)</f>
        <v/>
      </c>
      <c r="AE104" s="10">
        <f>AC104-AD104</f>
        <v/>
      </c>
      <c r="AF104" s="10">
        <f>MIN('02_Данные'!N104,AE104)</f>
        <v/>
      </c>
      <c r="AG104" s="10">
        <f>AE104-AF104</f>
        <v/>
      </c>
      <c r="AH104" s="10">
        <f>MIN('02_Данные'!S104,AG104)</f>
        <v/>
      </c>
      <c r="AI104" s="10">
        <f>AG104-AH104</f>
        <v/>
      </c>
      <c r="AJ104" s="10">
        <f>MIN('02_Данные'!P104,AI104)</f>
        <v/>
      </c>
      <c r="AK104" s="10">
        <f>AI104-AJ104</f>
        <v/>
      </c>
      <c r="AL104" s="10">
        <f>MIN('02_Данные'!O104,AK104)</f>
        <v/>
      </c>
      <c r="AM104" s="10">
        <f>AK104-AL104</f>
        <v/>
      </c>
      <c r="AN104" s="10">
        <f>MIN('02_Данные'!Q104,AM104)</f>
        <v/>
      </c>
      <c r="AO104" s="10">
        <f>AM104-AN104</f>
        <v/>
      </c>
      <c r="AP104" s="10">
        <f>MIN('02_Данные'!R104,AO104)</f>
        <v/>
      </c>
      <c r="AQ104" s="10">
        <f>AO104-AP104</f>
        <v/>
      </c>
      <c r="AR104" s="10">
        <f>AQ104+'02_Данные'!H104</f>
        <v/>
      </c>
      <c r="AS104" s="10">
        <f>MIN('02_Данные'!T104,AR104)</f>
        <v/>
      </c>
      <c r="AT104" s="10">
        <f>AR104-AS104</f>
        <v/>
      </c>
      <c r="AU104" s="10">
        <f>MIN('02_Данные'!U104,AT104)</f>
        <v/>
      </c>
      <c r="AV104" s="10">
        <f>AT104-AU104</f>
        <v/>
      </c>
      <c r="AW104" s="10">
        <f>MIN('02_Данные'!V104,AV104)</f>
        <v/>
      </c>
      <c r="AX104" s="10">
        <f>AV104-AW104</f>
        <v/>
      </c>
      <c r="AY104" s="10">
        <f>MIN('02_Данные'!AA104,AX104)</f>
        <v/>
      </c>
      <c r="AZ104" s="10">
        <f>AX104-AY104</f>
        <v/>
      </c>
      <c r="BA104" s="10">
        <f>MIN('02_Данные'!X104,AZ104)</f>
        <v/>
      </c>
      <c r="BB104" s="10">
        <f>AZ104-BA104</f>
        <v/>
      </c>
      <c r="BC104" s="10">
        <f>MIN('02_Данные'!W104,BB104)</f>
        <v/>
      </c>
      <c r="BD104" s="10">
        <f>BB104-BC104</f>
        <v/>
      </c>
      <c r="BE104" s="10">
        <f>MIN('02_Данные'!Y104,BD104)</f>
        <v/>
      </c>
      <c r="BF104" s="10">
        <f>BD104-BE104</f>
        <v/>
      </c>
      <c r="BG104" s="10">
        <f>MIN('02_Данные'!Z104,BF104)</f>
        <v/>
      </c>
      <c r="BH104" s="10">
        <f>BF104-BG104</f>
        <v/>
      </c>
      <c r="BI104" s="10">
        <f>BH104+'02_Данные'!I104</f>
        <v/>
      </c>
      <c r="BJ104" s="10">
        <f>MIN('02_Данные'!AB104,BI104)</f>
        <v/>
      </c>
      <c r="BK104" s="10">
        <f>BI104-BJ104</f>
        <v/>
      </c>
      <c r="BL104" s="10">
        <f>MIN('02_Данные'!AC104,BK104)</f>
        <v/>
      </c>
      <c r="BM104" s="10">
        <f>BK104-BL104</f>
        <v/>
      </c>
      <c r="BN104" s="10">
        <f>MIN('02_Данные'!AD104,BM104)</f>
        <v/>
      </c>
      <c r="BO104" s="10">
        <f>BM104-BN104</f>
        <v/>
      </c>
      <c r="BP104" s="10">
        <f>MIN('02_Данные'!AI104,BO104)</f>
        <v/>
      </c>
      <c r="BQ104" s="10">
        <f>BO104-BP104</f>
        <v/>
      </c>
      <c r="BR104" s="10">
        <f>MIN('02_Данные'!AF104,BQ104)</f>
        <v/>
      </c>
      <c r="BS104" s="10">
        <f>BQ104-BR104</f>
        <v/>
      </c>
      <c r="BT104" s="10">
        <f>MIN('02_Данные'!AE104,BS104)</f>
        <v/>
      </c>
      <c r="BU104" s="10">
        <f>BS104-BT104</f>
        <v/>
      </c>
      <c r="BV104" s="10">
        <f>MIN('02_Данные'!AG104,BU104)</f>
        <v/>
      </c>
      <c r="BW104" s="10">
        <f>BU104-BV104</f>
        <v/>
      </c>
      <c r="BX104" s="10">
        <f>MIN('02_Данные'!AH104,BW104)</f>
        <v/>
      </c>
      <c r="BY104" s="10">
        <f>BW104-BX104</f>
        <v/>
      </c>
      <c r="BZ104" s="10">
        <f>BY104+'02_Данные'!J104</f>
        <v/>
      </c>
      <c r="CA104" s="10">
        <f>MIN('02_Данные'!AJ104,BZ104)</f>
        <v/>
      </c>
      <c r="CB104" s="10">
        <f>BZ104-CA104</f>
        <v/>
      </c>
      <c r="CC104" s="10">
        <f>MIN('02_Данные'!AK104,CB104)</f>
        <v/>
      </c>
      <c r="CD104" s="10">
        <f>CB104-CC104</f>
        <v/>
      </c>
      <c r="CE104" s="10">
        <f>MIN('02_Данные'!AL104,CD104)</f>
        <v/>
      </c>
      <c r="CF104" s="10">
        <f>CD104-CE104</f>
        <v/>
      </c>
      <c r="CG104" s="10">
        <f>MIN('02_Данные'!AQ104,CF104)</f>
        <v/>
      </c>
      <c r="CH104" s="10">
        <f>CF104-CG104</f>
        <v/>
      </c>
      <c r="CI104" s="10">
        <f>MIN('02_Данные'!AN104,CH104)</f>
        <v/>
      </c>
      <c r="CJ104" s="10">
        <f>CH104-CI104</f>
        <v/>
      </c>
      <c r="CK104" s="10">
        <f>MIN('02_Данные'!AM104,CJ104)</f>
        <v/>
      </c>
      <c r="CL104" s="10">
        <f>CJ104-CK104</f>
        <v/>
      </c>
      <c r="CM104" s="10">
        <f>MIN('02_Данные'!AO104,CL104)</f>
        <v/>
      </c>
      <c r="CN104" s="10">
        <f>CL104-CM104</f>
        <v/>
      </c>
      <c r="CO104" s="10">
        <f>MIN('02_Данные'!AP104,CN104)</f>
        <v/>
      </c>
      <c r="CP104" s="10">
        <f>CN104-CO104</f>
        <v/>
      </c>
      <c r="CQ104" s="10">
        <f>CP104+'02_Данные'!K104</f>
        <v/>
      </c>
      <c r="CR104" s="10">
        <f>MIN('02_Данные'!AR104,CQ104)</f>
        <v/>
      </c>
      <c r="CS104" s="10">
        <f>CQ104-CR104</f>
        <v/>
      </c>
      <c r="CT104" s="10">
        <f>MIN('02_Данные'!AS104,CS104)</f>
        <v/>
      </c>
      <c r="CU104" s="10">
        <f>CS104-CT104</f>
        <v/>
      </c>
      <c r="CV104" s="10">
        <f>MIN('02_Данные'!AT104,CU104)</f>
        <v/>
      </c>
      <c r="CW104" s="10">
        <f>CU104-CV104</f>
        <v/>
      </c>
      <c r="CX104" s="10">
        <f>MIN('02_Данные'!AY104,CW104)</f>
        <v/>
      </c>
      <c r="CY104" s="10">
        <f>CW104-CX104</f>
        <v/>
      </c>
      <c r="CZ104" s="10">
        <f>MIN('02_Данные'!AV104,CY104)</f>
        <v/>
      </c>
      <c r="DA104" s="10">
        <f>CY104-CZ104</f>
        <v/>
      </c>
      <c r="DB104" s="10">
        <f>MIN('02_Данные'!AU104,DA104)</f>
        <v/>
      </c>
      <c r="DC104" s="10">
        <f>DA104-DB104</f>
        <v/>
      </c>
      <c r="DD104" s="10">
        <f>MIN('02_Данные'!AW104,DC104)</f>
        <v/>
      </c>
      <c r="DE104" s="10">
        <f>DC104-DD104</f>
        <v/>
      </c>
      <c r="DF104" s="10">
        <f>MIN('02_Данные'!AX104,DE104)</f>
        <v/>
      </c>
      <c r="DG104" s="10">
        <f>DE104-DF104</f>
        <v/>
      </c>
    </row>
    <row r="105">
      <c r="A105" s="9">
        <f>'02_Данные'!B105</f>
        <v/>
      </c>
      <c r="B105" s="9">
        <f>'02_Данные'!E105</f>
        <v/>
      </c>
      <c r="C105" s="10">
        <f>'02_Данные'!F105+'02_Данные'!G105+'02_Данные'!H105+'02_Данные'!I105+'02_Данные'!J105+'02_Данные'!K105</f>
        <v/>
      </c>
      <c r="D105" s="10">
        <f>SUM('02_Данные'!L105:'02_Данные'!AY105)</f>
        <v/>
      </c>
      <c r="E105" s="10">
        <f>MAX(0,D105-C105)</f>
        <v/>
      </c>
      <c r="F105" s="15">
        <f>IF(E105&gt;0.0001,"ДЕФИЦИТ",IF(Y105&gt;0.0001,"ПРОФИЦИТ","БАЛАНС"))</f>
        <v/>
      </c>
      <c r="G105" s="10">
        <f>AB105+AS105+BJ105+CA105+CR105</f>
        <v/>
      </c>
      <c r="H105" s="10">
        <f>AD105+AU105+BL105+CC105+CT105</f>
        <v/>
      </c>
      <c r="I105" s="10">
        <f>AF105+AW105+BN105+CE105+CV105</f>
        <v/>
      </c>
      <c r="J105" s="10">
        <f>AL105+BC105+BT105+CK105+DB105</f>
        <v/>
      </c>
      <c r="K105" s="10">
        <f>AJ105+BA105+BR105+CI105+CZ105</f>
        <v/>
      </c>
      <c r="L105" s="10">
        <f>AN105+BE105+BV105+CM105+DD105</f>
        <v/>
      </c>
      <c r="M105" s="10">
        <f>AP105+BG105+BX105+CO105+DF105</f>
        <v/>
      </c>
      <c r="N105" s="10">
        <f>AH105+AY105+BP105+CG105+CX105</f>
        <v/>
      </c>
      <c r="O105" s="10">
        <f>SUM(G105:N105)</f>
        <v/>
      </c>
      <c r="P105" s="10">
        <f>IFERROR(G105*MIN(1,'01_Нормативы'!$C$4/SUM(G$2:G$429)),0)</f>
        <v/>
      </c>
      <c r="Q105" s="10">
        <f>IFERROR(H105*MIN(1,'01_Нормативы'!$C$5/SUM(H$2:H$429)),0)</f>
        <v/>
      </c>
      <c r="R105" s="10">
        <f>IFERROR(I105*MIN(1,'01_Нормативы'!$C$6/SUM(I$2:I$429)),0)</f>
        <v/>
      </c>
      <c r="S105" s="10">
        <f>IFERROR(J105*MIN(1,'01_Нормативы'!$C$7/SUM(J$2:J$429)),0)</f>
        <v/>
      </c>
      <c r="T105" s="10">
        <f>IFERROR(K105*MIN(1,'01_Нормативы'!$C$8/SUM(K$2:K$429)),0)</f>
        <v/>
      </c>
      <c r="U105" s="10">
        <f>IFERROR(L105*MIN(1,'01_Нормативы'!$C$9/SUM(L$2:L$429)),0)</f>
        <v/>
      </c>
      <c r="V105" s="10">
        <f>IFERROR(M105*MIN(1,'01_Нормативы'!$C$10/SUM(M$2:M$429)),0)</f>
        <v/>
      </c>
      <c r="W105" s="10">
        <f>IFERROR(N105*MIN(1,'01_Нормативы'!$C$11/SUM(N$2:N$429)),0)</f>
        <v/>
      </c>
      <c r="X105" s="10">
        <f>SUM(P105:W105)</f>
        <v/>
      </c>
      <c r="Y105" s="10">
        <f>MAX(0,C105-X105)</f>
        <v/>
      </c>
      <c r="Z105" s="10">
        <f>IF(D105=0,100,X105/D105*100)</f>
        <v/>
      </c>
      <c r="AA105" s="10">
        <f>'02_Данные'!F105+'02_Данные'!G105</f>
        <v/>
      </c>
      <c r="AB105" s="10">
        <f>MIN('02_Данные'!L105,AA105)</f>
        <v/>
      </c>
      <c r="AC105" s="10">
        <f>AA105-AB105</f>
        <v/>
      </c>
      <c r="AD105" s="10">
        <f>MIN('02_Данные'!M105,AC105)</f>
        <v/>
      </c>
      <c r="AE105" s="10">
        <f>AC105-AD105</f>
        <v/>
      </c>
      <c r="AF105" s="10">
        <f>MIN('02_Данные'!N105,AE105)</f>
        <v/>
      </c>
      <c r="AG105" s="10">
        <f>AE105-AF105</f>
        <v/>
      </c>
      <c r="AH105" s="10">
        <f>MIN('02_Данные'!S105,AG105)</f>
        <v/>
      </c>
      <c r="AI105" s="10">
        <f>AG105-AH105</f>
        <v/>
      </c>
      <c r="AJ105" s="10">
        <f>MIN('02_Данные'!P105,AI105)</f>
        <v/>
      </c>
      <c r="AK105" s="10">
        <f>AI105-AJ105</f>
        <v/>
      </c>
      <c r="AL105" s="10">
        <f>MIN('02_Данные'!O105,AK105)</f>
        <v/>
      </c>
      <c r="AM105" s="10">
        <f>AK105-AL105</f>
        <v/>
      </c>
      <c r="AN105" s="10">
        <f>MIN('02_Данные'!Q105,AM105)</f>
        <v/>
      </c>
      <c r="AO105" s="10">
        <f>AM105-AN105</f>
        <v/>
      </c>
      <c r="AP105" s="10">
        <f>MIN('02_Данные'!R105,AO105)</f>
        <v/>
      </c>
      <c r="AQ105" s="10">
        <f>AO105-AP105</f>
        <v/>
      </c>
      <c r="AR105" s="10">
        <f>AQ105+'02_Данные'!H105</f>
        <v/>
      </c>
      <c r="AS105" s="10">
        <f>MIN('02_Данные'!T105,AR105)</f>
        <v/>
      </c>
      <c r="AT105" s="10">
        <f>AR105-AS105</f>
        <v/>
      </c>
      <c r="AU105" s="10">
        <f>MIN('02_Данные'!U105,AT105)</f>
        <v/>
      </c>
      <c r="AV105" s="10">
        <f>AT105-AU105</f>
        <v/>
      </c>
      <c r="AW105" s="10">
        <f>MIN('02_Данные'!V105,AV105)</f>
        <v/>
      </c>
      <c r="AX105" s="10">
        <f>AV105-AW105</f>
        <v/>
      </c>
      <c r="AY105" s="10">
        <f>MIN('02_Данные'!AA105,AX105)</f>
        <v/>
      </c>
      <c r="AZ105" s="10">
        <f>AX105-AY105</f>
        <v/>
      </c>
      <c r="BA105" s="10">
        <f>MIN('02_Данные'!X105,AZ105)</f>
        <v/>
      </c>
      <c r="BB105" s="10">
        <f>AZ105-BA105</f>
        <v/>
      </c>
      <c r="BC105" s="10">
        <f>MIN('02_Данные'!W105,BB105)</f>
        <v/>
      </c>
      <c r="BD105" s="10">
        <f>BB105-BC105</f>
        <v/>
      </c>
      <c r="BE105" s="10">
        <f>MIN('02_Данные'!Y105,BD105)</f>
        <v/>
      </c>
      <c r="BF105" s="10">
        <f>BD105-BE105</f>
        <v/>
      </c>
      <c r="BG105" s="10">
        <f>MIN('02_Данные'!Z105,BF105)</f>
        <v/>
      </c>
      <c r="BH105" s="10">
        <f>BF105-BG105</f>
        <v/>
      </c>
      <c r="BI105" s="10">
        <f>BH105+'02_Данные'!I105</f>
        <v/>
      </c>
      <c r="BJ105" s="10">
        <f>MIN('02_Данные'!AB105,BI105)</f>
        <v/>
      </c>
      <c r="BK105" s="10">
        <f>BI105-BJ105</f>
        <v/>
      </c>
      <c r="BL105" s="10">
        <f>MIN('02_Данные'!AC105,BK105)</f>
        <v/>
      </c>
      <c r="BM105" s="10">
        <f>BK105-BL105</f>
        <v/>
      </c>
      <c r="BN105" s="10">
        <f>MIN('02_Данные'!AD105,BM105)</f>
        <v/>
      </c>
      <c r="BO105" s="10">
        <f>BM105-BN105</f>
        <v/>
      </c>
      <c r="BP105" s="10">
        <f>MIN('02_Данные'!AI105,BO105)</f>
        <v/>
      </c>
      <c r="BQ105" s="10">
        <f>BO105-BP105</f>
        <v/>
      </c>
      <c r="BR105" s="10">
        <f>MIN('02_Данные'!AF105,BQ105)</f>
        <v/>
      </c>
      <c r="BS105" s="10">
        <f>BQ105-BR105</f>
        <v/>
      </c>
      <c r="BT105" s="10">
        <f>MIN('02_Данные'!AE105,BS105)</f>
        <v/>
      </c>
      <c r="BU105" s="10">
        <f>BS105-BT105</f>
        <v/>
      </c>
      <c r="BV105" s="10">
        <f>MIN('02_Данные'!AG105,BU105)</f>
        <v/>
      </c>
      <c r="BW105" s="10">
        <f>BU105-BV105</f>
        <v/>
      </c>
      <c r="BX105" s="10">
        <f>MIN('02_Данные'!AH105,BW105)</f>
        <v/>
      </c>
      <c r="BY105" s="10">
        <f>BW105-BX105</f>
        <v/>
      </c>
      <c r="BZ105" s="10">
        <f>BY105+'02_Данные'!J105</f>
        <v/>
      </c>
      <c r="CA105" s="10">
        <f>MIN('02_Данные'!AJ105,BZ105)</f>
        <v/>
      </c>
      <c r="CB105" s="10">
        <f>BZ105-CA105</f>
        <v/>
      </c>
      <c r="CC105" s="10">
        <f>MIN('02_Данные'!AK105,CB105)</f>
        <v/>
      </c>
      <c r="CD105" s="10">
        <f>CB105-CC105</f>
        <v/>
      </c>
      <c r="CE105" s="10">
        <f>MIN('02_Данные'!AL105,CD105)</f>
        <v/>
      </c>
      <c r="CF105" s="10">
        <f>CD105-CE105</f>
        <v/>
      </c>
      <c r="CG105" s="10">
        <f>MIN('02_Данные'!AQ105,CF105)</f>
        <v/>
      </c>
      <c r="CH105" s="10">
        <f>CF105-CG105</f>
        <v/>
      </c>
      <c r="CI105" s="10">
        <f>MIN('02_Данные'!AN105,CH105)</f>
        <v/>
      </c>
      <c r="CJ105" s="10">
        <f>CH105-CI105</f>
        <v/>
      </c>
      <c r="CK105" s="10">
        <f>MIN('02_Данные'!AM105,CJ105)</f>
        <v/>
      </c>
      <c r="CL105" s="10">
        <f>CJ105-CK105</f>
        <v/>
      </c>
      <c r="CM105" s="10">
        <f>MIN('02_Данные'!AO105,CL105)</f>
        <v/>
      </c>
      <c r="CN105" s="10">
        <f>CL105-CM105</f>
        <v/>
      </c>
      <c r="CO105" s="10">
        <f>MIN('02_Данные'!AP105,CN105)</f>
        <v/>
      </c>
      <c r="CP105" s="10">
        <f>CN105-CO105</f>
        <v/>
      </c>
      <c r="CQ105" s="10">
        <f>CP105+'02_Данные'!K105</f>
        <v/>
      </c>
      <c r="CR105" s="10">
        <f>MIN('02_Данные'!AR105,CQ105)</f>
        <v/>
      </c>
      <c r="CS105" s="10">
        <f>CQ105-CR105</f>
        <v/>
      </c>
      <c r="CT105" s="10">
        <f>MIN('02_Данные'!AS105,CS105)</f>
        <v/>
      </c>
      <c r="CU105" s="10">
        <f>CS105-CT105</f>
        <v/>
      </c>
      <c r="CV105" s="10">
        <f>MIN('02_Данные'!AT105,CU105)</f>
        <v/>
      </c>
      <c r="CW105" s="10">
        <f>CU105-CV105</f>
        <v/>
      </c>
      <c r="CX105" s="10">
        <f>MIN('02_Данные'!AY105,CW105)</f>
        <v/>
      </c>
      <c r="CY105" s="10">
        <f>CW105-CX105</f>
        <v/>
      </c>
      <c r="CZ105" s="10">
        <f>MIN('02_Данные'!AV105,CY105)</f>
        <v/>
      </c>
      <c r="DA105" s="10">
        <f>CY105-CZ105</f>
        <v/>
      </c>
      <c r="DB105" s="10">
        <f>MIN('02_Данные'!AU105,DA105)</f>
        <v/>
      </c>
      <c r="DC105" s="10">
        <f>DA105-DB105</f>
        <v/>
      </c>
      <c r="DD105" s="10">
        <f>MIN('02_Данные'!AW105,DC105)</f>
        <v/>
      </c>
      <c r="DE105" s="10">
        <f>DC105-DD105</f>
        <v/>
      </c>
      <c r="DF105" s="10">
        <f>MIN('02_Данные'!AX105,DE105)</f>
        <v/>
      </c>
      <c r="DG105" s="10">
        <f>DE105-DF105</f>
        <v/>
      </c>
    </row>
    <row r="106">
      <c r="A106" s="9">
        <f>'02_Данные'!B106</f>
        <v/>
      </c>
      <c r="B106" s="9">
        <f>'02_Данные'!E106</f>
        <v/>
      </c>
      <c r="C106" s="10">
        <f>'02_Данные'!F106+'02_Данные'!G106+'02_Данные'!H106+'02_Данные'!I106+'02_Данные'!J106+'02_Данные'!K106</f>
        <v/>
      </c>
      <c r="D106" s="10">
        <f>SUM('02_Данные'!L106:'02_Данные'!AY106)</f>
        <v/>
      </c>
      <c r="E106" s="10">
        <f>MAX(0,D106-C106)</f>
        <v/>
      </c>
      <c r="F106" s="15">
        <f>IF(E106&gt;0.0001,"ДЕФИЦИТ",IF(Y106&gt;0.0001,"ПРОФИЦИТ","БАЛАНС"))</f>
        <v/>
      </c>
      <c r="G106" s="10">
        <f>AB106+AS106+BJ106+CA106+CR106</f>
        <v/>
      </c>
      <c r="H106" s="10">
        <f>AD106+AU106+BL106+CC106+CT106</f>
        <v/>
      </c>
      <c r="I106" s="10">
        <f>AF106+AW106+BN106+CE106+CV106</f>
        <v/>
      </c>
      <c r="J106" s="10">
        <f>AL106+BC106+BT106+CK106+DB106</f>
        <v/>
      </c>
      <c r="K106" s="10">
        <f>AJ106+BA106+BR106+CI106+CZ106</f>
        <v/>
      </c>
      <c r="L106" s="10">
        <f>AN106+BE106+BV106+CM106+DD106</f>
        <v/>
      </c>
      <c r="M106" s="10">
        <f>AP106+BG106+BX106+CO106+DF106</f>
        <v/>
      </c>
      <c r="N106" s="10">
        <f>AH106+AY106+BP106+CG106+CX106</f>
        <v/>
      </c>
      <c r="O106" s="10">
        <f>SUM(G106:N106)</f>
        <v/>
      </c>
      <c r="P106" s="10">
        <f>IFERROR(G106*MIN(1,'01_Нормативы'!$C$4/SUM(G$2:G$429)),0)</f>
        <v/>
      </c>
      <c r="Q106" s="10">
        <f>IFERROR(H106*MIN(1,'01_Нормативы'!$C$5/SUM(H$2:H$429)),0)</f>
        <v/>
      </c>
      <c r="R106" s="10">
        <f>IFERROR(I106*MIN(1,'01_Нормативы'!$C$6/SUM(I$2:I$429)),0)</f>
        <v/>
      </c>
      <c r="S106" s="10">
        <f>IFERROR(J106*MIN(1,'01_Нормативы'!$C$7/SUM(J$2:J$429)),0)</f>
        <v/>
      </c>
      <c r="T106" s="10">
        <f>IFERROR(K106*MIN(1,'01_Нормативы'!$C$8/SUM(K$2:K$429)),0)</f>
        <v/>
      </c>
      <c r="U106" s="10">
        <f>IFERROR(L106*MIN(1,'01_Нормативы'!$C$9/SUM(L$2:L$429)),0)</f>
        <v/>
      </c>
      <c r="V106" s="10">
        <f>IFERROR(M106*MIN(1,'01_Нормативы'!$C$10/SUM(M$2:M$429)),0)</f>
        <v/>
      </c>
      <c r="W106" s="10">
        <f>IFERROR(N106*MIN(1,'01_Нормативы'!$C$11/SUM(N$2:N$429)),0)</f>
        <v/>
      </c>
      <c r="X106" s="10">
        <f>SUM(P106:W106)</f>
        <v/>
      </c>
      <c r="Y106" s="10">
        <f>MAX(0,C106-X106)</f>
        <v/>
      </c>
      <c r="Z106" s="10">
        <f>IF(D106=0,100,X106/D106*100)</f>
        <v/>
      </c>
      <c r="AA106" s="10">
        <f>'02_Данные'!F106+'02_Данные'!G106</f>
        <v/>
      </c>
      <c r="AB106" s="10">
        <f>MIN('02_Данные'!L106,AA106)</f>
        <v/>
      </c>
      <c r="AC106" s="10">
        <f>AA106-AB106</f>
        <v/>
      </c>
      <c r="AD106" s="10">
        <f>MIN('02_Данные'!M106,AC106)</f>
        <v/>
      </c>
      <c r="AE106" s="10">
        <f>AC106-AD106</f>
        <v/>
      </c>
      <c r="AF106" s="10">
        <f>MIN('02_Данные'!N106,AE106)</f>
        <v/>
      </c>
      <c r="AG106" s="10">
        <f>AE106-AF106</f>
        <v/>
      </c>
      <c r="AH106" s="10">
        <f>MIN('02_Данные'!S106,AG106)</f>
        <v/>
      </c>
      <c r="AI106" s="10">
        <f>AG106-AH106</f>
        <v/>
      </c>
      <c r="AJ106" s="10">
        <f>MIN('02_Данные'!P106,AI106)</f>
        <v/>
      </c>
      <c r="AK106" s="10">
        <f>AI106-AJ106</f>
        <v/>
      </c>
      <c r="AL106" s="10">
        <f>MIN('02_Данные'!O106,AK106)</f>
        <v/>
      </c>
      <c r="AM106" s="10">
        <f>AK106-AL106</f>
        <v/>
      </c>
      <c r="AN106" s="10">
        <f>MIN('02_Данные'!Q106,AM106)</f>
        <v/>
      </c>
      <c r="AO106" s="10">
        <f>AM106-AN106</f>
        <v/>
      </c>
      <c r="AP106" s="10">
        <f>MIN('02_Данные'!R106,AO106)</f>
        <v/>
      </c>
      <c r="AQ106" s="10">
        <f>AO106-AP106</f>
        <v/>
      </c>
      <c r="AR106" s="10">
        <f>AQ106+'02_Данные'!H106</f>
        <v/>
      </c>
      <c r="AS106" s="10">
        <f>MIN('02_Данные'!T106,AR106)</f>
        <v/>
      </c>
      <c r="AT106" s="10">
        <f>AR106-AS106</f>
        <v/>
      </c>
      <c r="AU106" s="10">
        <f>MIN('02_Данные'!U106,AT106)</f>
        <v/>
      </c>
      <c r="AV106" s="10">
        <f>AT106-AU106</f>
        <v/>
      </c>
      <c r="AW106" s="10">
        <f>MIN('02_Данные'!V106,AV106)</f>
        <v/>
      </c>
      <c r="AX106" s="10">
        <f>AV106-AW106</f>
        <v/>
      </c>
      <c r="AY106" s="10">
        <f>MIN('02_Данные'!AA106,AX106)</f>
        <v/>
      </c>
      <c r="AZ106" s="10">
        <f>AX106-AY106</f>
        <v/>
      </c>
      <c r="BA106" s="10">
        <f>MIN('02_Данные'!X106,AZ106)</f>
        <v/>
      </c>
      <c r="BB106" s="10">
        <f>AZ106-BA106</f>
        <v/>
      </c>
      <c r="BC106" s="10">
        <f>MIN('02_Данные'!W106,BB106)</f>
        <v/>
      </c>
      <c r="BD106" s="10">
        <f>BB106-BC106</f>
        <v/>
      </c>
      <c r="BE106" s="10">
        <f>MIN('02_Данные'!Y106,BD106)</f>
        <v/>
      </c>
      <c r="BF106" s="10">
        <f>BD106-BE106</f>
        <v/>
      </c>
      <c r="BG106" s="10">
        <f>MIN('02_Данные'!Z106,BF106)</f>
        <v/>
      </c>
      <c r="BH106" s="10">
        <f>BF106-BG106</f>
        <v/>
      </c>
      <c r="BI106" s="10">
        <f>BH106+'02_Данные'!I106</f>
        <v/>
      </c>
      <c r="BJ106" s="10">
        <f>MIN('02_Данные'!AB106,BI106)</f>
        <v/>
      </c>
      <c r="BK106" s="10">
        <f>BI106-BJ106</f>
        <v/>
      </c>
      <c r="BL106" s="10">
        <f>MIN('02_Данные'!AC106,BK106)</f>
        <v/>
      </c>
      <c r="BM106" s="10">
        <f>BK106-BL106</f>
        <v/>
      </c>
      <c r="BN106" s="10">
        <f>MIN('02_Данные'!AD106,BM106)</f>
        <v/>
      </c>
      <c r="BO106" s="10">
        <f>BM106-BN106</f>
        <v/>
      </c>
      <c r="BP106" s="10">
        <f>MIN('02_Данные'!AI106,BO106)</f>
        <v/>
      </c>
      <c r="BQ106" s="10">
        <f>BO106-BP106</f>
        <v/>
      </c>
      <c r="BR106" s="10">
        <f>MIN('02_Данные'!AF106,BQ106)</f>
        <v/>
      </c>
      <c r="BS106" s="10">
        <f>BQ106-BR106</f>
        <v/>
      </c>
      <c r="BT106" s="10">
        <f>MIN('02_Данные'!AE106,BS106)</f>
        <v/>
      </c>
      <c r="BU106" s="10">
        <f>BS106-BT106</f>
        <v/>
      </c>
      <c r="BV106" s="10">
        <f>MIN('02_Данные'!AG106,BU106)</f>
        <v/>
      </c>
      <c r="BW106" s="10">
        <f>BU106-BV106</f>
        <v/>
      </c>
      <c r="BX106" s="10">
        <f>MIN('02_Данные'!AH106,BW106)</f>
        <v/>
      </c>
      <c r="BY106" s="10">
        <f>BW106-BX106</f>
        <v/>
      </c>
      <c r="BZ106" s="10">
        <f>BY106+'02_Данные'!J106</f>
        <v/>
      </c>
      <c r="CA106" s="10">
        <f>MIN('02_Данные'!AJ106,BZ106)</f>
        <v/>
      </c>
      <c r="CB106" s="10">
        <f>BZ106-CA106</f>
        <v/>
      </c>
      <c r="CC106" s="10">
        <f>MIN('02_Данные'!AK106,CB106)</f>
        <v/>
      </c>
      <c r="CD106" s="10">
        <f>CB106-CC106</f>
        <v/>
      </c>
      <c r="CE106" s="10">
        <f>MIN('02_Данные'!AL106,CD106)</f>
        <v/>
      </c>
      <c r="CF106" s="10">
        <f>CD106-CE106</f>
        <v/>
      </c>
      <c r="CG106" s="10">
        <f>MIN('02_Данные'!AQ106,CF106)</f>
        <v/>
      </c>
      <c r="CH106" s="10">
        <f>CF106-CG106</f>
        <v/>
      </c>
      <c r="CI106" s="10">
        <f>MIN('02_Данные'!AN106,CH106)</f>
        <v/>
      </c>
      <c r="CJ106" s="10">
        <f>CH106-CI106</f>
        <v/>
      </c>
      <c r="CK106" s="10">
        <f>MIN('02_Данные'!AM106,CJ106)</f>
        <v/>
      </c>
      <c r="CL106" s="10">
        <f>CJ106-CK106</f>
        <v/>
      </c>
      <c r="CM106" s="10">
        <f>MIN('02_Данные'!AO106,CL106)</f>
        <v/>
      </c>
      <c r="CN106" s="10">
        <f>CL106-CM106</f>
        <v/>
      </c>
      <c r="CO106" s="10">
        <f>MIN('02_Данные'!AP106,CN106)</f>
        <v/>
      </c>
      <c r="CP106" s="10">
        <f>CN106-CO106</f>
        <v/>
      </c>
      <c r="CQ106" s="10">
        <f>CP106+'02_Данные'!K106</f>
        <v/>
      </c>
      <c r="CR106" s="10">
        <f>MIN('02_Данные'!AR106,CQ106)</f>
        <v/>
      </c>
      <c r="CS106" s="10">
        <f>CQ106-CR106</f>
        <v/>
      </c>
      <c r="CT106" s="10">
        <f>MIN('02_Данные'!AS106,CS106)</f>
        <v/>
      </c>
      <c r="CU106" s="10">
        <f>CS106-CT106</f>
        <v/>
      </c>
      <c r="CV106" s="10">
        <f>MIN('02_Данные'!AT106,CU106)</f>
        <v/>
      </c>
      <c r="CW106" s="10">
        <f>CU106-CV106</f>
        <v/>
      </c>
      <c r="CX106" s="10">
        <f>MIN('02_Данные'!AY106,CW106)</f>
        <v/>
      </c>
      <c r="CY106" s="10">
        <f>CW106-CX106</f>
        <v/>
      </c>
      <c r="CZ106" s="10">
        <f>MIN('02_Данные'!AV106,CY106)</f>
        <v/>
      </c>
      <c r="DA106" s="10">
        <f>CY106-CZ106</f>
        <v/>
      </c>
      <c r="DB106" s="10">
        <f>MIN('02_Данные'!AU106,DA106)</f>
        <v/>
      </c>
      <c r="DC106" s="10">
        <f>DA106-DB106</f>
        <v/>
      </c>
      <c r="DD106" s="10">
        <f>MIN('02_Данные'!AW106,DC106)</f>
        <v/>
      </c>
      <c r="DE106" s="10">
        <f>DC106-DD106</f>
        <v/>
      </c>
      <c r="DF106" s="10">
        <f>MIN('02_Данные'!AX106,DE106)</f>
        <v/>
      </c>
      <c r="DG106" s="10">
        <f>DE106-DF106</f>
        <v/>
      </c>
    </row>
    <row r="107">
      <c r="A107" s="9">
        <f>'02_Данные'!B107</f>
        <v/>
      </c>
      <c r="B107" s="9">
        <f>'02_Данные'!E107</f>
        <v/>
      </c>
      <c r="C107" s="10">
        <f>'02_Данные'!F107+'02_Данные'!G107+'02_Данные'!H107+'02_Данные'!I107+'02_Данные'!J107+'02_Данные'!K107</f>
        <v/>
      </c>
      <c r="D107" s="10">
        <f>SUM('02_Данные'!L107:'02_Данные'!AY107)</f>
        <v/>
      </c>
      <c r="E107" s="10">
        <f>MAX(0,D107-C107)</f>
        <v/>
      </c>
      <c r="F107" s="15">
        <f>IF(E107&gt;0.0001,"ДЕФИЦИТ",IF(Y107&gt;0.0001,"ПРОФИЦИТ","БАЛАНС"))</f>
        <v/>
      </c>
      <c r="G107" s="10">
        <f>AB107+AS107+BJ107+CA107+CR107</f>
        <v/>
      </c>
      <c r="H107" s="10">
        <f>AD107+AU107+BL107+CC107+CT107</f>
        <v/>
      </c>
      <c r="I107" s="10">
        <f>AF107+AW107+BN107+CE107+CV107</f>
        <v/>
      </c>
      <c r="J107" s="10">
        <f>AL107+BC107+BT107+CK107+DB107</f>
        <v/>
      </c>
      <c r="K107" s="10">
        <f>AJ107+BA107+BR107+CI107+CZ107</f>
        <v/>
      </c>
      <c r="L107" s="10">
        <f>AN107+BE107+BV107+CM107+DD107</f>
        <v/>
      </c>
      <c r="M107" s="10">
        <f>AP107+BG107+BX107+CO107+DF107</f>
        <v/>
      </c>
      <c r="N107" s="10">
        <f>AH107+AY107+BP107+CG107+CX107</f>
        <v/>
      </c>
      <c r="O107" s="10">
        <f>SUM(G107:N107)</f>
        <v/>
      </c>
      <c r="P107" s="10">
        <f>IFERROR(G107*MIN(1,'01_Нормативы'!$C$4/SUM(G$2:G$429)),0)</f>
        <v/>
      </c>
      <c r="Q107" s="10">
        <f>IFERROR(H107*MIN(1,'01_Нормативы'!$C$5/SUM(H$2:H$429)),0)</f>
        <v/>
      </c>
      <c r="R107" s="10">
        <f>IFERROR(I107*MIN(1,'01_Нормативы'!$C$6/SUM(I$2:I$429)),0)</f>
        <v/>
      </c>
      <c r="S107" s="10">
        <f>IFERROR(J107*MIN(1,'01_Нормативы'!$C$7/SUM(J$2:J$429)),0)</f>
        <v/>
      </c>
      <c r="T107" s="10">
        <f>IFERROR(K107*MIN(1,'01_Нормативы'!$C$8/SUM(K$2:K$429)),0)</f>
        <v/>
      </c>
      <c r="U107" s="10">
        <f>IFERROR(L107*MIN(1,'01_Нормативы'!$C$9/SUM(L$2:L$429)),0)</f>
        <v/>
      </c>
      <c r="V107" s="10">
        <f>IFERROR(M107*MIN(1,'01_Нормативы'!$C$10/SUM(M$2:M$429)),0)</f>
        <v/>
      </c>
      <c r="W107" s="10">
        <f>IFERROR(N107*MIN(1,'01_Нормативы'!$C$11/SUM(N$2:N$429)),0)</f>
        <v/>
      </c>
      <c r="X107" s="10">
        <f>SUM(P107:W107)</f>
        <v/>
      </c>
      <c r="Y107" s="10">
        <f>MAX(0,C107-X107)</f>
        <v/>
      </c>
      <c r="Z107" s="10">
        <f>IF(D107=0,100,X107/D107*100)</f>
        <v/>
      </c>
      <c r="AA107" s="10">
        <f>'02_Данные'!F107+'02_Данные'!G107</f>
        <v/>
      </c>
      <c r="AB107" s="10">
        <f>MIN('02_Данные'!L107,AA107)</f>
        <v/>
      </c>
      <c r="AC107" s="10">
        <f>AA107-AB107</f>
        <v/>
      </c>
      <c r="AD107" s="10">
        <f>MIN('02_Данные'!M107,AC107)</f>
        <v/>
      </c>
      <c r="AE107" s="10">
        <f>AC107-AD107</f>
        <v/>
      </c>
      <c r="AF107" s="10">
        <f>MIN('02_Данные'!N107,AE107)</f>
        <v/>
      </c>
      <c r="AG107" s="10">
        <f>AE107-AF107</f>
        <v/>
      </c>
      <c r="AH107" s="10">
        <f>MIN('02_Данные'!S107,AG107)</f>
        <v/>
      </c>
      <c r="AI107" s="10">
        <f>AG107-AH107</f>
        <v/>
      </c>
      <c r="AJ107" s="10">
        <f>MIN('02_Данные'!P107,AI107)</f>
        <v/>
      </c>
      <c r="AK107" s="10">
        <f>AI107-AJ107</f>
        <v/>
      </c>
      <c r="AL107" s="10">
        <f>MIN('02_Данные'!O107,AK107)</f>
        <v/>
      </c>
      <c r="AM107" s="10">
        <f>AK107-AL107</f>
        <v/>
      </c>
      <c r="AN107" s="10">
        <f>MIN('02_Данные'!Q107,AM107)</f>
        <v/>
      </c>
      <c r="AO107" s="10">
        <f>AM107-AN107</f>
        <v/>
      </c>
      <c r="AP107" s="10">
        <f>MIN('02_Данные'!R107,AO107)</f>
        <v/>
      </c>
      <c r="AQ107" s="10">
        <f>AO107-AP107</f>
        <v/>
      </c>
      <c r="AR107" s="10">
        <f>AQ107+'02_Данные'!H107</f>
        <v/>
      </c>
      <c r="AS107" s="10">
        <f>MIN('02_Данные'!T107,AR107)</f>
        <v/>
      </c>
      <c r="AT107" s="10">
        <f>AR107-AS107</f>
        <v/>
      </c>
      <c r="AU107" s="10">
        <f>MIN('02_Данные'!U107,AT107)</f>
        <v/>
      </c>
      <c r="AV107" s="10">
        <f>AT107-AU107</f>
        <v/>
      </c>
      <c r="AW107" s="10">
        <f>MIN('02_Данные'!V107,AV107)</f>
        <v/>
      </c>
      <c r="AX107" s="10">
        <f>AV107-AW107</f>
        <v/>
      </c>
      <c r="AY107" s="10">
        <f>MIN('02_Данные'!AA107,AX107)</f>
        <v/>
      </c>
      <c r="AZ107" s="10">
        <f>AX107-AY107</f>
        <v/>
      </c>
      <c r="BA107" s="10">
        <f>MIN('02_Данные'!X107,AZ107)</f>
        <v/>
      </c>
      <c r="BB107" s="10">
        <f>AZ107-BA107</f>
        <v/>
      </c>
      <c r="BC107" s="10">
        <f>MIN('02_Данные'!W107,BB107)</f>
        <v/>
      </c>
      <c r="BD107" s="10">
        <f>BB107-BC107</f>
        <v/>
      </c>
      <c r="BE107" s="10">
        <f>MIN('02_Данные'!Y107,BD107)</f>
        <v/>
      </c>
      <c r="BF107" s="10">
        <f>BD107-BE107</f>
        <v/>
      </c>
      <c r="BG107" s="10">
        <f>MIN('02_Данные'!Z107,BF107)</f>
        <v/>
      </c>
      <c r="BH107" s="10">
        <f>BF107-BG107</f>
        <v/>
      </c>
      <c r="BI107" s="10">
        <f>BH107+'02_Данные'!I107</f>
        <v/>
      </c>
      <c r="BJ107" s="10">
        <f>MIN('02_Данные'!AB107,BI107)</f>
        <v/>
      </c>
      <c r="BK107" s="10">
        <f>BI107-BJ107</f>
        <v/>
      </c>
      <c r="BL107" s="10">
        <f>MIN('02_Данные'!AC107,BK107)</f>
        <v/>
      </c>
      <c r="BM107" s="10">
        <f>BK107-BL107</f>
        <v/>
      </c>
      <c r="BN107" s="10">
        <f>MIN('02_Данные'!AD107,BM107)</f>
        <v/>
      </c>
      <c r="BO107" s="10">
        <f>BM107-BN107</f>
        <v/>
      </c>
      <c r="BP107" s="10">
        <f>MIN('02_Данные'!AI107,BO107)</f>
        <v/>
      </c>
      <c r="BQ107" s="10">
        <f>BO107-BP107</f>
        <v/>
      </c>
      <c r="BR107" s="10">
        <f>MIN('02_Данные'!AF107,BQ107)</f>
        <v/>
      </c>
      <c r="BS107" s="10">
        <f>BQ107-BR107</f>
        <v/>
      </c>
      <c r="BT107" s="10">
        <f>MIN('02_Данные'!AE107,BS107)</f>
        <v/>
      </c>
      <c r="BU107" s="10">
        <f>BS107-BT107</f>
        <v/>
      </c>
      <c r="BV107" s="10">
        <f>MIN('02_Данные'!AG107,BU107)</f>
        <v/>
      </c>
      <c r="BW107" s="10">
        <f>BU107-BV107</f>
        <v/>
      </c>
      <c r="BX107" s="10">
        <f>MIN('02_Данные'!AH107,BW107)</f>
        <v/>
      </c>
      <c r="BY107" s="10">
        <f>BW107-BX107</f>
        <v/>
      </c>
      <c r="BZ107" s="10">
        <f>BY107+'02_Данные'!J107</f>
        <v/>
      </c>
      <c r="CA107" s="10">
        <f>MIN('02_Данные'!AJ107,BZ107)</f>
        <v/>
      </c>
      <c r="CB107" s="10">
        <f>BZ107-CA107</f>
        <v/>
      </c>
      <c r="CC107" s="10">
        <f>MIN('02_Данные'!AK107,CB107)</f>
        <v/>
      </c>
      <c r="CD107" s="10">
        <f>CB107-CC107</f>
        <v/>
      </c>
      <c r="CE107" s="10">
        <f>MIN('02_Данные'!AL107,CD107)</f>
        <v/>
      </c>
      <c r="CF107" s="10">
        <f>CD107-CE107</f>
        <v/>
      </c>
      <c r="CG107" s="10">
        <f>MIN('02_Данные'!AQ107,CF107)</f>
        <v/>
      </c>
      <c r="CH107" s="10">
        <f>CF107-CG107</f>
        <v/>
      </c>
      <c r="CI107" s="10">
        <f>MIN('02_Данные'!AN107,CH107)</f>
        <v/>
      </c>
      <c r="CJ107" s="10">
        <f>CH107-CI107</f>
        <v/>
      </c>
      <c r="CK107" s="10">
        <f>MIN('02_Данные'!AM107,CJ107)</f>
        <v/>
      </c>
      <c r="CL107" s="10">
        <f>CJ107-CK107</f>
        <v/>
      </c>
      <c r="CM107" s="10">
        <f>MIN('02_Данные'!AO107,CL107)</f>
        <v/>
      </c>
      <c r="CN107" s="10">
        <f>CL107-CM107</f>
        <v/>
      </c>
      <c r="CO107" s="10">
        <f>MIN('02_Данные'!AP107,CN107)</f>
        <v/>
      </c>
      <c r="CP107" s="10">
        <f>CN107-CO107</f>
        <v/>
      </c>
      <c r="CQ107" s="10">
        <f>CP107+'02_Данные'!K107</f>
        <v/>
      </c>
      <c r="CR107" s="10">
        <f>MIN('02_Данные'!AR107,CQ107)</f>
        <v/>
      </c>
      <c r="CS107" s="10">
        <f>CQ107-CR107</f>
        <v/>
      </c>
      <c r="CT107" s="10">
        <f>MIN('02_Данные'!AS107,CS107)</f>
        <v/>
      </c>
      <c r="CU107" s="10">
        <f>CS107-CT107</f>
        <v/>
      </c>
      <c r="CV107" s="10">
        <f>MIN('02_Данные'!AT107,CU107)</f>
        <v/>
      </c>
      <c r="CW107" s="10">
        <f>CU107-CV107</f>
        <v/>
      </c>
      <c r="CX107" s="10">
        <f>MIN('02_Данные'!AY107,CW107)</f>
        <v/>
      </c>
      <c r="CY107" s="10">
        <f>CW107-CX107</f>
        <v/>
      </c>
      <c r="CZ107" s="10">
        <f>MIN('02_Данные'!AV107,CY107)</f>
        <v/>
      </c>
      <c r="DA107" s="10">
        <f>CY107-CZ107</f>
        <v/>
      </c>
      <c r="DB107" s="10">
        <f>MIN('02_Данные'!AU107,DA107)</f>
        <v/>
      </c>
      <c r="DC107" s="10">
        <f>DA107-DB107</f>
        <v/>
      </c>
      <c r="DD107" s="10">
        <f>MIN('02_Данные'!AW107,DC107)</f>
        <v/>
      </c>
      <c r="DE107" s="10">
        <f>DC107-DD107</f>
        <v/>
      </c>
      <c r="DF107" s="10">
        <f>MIN('02_Данные'!AX107,DE107)</f>
        <v/>
      </c>
      <c r="DG107" s="10">
        <f>DE107-DF107</f>
        <v/>
      </c>
    </row>
    <row r="108">
      <c r="A108" s="9">
        <f>'02_Данные'!B108</f>
        <v/>
      </c>
      <c r="B108" s="9">
        <f>'02_Данные'!E108</f>
        <v/>
      </c>
      <c r="C108" s="10">
        <f>'02_Данные'!F108+'02_Данные'!G108+'02_Данные'!H108+'02_Данные'!I108+'02_Данные'!J108+'02_Данные'!K108</f>
        <v/>
      </c>
      <c r="D108" s="10">
        <f>SUM('02_Данные'!L108:'02_Данные'!AY108)</f>
        <v/>
      </c>
      <c r="E108" s="10">
        <f>MAX(0,D108-C108)</f>
        <v/>
      </c>
      <c r="F108" s="15">
        <f>IF(E108&gt;0.0001,"ДЕФИЦИТ",IF(Y108&gt;0.0001,"ПРОФИЦИТ","БАЛАНС"))</f>
        <v/>
      </c>
      <c r="G108" s="10">
        <f>AB108+AS108+BJ108+CA108+CR108</f>
        <v/>
      </c>
      <c r="H108" s="10">
        <f>AD108+AU108+BL108+CC108+CT108</f>
        <v/>
      </c>
      <c r="I108" s="10">
        <f>AF108+AW108+BN108+CE108+CV108</f>
        <v/>
      </c>
      <c r="J108" s="10">
        <f>AL108+BC108+BT108+CK108+DB108</f>
        <v/>
      </c>
      <c r="K108" s="10">
        <f>AJ108+BA108+BR108+CI108+CZ108</f>
        <v/>
      </c>
      <c r="L108" s="10">
        <f>AN108+BE108+BV108+CM108+DD108</f>
        <v/>
      </c>
      <c r="M108" s="10">
        <f>AP108+BG108+BX108+CO108+DF108</f>
        <v/>
      </c>
      <c r="N108" s="10">
        <f>AH108+AY108+BP108+CG108+CX108</f>
        <v/>
      </c>
      <c r="O108" s="10">
        <f>SUM(G108:N108)</f>
        <v/>
      </c>
      <c r="P108" s="10">
        <f>IFERROR(G108*MIN(1,'01_Нормативы'!$C$4/SUM(G$2:G$429)),0)</f>
        <v/>
      </c>
      <c r="Q108" s="10">
        <f>IFERROR(H108*MIN(1,'01_Нормативы'!$C$5/SUM(H$2:H$429)),0)</f>
        <v/>
      </c>
      <c r="R108" s="10">
        <f>IFERROR(I108*MIN(1,'01_Нормативы'!$C$6/SUM(I$2:I$429)),0)</f>
        <v/>
      </c>
      <c r="S108" s="10">
        <f>IFERROR(J108*MIN(1,'01_Нормативы'!$C$7/SUM(J$2:J$429)),0)</f>
        <v/>
      </c>
      <c r="T108" s="10">
        <f>IFERROR(K108*MIN(1,'01_Нормативы'!$C$8/SUM(K$2:K$429)),0)</f>
        <v/>
      </c>
      <c r="U108" s="10">
        <f>IFERROR(L108*MIN(1,'01_Нормативы'!$C$9/SUM(L$2:L$429)),0)</f>
        <v/>
      </c>
      <c r="V108" s="10">
        <f>IFERROR(M108*MIN(1,'01_Нормативы'!$C$10/SUM(M$2:M$429)),0)</f>
        <v/>
      </c>
      <c r="W108" s="10">
        <f>IFERROR(N108*MIN(1,'01_Нормативы'!$C$11/SUM(N$2:N$429)),0)</f>
        <v/>
      </c>
      <c r="X108" s="10">
        <f>SUM(P108:W108)</f>
        <v/>
      </c>
      <c r="Y108" s="10">
        <f>MAX(0,C108-X108)</f>
        <v/>
      </c>
      <c r="Z108" s="10">
        <f>IF(D108=0,100,X108/D108*100)</f>
        <v/>
      </c>
      <c r="AA108" s="10">
        <f>'02_Данные'!F108+'02_Данные'!G108</f>
        <v/>
      </c>
      <c r="AB108" s="10">
        <f>MIN('02_Данные'!L108,AA108)</f>
        <v/>
      </c>
      <c r="AC108" s="10">
        <f>AA108-AB108</f>
        <v/>
      </c>
      <c r="AD108" s="10">
        <f>MIN('02_Данные'!M108,AC108)</f>
        <v/>
      </c>
      <c r="AE108" s="10">
        <f>AC108-AD108</f>
        <v/>
      </c>
      <c r="AF108" s="10">
        <f>MIN('02_Данные'!N108,AE108)</f>
        <v/>
      </c>
      <c r="AG108" s="10">
        <f>AE108-AF108</f>
        <v/>
      </c>
      <c r="AH108" s="10">
        <f>MIN('02_Данные'!S108,AG108)</f>
        <v/>
      </c>
      <c r="AI108" s="10">
        <f>AG108-AH108</f>
        <v/>
      </c>
      <c r="AJ108" s="10">
        <f>MIN('02_Данные'!P108,AI108)</f>
        <v/>
      </c>
      <c r="AK108" s="10">
        <f>AI108-AJ108</f>
        <v/>
      </c>
      <c r="AL108" s="10">
        <f>MIN('02_Данные'!O108,AK108)</f>
        <v/>
      </c>
      <c r="AM108" s="10">
        <f>AK108-AL108</f>
        <v/>
      </c>
      <c r="AN108" s="10">
        <f>MIN('02_Данные'!Q108,AM108)</f>
        <v/>
      </c>
      <c r="AO108" s="10">
        <f>AM108-AN108</f>
        <v/>
      </c>
      <c r="AP108" s="10">
        <f>MIN('02_Данные'!R108,AO108)</f>
        <v/>
      </c>
      <c r="AQ108" s="10">
        <f>AO108-AP108</f>
        <v/>
      </c>
      <c r="AR108" s="10">
        <f>AQ108+'02_Данные'!H108</f>
        <v/>
      </c>
      <c r="AS108" s="10">
        <f>MIN('02_Данные'!T108,AR108)</f>
        <v/>
      </c>
      <c r="AT108" s="10">
        <f>AR108-AS108</f>
        <v/>
      </c>
      <c r="AU108" s="10">
        <f>MIN('02_Данные'!U108,AT108)</f>
        <v/>
      </c>
      <c r="AV108" s="10">
        <f>AT108-AU108</f>
        <v/>
      </c>
      <c r="AW108" s="10">
        <f>MIN('02_Данные'!V108,AV108)</f>
        <v/>
      </c>
      <c r="AX108" s="10">
        <f>AV108-AW108</f>
        <v/>
      </c>
      <c r="AY108" s="10">
        <f>MIN('02_Данные'!AA108,AX108)</f>
        <v/>
      </c>
      <c r="AZ108" s="10">
        <f>AX108-AY108</f>
        <v/>
      </c>
      <c r="BA108" s="10">
        <f>MIN('02_Данные'!X108,AZ108)</f>
        <v/>
      </c>
      <c r="BB108" s="10">
        <f>AZ108-BA108</f>
        <v/>
      </c>
      <c r="BC108" s="10">
        <f>MIN('02_Данные'!W108,BB108)</f>
        <v/>
      </c>
      <c r="BD108" s="10">
        <f>BB108-BC108</f>
        <v/>
      </c>
      <c r="BE108" s="10">
        <f>MIN('02_Данные'!Y108,BD108)</f>
        <v/>
      </c>
      <c r="BF108" s="10">
        <f>BD108-BE108</f>
        <v/>
      </c>
      <c r="BG108" s="10">
        <f>MIN('02_Данные'!Z108,BF108)</f>
        <v/>
      </c>
      <c r="BH108" s="10">
        <f>BF108-BG108</f>
        <v/>
      </c>
      <c r="BI108" s="10">
        <f>BH108+'02_Данные'!I108</f>
        <v/>
      </c>
      <c r="BJ108" s="10">
        <f>MIN('02_Данные'!AB108,BI108)</f>
        <v/>
      </c>
      <c r="BK108" s="10">
        <f>BI108-BJ108</f>
        <v/>
      </c>
      <c r="BL108" s="10">
        <f>MIN('02_Данные'!AC108,BK108)</f>
        <v/>
      </c>
      <c r="BM108" s="10">
        <f>BK108-BL108</f>
        <v/>
      </c>
      <c r="BN108" s="10">
        <f>MIN('02_Данные'!AD108,BM108)</f>
        <v/>
      </c>
      <c r="BO108" s="10">
        <f>BM108-BN108</f>
        <v/>
      </c>
      <c r="BP108" s="10">
        <f>MIN('02_Данные'!AI108,BO108)</f>
        <v/>
      </c>
      <c r="BQ108" s="10">
        <f>BO108-BP108</f>
        <v/>
      </c>
      <c r="BR108" s="10">
        <f>MIN('02_Данные'!AF108,BQ108)</f>
        <v/>
      </c>
      <c r="BS108" s="10">
        <f>BQ108-BR108</f>
        <v/>
      </c>
      <c r="BT108" s="10">
        <f>MIN('02_Данные'!AE108,BS108)</f>
        <v/>
      </c>
      <c r="BU108" s="10">
        <f>BS108-BT108</f>
        <v/>
      </c>
      <c r="BV108" s="10">
        <f>MIN('02_Данные'!AG108,BU108)</f>
        <v/>
      </c>
      <c r="BW108" s="10">
        <f>BU108-BV108</f>
        <v/>
      </c>
      <c r="BX108" s="10">
        <f>MIN('02_Данные'!AH108,BW108)</f>
        <v/>
      </c>
      <c r="BY108" s="10">
        <f>BW108-BX108</f>
        <v/>
      </c>
      <c r="BZ108" s="10">
        <f>BY108+'02_Данные'!J108</f>
        <v/>
      </c>
      <c r="CA108" s="10">
        <f>MIN('02_Данные'!AJ108,BZ108)</f>
        <v/>
      </c>
      <c r="CB108" s="10">
        <f>BZ108-CA108</f>
        <v/>
      </c>
      <c r="CC108" s="10">
        <f>MIN('02_Данные'!AK108,CB108)</f>
        <v/>
      </c>
      <c r="CD108" s="10">
        <f>CB108-CC108</f>
        <v/>
      </c>
      <c r="CE108" s="10">
        <f>MIN('02_Данные'!AL108,CD108)</f>
        <v/>
      </c>
      <c r="CF108" s="10">
        <f>CD108-CE108</f>
        <v/>
      </c>
      <c r="CG108" s="10">
        <f>MIN('02_Данные'!AQ108,CF108)</f>
        <v/>
      </c>
      <c r="CH108" s="10">
        <f>CF108-CG108</f>
        <v/>
      </c>
      <c r="CI108" s="10">
        <f>MIN('02_Данные'!AN108,CH108)</f>
        <v/>
      </c>
      <c r="CJ108" s="10">
        <f>CH108-CI108</f>
        <v/>
      </c>
      <c r="CK108" s="10">
        <f>MIN('02_Данные'!AM108,CJ108)</f>
        <v/>
      </c>
      <c r="CL108" s="10">
        <f>CJ108-CK108</f>
        <v/>
      </c>
      <c r="CM108" s="10">
        <f>MIN('02_Данные'!AO108,CL108)</f>
        <v/>
      </c>
      <c r="CN108" s="10">
        <f>CL108-CM108</f>
        <v/>
      </c>
      <c r="CO108" s="10">
        <f>MIN('02_Данные'!AP108,CN108)</f>
        <v/>
      </c>
      <c r="CP108" s="10">
        <f>CN108-CO108</f>
        <v/>
      </c>
      <c r="CQ108" s="10">
        <f>CP108+'02_Данные'!K108</f>
        <v/>
      </c>
      <c r="CR108" s="10">
        <f>MIN('02_Данные'!AR108,CQ108)</f>
        <v/>
      </c>
      <c r="CS108" s="10">
        <f>CQ108-CR108</f>
        <v/>
      </c>
      <c r="CT108" s="10">
        <f>MIN('02_Данные'!AS108,CS108)</f>
        <v/>
      </c>
      <c r="CU108" s="10">
        <f>CS108-CT108</f>
        <v/>
      </c>
      <c r="CV108" s="10">
        <f>MIN('02_Данные'!AT108,CU108)</f>
        <v/>
      </c>
      <c r="CW108" s="10">
        <f>CU108-CV108</f>
        <v/>
      </c>
      <c r="CX108" s="10">
        <f>MIN('02_Данные'!AY108,CW108)</f>
        <v/>
      </c>
      <c r="CY108" s="10">
        <f>CW108-CX108</f>
        <v/>
      </c>
      <c r="CZ108" s="10">
        <f>MIN('02_Данные'!AV108,CY108)</f>
        <v/>
      </c>
      <c r="DA108" s="10">
        <f>CY108-CZ108</f>
        <v/>
      </c>
      <c r="DB108" s="10">
        <f>MIN('02_Данные'!AU108,DA108)</f>
        <v/>
      </c>
      <c r="DC108" s="10">
        <f>DA108-DB108</f>
        <v/>
      </c>
      <c r="DD108" s="10">
        <f>MIN('02_Данные'!AW108,DC108)</f>
        <v/>
      </c>
      <c r="DE108" s="10">
        <f>DC108-DD108</f>
        <v/>
      </c>
      <c r="DF108" s="10">
        <f>MIN('02_Данные'!AX108,DE108)</f>
        <v/>
      </c>
      <c r="DG108" s="10">
        <f>DE108-DF108</f>
        <v/>
      </c>
    </row>
    <row r="109">
      <c r="A109" s="9">
        <f>'02_Данные'!B109</f>
        <v/>
      </c>
      <c r="B109" s="9">
        <f>'02_Данные'!E109</f>
        <v/>
      </c>
      <c r="C109" s="10">
        <f>'02_Данные'!F109+'02_Данные'!G109+'02_Данные'!H109+'02_Данные'!I109+'02_Данные'!J109+'02_Данные'!K109</f>
        <v/>
      </c>
      <c r="D109" s="10">
        <f>SUM('02_Данные'!L109:'02_Данные'!AY109)</f>
        <v/>
      </c>
      <c r="E109" s="10">
        <f>MAX(0,D109-C109)</f>
        <v/>
      </c>
      <c r="F109" s="15">
        <f>IF(E109&gt;0.0001,"ДЕФИЦИТ",IF(Y109&gt;0.0001,"ПРОФИЦИТ","БАЛАНС"))</f>
        <v/>
      </c>
      <c r="G109" s="10">
        <f>AB109+AS109+BJ109+CA109+CR109</f>
        <v/>
      </c>
      <c r="H109" s="10">
        <f>AD109+AU109+BL109+CC109+CT109</f>
        <v/>
      </c>
      <c r="I109" s="10">
        <f>AF109+AW109+BN109+CE109+CV109</f>
        <v/>
      </c>
      <c r="J109" s="10">
        <f>AL109+BC109+BT109+CK109+DB109</f>
        <v/>
      </c>
      <c r="K109" s="10">
        <f>AJ109+BA109+BR109+CI109+CZ109</f>
        <v/>
      </c>
      <c r="L109" s="10">
        <f>AN109+BE109+BV109+CM109+DD109</f>
        <v/>
      </c>
      <c r="M109" s="10">
        <f>AP109+BG109+BX109+CO109+DF109</f>
        <v/>
      </c>
      <c r="N109" s="10">
        <f>AH109+AY109+BP109+CG109+CX109</f>
        <v/>
      </c>
      <c r="O109" s="10">
        <f>SUM(G109:N109)</f>
        <v/>
      </c>
      <c r="P109" s="10">
        <f>IFERROR(G109*MIN(1,'01_Нормативы'!$C$4/SUM(G$2:G$429)),0)</f>
        <v/>
      </c>
      <c r="Q109" s="10">
        <f>IFERROR(H109*MIN(1,'01_Нормативы'!$C$5/SUM(H$2:H$429)),0)</f>
        <v/>
      </c>
      <c r="R109" s="10">
        <f>IFERROR(I109*MIN(1,'01_Нормативы'!$C$6/SUM(I$2:I$429)),0)</f>
        <v/>
      </c>
      <c r="S109" s="10">
        <f>IFERROR(J109*MIN(1,'01_Нормативы'!$C$7/SUM(J$2:J$429)),0)</f>
        <v/>
      </c>
      <c r="T109" s="10">
        <f>IFERROR(K109*MIN(1,'01_Нормативы'!$C$8/SUM(K$2:K$429)),0)</f>
        <v/>
      </c>
      <c r="U109" s="10">
        <f>IFERROR(L109*MIN(1,'01_Нормативы'!$C$9/SUM(L$2:L$429)),0)</f>
        <v/>
      </c>
      <c r="V109" s="10">
        <f>IFERROR(M109*MIN(1,'01_Нормативы'!$C$10/SUM(M$2:M$429)),0)</f>
        <v/>
      </c>
      <c r="W109" s="10">
        <f>IFERROR(N109*MIN(1,'01_Нормативы'!$C$11/SUM(N$2:N$429)),0)</f>
        <v/>
      </c>
      <c r="X109" s="10">
        <f>SUM(P109:W109)</f>
        <v/>
      </c>
      <c r="Y109" s="10">
        <f>MAX(0,C109-X109)</f>
        <v/>
      </c>
      <c r="Z109" s="10">
        <f>IF(D109=0,100,X109/D109*100)</f>
        <v/>
      </c>
      <c r="AA109" s="10">
        <f>'02_Данные'!F109+'02_Данные'!G109</f>
        <v/>
      </c>
      <c r="AB109" s="10">
        <f>MIN('02_Данные'!L109,AA109)</f>
        <v/>
      </c>
      <c r="AC109" s="10">
        <f>AA109-AB109</f>
        <v/>
      </c>
      <c r="AD109" s="10">
        <f>MIN('02_Данные'!M109,AC109)</f>
        <v/>
      </c>
      <c r="AE109" s="10">
        <f>AC109-AD109</f>
        <v/>
      </c>
      <c r="AF109" s="10">
        <f>MIN('02_Данные'!N109,AE109)</f>
        <v/>
      </c>
      <c r="AG109" s="10">
        <f>AE109-AF109</f>
        <v/>
      </c>
      <c r="AH109" s="10">
        <f>MIN('02_Данные'!S109,AG109)</f>
        <v/>
      </c>
      <c r="AI109" s="10">
        <f>AG109-AH109</f>
        <v/>
      </c>
      <c r="AJ109" s="10">
        <f>MIN('02_Данные'!P109,AI109)</f>
        <v/>
      </c>
      <c r="AK109" s="10">
        <f>AI109-AJ109</f>
        <v/>
      </c>
      <c r="AL109" s="10">
        <f>MIN('02_Данные'!O109,AK109)</f>
        <v/>
      </c>
      <c r="AM109" s="10">
        <f>AK109-AL109</f>
        <v/>
      </c>
      <c r="AN109" s="10">
        <f>MIN('02_Данные'!Q109,AM109)</f>
        <v/>
      </c>
      <c r="AO109" s="10">
        <f>AM109-AN109</f>
        <v/>
      </c>
      <c r="AP109" s="10">
        <f>MIN('02_Данные'!R109,AO109)</f>
        <v/>
      </c>
      <c r="AQ109" s="10">
        <f>AO109-AP109</f>
        <v/>
      </c>
      <c r="AR109" s="10">
        <f>AQ109+'02_Данные'!H109</f>
        <v/>
      </c>
      <c r="AS109" s="10">
        <f>MIN('02_Данные'!T109,AR109)</f>
        <v/>
      </c>
      <c r="AT109" s="10">
        <f>AR109-AS109</f>
        <v/>
      </c>
      <c r="AU109" s="10">
        <f>MIN('02_Данные'!U109,AT109)</f>
        <v/>
      </c>
      <c r="AV109" s="10">
        <f>AT109-AU109</f>
        <v/>
      </c>
      <c r="AW109" s="10">
        <f>MIN('02_Данные'!V109,AV109)</f>
        <v/>
      </c>
      <c r="AX109" s="10">
        <f>AV109-AW109</f>
        <v/>
      </c>
      <c r="AY109" s="10">
        <f>MIN('02_Данные'!AA109,AX109)</f>
        <v/>
      </c>
      <c r="AZ109" s="10">
        <f>AX109-AY109</f>
        <v/>
      </c>
      <c r="BA109" s="10">
        <f>MIN('02_Данные'!X109,AZ109)</f>
        <v/>
      </c>
      <c r="BB109" s="10">
        <f>AZ109-BA109</f>
        <v/>
      </c>
      <c r="BC109" s="10">
        <f>MIN('02_Данные'!W109,BB109)</f>
        <v/>
      </c>
      <c r="BD109" s="10">
        <f>BB109-BC109</f>
        <v/>
      </c>
      <c r="BE109" s="10">
        <f>MIN('02_Данные'!Y109,BD109)</f>
        <v/>
      </c>
      <c r="BF109" s="10">
        <f>BD109-BE109</f>
        <v/>
      </c>
      <c r="BG109" s="10">
        <f>MIN('02_Данные'!Z109,BF109)</f>
        <v/>
      </c>
      <c r="BH109" s="10">
        <f>BF109-BG109</f>
        <v/>
      </c>
      <c r="BI109" s="10">
        <f>BH109+'02_Данные'!I109</f>
        <v/>
      </c>
      <c r="BJ109" s="10">
        <f>MIN('02_Данные'!AB109,BI109)</f>
        <v/>
      </c>
      <c r="BK109" s="10">
        <f>BI109-BJ109</f>
        <v/>
      </c>
      <c r="BL109" s="10">
        <f>MIN('02_Данные'!AC109,BK109)</f>
        <v/>
      </c>
      <c r="BM109" s="10">
        <f>BK109-BL109</f>
        <v/>
      </c>
      <c r="BN109" s="10">
        <f>MIN('02_Данные'!AD109,BM109)</f>
        <v/>
      </c>
      <c r="BO109" s="10">
        <f>BM109-BN109</f>
        <v/>
      </c>
      <c r="BP109" s="10">
        <f>MIN('02_Данные'!AI109,BO109)</f>
        <v/>
      </c>
      <c r="BQ109" s="10">
        <f>BO109-BP109</f>
        <v/>
      </c>
      <c r="BR109" s="10">
        <f>MIN('02_Данные'!AF109,BQ109)</f>
        <v/>
      </c>
      <c r="BS109" s="10">
        <f>BQ109-BR109</f>
        <v/>
      </c>
      <c r="BT109" s="10">
        <f>MIN('02_Данные'!AE109,BS109)</f>
        <v/>
      </c>
      <c r="BU109" s="10">
        <f>BS109-BT109</f>
        <v/>
      </c>
      <c r="BV109" s="10">
        <f>MIN('02_Данные'!AG109,BU109)</f>
        <v/>
      </c>
      <c r="BW109" s="10">
        <f>BU109-BV109</f>
        <v/>
      </c>
      <c r="BX109" s="10">
        <f>MIN('02_Данные'!AH109,BW109)</f>
        <v/>
      </c>
      <c r="BY109" s="10">
        <f>BW109-BX109</f>
        <v/>
      </c>
      <c r="BZ109" s="10">
        <f>BY109+'02_Данные'!J109</f>
        <v/>
      </c>
      <c r="CA109" s="10">
        <f>MIN('02_Данные'!AJ109,BZ109)</f>
        <v/>
      </c>
      <c r="CB109" s="10">
        <f>BZ109-CA109</f>
        <v/>
      </c>
      <c r="CC109" s="10">
        <f>MIN('02_Данные'!AK109,CB109)</f>
        <v/>
      </c>
      <c r="CD109" s="10">
        <f>CB109-CC109</f>
        <v/>
      </c>
      <c r="CE109" s="10">
        <f>MIN('02_Данные'!AL109,CD109)</f>
        <v/>
      </c>
      <c r="CF109" s="10">
        <f>CD109-CE109</f>
        <v/>
      </c>
      <c r="CG109" s="10">
        <f>MIN('02_Данные'!AQ109,CF109)</f>
        <v/>
      </c>
      <c r="CH109" s="10">
        <f>CF109-CG109</f>
        <v/>
      </c>
      <c r="CI109" s="10">
        <f>MIN('02_Данные'!AN109,CH109)</f>
        <v/>
      </c>
      <c r="CJ109" s="10">
        <f>CH109-CI109</f>
        <v/>
      </c>
      <c r="CK109" s="10">
        <f>MIN('02_Данные'!AM109,CJ109)</f>
        <v/>
      </c>
      <c r="CL109" s="10">
        <f>CJ109-CK109</f>
        <v/>
      </c>
      <c r="CM109" s="10">
        <f>MIN('02_Данные'!AO109,CL109)</f>
        <v/>
      </c>
      <c r="CN109" s="10">
        <f>CL109-CM109</f>
        <v/>
      </c>
      <c r="CO109" s="10">
        <f>MIN('02_Данные'!AP109,CN109)</f>
        <v/>
      </c>
      <c r="CP109" s="10">
        <f>CN109-CO109</f>
        <v/>
      </c>
      <c r="CQ109" s="10">
        <f>CP109+'02_Данные'!K109</f>
        <v/>
      </c>
      <c r="CR109" s="10">
        <f>MIN('02_Данные'!AR109,CQ109)</f>
        <v/>
      </c>
      <c r="CS109" s="10">
        <f>CQ109-CR109</f>
        <v/>
      </c>
      <c r="CT109" s="10">
        <f>MIN('02_Данные'!AS109,CS109)</f>
        <v/>
      </c>
      <c r="CU109" s="10">
        <f>CS109-CT109</f>
        <v/>
      </c>
      <c r="CV109" s="10">
        <f>MIN('02_Данные'!AT109,CU109)</f>
        <v/>
      </c>
      <c r="CW109" s="10">
        <f>CU109-CV109</f>
        <v/>
      </c>
      <c r="CX109" s="10">
        <f>MIN('02_Данные'!AY109,CW109)</f>
        <v/>
      </c>
      <c r="CY109" s="10">
        <f>CW109-CX109</f>
        <v/>
      </c>
      <c r="CZ109" s="10">
        <f>MIN('02_Данные'!AV109,CY109)</f>
        <v/>
      </c>
      <c r="DA109" s="10">
        <f>CY109-CZ109</f>
        <v/>
      </c>
      <c r="DB109" s="10">
        <f>MIN('02_Данные'!AU109,DA109)</f>
        <v/>
      </c>
      <c r="DC109" s="10">
        <f>DA109-DB109</f>
        <v/>
      </c>
      <c r="DD109" s="10">
        <f>MIN('02_Данные'!AW109,DC109)</f>
        <v/>
      </c>
      <c r="DE109" s="10">
        <f>DC109-DD109</f>
        <v/>
      </c>
      <c r="DF109" s="10">
        <f>MIN('02_Данные'!AX109,DE109)</f>
        <v/>
      </c>
      <c r="DG109" s="10">
        <f>DE109-DF109</f>
        <v/>
      </c>
    </row>
    <row r="110">
      <c r="A110" s="9">
        <f>'02_Данные'!B110</f>
        <v/>
      </c>
      <c r="B110" s="9">
        <f>'02_Данные'!E110</f>
        <v/>
      </c>
      <c r="C110" s="10">
        <f>'02_Данные'!F110+'02_Данные'!G110+'02_Данные'!H110+'02_Данные'!I110+'02_Данные'!J110+'02_Данные'!K110</f>
        <v/>
      </c>
      <c r="D110" s="10">
        <f>SUM('02_Данные'!L110:'02_Данные'!AY110)</f>
        <v/>
      </c>
      <c r="E110" s="10">
        <f>MAX(0,D110-C110)</f>
        <v/>
      </c>
      <c r="F110" s="15">
        <f>IF(E110&gt;0.0001,"ДЕФИЦИТ",IF(Y110&gt;0.0001,"ПРОФИЦИТ","БАЛАНС"))</f>
        <v/>
      </c>
      <c r="G110" s="10">
        <f>AB110+AS110+BJ110+CA110+CR110</f>
        <v/>
      </c>
      <c r="H110" s="10">
        <f>AD110+AU110+BL110+CC110+CT110</f>
        <v/>
      </c>
      <c r="I110" s="10">
        <f>AF110+AW110+BN110+CE110+CV110</f>
        <v/>
      </c>
      <c r="J110" s="10">
        <f>AL110+BC110+BT110+CK110+DB110</f>
        <v/>
      </c>
      <c r="K110" s="10">
        <f>AJ110+BA110+BR110+CI110+CZ110</f>
        <v/>
      </c>
      <c r="L110" s="10">
        <f>AN110+BE110+BV110+CM110+DD110</f>
        <v/>
      </c>
      <c r="M110" s="10">
        <f>AP110+BG110+BX110+CO110+DF110</f>
        <v/>
      </c>
      <c r="N110" s="10">
        <f>AH110+AY110+BP110+CG110+CX110</f>
        <v/>
      </c>
      <c r="O110" s="10">
        <f>SUM(G110:N110)</f>
        <v/>
      </c>
      <c r="P110" s="10">
        <f>IFERROR(G110*MIN(1,'01_Нормативы'!$C$4/SUM(G$2:G$429)),0)</f>
        <v/>
      </c>
      <c r="Q110" s="10">
        <f>IFERROR(H110*MIN(1,'01_Нормативы'!$C$5/SUM(H$2:H$429)),0)</f>
        <v/>
      </c>
      <c r="R110" s="10">
        <f>IFERROR(I110*MIN(1,'01_Нормативы'!$C$6/SUM(I$2:I$429)),0)</f>
        <v/>
      </c>
      <c r="S110" s="10">
        <f>IFERROR(J110*MIN(1,'01_Нормативы'!$C$7/SUM(J$2:J$429)),0)</f>
        <v/>
      </c>
      <c r="T110" s="10">
        <f>IFERROR(K110*MIN(1,'01_Нормативы'!$C$8/SUM(K$2:K$429)),0)</f>
        <v/>
      </c>
      <c r="U110" s="10">
        <f>IFERROR(L110*MIN(1,'01_Нормативы'!$C$9/SUM(L$2:L$429)),0)</f>
        <v/>
      </c>
      <c r="V110" s="10">
        <f>IFERROR(M110*MIN(1,'01_Нормативы'!$C$10/SUM(M$2:M$429)),0)</f>
        <v/>
      </c>
      <c r="W110" s="10">
        <f>IFERROR(N110*MIN(1,'01_Нормативы'!$C$11/SUM(N$2:N$429)),0)</f>
        <v/>
      </c>
      <c r="X110" s="10">
        <f>SUM(P110:W110)</f>
        <v/>
      </c>
      <c r="Y110" s="10">
        <f>MAX(0,C110-X110)</f>
        <v/>
      </c>
      <c r="Z110" s="10">
        <f>IF(D110=0,100,X110/D110*100)</f>
        <v/>
      </c>
      <c r="AA110" s="10">
        <f>'02_Данные'!F110+'02_Данные'!G110</f>
        <v/>
      </c>
      <c r="AB110" s="10">
        <f>MIN('02_Данные'!L110,AA110)</f>
        <v/>
      </c>
      <c r="AC110" s="10">
        <f>AA110-AB110</f>
        <v/>
      </c>
      <c r="AD110" s="10">
        <f>MIN('02_Данные'!M110,AC110)</f>
        <v/>
      </c>
      <c r="AE110" s="10">
        <f>AC110-AD110</f>
        <v/>
      </c>
      <c r="AF110" s="10">
        <f>MIN('02_Данные'!N110,AE110)</f>
        <v/>
      </c>
      <c r="AG110" s="10">
        <f>AE110-AF110</f>
        <v/>
      </c>
      <c r="AH110" s="10">
        <f>MIN('02_Данные'!S110,AG110)</f>
        <v/>
      </c>
      <c r="AI110" s="10">
        <f>AG110-AH110</f>
        <v/>
      </c>
      <c r="AJ110" s="10">
        <f>MIN('02_Данные'!P110,AI110)</f>
        <v/>
      </c>
      <c r="AK110" s="10">
        <f>AI110-AJ110</f>
        <v/>
      </c>
      <c r="AL110" s="10">
        <f>MIN('02_Данные'!O110,AK110)</f>
        <v/>
      </c>
      <c r="AM110" s="10">
        <f>AK110-AL110</f>
        <v/>
      </c>
      <c r="AN110" s="10">
        <f>MIN('02_Данные'!Q110,AM110)</f>
        <v/>
      </c>
      <c r="AO110" s="10">
        <f>AM110-AN110</f>
        <v/>
      </c>
      <c r="AP110" s="10">
        <f>MIN('02_Данные'!R110,AO110)</f>
        <v/>
      </c>
      <c r="AQ110" s="10">
        <f>AO110-AP110</f>
        <v/>
      </c>
      <c r="AR110" s="10">
        <f>AQ110+'02_Данные'!H110</f>
        <v/>
      </c>
      <c r="AS110" s="10">
        <f>MIN('02_Данные'!T110,AR110)</f>
        <v/>
      </c>
      <c r="AT110" s="10">
        <f>AR110-AS110</f>
        <v/>
      </c>
      <c r="AU110" s="10">
        <f>MIN('02_Данные'!U110,AT110)</f>
        <v/>
      </c>
      <c r="AV110" s="10">
        <f>AT110-AU110</f>
        <v/>
      </c>
      <c r="AW110" s="10">
        <f>MIN('02_Данные'!V110,AV110)</f>
        <v/>
      </c>
      <c r="AX110" s="10">
        <f>AV110-AW110</f>
        <v/>
      </c>
      <c r="AY110" s="10">
        <f>MIN('02_Данные'!AA110,AX110)</f>
        <v/>
      </c>
      <c r="AZ110" s="10">
        <f>AX110-AY110</f>
        <v/>
      </c>
      <c r="BA110" s="10">
        <f>MIN('02_Данные'!X110,AZ110)</f>
        <v/>
      </c>
      <c r="BB110" s="10">
        <f>AZ110-BA110</f>
        <v/>
      </c>
      <c r="BC110" s="10">
        <f>MIN('02_Данные'!W110,BB110)</f>
        <v/>
      </c>
      <c r="BD110" s="10">
        <f>BB110-BC110</f>
        <v/>
      </c>
      <c r="BE110" s="10">
        <f>MIN('02_Данные'!Y110,BD110)</f>
        <v/>
      </c>
      <c r="BF110" s="10">
        <f>BD110-BE110</f>
        <v/>
      </c>
      <c r="BG110" s="10">
        <f>MIN('02_Данные'!Z110,BF110)</f>
        <v/>
      </c>
      <c r="BH110" s="10">
        <f>BF110-BG110</f>
        <v/>
      </c>
      <c r="BI110" s="10">
        <f>BH110+'02_Данные'!I110</f>
        <v/>
      </c>
      <c r="BJ110" s="10">
        <f>MIN('02_Данные'!AB110,BI110)</f>
        <v/>
      </c>
      <c r="BK110" s="10">
        <f>BI110-BJ110</f>
        <v/>
      </c>
      <c r="BL110" s="10">
        <f>MIN('02_Данные'!AC110,BK110)</f>
        <v/>
      </c>
      <c r="BM110" s="10">
        <f>BK110-BL110</f>
        <v/>
      </c>
      <c r="BN110" s="10">
        <f>MIN('02_Данные'!AD110,BM110)</f>
        <v/>
      </c>
      <c r="BO110" s="10">
        <f>BM110-BN110</f>
        <v/>
      </c>
      <c r="BP110" s="10">
        <f>MIN('02_Данные'!AI110,BO110)</f>
        <v/>
      </c>
      <c r="BQ110" s="10">
        <f>BO110-BP110</f>
        <v/>
      </c>
      <c r="BR110" s="10">
        <f>MIN('02_Данные'!AF110,BQ110)</f>
        <v/>
      </c>
      <c r="BS110" s="10">
        <f>BQ110-BR110</f>
        <v/>
      </c>
      <c r="BT110" s="10">
        <f>MIN('02_Данные'!AE110,BS110)</f>
        <v/>
      </c>
      <c r="BU110" s="10">
        <f>BS110-BT110</f>
        <v/>
      </c>
      <c r="BV110" s="10">
        <f>MIN('02_Данные'!AG110,BU110)</f>
        <v/>
      </c>
      <c r="BW110" s="10">
        <f>BU110-BV110</f>
        <v/>
      </c>
      <c r="BX110" s="10">
        <f>MIN('02_Данные'!AH110,BW110)</f>
        <v/>
      </c>
      <c r="BY110" s="10">
        <f>BW110-BX110</f>
        <v/>
      </c>
      <c r="BZ110" s="10">
        <f>BY110+'02_Данные'!J110</f>
        <v/>
      </c>
      <c r="CA110" s="10">
        <f>MIN('02_Данные'!AJ110,BZ110)</f>
        <v/>
      </c>
      <c r="CB110" s="10">
        <f>BZ110-CA110</f>
        <v/>
      </c>
      <c r="CC110" s="10">
        <f>MIN('02_Данные'!AK110,CB110)</f>
        <v/>
      </c>
      <c r="CD110" s="10">
        <f>CB110-CC110</f>
        <v/>
      </c>
      <c r="CE110" s="10">
        <f>MIN('02_Данные'!AL110,CD110)</f>
        <v/>
      </c>
      <c r="CF110" s="10">
        <f>CD110-CE110</f>
        <v/>
      </c>
      <c r="CG110" s="10">
        <f>MIN('02_Данные'!AQ110,CF110)</f>
        <v/>
      </c>
      <c r="CH110" s="10">
        <f>CF110-CG110</f>
        <v/>
      </c>
      <c r="CI110" s="10">
        <f>MIN('02_Данные'!AN110,CH110)</f>
        <v/>
      </c>
      <c r="CJ110" s="10">
        <f>CH110-CI110</f>
        <v/>
      </c>
      <c r="CK110" s="10">
        <f>MIN('02_Данные'!AM110,CJ110)</f>
        <v/>
      </c>
      <c r="CL110" s="10">
        <f>CJ110-CK110</f>
        <v/>
      </c>
      <c r="CM110" s="10">
        <f>MIN('02_Данные'!AO110,CL110)</f>
        <v/>
      </c>
      <c r="CN110" s="10">
        <f>CL110-CM110</f>
        <v/>
      </c>
      <c r="CO110" s="10">
        <f>MIN('02_Данные'!AP110,CN110)</f>
        <v/>
      </c>
      <c r="CP110" s="10">
        <f>CN110-CO110</f>
        <v/>
      </c>
      <c r="CQ110" s="10">
        <f>CP110+'02_Данные'!K110</f>
        <v/>
      </c>
      <c r="CR110" s="10">
        <f>MIN('02_Данные'!AR110,CQ110)</f>
        <v/>
      </c>
      <c r="CS110" s="10">
        <f>CQ110-CR110</f>
        <v/>
      </c>
      <c r="CT110" s="10">
        <f>MIN('02_Данные'!AS110,CS110)</f>
        <v/>
      </c>
      <c r="CU110" s="10">
        <f>CS110-CT110</f>
        <v/>
      </c>
      <c r="CV110" s="10">
        <f>MIN('02_Данные'!AT110,CU110)</f>
        <v/>
      </c>
      <c r="CW110" s="10">
        <f>CU110-CV110</f>
        <v/>
      </c>
      <c r="CX110" s="10">
        <f>MIN('02_Данные'!AY110,CW110)</f>
        <v/>
      </c>
      <c r="CY110" s="10">
        <f>CW110-CX110</f>
        <v/>
      </c>
      <c r="CZ110" s="10">
        <f>MIN('02_Данные'!AV110,CY110)</f>
        <v/>
      </c>
      <c r="DA110" s="10">
        <f>CY110-CZ110</f>
        <v/>
      </c>
      <c r="DB110" s="10">
        <f>MIN('02_Данные'!AU110,DA110)</f>
        <v/>
      </c>
      <c r="DC110" s="10">
        <f>DA110-DB110</f>
        <v/>
      </c>
      <c r="DD110" s="10">
        <f>MIN('02_Данные'!AW110,DC110)</f>
        <v/>
      </c>
      <c r="DE110" s="10">
        <f>DC110-DD110</f>
        <v/>
      </c>
      <c r="DF110" s="10">
        <f>MIN('02_Данные'!AX110,DE110)</f>
        <v/>
      </c>
      <c r="DG110" s="10">
        <f>DE110-DF110</f>
        <v/>
      </c>
    </row>
    <row r="111">
      <c r="A111" s="9">
        <f>'02_Данные'!B111</f>
        <v/>
      </c>
      <c r="B111" s="9">
        <f>'02_Данные'!E111</f>
        <v/>
      </c>
      <c r="C111" s="10">
        <f>'02_Данные'!F111+'02_Данные'!G111+'02_Данные'!H111+'02_Данные'!I111+'02_Данные'!J111+'02_Данные'!K111</f>
        <v/>
      </c>
      <c r="D111" s="10">
        <f>SUM('02_Данные'!L111:'02_Данные'!AY111)</f>
        <v/>
      </c>
      <c r="E111" s="10">
        <f>MAX(0,D111-C111)</f>
        <v/>
      </c>
      <c r="F111" s="15">
        <f>IF(E111&gt;0.0001,"ДЕФИЦИТ",IF(Y111&gt;0.0001,"ПРОФИЦИТ","БАЛАНС"))</f>
        <v/>
      </c>
      <c r="G111" s="10">
        <f>AB111+AS111+BJ111+CA111+CR111</f>
        <v/>
      </c>
      <c r="H111" s="10">
        <f>AD111+AU111+BL111+CC111+CT111</f>
        <v/>
      </c>
      <c r="I111" s="10">
        <f>AF111+AW111+BN111+CE111+CV111</f>
        <v/>
      </c>
      <c r="J111" s="10">
        <f>AL111+BC111+BT111+CK111+DB111</f>
        <v/>
      </c>
      <c r="K111" s="10">
        <f>AJ111+BA111+BR111+CI111+CZ111</f>
        <v/>
      </c>
      <c r="L111" s="10">
        <f>AN111+BE111+BV111+CM111+DD111</f>
        <v/>
      </c>
      <c r="M111" s="10">
        <f>AP111+BG111+BX111+CO111+DF111</f>
        <v/>
      </c>
      <c r="N111" s="10">
        <f>AH111+AY111+BP111+CG111+CX111</f>
        <v/>
      </c>
      <c r="O111" s="10">
        <f>SUM(G111:N111)</f>
        <v/>
      </c>
      <c r="P111" s="10">
        <f>IFERROR(G111*MIN(1,'01_Нормативы'!$C$4/SUM(G$2:G$429)),0)</f>
        <v/>
      </c>
      <c r="Q111" s="10">
        <f>IFERROR(H111*MIN(1,'01_Нормативы'!$C$5/SUM(H$2:H$429)),0)</f>
        <v/>
      </c>
      <c r="R111" s="10">
        <f>IFERROR(I111*MIN(1,'01_Нормативы'!$C$6/SUM(I$2:I$429)),0)</f>
        <v/>
      </c>
      <c r="S111" s="10">
        <f>IFERROR(J111*MIN(1,'01_Нормативы'!$C$7/SUM(J$2:J$429)),0)</f>
        <v/>
      </c>
      <c r="T111" s="10">
        <f>IFERROR(K111*MIN(1,'01_Нормативы'!$C$8/SUM(K$2:K$429)),0)</f>
        <v/>
      </c>
      <c r="U111" s="10">
        <f>IFERROR(L111*MIN(1,'01_Нормативы'!$C$9/SUM(L$2:L$429)),0)</f>
        <v/>
      </c>
      <c r="V111" s="10">
        <f>IFERROR(M111*MIN(1,'01_Нормативы'!$C$10/SUM(M$2:M$429)),0)</f>
        <v/>
      </c>
      <c r="W111" s="10">
        <f>IFERROR(N111*MIN(1,'01_Нормативы'!$C$11/SUM(N$2:N$429)),0)</f>
        <v/>
      </c>
      <c r="X111" s="10">
        <f>SUM(P111:W111)</f>
        <v/>
      </c>
      <c r="Y111" s="10">
        <f>MAX(0,C111-X111)</f>
        <v/>
      </c>
      <c r="Z111" s="10">
        <f>IF(D111=0,100,X111/D111*100)</f>
        <v/>
      </c>
      <c r="AA111" s="10">
        <f>'02_Данные'!F111+'02_Данные'!G111</f>
        <v/>
      </c>
      <c r="AB111" s="10">
        <f>MIN('02_Данные'!L111,AA111)</f>
        <v/>
      </c>
      <c r="AC111" s="10">
        <f>AA111-AB111</f>
        <v/>
      </c>
      <c r="AD111" s="10">
        <f>MIN('02_Данные'!M111,AC111)</f>
        <v/>
      </c>
      <c r="AE111" s="10">
        <f>AC111-AD111</f>
        <v/>
      </c>
      <c r="AF111" s="10">
        <f>MIN('02_Данные'!N111,AE111)</f>
        <v/>
      </c>
      <c r="AG111" s="10">
        <f>AE111-AF111</f>
        <v/>
      </c>
      <c r="AH111" s="10">
        <f>MIN('02_Данные'!S111,AG111)</f>
        <v/>
      </c>
      <c r="AI111" s="10">
        <f>AG111-AH111</f>
        <v/>
      </c>
      <c r="AJ111" s="10">
        <f>MIN('02_Данные'!P111,AI111)</f>
        <v/>
      </c>
      <c r="AK111" s="10">
        <f>AI111-AJ111</f>
        <v/>
      </c>
      <c r="AL111" s="10">
        <f>MIN('02_Данные'!O111,AK111)</f>
        <v/>
      </c>
      <c r="AM111" s="10">
        <f>AK111-AL111</f>
        <v/>
      </c>
      <c r="AN111" s="10">
        <f>MIN('02_Данные'!Q111,AM111)</f>
        <v/>
      </c>
      <c r="AO111" s="10">
        <f>AM111-AN111</f>
        <v/>
      </c>
      <c r="AP111" s="10">
        <f>MIN('02_Данные'!R111,AO111)</f>
        <v/>
      </c>
      <c r="AQ111" s="10">
        <f>AO111-AP111</f>
        <v/>
      </c>
      <c r="AR111" s="10">
        <f>AQ111+'02_Данные'!H111</f>
        <v/>
      </c>
      <c r="AS111" s="10">
        <f>MIN('02_Данные'!T111,AR111)</f>
        <v/>
      </c>
      <c r="AT111" s="10">
        <f>AR111-AS111</f>
        <v/>
      </c>
      <c r="AU111" s="10">
        <f>MIN('02_Данные'!U111,AT111)</f>
        <v/>
      </c>
      <c r="AV111" s="10">
        <f>AT111-AU111</f>
        <v/>
      </c>
      <c r="AW111" s="10">
        <f>MIN('02_Данные'!V111,AV111)</f>
        <v/>
      </c>
      <c r="AX111" s="10">
        <f>AV111-AW111</f>
        <v/>
      </c>
      <c r="AY111" s="10">
        <f>MIN('02_Данные'!AA111,AX111)</f>
        <v/>
      </c>
      <c r="AZ111" s="10">
        <f>AX111-AY111</f>
        <v/>
      </c>
      <c r="BA111" s="10">
        <f>MIN('02_Данные'!X111,AZ111)</f>
        <v/>
      </c>
      <c r="BB111" s="10">
        <f>AZ111-BA111</f>
        <v/>
      </c>
      <c r="BC111" s="10">
        <f>MIN('02_Данные'!W111,BB111)</f>
        <v/>
      </c>
      <c r="BD111" s="10">
        <f>BB111-BC111</f>
        <v/>
      </c>
      <c r="BE111" s="10">
        <f>MIN('02_Данные'!Y111,BD111)</f>
        <v/>
      </c>
      <c r="BF111" s="10">
        <f>BD111-BE111</f>
        <v/>
      </c>
      <c r="BG111" s="10">
        <f>MIN('02_Данные'!Z111,BF111)</f>
        <v/>
      </c>
      <c r="BH111" s="10">
        <f>BF111-BG111</f>
        <v/>
      </c>
      <c r="BI111" s="10">
        <f>BH111+'02_Данные'!I111</f>
        <v/>
      </c>
      <c r="BJ111" s="10">
        <f>MIN('02_Данные'!AB111,BI111)</f>
        <v/>
      </c>
      <c r="BK111" s="10">
        <f>BI111-BJ111</f>
        <v/>
      </c>
      <c r="BL111" s="10">
        <f>MIN('02_Данные'!AC111,BK111)</f>
        <v/>
      </c>
      <c r="BM111" s="10">
        <f>BK111-BL111</f>
        <v/>
      </c>
      <c r="BN111" s="10">
        <f>MIN('02_Данные'!AD111,BM111)</f>
        <v/>
      </c>
      <c r="BO111" s="10">
        <f>BM111-BN111</f>
        <v/>
      </c>
      <c r="BP111" s="10">
        <f>MIN('02_Данные'!AI111,BO111)</f>
        <v/>
      </c>
      <c r="BQ111" s="10">
        <f>BO111-BP111</f>
        <v/>
      </c>
      <c r="BR111" s="10">
        <f>MIN('02_Данные'!AF111,BQ111)</f>
        <v/>
      </c>
      <c r="BS111" s="10">
        <f>BQ111-BR111</f>
        <v/>
      </c>
      <c r="BT111" s="10">
        <f>MIN('02_Данные'!AE111,BS111)</f>
        <v/>
      </c>
      <c r="BU111" s="10">
        <f>BS111-BT111</f>
        <v/>
      </c>
      <c r="BV111" s="10">
        <f>MIN('02_Данные'!AG111,BU111)</f>
        <v/>
      </c>
      <c r="BW111" s="10">
        <f>BU111-BV111</f>
        <v/>
      </c>
      <c r="BX111" s="10">
        <f>MIN('02_Данные'!AH111,BW111)</f>
        <v/>
      </c>
      <c r="BY111" s="10">
        <f>BW111-BX111</f>
        <v/>
      </c>
      <c r="BZ111" s="10">
        <f>BY111+'02_Данные'!J111</f>
        <v/>
      </c>
      <c r="CA111" s="10">
        <f>MIN('02_Данные'!AJ111,BZ111)</f>
        <v/>
      </c>
      <c r="CB111" s="10">
        <f>BZ111-CA111</f>
        <v/>
      </c>
      <c r="CC111" s="10">
        <f>MIN('02_Данные'!AK111,CB111)</f>
        <v/>
      </c>
      <c r="CD111" s="10">
        <f>CB111-CC111</f>
        <v/>
      </c>
      <c r="CE111" s="10">
        <f>MIN('02_Данные'!AL111,CD111)</f>
        <v/>
      </c>
      <c r="CF111" s="10">
        <f>CD111-CE111</f>
        <v/>
      </c>
      <c r="CG111" s="10">
        <f>MIN('02_Данные'!AQ111,CF111)</f>
        <v/>
      </c>
      <c r="CH111" s="10">
        <f>CF111-CG111</f>
        <v/>
      </c>
      <c r="CI111" s="10">
        <f>MIN('02_Данные'!AN111,CH111)</f>
        <v/>
      </c>
      <c r="CJ111" s="10">
        <f>CH111-CI111</f>
        <v/>
      </c>
      <c r="CK111" s="10">
        <f>MIN('02_Данные'!AM111,CJ111)</f>
        <v/>
      </c>
      <c r="CL111" s="10">
        <f>CJ111-CK111</f>
        <v/>
      </c>
      <c r="CM111" s="10">
        <f>MIN('02_Данные'!AO111,CL111)</f>
        <v/>
      </c>
      <c r="CN111" s="10">
        <f>CL111-CM111</f>
        <v/>
      </c>
      <c r="CO111" s="10">
        <f>MIN('02_Данные'!AP111,CN111)</f>
        <v/>
      </c>
      <c r="CP111" s="10">
        <f>CN111-CO111</f>
        <v/>
      </c>
      <c r="CQ111" s="10">
        <f>CP111+'02_Данные'!K111</f>
        <v/>
      </c>
      <c r="CR111" s="10">
        <f>MIN('02_Данные'!AR111,CQ111)</f>
        <v/>
      </c>
      <c r="CS111" s="10">
        <f>CQ111-CR111</f>
        <v/>
      </c>
      <c r="CT111" s="10">
        <f>MIN('02_Данные'!AS111,CS111)</f>
        <v/>
      </c>
      <c r="CU111" s="10">
        <f>CS111-CT111</f>
        <v/>
      </c>
      <c r="CV111" s="10">
        <f>MIN('02_Данные'!AT111,CU111)</f>
        <v/>
      </c>
      <c r="CW111" s="10">
        <f>CU111-CV111</f>
        <v/>
      </c>
      <c r="CX111" s="10">
        <f>MIN('02_Данные'!AY111,CW111)</f>
        <v/>
      </c>
      <c r="CY111" s="10">
        <f>CW111-CX111</f>
        <v/>
      </c>
      <c r="CZ111" s="10">
        <f>MIN('02_Данные'!AV111,CY111)</f>
        <v/>
      </c>
      <c r="DA111" s="10">
        <f>CY111-CZ111</f>
        <v/>
      </c>
      <c r="DB111" s="10">
        <f>MIN('02_Данные'!AU111,DA111)</f>
        <v/>
      </c>
      <c r="DC111" s="10">
        <f>DA111-DB111</f>
        <v/>
      </c>
      <c r="DD111" s="10">
        <f>MIN('02_Данные'!AW111,DC111)</f>
        <v/>
      </c>
      <c r="DE111" s="10">
        <f>DC111-DD111</f>
        <v/>
      </c>
      <c r="DF111" s="10">
        <f>MIN('02_Данные'!AX111,DE111)</f>
        <v/>
      </c>
      <c r="DG111" s="10">
        <f>DE111-DF111</f>
        <v/>
      </c>
    </row>
    <row r="112">
      <c r="A112" s="9">
        <f>'02_Данные'!B112</f>
        <v/>
      </c>
      <c r="B112" s="9">
        <f>'02_Данные'!E112</f>
        <v/>
      </c>
      <c r="C112" s="10">
        <f>'02_Данные'!F112+'02_Данные'!G112+'02_Данные'!H112+'02_Данные'!I112+'02_Данные'!J112+'02_Данные'!K112</f>
        <v/>
      </c>
      <c r="D112" s="10">
        <f>SUM('02_Данные'!L112:'02_Данные'!AY112)</f>
        <v/>
      </c>
      <c r="E112" s="10">
        <f>MAX(0,D112-C112)</f>
        <v/>
      </c>
      <c r="F112" s="15">
        <f>IF(E112&gt;0.0001,"ДЕФИЦИТ",IF(Y112&gt;0.0001,"ПРОФИЦИТ","БАЛАНС"))</f>
        <v/>
      </c>
      <c r="G112" s="10">
        <f>AB112+AS112+BJ112+CA112+CR112</f>
        <v/>
      </c>
      <c r="H112" s="10">
        <f>AD112+AU112+BL112+CC112+CT112</f>
        <v/>
      </c>
      <c r="I112" s="10">
        <f>AF112+AW112+BN112+CE112+CV112</f>
        <v/>
      </c>
      <c r="J112" s="10">
        <f>AL112+BC112+BT112+CK112+DB112</f>
        <v/>
      </c>
      <c r="K112" s="10">
        <f>AJ112+BA112+BR112+CI112+CZ112</f>
        <v/>
      </c>
      <c r="L112" s="10">
        <f>AN112+BE112+BV112+CM112+DD112</f>
        <v/>
      </c>
      <c r="M112" s="10">
        <f>AP112+BG112+BX112+CO112+DF112</f>
        <v/>
      </c>
      <c r="N112" s="10">
        <f>AH112+AY112+BP112+CG112+CX112</f>
        <v/>
      </c>
      <c r="O112" s="10">
        <f>SUM(G112:N112)</f>
        <v/>
      </c>
      <c r="P112" s="10">
        <f>IFERROR(G112*MIN(1,'01_Нормативы'!$C$4/SUM(G$2:G$429)),0)</f>
        <v/>
      </c>
      <c r="Q112" s="10">
        <f>IFERROR(H112*MIN(1,'01_Нормативы'!$C$5/SUM(H$2:H$429)),0)</f>
        <v/>
      </c>
      <c r="R112" s="10">
        <f>IFERROR(I112*MIN(1,'01_Нормативы'!$C$6/SUM(I$2:I$429)),0)</f>
        <v/>
      </c>
      <c r="S112" s="10">
        <f>IFERROR(J112*MIN(1,'01_Нормативы'!$C$7/SUM(J$2:J$429)),0)</f>
        <v/>
      </c>
      <c r="T112" s="10">
        <f>IFERROR(K112*MIN(1,'01_Нормативы'!$C$8/SUM(K$2:K$429)),0)</f>
        <v/>
      </c>
      <c r="U112" s="10">
        <f>IFERROR(L112*MIN(1,'01_Нормативы'!$C$9/SUM(L$2:L$429)),0)</f>
        <v/>
      </c>
      <c r="V112" s="10">
        <f>IFERROR(M112*MIN(1,'01_Нормативы'!$C$10/SUM(M$2:M$429)),0)</f>
        <v/>
      </c>
      <c r="W112" s="10">
        <f>IFERROR(N112*MIN(1,'01_Нормативы'!$C$11/SUM(N$2:N$429)),0)</f>
        <v/>
      </c>
      <c r="X112" s="10">
        <f>SUM(P112:W112)</f>
        <v/>
      </c>
      <c r="Y112" s="10">
        <f>MAX(0,C112-X112)</f>
        <v/>
      </c>
      <c r="Z112" s="10">
        <f>IF(D112=0,100,X112/D112*100)</f>
        <v/>
      </c>
      <c r="AA112" s="10">
        <f>'02_Данные'!F112+'02_Данные'!G112</f>
        <v/>
      </c>
      <c r="AB112" s="10">
        <f>MIN('02_Данные'!L112,AA112)</f>
        <v/>
      </c>
      <c r="AC112" s="10">
        <f>AA112-AB112</f>
        <v/>
      </c>
      <c r="AD112" s="10">
        <f>MIN('02_Данные'!M112,AC112)</f>
        <v/>
      </c>
      <c r="AE112" s="10">
        <f>AC112-AD112</f>
        <v/>
      </c>
      <c r="AF112" s="10">
        <f>MIN('02_Данные'!N112,AE112)</f>
        <v/>
      </c>
      <c r="AG112" s="10">
        <f>AE112-AF112</f>
        <v/>
      </c>
      <c r="AH112" s="10">
        <f>MIN('02_Данные'!S112,AG112)</f>
        <v/>
      </c>
      <c r="AI112" s="10">
        <f>AG112-AH112</f>
        <v/>
      </c>
      <c r="AJ112" s="10">
        <f>MIN('02_Данные'!P112,AI112)</f>
        <v/>
      </c>
      <c r="AK112" s="10">
        <f>AI112-AJ112</f>
        <v/>
      </c>
      <c r="AL112" s="10">
        <f>MIN('02_Данные'!O112,AK112)</f>
        <v/>
      </c>
      <c r="AM112" s="10">
        <f>AK112-AL112</f>
        <v/>
      </c>
      <c r="AN112" s="10">
        <f>MIN('02_Данные'!Q112,AM112)</f>
        <v/>
      </c>
      <c r="AO112" s="10">
        <f>AM112-AN112</f>
        <v/>
      </c>
      <c r="AP112" s="10">
        <f>MIN('02_Данные'!R112,AO112)</f>
        <v/>
      </c>
      <c r="AQ112" s="10">
        <f>AO112-AP112</f>
        <v/>
      </c>
      <c r="AR112" s="10">
        <f>AQ112+'02_Данные'!H112</f>
        <v/>
      </c>
      <c r="AS112" s="10">
        <f>MIN('02_Данные'!T112,AR112)</f>
        <v/>
      </c>
      <c r="AT112" s="10">
        <f>AR112-AS112</f>
        <v/>
      </c>
      <c r="AU112" s="10">
        <f>MIN('02_Данные'!U112,AT112)</f>
        <v/>
      </c>
      <c r="AV112" s="10">
        <f>AT112-AU112</f>
        <v/>
      </c>
      <c r="AW112" s="10">
        <f>MIN('02_Данные'!V112,AV112)</f>
        <v/>
      </c>
      <c r="AX112" s="10">
        <f>AV112-AW112</f>
        <v/>
      </c>
      <c r="AY112" s="10">
        <f>MIN('02_Данные'!AA112,AX112)</f>
        <v/>
      </c>
      <c r="AZ112" s="10">
        <f>AX112-AY112</f>
        <v/>
      </c>
      <c r="BA112" s="10">
        <f>MIN('02_Данные'!X112,AZ112)</f>
        <v/>
      </c>
      <c r="BB112" s="10">
        <f>AZ112-BA112</f>
        <v/>
      </c>
      <c r="BC112" s="10">
        <f>MIN('02_Данные'!W112,BB112)</f>
        <v/>
      </c>
      <c r="BD112" s="10">
        <f>BB112-BC112</f>
        <v/>
      </c>
      <c r="BE112" s="10">
        <f>MIN('02_Данные'!Y112,BD112)</f>
        <v/>
      </c>
      <c r="BF112" s="10">
        <f>BD112-BE112</f>
        <v/>
      </c>
      <c r="BG112" s="10">
        <f>MIN('02_Данные'!Z112,BF112)</f>
        <v/>
      </c>
      <c r="BH112" s="10">
        <f>BF112-BG112</f>
        <v/>
      </c>
      <c r="BI112" s="10">
        <f>BH112+'02_Данные'!I112</f>
        <v/>
      </c>
      <c r="BJ112" s="10">
        <f>MIN('02_Данные'!AB112,BI112)</f>
        <v/>
      </c>
      <c r="BK112" s="10">
        <f>BI112-BJ112</f>
        <v/>
      </c>
      <c r="BL112" s="10">
        <f>MIN('02_Данные'!AC112,BK112)</f>
        <v/>
      </c>
      <c r="BM112" s="10">
        <f>BK112-BL112</f>
        <v/>
      </c>
      <c r="BN112" s="10">
        <f>MIN('02_Данные'!AD112,BM112)</f>
        <v/>
      </c>
      <c r="BO112" s="10">
        <f>BM112-BN112</f>
        <v/>
      </c>
      <c r="BP112" s="10">
        <f>MIN('02_Данные'!AI112,BO112)</f>
        <v/>
      </c>
      <c r="BQ112" s="10">
        <f>BO112-BP112</f>
        <v/>
      </c>
      <c r="BR112" s="10">
        <f>MIN('02_Данные'!AF112,BQ112)</f>
        <v/>
      </c>
      <c r="BS112" s="10">
        <f>BQ112-BR112</f>
        <v/>
      </c>
      <c r="BT112" s="10">
        <f>MIN('02_Данные'!AE112,BS112)</f>
        <v/>
      </c>
      <c r="BU112" s="10">
        <f>BS112-BT112</f>
        <v/>
      </c>
      <c r="BV112" s="10">
        <f>MIN('02_Данные'!AG112,BU112)</f>
        <v/>
      </c>
      <c r="BW112" s="10">
        <f>BU112-BV112</f>
        <v/>
      </c>
      <c r="BX112" s="10">
        <f>MIN('02_Данные'!AH112,BW112)</f>
        <v/>
      </c>
      <c r="BY112" s="10">
        <f>BW112-BX112</f>
        <v/>
      </c>
      <c r="BZ112" s="10">
        <f>BY112+'02_Данные'!J112</f>
        <v/>
      </c>
      <c r="CA112" s="10">
        <f>MIN('02_Данные'!AJ112,BZ112)</f>
        <v/>
      </c>
      <c r="CB112" s="10">
        <f>BZ112-CA112</f>
        <v/>
      </c>
      <c r="CC112" s="10">
        <f>MIN('02_Данные'!AK112,CB112)</f>
        <v/>
      </c>
      <c r="CD112" s="10">
        <f>CB112-CC112</f>
        <v/>
      </c>
      <c r="CE112" s="10">
        <f>MIN('02_Данные'!AL112,CD112)</f>
        <v/>
      </c>
      <c r="CF112" s="10">
        <f>CD112-CE112</f>
        <v/>
      </c>
      <c r="CG112" s="10">
        <f>MIN('02_Данные'!AQ112,CF112)</f>
        <v/>
      </c>
      <c r="CH112" s="10">
        <f>CF112-CG112</f>
        <v/>
      </c>
      <c r="CI112" s="10">
        <f>MIN('02_Данные'!AN112,CH112)</f>
        <v/>
      </c>
      <c r="CJ112" s="10">
        <f>CH112-CI112</f>
        <v/>
      </c>
      <c r="CK112" s="10">
        <f>MIN('02_Данные'!AM112,CJ112)</f>
        <v/>
      </c>
      <c r="CL112" s="10">
        <f>CJ112-CK112</f>
        <v/>
      </c>
      <c r="CM112" s="10">
        <f>MIN('02_Данные'!AO112,CL112)</f>
        <v/>
      </c>
      <c r="CN112" s="10">
        <f>CL112-CM112</f>
        <v/>
      </c>
      <c r="CO112" s="10">
        <f>MIN('02_Данные'!AP112,CN112)</f>
        <v/>
      </c>
      <c r="CP112" s="10">
        <f>CN112-CO112</f>
        <v/>
      </c>
      <c r="CQ112" s="10">
        <f>CP112+'02_Данные'!K112</f>
        <v/>
      </c>
      <c r="CR112" s="10">
        <f>MIN('02_Данные'!AR112,CQ112)</f>
        <v/>
      </c>
      <c r="CS112" s="10">
        <f>CQ112-CR112</f>
        <v/>
      </c>
      <c r="CT112" s="10">
        <f>MIN('02_Данные'!AS112,CS112)</f>
        <v/>
      </c>
      <c r="CU112" s="10">
        <f>CS112-CT112</f>
        <v/>
      </c>
      <c r="CV112" s="10">
        <f>MIN('02_Данные'!AT112,CU112)</f>
        <v/>
      </c>
      <c r="CW112" s="10">
        <f>CU112-CV112</f>
        <v/>
      </c>
      <c r="CX112" s="10">
        <f>MIN('02_Данные'!AY112,CW112)</f>
        <v/>
      </c>
      <c r="CY112" s="10">
        <f>CW112-CX112</f>
        <v/>
      </c>
      <c r="CZ112" s="10">
        <f>MIN('02_Данные'!AV112,CY112)</f>
        <v/>
      </c>
      <c r="DA112" s="10">
        <f>CY112-CZ112</f>
        <v/>
      </c>
      <c r="DB112" s="10">
        <f>MIN('02_Данные'!AU112,DA112)</f>
        <v/>
      </c>
      <c r="DC112" s="10">
        <f>DA112-DB112</f>
        <v/>
      </c>
      <c r="DD112" s="10">
        <f>MIN('02_Данные'!AW112,DC112)</f>
        <v/>
      </c>
      <c r="DE112" s="10">
        <f>DC112-DD112</f>
        <v/>
      </c>
      <c r="DF112" s="10">
        <f>MIN('02_Данные'!AX112,DE112)</f>
        <v/>
      </c>
      <c r="DG112" s="10">
        <f>DE112-DF112</f>
        <v/>
      </c>
    </row>
    <row r="113">
      <c r="A113" s="9">
        <f>'02_Данные'!B113</f>
        <v/>
      </c>
      <c r="B113" s="9">
        <f>'02_Данные'!E113</f>
        <v/>
      </c>
      <c r="C113" s="10">
        <f>'02_Данные'!F113+'02_Данные'!G113+'02_Данные'!H113+'02_Данные'!I113+'02_Данные'!J113+'02_Данные'!K113</f>
        <v/>
      </c>
      <c r="D113" s="10">
        <f>SUM('02_Данные'!L113:'02_Данные'!AY113)</f>
        <v/>
      </c>
      <c r="E113" s="10">
        <f>MAX(0,D113-C113)</f>
        <v/>
      </c>
      <c r="F113" s="15">
        <f>IF(E113&gt;0.0001,"ДЕФИЦИТ",IF(Y113&gt;0.0001,"ПРОФИЦИТ","БАЛАНС"))</f>
        <v/>
      </c>
      <c r="G113" s="10">
        <f>AB113+AS113+BJ113+CA113+CR113</f>
        <v/>
      </c>
      <c r="H113" s="10">
        <f>AD113+AU113+BL113+CC113+CT113</f>
        <v/>
      </c>
      <c r="I113" s="10">
        <f>AF113+AW113+BN113+CE113+CV113</f>
        <v/>
      </c>
      <c r="J113" s="10">
        <f>AL113+BC113+BT113+CK113+DB113</f>
        <v/>
      </c>
      <c r="K113" s="10">
        <f>AJ113+BA113+BR113+CI113+CZ113</f>
        <v/>
      </c>
      <c r="L113" s="10">
        <f>AN113+BE113+BV113+CM113+DD113</f>
        <v/>
      </c>
      <c r="M113" s="10">
        <f>AP113+BG113+BX113+CO113+DF113</f>
        <v/>
      </c>
      <c r="N113" s="10">
        <f>AH113+AY113+BP113+CG113+CX113</f>
        <v/>
      </c>
      <c r="O113" s="10">
        <f>SUM(G113:N113)</f>
        <v/>
      </c>
      <c r="P113" s="10">
        <f>IFERROR(G113*MIN(1,'01_Нормативы'!$C$4/SUM(G$2:G$429)),0)</f>
        <v/>
      </c>
      <c r="Q113" s="10">
        <f>IFERROR(H113*MIN(1,'01_Нормативы'!$C$5/SUM(H$2:H$429)),0)</f>
        <v/>
      </c>
      <c r="R113" s="10">
        <f>IFERROR(I113*MIN(1,'01_Нормативы'!$C$6/SUM(I$2:I$429)),0)</f>
        <v/>
      </c>
      <c r="S113" s="10">
        <f>IFERROR(J113*MIN(1,'01_Нормативы'!$C$7/SUM(J$2:J$429)),0)</f>
        <v/>
      </c>
      <c r="T113" s="10">
        <f>IFERROR(K113*MIN(1,'01_Нормативы'!$C$8/SUM(K$2:K$429)),0)</f>
        <v/>
      </c>
      <c r="U113" s="10">
        <f>IFERROR(L113*MIN(1,'01_Нормативы'!$C$9/SUM(L$2:L$429)),0)</f>
        <v/>
      </c>
      <c r="V113" s="10">
        <f>IFERROR(M113*MIN(1,'01_Нормативы'!$C$10/SUM(M$2:M$429)),0)</f>
        <v/>
      </c>
      <c r="W113" s="10">
        <f>IFERROR(N113*MIN(1,'01_Нормативы'!$C$11/SUM(N$2:N$429)),0)</f>
        <v/>
      </c>
      <c r="X113" s="10">
        <f>SUM(P113:W113)</f>
        <v/>
      </c>
      <c r="Y113" s="10">
        <f>MAX(0,C113-X113)</f>
        <v/>
      </c>
      <c r="Z113" s="10">
        <f>IF(D113=0,100,X113/D113*100)</f>
        <v/>
      </c>
      <c r="AA113" s="10">
        <f>'02_Данные'!F113+'02_Данные'!G113</f>
        <v/>
      </c>
      <c r="AB113" s="10">
        <f>MIN('02_Данные'!L113,AA113)</f>
        <v/>
      </c>
      <c r="AC113" s="10">
        <f>AA113-AB113</f>
        <v/>
      </c>
      <c r="AD113" s="10">
        <f>MIN('02_Данные'!M113,AC113)</f>
        <v/>
      </c>
      <c r="AE113" s="10">
        <f>AC113-AD113</f>
        <v/>
      </c>
      <c r="AF113" s="10">
        <f>MIN('02_Данные'!N113,AE113)</f>
        <v/>
      </c>
      <c r="AG113" s="10">
        <f>AE113-AF113</f>
        <v/>
      </c>
      <c r="AH113" s="10">
        <f>MIN('02_Данные'!S113,AG113)</f>
        <v/>
      </c>
      <c r="AI113" s="10">
        <f>AG113-AH113</f>
        <v/>
      </c>
      <c r="AJ113" s="10">
        <f>MIN('02_Данные'!P113,AI113)</f>
        <v/>
      </c>
      <c r="AK113" s="10">
        <f>AI113-AJ113</f>
        <v/>
      </c>
      <c r="AL113" s="10">
        <f>MIN('02_Данные'!O113,AK113)</f>
        <v/>
      </c>
      <c r="AM113" s="10">
        <f>AK113-AL113</f>
        <v/>
      </c>
      <c r="AN113" s="10">
        <f>MIN('02_Данные'!Q113,AM113)</f>
        <v/>
      </c>
      <c r="AO113" s="10">
        <f>AM113-AN113</f>
        <v/>
      </c>
      <c r="AP113" s="10">
        <f>MIN('02_Данные'!R113,AO113)</f>
        <v/>
      </c>
      <c r="AQ113" s="10">
        <f>AO113-AP113</f>
        <v/>
      </c>
      <c r="AR113" s="10">
        <f>AQ113+'02_Данные'!H113</f>
        <v/>
      </c>
      <c r="AS113" s="10">
        <f>MIN('02_Данные'!T113,AR113)</f>
        <v/>
      </c>
      <c r="AT113" s="10">
        <f>AR113-AS113</f>
        <v/>
      </c>
      <c r="AU113" s="10">
        <f>MIN('02_Данные'!U113,AT113)</f>
        <v/>
      </c>
      <c r="AV113" s="10">
        <f>AT113-AU113</f>
        <v/>
      </c>
      <c r="AW113" s="10">
        <f>MIN('02_Данные'!V113,AV113)</f>
        <v/>
      </c>
      <c r="AX113" s="10">
        <f>AV113-AW113</f>
        <v/>
      </c>
      <c r="AY113" s="10">
        <f>MIN('02_Данные'!AA113,AX113)</f>
        <v/>
      </c>
      <c r="AZ113" s="10">
        <f>AX113-AY113</f>
        <v/>
      </c>
      <c r="BA113" s="10">
        <f>MIN('02_Данные'!X113,AZ113)</f>
        <v/>
      </c>
      <c r="BB113" s="10">
        <f>AZ113-BA113</f>
        <v/>
      </c>
      <c r="BC113" s="10">
        <f>MIN('02_Данные'!W113,BB113)</f>
        <v/>
      </c>
      <c r="BD113" s="10">
        <f>BB113-BC113</f>
        <v/>
      </c>
      <c r="BE113" s="10">
        <f>MIN('02_Данные'!Y113,BD113)</f>
        <v/>
      </c>
      <c r="BF113" s="10">
        <f>BD113-BE113</f>
        <v/>
      </c>
      <c r="BG113" s="10">
        <f>MIN('02_Данные'!Z113,BF113)</f>
        <v/>
      </c>
      <c r="BH113" s="10">
        <f>BF113-BG113</f>
        <v/>
      </c>
      <c r="BI113" s="10">
        <f>BH113+'02_Данные'!I113</f>
        <v/>
      </c>
      <c r="BJ113" s="10">
        <f>MIN('02_Данные'!AB113,BI113)</f>
        <v/>
      </c>
      <c r="BK113" s="10">
        <f>BI113-BJ113</f>
        <v/>
      </c>
      <c r="BL113" s="10">
        <f>MIN('02_Данные'!AC113,BK113)</f>
        <v/>
      </c>
      <c r="BM113" s="10">
        <f>BK113-BL113</f>
        <v/>
      </c>
      <c r="BN113" s="10">
        <f>MIN('02_Данные'!AD113,BM113)</f>
        <v/>
      </c>
      <c r="BO113" s="10">
        <f>BM113-BN113</f>
        <v/>
      </c>
      <c r="BP113" s="10">
        <f>MIN('02_Данные'!AI113,BO113)</f>
        <v/>
      </c>
      <c r="BQ113" s="10">
        <f>BO113-BP113</f>
        <v/>
      </c>
      <c r="BR113" s="10">
        <f>MIN('02_Данные'!AF113,BQ113)</f>
        <v/>
      </c>
      <c r="BS113" s="10">
        <f>BQ113-BR113</f>
        <v/>
      </c>
      <c r="BT113" s="10">
        <f>MIN('02_Данные'!AE113,BS113)</f>
        <v/>
      </c>
      <c r="BU113" s="10">
        <f>BS113-BT113</f>
        <v/>
      </c>
      <c r="BV113" s="10">
        <f>MIN('02_Данные'!AG113,BU113)</f>
        <v/>
      </c>
      <c r="BW113" s="10">
        <f>BU113-BV113</f>
        <v/>
      </c>
      <c r="BX113" s="10">
        <f>MIN('02_Данные'!AH113,BW113)</f>
        <v/>
      </c>
      <c r="BY113" s="10">
        <f>BW113-BX113</f>
        <v/>
      </c>
      <c r="BZ113" s="10">
        <f>BY113+'02_Данные'!J113</f>
        <v/>
      </c>
      <c r="CA113" s="10">
        <f>MIN('02_Данные'!AJ113,BZ113)</f>
        <v/>
      </c>
      <c r="CB113" s="10">
        <f>BZ113-CA113</f>
        <v/>
      </c>
      <c r="CC113" s="10">
        <f>MIN('02_Данные'!AK113,CB113)</f>
        <v/>
      </c>
      <c r="CD113" s="10">
        <f>CB113-CC113</f>
        <v/>
      </c>
      <c r="CE113" s="10">
        <f>MIN('02_Данные'!AL113,CD113)</f>
        <v/>
      </c>
      <c r="CF113" s="10">
        <f>CD113-CE113</f>
        <v/>
      </c>
      <c r="CG113" s="10">
        <f>MIN('02_Данные'!AQ113,CF113)</f>
        <v/>
      </c>
      <c r="CH113" s="10">
        <f>CF113-CG113</f>
        <v/>
      </c>
      <c r="CI113" s="10">
        <f>MIN('02_Данные'!AN113,CH113)</f>
        <v/>
      </c>
      <c r="CJ113" s="10">
        <f>CH113-CI113</f>
        <v/>
      </c>
      <c r="CK113" s="10">
        <f>MIN('02_Данные'!AM113,CJ113)</f>
        <v/>
      </c>
      <c r="CL113" s="10">
        <f>CJ113-CK113</f>
        <v/>
      </c>
      <c r="CM113" s="10">
        <f>MIN('02_Данные'!AO113,CL113)</f>
        <v/>
      </c>
      <c r="CN113" s="10">
        <f>CL113-CM113</f>
        <v/>
      </c>
      <c r="CO113" s="10">
        <f>MIN('02_Данные'!AP113,CN113)</f>
        <v/>
      </c>
      <c r="CP113" s="10">
        <f>CN113-CO113</f>
        <v/>
      </c>
      <c r="CQ113" s="10">
        <f>CP113+'02_Данные'!K113</f>
        <v/>
      </c>
      <c r="CR113" s="10">
        <f>MIN('02_Данные'!AR113,CQ113)</f>
        <v/>
      </c>
      <c r="CS113" s="10">
        <f>CQ113-CR113</f>
        <v/>
      </c>
      <c r="CT113" s="10">
        <f>MIN('02_Данные'!AS113,CS113)</f>
        <v/>
      </c>
      <c r="CU113" s="10">
        <f>CS113-CT113</f>
        <v/>
      </c>
      <c r="CV113" s="10">
        <f>MIN('02_Данные'!AT113,CU113)</f>
        <v/>
      </c>
      <c r="CW113" s="10">
        <f>CU113-CV113</f>
        <v/>
      </c>
      <c r="CX113" s="10">
        <f>MIN('02_Данные'!AY113,CW113)</f>
        <v/>
      </c>
      <c r="CY113" s="10">
        <f>CW113-CX113</f>
        <v/>
      </c>
      <c r="CZ113" s="10">
        <f>MIN('02_Данные'!AV113,CY113)</f>
        <v/>
      </c>
      <c r="DA113" s="10">
        <f>CY113-CZ113</f>
        <v/>
      </c>
      <c r="DB113" s="10">
        <f>MIN('02_Данные'!AU113,DA113)</f>
        <v/>
      </c>
      <c r="DC113" s="10">
        <f>DA113-DB113</f>
        <v/>
      </c>
      <c r="DD113" s="10">
        <f>MIN('02_Данные'!AW113,DC113)</f>
        <v/>
      </c>
      <c r="DE113" s="10">
        <f>DC113-DD113</f>
        <v/>
      </c>
      <c r="DF113" s="10">
        <f>MIN('02_Данные'!AX113,DE113)</f>
        <v/>
      </c>
      <c r="DG113" s="10">
        <f>DE113-DF113</f>
        <v/>
      </c>
    </row>
    <row r="114">
      <c r="A114" s="9">
        <f>'02_Данные'!B114</f>
        <v/>
      </c>
      <c r="B114" s="9">
        <f>'02_Данные'!E114</f>
        <v/>
      </c>
      <c r="C114" s="10">
        <f>'02_Данные'!F114+'02_Данные'!G114+'02_Данные'!H114+'02_Данные'!I114+'02_Данные'!J114+'02_Данные'!K114</f>
        <v/>
      </c>
      <c r="D114" s="10">
        <f>SUM('02_Данные'!L114:'02_Данные'!AY114)</f>
        <v/>
      </c>
      <c r="E114" s="10">
        <f>MAX(0,D114-C114)</f>
        <v/>
      </c>
      <c r="F114" s="15">
        <f>IF(E114&gt;0.0001,"ДЕФИЦИТ",IF(Y114&gt;0.0001,"ПРОФИЦИТ","БАЛАНС"))</f>
        <v/>
      </c>
      <c r="G114" s="10">
        <f>AB114+AS114+BJ114+CA114+CR114</f>
        <v/>
      </c>
      <c r="H114" s="10">
        <f>AD114+AU114+BL114+CC114+CT114</f>
        <v/>
      </c>
      <c r="I114" s="10">
        <f>AF114+AW114+BN114+CE114+CV114</f>
        <v/>
      </c>
      <c r="J114" s="10">
        <f>AL114+BC114+BT114+CK114+DB114</f>
        <v/>
      </c>
      <c r="K114" s="10">
        <f>AJ114+BA114+BR114+CI114+CZ114</f>
        <v/>
      </c>
      <c r="L114" s="10">
        <f>AN114+BE114+BV114+CM114+DD114</f>
        <v/>
      </c>
      <c r="M114" s="10">
        <f>AP114+BG114+BX114+CO114+DF114</f>
        <v/>
      </c>
      <c r="N114" s="10">
        <f>AH114+AY114+BP114+CG114+CX114</f>
        <v/>
      </c>
      <c r="O114" s="10">
        <f>SUM(G114:N114)</f>
        <v/>
      </c>
      <c r="P114" s="10">
        <f>IFERROR(G114*MIN(1,'01_Нормативы'!$C$4/SUM(G$2:G$429)),0)</f>
        <v/>
      </c>
      <c r="Q114" s="10">
        <f>IFERROR(H114*MIN(1,'01_Нормативы'!$C$5/SUM(H$2:H$429)),0)</f>
        <v/>
      </c>
      <c r="R114" s="10">
        <f>IFERROR(I114*MIN(1,'01_Нормативы'!$C$6/SUM(I$2:I$429)),0)</f>
        <v/>
      </c>
      <c r="S114" s="10">
        <f>IFERROR(J114*MIN(1,'01_Нормативы'!$C$7/SUM(J$2:J$429)),0)</f>
        <v/>
      </c>
      <c r="T114" s="10">
        <f>IFERROR(K114*MIN(1,'01_Нормативы'!$C$8/SUM(K$2:K$429)),0)</f>
        <v/>
      </c>
      <c r="U114" s="10">
        <f>IFERROR(L114*MIN(1,'01_Нормативы'!$C$9/SUM(L$2:L$429)),0)</f>
        <v/>
      </c>
      <c r="V114" s="10">
        <f>IFERROR(M114*MIN(1,'01_Нормативы'!$C$10/SUM(M$2:M$429)),0)</f>
        <v/>
      </c>
      <c r="W114" s="10">
        <f>IFERROR(N114*MIN(1,'01_Нормативы'!$C$11/SUM(N$2:N$429)),0)</f>
        <v/>
      </c>
      <c r="X114" s="10">
        <f>SUM(P114:W114)</f>
        <v/>
      </c>
      <c r="Y114" s="10">
        <f>MAX(0,C114-X114)</f>
        <v/>
      </c>
      <c r="Z114" s="10">
        <f>IF(D114=0,100,X114/D114*100)</f>
        <v/>
      </c>
      <c r="AA114" s="10">
        <f>'02_Данные'!F114+'02_Данные'!G114</f>
        <v/>
      </c>
      <c r="AB114" s="10">
        <f>MIN('02_Данные'!L114,AA114)</f>
        <v/>
      </c>
      <c r="AC114" s="10">
        <f>AA114-AB114</f>
        <v/>
      </c>
      <c r="AD114" s="10">
        <f>MIN('02_Данные'!M114,AC114)</f>
        <v/>
      </c>
      <c r="AE114" s="10">
        <f>AC114-AD114</f>
        <v/>
      </c>
      <c r="AF114" s="10">
        <f>MIN('02_Данные'!N114,AE114)</f>
        <v/>
      </c>
      <c r="AG114" s="10">
        <f>AE114-AF114</f>
        <v/>
      </c>
      <c r="AH114" s="10">
        <f>MIN('02_Данные'!S114,AG114)</f>
        <v/>
      </c>
      <c r="AI114" s="10">
        <f>AG114-AH114</f>
        <v/>
      </c>
      <c r="AJ114" s="10">
        <f>MIN('02_Данные'!P114,AI114)</f>
        <v/>
      </c>
      <c r="AK114" s="10">
        <f>AI114-AJ114</f>
        <v/>
      </c>
      <c r="AL114" s="10">
        <f>MIN('02_Данные'!O114,AK114)</f>
        <v/>
      </c>
      <c r="AM114" s="10">
        <f>AK114-AL114</f>
        <v/>
      </c>
      <c r="AN114" s="10">
        <f>MIN('02_Данные'!Q114,AM114)</f>
        <v/>
      </c>
      <c r="AO114" s="10">
        <f>AM114-AN114</f>
        <v/>
      </c>
      <c r="AP114" s="10">
        <f>MIN('02_Данные'!R114,AO114)</f>
        <v/>
      </c>
      <c r="AQ114" s="10">
        <f>AO114-AP114</f>
        <v/>
      </c>
      <c r="AR114" s="10">
        <f>AQ114+'02_Данные'!H114</f>
        <v/>
      </c>
      <c r="AS114" s="10">
        <f>MIN('02_Данные'!T114,AR114)</f>
        <v/>
      </c>
      <c r="AT114" s="10">
        <f>AR114-AS114</f>
        <v/>
      </c>
      <c r="AU114" s="10">
        <f>MIN('02_Данные'!U114,AT114)</f>
        <v/>
      </c>
      <c r="AV114" s="10">
        <f>AT114-AU114</f>
        <v/>
      </c>
      <c r="AW114" s="10">
        <f>MIN('02_Данные'!V114,AV114)</f>
        <v/>
      </c>
      <c r="AX114" s="10">
        <f>AV114-AW114</f>
        <v/>
      </c>
      <c r="AY114" s="10">
        <f>MIN('02_Данные'!AA114,AX114)</f>
        <v/>
      </c>
      <c r="AZ114" s="10">
        <f>AX114-AY114</f>
        <v/>
      </c>
      <c r="BA114" s="10">
        <f>MIN('02_Данные'!X114,AZ114)</f>
        <v/>
      </c>
      <c r="BB114" s="10">
        <f>AZ114-BA114</f>
        <v/>
      </c>
      <c r="BC114" s="10">
        <f>MIN('02_Данные'!W114,BB114)</f>
        <v/>
      </c>
      <c r="BD114" s="10">
        <f>BB114-BC114</f>
        <v/>
      </c>
      <c r="BE114" s="10">
        <f>MIN('02_Данные'!Y114,BD114)</f>
        <v/>
      </c>
      <c r="BF114" s="10">
        <f>BD114-BE114</f>
        <v/>
      </c>
      <c r="BG114" s="10">
        <f>MIN('02_Данные'!Z114,BF114)</f>
        <v/>
      </c>
      <c r="BH114" s="10">
        <f>BF114-BG114</f>
        <v/>
      </c>
      <c r="BI114" s="10">
        <f>BH114+'02_Данные'!I114</f>
        <v/>
      </c>
      <c r="BJ114" s="10">
        <f>MIN('02_Данные'!AB114,BI114)</f>
        <v/>
      </c>
      <c r="BK114" s="10">
        <f>BI114-BJ114</f>
        <v/>
      </c>
      <c r="BL114" s="10">
        <f>MIN('02_Данные'!AC114,BK114)</f>
        <v/>
      </c>
      <c r="BM114" s="10">
        <f>BK114-BL114</f>
        <v/>
      </c>
      <c r="BN114" s="10">
        <f>MIN('02_Данные'!AD114,BM114)</f>
        <v/>
      </c>
      <c r="BO114" s="10">
        <f>BM114-BN114</f>
        <v/>
      </c>
      <c r="BP114" s="10">
        <f>MIN('02_Данные'!AI114,BO114)</f>
        <v/>
      </c>
      <c r="BQ114" s="10">
        <f>BO114-BP114</f>
        <v/>
      </c>
      <c r="BR114" s="10">
        <f>MIN('02_Данные'!AF114,BQ114)</f>
        <v/>
      </c>
      <c r="BS114" s="10">
        <f>BQ114-BR114</f>
        <v/>
      </c>
      <c r="BT114" s="10">
        <f>MIN('02_Данные'!AE114,BS114)</f>
        <v/>
      </c>
      <c r="BU114" s="10">
        <f>BS114-BT114</f>
        <v/>
      </c>
      <c r="BV114" s="10">
        <f>MIN('02_Данные'!AG114,BU114)</f>
        <v/>
      </c>
      <c r="BW114" s="10">
        <f>BU114-BV114</f>
        <v/>
      </c>
      <c r="BX114" s="10">
        <f>MIN('02_Данные'!AH114,BW114)</f>
        <v/>
      </c>
      <c r="BY114" s="10">
        <f>BW114-BX114</f>
        <v/>
      </c>
      <c r="BZ114" s="10">
        <f>BY114+'02_Данные'!J114</f>
        <v/>
      </c>
      <c r="CA114" s="10">
        <f>MIN('02_Данные'!AJ114,BZ114)</f>
        <v/>
      </c>
      <c r="CB114" s="10">
        <f>BZ114-CA114</f>
        <v/>
      </c>
      <c r="CC114" s="10">
        <f>MIN('02_Данные'!AK114,CB114)</f>
        <v/>
      </c>
      <c r="CD114" s="10">
        <f>CB114-CC114</f>
        <v/>
      </c>
      <c r="CE114" s="10">
        <f>MIN('02_Данные'!AL114,CD114)</f>
        <v/>
      </c>
      <c r="CF114" s="10">
        <f>CD114-CE114</f>
        <v/>
      </c>
      <c r="CG114" s="10">
        <f>MIN('02_Данные'!AQ114,CF114)</f>
        <v/>
      </c>
      <c r="CH114" s="10">
        <f>CF114-CG114</f>
        <v/>
      </c>
      <c r="CI114" s="10">
        <f>MIN('02_Данные'!AN114,CH114)</f>
        <v/>
      </c>
      <c r="CJ114" s="10">
        <f>CH114-CI114</f>
        <v/>
      </c>
      <c r="CK114" s="10">
        <f>MIN('02_Данные'!AM114,CJ114)</f>
        <v/>
      </c>
      <c r="CL114" s="10">
        <f>CJ114-CK114</f>
        <v/>
      </c>
      <c r="CM114" s="10">
        <f>MIN('02_Данные'!AO114,CL114)</f>
        <v/>
      </c>
      <c r="CN114" s="10">
        <f>CL114-CM114</f>
        <v/>
      </c>
      <c r="CO114" s="10">
        <f>MIN('02_Данные'!AP114,CN114)</f>
        <v/>
      </c>
      <c r="CP114" s="10">
        <f>CN114-CO114</f>
        <v/>
      </c>
      <c r="CQ114" s="10">
        <f>CP114+'02_Данные'!K114</f>
        <v/>
      </c>
      <c r="CR114" s="10">
        <f>MIN('02_Данные'!AR114,CQ114)</f>
        <v/>
      </c>
      <c r="CS114" s="10">
        <f>CQ114-CR114</f>
        <v/>
      </c>
      <c r="CT114" s="10">
        <f>MIN('02_Данные'!AS114,CS114)</f>
        <v/>
      </c>
      <c r="CU114" s="10">
        <f>CS114-CT114</f>
        <v/>
      </c>
      <c r="CV114" s="10">
        <f>MIN('02_Данные'!AT114,CU114)</f>
        <v/>
      </c>
      <c r="CW114" s="10">
        <f>CU114-CV114</f>
        <v/>
      </c>
      <c r="CX114" s="10">
        <f>MIN('02_Данные'!AY114,CW114)</f>
        <v/>
      </c>
      <c r="CY114" s="10">
        <f>CW114-CX114</f>
        <v/>
      </c>
      <c r="CZ114" s="10">
        <f>MIN('02_Данные'!AV114,CY114)</f>
        <v/>
      </c>
      <c r="DA114" s="10">
        <f>CY114-CZ114</f>
        <v/>
      </c>
      <c r="DB114" s="10">
        <f>MIN('02_Данные'!AU114,DA114)</f>
        <v/>
      </c>
      <c r="DC114" s="10">
        <f>DA114-DB114</f>
        <v/>
      </c>
      <c r="DD114" s="10">
        <f>MIN('02_Данные'!AW114,DC114)</f>
        <v/>
      </c>
      <c r="DE114" s="10">
        <f>DC114-DD114</f>
        <v/>
      </c>
      <c r="DF114" s="10">
        <f>MIN('02_Данные'!AX114,DE114)</f>
        <v/>
      </c>
      <c r="DG114" s="10">
        <f>DE114-DF114</f>
        <v/>
      </c>
    </row>
    <row r="115">
      <c r="A115" s="9">
        <f>'02_Данные'!B115</f>
        <v/>
      </c>
      <c r="B115" s="9">
        <f>'02_Данные'!E115</f>
        <v/>
      </c>
      <c r="C115" s="10">
        <f>'02_Данные'!F115+'02_Данные'!G115+'02_Данные'!H115+'02_Данные'!I115+'02_Данные'!J115+'02_Данные'!K115</f>
        <v/>
      </c>
      <c r="D115" s="10">
        <f>SUM('02_Данные'!L115:'02_Данные'!AY115)</f>
        <v/>
      </c>
      <c r="E115" s="10">
        <f>MAX(0,D115-C115)</f>
        <v/>
      </c>
      <c r="F115" s="15">
        <f>IF(E115&gt;0.0001,"ДЕФИЦИТ",IF(Y115&gt;0.0001,"ПРОФИЦИТ","БАЛАНС"))</f>
        <v/>
      </c>
      <c r="G115" s="10">
        <f>AB115+AS115+BJ115+CA115+CR115</f>
        <v/>
      </c>
      <c r="H115" s="10">
        <f>AD115+AU115+BL115+CC115+CT115</f>
        <v/>
      </c>
      <c r="I115" s="10">
        <f>AF115+AW115+BN115+CE115+CV115</f>
        <v/>
      </c>
      <c r="J115" s="10">
        <f>AL115+BC115+BT115+CK115+DB115</f>
        <v/>
      </c>
      <c r="K115" s="10">
        <f>AJ115+BA115+BR115+CI115+CZ115</f>
        <v/>
      </c>
      <c r="L115" s="10">
        <f>AN115+BE115+BV115+CM115+DD115</f>
        <v/>
      </c>
      <c r="M115" s="10">
        <f>AP115+BG115+BX115+CO115+DF115</f>
        <v/>
      </c>
      <c r="N115" s="10">
        <f>AH115+AY115+BP115+CG115+CX115</f>
        <v/>
      </c>
      <c r="O115" s="10">
        <f>SUM(G115:N115)</f>
        <v/>
      </c>
      <c r="P115" s="10">
        <f>IFERROR(G115*MIN(1,'01_Нормативы'!$C$4/SUM(G$2:G$429)),0)</f>
        <v/>
      </c>
      <c r="Q115" s="10">
        <f>IFERROR(H115*MIN(1,'01_Нормативы'!$C$5/SUM(H$2:H$429)),0)</f>
        <v/>
      </c>
      <c r="R115" s="10">
        <f>IFERROR(I115*MIN(1,'01_Нормативы'!$C$6/SUM(I$2:I$429)),0)</f>
        <v/>
      </c>
      <c r="S115" s="10">
        <f>IFERROR(J115*MIN(1,'01_Нормативы'!$C$7/SUM(J$2:J$429)),0)</f>
        <v/>
      </c>
      <c r="T115" s="10">
        <f>IFERROR(K115*MIN(1,'01_Нормативы'!$C$8/SUM(K$2:K$429)),0)</f>
        <v/>
      </c>
      <c r="U115" s="10">
        <f>IFERROR(L115*MIN(1,'01_Нормативы'!$C$9/SUM(L$2:L$429)),0)</f>
        <v/>
      </c>
      <c r="V115" s="10">
        <f>IFERROR(M115*MIN(1,'01_Нормативы'!$C$10/SUM(M$2:M$429)),0)</f>
        <v/>
      </c>
      <c r="W115" s="10">
        <f>IFERROR(N115*MIN(1,'01_Нормативы'!$C$11/SUM(N$2:N$429)),0)</f>
        <v/>
      </c>
      <c r="X115" s="10">
        <f>SUM(P115:W115)</f>
        <v/>
      </c>
      <c r="Y115" s="10">
        <f>MAX(0,C115-X115)</f>
        <v/>
      </c>
      <c r="Z115" s="10">
        <f>IF(D115=0,100,X115/D115*100)</f>
        <v/>
      </c>
      <c r="AA115" s="10">
        <f>'02_Данные'!F115+'02_Данные'!G115</f>
        <v/>
      </c>
      <c r="AB115" s="10">
        <f>MIN('02_Данные'!L115,AA115)</f>
        <v/>
      </c>
      <c r="AC115" s="10">
        <f>AA115-AB115</f>
        <v/>
      </c>
      <c r="AD115" s="10">
        <f>MIN('02_Данные'!M115,AC115)</f>
        <v/>
      </c>
      <c r="AE115" s="10">
        <f>AC115-AD115</f>
        <v/>
      </c>
      <c r="AF115" s="10">
        <f>MIN('02_Данные'!N115,AE115)</f>
        <v/>
      </c>
      <c r="AG115" s="10">
        <f>AE115-AF115</f>
        <v/>
      </c>
      <c r="AH115" s="10">
        <f>MIN('02_Данные'!S115,AG115)</f>
        <v/>
      </c>
      <c r="AI115" s="10">
        <f>AG115-AH115</f>
        <v/>
      </c>
      <c r="AJ115" s="10">
        <f>MIN('02_Данные'!P115,AI115)</f>
        <v/>
      </c>
      <c r="AK115" s="10">
        <f>AI115-AJ115</f>
        <v/>
      </c>
      <c r="AL115" s="10">
        <f>MIN('02_Данные'!O115,AK115)</f>
        <v/>
      </c>
      <c r="AM115" s="10">
        <f>AK115-AL115</f>
        <v/>
      </c>
      <c r="AN115" s="10">
        <f>MIN('02_Данные'!Q115,AM115)</f>
        <v/>
      </c>
      <c r="AO115" s="10">
        <f>AM115-AN115</f>
        <v/>
      </c>
      <c r="AP115" s="10">
        <f>MIN('02_Данные'!R115,AO115)</f>
        <v/>
      </c>
      <c r="AQ115" s="10">
        <f>AO115-AP115</f>
        <v/>
      </c>
      <c r="AR115" s="10">
        <f>AQ115+'02_Данные'!H115</f>
        <v/>
      </c>
      <c r="AS115" s="10">
        <f>MIN('02_Данные'!T115,AR115)</f>
        <v/>
      </c>
      <c r="AT115" s="10">
        <f>AR115-AS115</f>
        <v/>
      </c>
      <c r="AU115" s="10">
        <f>MIN('02_Данные'!U115,AT115)</f>
        <v/>
      </c>
      <c r="AV115" s="10">
        <f>AT115-AU115</f>
        <v/>
      </c>
      <c r="AW115" s="10">
        <f>MIN('02_Данные'!V115,AV115)</f>
        <v/>
      </c>
      <c r="AX115" s="10">
        <f>AV115-AW115</f>
        <v/>
      </c>
      <c r="AY115" s="10">
        <f>MIN('02_Данные'!AA115,AX115)</f>
        <v/>
      </c>
      <c r="AZ115" s="10">
        <f>AX115-AY115</f>
        <v/>
      </c>
      <c r="BA115" s="10">
        <f>MIN('02_Данные'!X115,AZ115)</f>
        <v/>
      </c>
      <c r="BB115" s="10">
        <f>AZ115-BA115</f>
        <v/>
      </c>
      <c r="BC115" s="10">
        <f>MIN('02_Данные'!W115,BB115)</f>
        <v/>
      </c>
      <c r="BD115" s="10">
        <f>BB115-BC115</f>
        <v/>
      </c>
      <c r="BE115" s="10">
        <f>MIN('02_Данные'!Y115,BD115)</f>
        <v/>
      </c>
      <c r="BF115" s="10">
        <f>BD115-BE115</f>
        <v/>
      </c>
      <c r="BG115" s="10">
        <f>MIN('02_Данные'!Z115,BF115)</f>
        <v/>
      </c>
      <c r="BH115" s="10">
        <f>BF115-BG115</f>
        <v/>
      </c>
      <c r="BI115" s="10">
        <f>BH115+'02_Данные'!I115</f>
        <v/>
      </c>
      <c r="BJ115" s="10">
        <f>MIN('02_Данные'!AB115,BI115)</f>
        <v/>
      </c>
      <c r="BK115" s="10">
        <f>BI115-BJ115</f>
        <v/>
      </c>
      <c r="BL115" s="10">
        <f>MIN('02_Данные'!AC115,BK115)</f>
        <v/>
      </c>
      <c r="BM115" s="10">
        <f>BK115-BL115</f>
        <v/>
      </c>
      <c r="BN115" s="10">
        <f>MIN('02_Данные'!AD115,BM115)</f>
        <v/>
      </c>
      <c r="BO115" s="10">
        <f>BM115-BN115</f>
        <v/>
      </c>
      <c r="BP115" s="10">
        <f>MIN('02_Данные'!AI115,BO115)</f>
        <v/>
      </c>
      <c r="BQ115" s="10">
        <f>BO115-BP115</f>
        <v/>
      </c>
      <c r="BR115" s="10">
        <f>MIN('02_Данные'!AF115,BQ115)</f>
        <v/>
      </c>
      <c r="BS115" s="10">
        <f>BQ115-BR115</f>
        <v/>
      </c>
      <c r="BT115" s="10">
        <f>MIN('02_Данные'!AE115,BS115)</f>
        <v/>
      </c>
      <c r="BU115" s="10">
        <f>BS115-BT115</f>
        <v/>
      </c>
      <c r="BV115" s="10">
        <f>MIN('02_Данные'!AG115,BU115)</f>
        <v/>
      </c>
      <c r="BW115" s="10">
        <f>BU115-BV115</f>
        <v/>
      </c>
      <c r="BX115" s="10">
        <f>MIN('02_Данные'!AH115,BW115)</f>
        <v/>
      </c>
      <c r="BY115" s="10">
        <f>BW115-BX115</f>
        <v/>
      </c>
      <c r="BZ115" s="10">
        <f>BY115+'02_Данные'!J115</f>
        <v/>
      </c>
      <c r="CA115" s="10">
        <f>MIN('02_Данные'!AJ115,BZ115)</f>
        <v/>
      </c>
      <c r="CB115" s="10">
        <f>BZ115-CA115</f>
        <v/>
      </c>
      <c r="CC115" s="10">
        <f>MIN('02_Данные'!AK115,CB115)</f>
        <v/>
      </c>
      <c r="CD115" s="10">
        <f>CB115-CC115</f>
        <v/>
      </c>
      <c r="CE115" s="10">
        <f>MIN('02_Данные'!AL115,CD115)</f>
        <v/>
      </c>
      <c r="CF115" s="10">
        <f>CD115-CE115</f>
        <v/>
      </c>
      <c r="CG115" s="10">
        <f>MIN('02_Данные'!AQ115,CF115)</f>
        <v/>
      </c>
      <c r="CH115" s="10">
        <f>CF115-CG115</f>
        <v/>
      </c>
      <c r="CI115" s="10">
        <f>MIN('02_Данные'!AN115,CH115)</f>
        <v/>
      </c>
      <c r="CJ115" s="10">
        <f>CH115-CI115</f>
        <v/>
      </c>
      <c r="CK115" s="10">
        <f>MIN('02_Данные'!AM115,CJ115)</f>
        <v/>
      </c>
      <c r="CL115" s="10">
        <f>CJ115-CK115</f>
        <v/>
      </c>
      <c r="CM115" s="10">
        <f>MIN('02_Данные'!AO115,CL115)</f>
        <v/>
      </c>
      <c r="CN115" s="10">
        <f>CL115-CM115</f>
        <v/>
      </c>
      <c r="CO115" s="10">
        <f>MIN('02_Данные'!AP115,CN115)</f>
        <v/>
      </c>
      <c r="CP115" s="10">
        <f>CN115-CO115</f>
        <v/>
      </c>
      <c r="CQ115" s="10">
        <f>CP115+'02_Данные'!K115</f>
        <v/>
      </c>
      <c r="CR115" s="10">
        <f>MIN('02_Данные'!AR115,CQ115)</f>
        <v/>
      </c>
      <c r="CS115" s="10">
        <f>CQ115-CR115</f>
        <v/>
      </c>
      <c r="CT115" s="10">
        <f>MIN('02_Данные'!AS115,CS115)</f>
        <v/>
      </c>
      <c r="CU115" s="10">
        <f>CS115-CT115</f>
        <v/>
      </c>
      <c r="CV115" s="10">
        <f>MIN('02_Данные'!AT115,CU115)</f>
        <v/>
      </c>
      <c r="CW115" s="10">
        <f>CU115-CV115</f>
        <v/>
      </c>
      <c r="CX115" s="10">
        <f>MIN('02_Данные'!AY115,CW115)</f>
        <v/>
      </c>
      <c r="CY115" s="10">
        <f>CW115-CX115</f>
        <v/>
      </c>
      <c r="CZ115" s="10">
        <f>MIN('02_Данные'!AV115,CY115)</f>
        <v/>
      </c>
      <c r="DA115" s="10">
        <f>CY115-CZ115</f>
        <v/>
      </c>
      <c r="DB115" s="10">
        <f>MIN('02_Данные'!AU115,DA115)</f>
        <v/>
      </c>
      <c r="DC115" s="10">
        <f>DA115-DB115</f>
        <v/>
      </c>
      <c r="DD115" s="10">
        <f>MIN('02_Данные'!AW115,DC115)</f>
        <v/>
      </c>
      <c r="DE115" s="10">
        <f>DC115-DD115</f>
        <v/>
      </c>
      <c r="DF115" s="10">
        <f>MIN('02_Данные'!AX115,DE115)</f>
        <v/>
      </c>
      <c r="DG115" s="10">
        <f>DE115-DF115</f>
        <v/>
      </c>
    </row>
    <row r="116">
      <c r="A116" s="9">
        <f>'02_Данные'!B116</f>
        <v/>
      </c>
      <c r="B116" s="9">
        <f>'02_Данные'!E116</f>
        <v/>
      </c>
      <c r="C116" s="10">
        <f>'02_Данные'!F116+'02_Данные'!G116+'02_Данные'!H116+'02_Данные'!I116+'02_Данные'!J116+'02_Данные'!K116</f>
        <v/>
      </c>
      <c r="D116" s="10">
        <f>SUM('02_Данные'!L116:'02_Данные'!AY116)</f>
        <v/>
      </c>
      <c r="E116" s="10">
        <f>MAX(0,D116-C116)</f>
        <v/>
      </c>
      <c r="F116" s="15">
        <f>IF(E116&gt;0.0001,"ДЕФИЦИТ",IF(Y116&gt;0.0001,"ПРОФИЦИТ","БАЛАНС"))</f>
        <v/>
      </c>
      <c r="G116" s="10">
        <f>AB116+AS116+BJ116+CA116+CR116</f>
        <v/>
      </c>
      <c r="H116" s="10">
        <f>AD116+AU116+BL116+CC116+CT116</f>
        <v/>
      </c>
      <c r="I116" s="10">
        <f>AF116+AW116+BN116+CE116+CV116</f>
        <v/>
      </c>
      <c r="J116" s="10">
        <f>AL116+BC116+BT116+CK116+DB116</f>
        <v/>
      </c>
      <c r="K116" s="10">
        <f>AJ116+BA116+BR116+CI116+CZ116</f>
        <v/>
      </c>
      <c r="L116" s="10">
        <f>AN116+BE116+BV116+CM116+DD116</f>
        <v/>
      </c>
      <c r="M116" s="10">
        <f>AP116+BG116+BX116+CO116+DF116</f>
        <v/>
      </c>
      <c r="N116" s="10">
        <f>AH116+AY116+BP116+CG116+CX116</f>
        <v/>
      </c>
      <c r="O116" s="10">
        <f>SUM(G116:N116)</f>
        <v/>
      </c>
      <c r="P116" s="10">
        <f>IFERROR(G116*MIN(1,'01_Нормативы'!$C$4/SUM(G$2:G$429)),0)</f>
        <v/>
      </c>
      <c r="Q116" s="10">
        <f>IFERROR(H116*MIN(1,'01_Нормативы'!$C$5/SUM(H$2:H$429)),0)</f>
        <v/>
      </c>
      <c r="R116" s="10">
        <f>IFERROR(I116*MIN(1,'01_Нормативы'!$C$6/SUM(I$2:I$429)),0)</f>
        <v/>
      </c>
      <c r="S116" s="10">
        <f>IFERROR(J116*MIN(1,'01_Нормативы'!$C$7/SUM(J$2:J$429)),0)</f>
        <v/>
      </c>
      <c r="T116" s="10">
        <f>IFERROR(K116*MIN(1,'01_Нормативы'!$C$8/SUM(K$2:K$429)),0)</f>
        <v/>
      </c>
      <c r="U116" s="10">
        <f>IFERROR(L116*MIN(1,'01_Нормативы'!$C$9/SUM(L$2:L$429)),0)</f>
        <v/>
      </c>
      <c r="V116" s="10">
        <f>IFERROR(M116*MIN(1,'01_Нормативы'!$C$10/SUM(M$2:M$429)),0)</f>
        <v/>
      </c>
      <c r="W116" s="10">
        <f>IFERROR(N116*MIN(1,'01_Нормативы'!$C$11/SUM(N$2:N$429)),0)</f>
        <v/>
      </c>
      <c r="X116" s="10">
        <f>SUM(P116:W116)</f>
        <v/>
      </c>
      <c r="Y116" s="10">
        <f>MAX(0,C116-X116)</f>
        <v/>
      </c>
      <c r="Z116" s="10">
        <f>IF(D116=0,100,X116/D116*100)</f>
        <v/>
      </c>
      <c r="AA116" s="10">
        <f>'02_Данные'!F116+'02_Данные'!G116</f>
        <v/>
      </c>
      <c r="AB116" s="10">
        <f>MIN('02_Данные'!L116,AA116)</f>
        <v/>
      </c>
      <c r="AC116" s="10">
        <f>AA116-AB116</f>
        <v/>
      </c>
      <c r="AD116" s="10">
        <f>MIN('02_Данные'!M116,AC116)</f>
        <v/>
      </c>
      <c r="AE116" s="10">
        <f>AC116-AD116</f>
        <v/>
      </c>
      <c r="AF116" s="10">
        <f>MIN('02_Данные'!N116,AE116)</f>
        <v/>
      </c>
      <c r="AG116" s="10">
        <f>AE116-AF116</f>
        <v/>
      </c>
      <c r="AH116" s="10">
        <f>MIN('02_Данные'!S116,AG116)</f>
        <v/>
      </c>
      <c r="AI116" s="10">
        <f>AG116-AH116</f>
        <v/>
      </c>
      <c r="AJ116" s="10">
        <f>MIN('02_Данные'!P116,AI116)</f>
        <v/>
      </c>
      <c r="AK116" s="10">
        <f>AI116-AJ116</f>
        <v/>
      </c>
      <c r="AL116" s="10">
        <f>MIN('02_Данные'!O116,AK116)</f>
        <v/>
      </c>
      <c r="AM116" s="10">
        <f>AK116-AL116</f>
        <v/>
      </c>
      <c r="AN116" s="10">
        <f>MIN('02_Данные'!Q116,AM116)</f>
        <v/>
      </c>
      <c r="AO116" s="10">
        <f>AM116-AN116</f>
        <v/>
      </c>
      <c r="AP116" s="10">
        <f>MIN('02_Данные'!R116,AO116)</f>
        <v/>
      </c>
      <c r="AQ116" s="10">
        <f>AO116-AP116</f>
        <v/>
      </c>
      <c r="AR116" s="10">
        <f>AQ116+'02_Данные'!H116</f>
        <v/>
      </c>
      <c r="AS116" s="10">
        <f>MIN('02_Данные'!T116,AR116)</f>
        <v/>
      </c>
      <c r="AT116" s="10">
        <f>AR116-AS116</f>
        <v/>
      </c>
      <c r="AU116" s="10">
        <f>MIN('02_Данные'!U116,AT116)</f>
        <v/>
      </c>
      <c r="AV116" s="10">
        <f>AT116-AU116</f>
        <v/>
      </c>
      <c r="AW116" s="10">
        <f>MIN('02_Данные'!V116,AV116)</f>
        <v/>
      </c>
      <c r="AX116" s="10">
        <f>AV116-AW116</f>
        <v/>
      </c>
      <c r="AY116" s="10">
        <f>MIN('02_Данные'!AA116,AX116)</f>
        <v/>
      </c>
      <c r="AZ116" s="10">
        <f>AX116-AY116</f>
        <v/>
      </c>
      <c r="BA116" s="10">
        <f>MIN('02_Данные'!X116,AZ116)</f>
        <v/>
      </c>
      <c r="BB116" s="10">
        <f>AZ116-BA116</f>
        <v/>
      </c>
      <c r="BC116" s="10">
        <f>MIN('02_Данные'!W116,BB116)</f>
        <v/>
      </c>
      <c r="BD116" s="10">
        <f>BB116-BC116</f>
        <v/>
      </c>
      <c r="BE116" s="10">
        <f>MIN('02_Данные'!Y116,BD116)</f>
        <v/>
      </c>
      <c r="BF116" s="10">
        <f>BD116-BE116</f>
        <v/>
      </c>
      <c r="BG116" s="10">
        <f>MIN('02_Данные'!Z116,BF116)</f>
        <v/>
      </c>
      <c r="BH116" s="10">
        <f>BF116-BG116</f>
        <v/>
      </c>
      <c r="BI116" s="10">
        <f>BH116+'02_Данные'!I116</f>
        <v/>
      </c>
      <c r="BJ116" s="10">
        <f>MIN('02_Данные'!AB116,BI116)</f>
        <v/>
      </c>
      <c r="BK116" s="10">
        <f>BI116-BJ116</f>
        <v/>
      </c>
      <c r="BL116" s="10">
        <f>MIN('02_Данные'!AC116,BK116)</f>
        <v/>
      </c>
      <c r="BM116" s="10">
        <f>BK116-BL116</f>
        <v/>
      </c>
      <c r="BN116" s="10">
        <f>MIN('02_Данные'!AD116,BM116)</f>
        <v/>
      </c>
      <c r="BO116" s="10">
        <f>BM116-BN116</f>
        <v/>
      </c>
      <c r="BP116" s="10">
        <f>MIN('02_Данные'!AI116,BO116)</f>
        <v/>
      </c>
      <c r="BQ116" s="10">
        <f>BO116-BP116</f>
        <v/>
      </c>
      <c r="BR116" s="10">
        <f>MIN('02_Данные'!AF116,BQ116)</f>
        <v/>
      </c>
      <c r="BS116" s="10">
        <f>BQ116-BR116</f>
        <v/>
      </c>
      <c r="BT116" s="10">
        <f>MIN('02_Данные'!AE116,BS116)</f>
        <v/>
      </c>
      <c r="BU116" s="10">
        <f>BS116-BT116</f>
        <v/>
      </c>
      <c r="BV116" s="10">
        <f>MIN('02_Данные'!AG116,BU116)</f>
        <v/>
      </c>
      <c r="BW116" s="10">
        <f>BU116-BV116</f>
        <v/>
      </c>
      <c r="BX116" s="10">
        <f>MIN('02_Данные'!AH116,BW116)</f>
        <v/>
      </c>
      <c r="BY116" s="10">
        <f>BW116-BX116</f>
        <v/>
      </c>
      <c r="BZ116" s="10">
        <f>BY116+'02_Данные'!J116</f>
        <v/>
      </c>
      <c r="CA116" s="10">
        <f>MIN('02_Данные'!AJ116,BZ116)</f>
        <v/>
      </c>
      <c r="CB116" s="10">
        <f>BZ116-CA116</f>
        <v/>
      </c>
      <c r="CC116" s="10">
        <f>MIN('02_Данные'!AK116,CB116)</f>
        <v/>
      </c>
      <c r="CD116" s="10">
        <f>CB116-CC116</f>
        <v/>
      </c>
      <c r="CE116" s="10">
        <f>MIN('02_Данные'!AL116,CD116)</f>
        <v/>
      </c>
      <c r="CF116" s="10">
        <f>CD116-CE116</f>
        <v/>
      </c>
      <c r="CG116" s="10">
        <f>MIN('02_Данные'!AQ116,CF116)</f>
        <v/>
      </c>
      <c r="CH116" s="10">
        <f>CF116-CG116</f>
        <v/>
      </c>
      <c r="CI116" s="10">
        <f>MIN('02_Данные'!AN116,CH116)</f>
        <v/>
      </c>
      <c r="CJ116" s="10">
        <f>CH116-CI116</f>
        <v/>
      </c>
      <c r="CK116" s="10">
        <f>MIN('02_Данные'!AM116,CJ116)</f>
        <v/>
      </c>
      <c r="CL116" s="10">
        <f>CJ116-CK116</f>
        <v/>
      </c>
      <c r="CM116" s="10">
        <f>MIN('02_Данные'!AO116,CL116)</f>
        <v/>
      </c>
      <c r="CN116" s="10">
        <f>CL116-CM116</f>
        <v/>
      </c>
      <c r="CO116" s="10">
        <f>MIN('02_Данные'!AP116,CN116)</f>
        <v/>
      </c>
      <c r="CP116" s="10">
        <f>CN116-CO116</f>
        <v/>
      </c>
      <c r="CQ116" s="10">
        <f>CP116+'02_Данные'!K116</f>
        <v/>
      </c>
      <c r="CR116" s="10">
        <f>MIN('02_Данные'!AR116,CQ116)</f>
        <v/>
      </c>
      <c r="CS116" s="10">
        <f>CQ116-CR116</f>
        <v/>
      </c>
      <c r="CT116" s="10">
        <f>MIN('02_Данные'!AS116,CS116)</f>
        <v/>
      </c>
      <c r="CU116" s="10">
        <f>CS116-CT116</f>
        <v/>
      </c>
      <c r="CV116" s="10">
        <f>MIN('02_Данные'!AT116,CU116)</f>
        <v/>
      </c>
      <c r="CW116" s="10">
        <f>CU116-CV116</f>
        <v/>
      </c>
      <c r="CX116" s="10">
        <f>MIN('02_Данные'!AY116,CW116)</f>
        <v/>
      </c>
      <c r="CY116" s="10">
        <f>CW116-CX116</f>
        <v/>
      </c>
      <c r="CZ116" s="10">
        <f>MIN('02_Данные'!AV116,CY116)</f>
        <v/>
      </c>
      <c r="DA116" s="10">
        <f>CY116-CZ116</f>
        <v/>
      </c>
      <c r="DB116" s="10">
        <f>MIN('02_Данные'!AU116,DA116)</f>
        <v/>
      </c>
      <c r="DC116" s="10">
        <f>DA116-DB116</f>
        <v/>
      </c>
      <c r="DD116" s="10">
        <f>MIN('02_Данные'!AW116,DC116)</f>
        <v/>
      </c>
      <c r="DE116" s="10">
        <f>DC116-DD116</f>
        <v/>
      </c>
      <c r="DF116" s="10">
        <f>MIN('02_Данные'!AX116,DE116)</f>
        <v/>
      </c>
      <c r="DG116" s="10">
        <f>DE116-DF116</f>
        <v/>
      </c>
    </row>
    <row r="117">
      <c r="A117" s="9">
        <f>'02_Данные'!B117</f>
        <v/>
      </c>
      <c r="B117" s="9">
        <f>'02_Данные'!E117</f>
        <v/>
      </c>
      <c r="C117" s="10">
        <f>'02_Данные'!F117+'02_Данные'!G117+'02_Данные'!H117+'02_Данные'!I117+'02_Данные'!J117+'02_Данные'!K117</f>
        <v/>
      </c>
      <c r="D117" s="10">
        <f>SUM('02_Данные'!L117:'02_Данные'!AY117)</f>
        <v/>
      </c>
      <c r="E117" s="10">
        <f>MAX(0,D117-C117)</f>
        <v/>
      </c>
      <c r="F117" s="15">
        <f>IF(E117&gt;0.0001,"ДЕФИЦИТ",IF(Y117&gt;0.0001,"ПРОФИЦИТ","БАЛАНС"))</f>
        <v/>
      </c>
      <c r="G117" s="10">
        <f>AB117+AS117+BJ117+CA117+CR117</f>
        <v/>
      </c>
      <c r="H117" s="10">
        <f>AD117+AU117+BL117+CC117+CT117</f>
        <v/>
      </c>
      <c r="I117" s="10">
        <f>AF117+AW117+BN117+CE117+CV117</f>
        <v/>
      </c>
      <c r="J117" s="10">
        <f>AL117+BC117+BT117+CK117+DB117</f>
        <v/>
      </c>
      <c r="K117" s="10">
        <f>AJ117+BA117+BR117+CI117+CZ117</f>
        <v/>
      </c>
      <c r="L117" s="10">
        <f>AN117+BE117+BV117+CM117+DD117</f>
        <v/>
      </c>
      <c r="M117" s="10">
        <f>AP117+BG117+BX117+CO117+DF117</f>
        <v/>
      </c>
      <c r="N117" s="10">
        <f>AH117+AY117+BP117+CG117+CX117</f>
        <v/>
      </c>
      <c r="O117" s="10">
        <f>SUM(G117:N117)</f>
        <v/>
      </c>
      <c r="P117" s="10">
        <f>IFERROR(G117*MIN(1,'01_Нормативы'!$C$4/SUM(G$2:G$429)),0)</f>
        <v/>
      </c>
      <c r="Q117" s="10">
        <f>IFERROR(H117*MIN(1,'01_Нормативы'!$C$5/SUM(H$2:H$429)),0)</f>
        <v/>
      </c>
      <c r="R117" s="10">
        <f>IFERROR(I117*MIN(1,'01_Нормативы'!$C$6/SUM(I$2:I$429)),0)</f>
        <v/>
      </c>
      <c r="S117" s="10">
        <f>IFERROR(J117*MIN(1,'01_Нормативы'!$C$7/SUM(J$2:J$429)),0)</f>
        <v/>
      </c>
      <c r="T117" s="10">
        <f>IFERROR(K117*MIN(1,'01_Нормативы'!$C$8/SUM(K$2:K$429)),0)</f>
        <v/>
      </c>
      <c r="U117" s="10">
        <f>IFERROR(L117*MIN(1,'01_Нормативы'!$C$9/SUM(L$2:L$429)),0)</f>
        <v/>
      </c>
      <c r="V117" s="10">
        <f>IFERROR(M117*MIN(1,'01_Нормативы'!$C$10/SUM(M$2:M$429)),0)</f>
        <v/>
      </c>
      <c r="W117" s="10">
        <f>IFERROR(N117*MIN(1,'01_Нормативы'!$C$11/SUM(N$2:N$429)),0)</f>
        <v/>
      </c>
      <c r="X117" s="10">
        <f>SUM(P117:W117)</f>
        <v/>
      </c>
      <c r="Y117" s="10">
        <f>MAX(0,C117-X117)</f>
        <v/>
      </c>
      <c r="Z117" s="10">
        <f>IF(D117=0,100,X117/D117*100)</f>
        <v/>
      </c>
      <c r="AA117" s="10">
        <f>'02_Данные'!F117+'02_Данные'!G117</f>
        <v/>
      </c>
      <c r="AB117" s="10">
        <f>MIN('02_Данные'!L117,AA117)</f>
        <v/>
      </c>
      <c r="AC117" s="10">
        <f>AA117-AB117</f>
        <v/>
      </c>
      <c r="AD117" s="10">
        <f>MIN('02_Данные'!M117,AC117)</f>
        <v/>
      </c>
      <c r="AE117" s="10">
        <f>AC117-AD117</f>
        <v/>
      </c>
      <c r="AF117" s="10">
        <f>MIN('02_Данные'!N117,AE117)</f>
        <v/>
      </c>
      <c r="AG117" s="10">
        <f>AE117-AF117</f>
        <v/>
      </c>
      <c r="AH117" s="10">
        <f>MIN('02_Данные'!S117,AG117)</f>
        <v/>
      </c>
      <c r="AI117" s="10">
        <f>AG117-AH117</f>
        <v/>
      </c>
      <c r="AJ117" s="10">
        <f>MIN('02_Данные'!P117,AI117)</f>
        <v/>
      </c>
      <c r="AK117" s="10">
        <f>AI117-AJ117</f>
        <v/>
      </c>
      <c r="AL117" s="10">
        <f>MIN('02_Данные'!O117,AK117)</f>
        <v/>
      </c>
      <c r="AM117" s="10">
        <f>AK117-AL117</f>
        <v/>
      </c>
      <c r="AN117" s="10">
        <f>MIN('02_Данные'!Q117,AM117)</f>
        <v/>
      </c>
      <c r="AO117" s="10">
        <f>AM117-AN117</f>
        <v/>
      </c>
      <c r="AP117" s="10">
        <f>MIN('02_Данные'!R117,AO117)</f>
        <v/>
      </c>
      <c r="AQ117" s="10">
        <f>AO117-AP117</f>
        <v/>
      </c>
      <c r="AR117" s="10">
        <f>AQ117+'02_Данные'!H117</f>
        <v/>
      </c>
      <c r="AS117" s="10">
        <f>MIN('02_Данные'!T117,AR117)</f>
        <v/>
      </c>
      <c r="AT117" s="10">
        <f>AR117-AS117</f>
        <v/>
      </c>
      <c r="AU117" s="10">
        <f>MIN('02_Данные'!U117,AT117)</f>
        <v/>
      </c>
      <c r="AV117" s="10">
        <f>AT117-AU117</f>
        <v/>
      </c>
      <c r="AW117" s="10">
        <f>MIN('02_Данные'!V117,AV117)</f>
        <v/>
      </c>
      <c r="AX117" s="10">
        <f>AV117-AW117</f>
        <v/>
      </c>
      <c r="AY117" s="10">
        <f>MIN('02_Данные'!AA117,AX117)</f>
        <v/>
      </c>
      <c r="AZ117" s="10">
        <f>AX117-AY117</f>
        <v/>
      </c>
      <c r="BA117" s="10">
        <f>MIN('02_Данные'!X117,AZ117)</f>
        <v/>
      </c>
      <c r="BB117" s="10">
        <f>AZ117-BA117</f>
        <v/>
      </c>
      <c r="BC117" s="10">
        <f>MIN('02_Данные'!W117,BB117)</f>
        <v/>
      </c>
      <c r="BD117" s="10">
        <f>BB117-BC117</f>
        <v/>
      </c>
      <c r="BE117" s="10">
        <f>MIN('02_Данные'!Y117,BD117)</f>
        <v/>
      </c>
      <c r="BF117" s="10">
        <f>BD117-BE117</f>
        <v/>
      </c>
      <c r="BG117" s="10">
        <f>MIN('02_Данные'!Z117,BF117)</f>
        <v/>
      </c>
      <c r="BH117" s="10">
        <f>BF117-BG117</f>
        <v/>
      </c>
      <c r="BI117" s="10">
        <f>BH117+'02_Данные'!I117</f>
        <v/>
      </c>
      <c r="BJ117" s="10">
        <f>MIN('02_Данные'!AB117,BI117)</f>
        <v/>
      </c>
      <c r="BK117" s="10">
        <f>BI117-BJ117</f>
        <v/>
      </c>
      <c r="BL117" s="10">
        <f>MIN('02_Данные'!AC117,BK117)</f>
        <v/>
      </c>
      <c r="BM117" s="10">
        <f>BK117-BL117</f>
        <v/>
      </c>
      <c r="BN117" s="10">
        <f>MIN('02_Данные'!AD117,BM117)</f>
        <v/>
      </c>
      <c r="BO117" s="10">
        <f>BM117-BN117</f>
        <v/>
      </c>
      <c r="BP117" s="10">
        <f>MIN('02_Данные'!AI117,BO117)</f>
        <v/>
      </c>
      <c r="BQ117" s="10">
        <f>BO117-BP117</f>
        <v/>
      </c>
      <c r="BR117" s="10">
        <f>MIN('02_Данные'!AF117,BQ117)</f>
        <v/>
      </c>
      <c r="BS117" s="10">
        <f>BQ117-BR117</f>
        <v/>
      </c>
      <c r="BT117" s="10">
        <f>MIN('02_Данные'!AE117,BS117)</f>
        <v/>
      </c>
      <c r="BU117" s="10">
        <f>BS117-BT117</f>
        <v/>
      </c>
      <c r="BV117" s="10">
        <f>MIN('02_Данные'!AG117,BU117)</f>
        <v/>
      </c>
      <c r="BW117" s="10">
        <f>BU117-BV117</f>
        <v/>
      </c>
      <c r="BX117" s="10">
        <f>MIN('02_Данные'!AH117,BW117)</f>
        <v/>
      </c>
      <c r="BY117" s="10">
        <f>BW117-BX117</f>
        <v/>
      </c>
      <c r="BZ117" s="10">
        <f>BY117+'02_Данные'!J117</f>
        <v/>
      </c>
      <c r="CA117" s="10">
        <f>MIN('02_Данные'!AJ117,BZ117)</f>
        <v/>
      </c>
      <c r="CB117" s="10">
        <f>BZ117-CA117</f>
        <v/>
      </c>
      <c r="CC117" s="10">
        <f>MIN('02_Данные'!AK117,CB117)</f>
        <v/>
      </c>
      <c r="CD117" s="10">
        <f>CB117-CC117</f>
        <v/>
      </c>
      <c r="CE117" s="10">
        <f>MIN('02_Данные'!AL117,CD117)</f>
        <v/>
      </c>
      <c r="CF117" s="10">
        <f>CD117-CE117</f>
        <v/>
      </c>
      <c r="CG117" s="10">
        <f>MIN('02_Данные'!AQ117,CF117)</f>
        <v/>
      </c>
      <c r="CH117" s="10">
        <f>CF117-CG117</f>
        <v/>
      </c>
      <c r="CI117" s="10">
        <f>MIN('02_Данные'!AN117,CH117)</f>
        <v/>
      </c>
      <c r="CJ117" s="10">
        <f>CH117-CI117</f>
        <v/>
      </c>
      <c r="CK117" s="10">
        <f>MIN('02_Данные'!AM117,CJ117)</f>
        <v/>
      </c>
      <c r="CL117" s="10">
        <f>CJ117-CK117</f>
        <v/>
      </c>
      <c r="CM117" s="10">
        <f>MIN('02_Данные'!AO117,CL117)</f>
        <v/>
      </c>
      <c r="CN117" s="10">
        <f>CL117-CM117</f>
        <v/>
      </c>
      <c r="CO117" s="10">
        <f>MIN('02_Данные'!AP117,CN117)</f>
        <v/>
      </c>
      <c r="CP117" s="10">
        <f>CN117-CO117</f>
        <v/>
      </c>
      <c r="CQ117" s="10">
        <f>CP117+'02_Данные'!K117</f>
        <v/>
      </c>
      <c r="CR117" s="10">
        <f>MIN('02_Данные'!AR117,CQ117)</f>
        <v/>
      </c>
      <c r="CS117" s="10">
        <f>CQ117-CR117</f>
        <v/>
      </c>
      <c r="CT117" s="10">
        <f>MIN('02_Данные'!AS117,CS117)</f>
        <v/>
      </c>
      <c r="CU117" s="10">
        <f>CS117-CT117</f>
        <v/>
      </c>
      <c r="CV117" s="10">
        <f>MIN('02_Данные'!AT117,CU117)</f>
        <v/>
      </c>
      <c r="CW117" s="10">
        <f>CU117-CV117</f>
        <v/>
      </c>
      <c r="CX117" s="10">
        <f>MIN('02_Данные'!AY117,CW117)</f>
        <v/>
      </c>
      <c r="CY117" s="10">
        <f>CW117-CX117</f>
        <v/>
      </c>
      <c r="CZ117" s="10">
        <f>MIN('02_Данные'!AV117,CY117)</f>
        <v/>
      </c>
      <c r="DA117" s="10">
        <f>CY117-CZ117</f>
        <v/>
      </c>
      <c r="DB117" s="10">
        <f>MIN('02_Данные'!AU117,DA117)</f>
        <v/>
      </c>
      <c r="DC117" s="10">
        <f>DA117-DB117</f>
        <v/>
      </c>
      <c r="DD117" s="10">
        <f>MIN('02_Данные'!AW117,DC117)</f>
        <v/>
      </c>
      <c r="DE117" s="10">
        <f>DC117-DD117</f>
        <v/>
      </c>
      <c r="DF117" s="10">
        <f>MIN('02_Данные'!AX117,DE117)</f>
        <v/>
      </c>
      <c r="DG117" s="10">
        <f>DE117-DF117</f>
        <v/>
      </c>
    </row>
    <row r="118">
      <c r="A118" s="9">
        <f>'02_Данные'!B118</f>
        <v/>
      </c>
      <c r="B118" s="9">
        <f>'02_Данные'!E118</f>
        <v/>
      </c>
      <c r="C118" s="10">
        <f>'02_Данные'!F118+'02_Данные'!G118+'02_Данные'!H118+'02_Данные'!I118+'02_Данные'!J118+'02_Данные'!K118</f>
        <v/>
      </c>
      <c r="D118" s="10">
        <f>SUM('02_Данные'!L118:'02_Данные'!AY118)</f>
        <v/>
      </c>
      <c r="E118" s="10">
        <f>MAX(0,D118-C118)</f>
        <v/>
      </c>
      <c r="F118" s="15">
        <f>IF(E118&gt;0.0001,"ДЕФИЦИТ",IF(Y118&gt;0.0001,"ПРОФИЦИТ","БАЛАНС"))</f>
        <v/>
      </c>
      <c r="G118" s="10">
        <f>AB118+AS118+BJ118+CA118+CR118</f>
        <v/>
      </c>
      <c r="H118" s="10">
        <f>AD118+AU118+BL118+CC118+CT118</f>
        <v/>
      </c>
      <c r="I118" s="10">
        <f>AF118+AW118+BN118+CE118+CV118</f>
        <v/>
      </c>
      <c r="J118" s="10">
        <f>AL118+BC118+BT118+CK118+DB118</f>
        <v/>
      </c>
      <c r="K118" s="10">
        <f>AJ118+BA118+BR118+CI118+CZ118</f>
        <v/>
      </c>
      <c r="L118" s="10">
        <f>AN118+BE118+BV118+CM118+DD118</f>
        <v/>
      </c>
      <c r="M118" s="10">
        <f>AP118+BG118+BX118+CO118+DF118</f>
        <v/>
      </c>
      <c r="N118" s="10">
        <f>AH118+AY118+BP118+CG118+CX118</f>
        <v/>
      </c>
      <c r="O118" s="10">
        <f>SUM(G118:N118)</f>
        <v/>
      </c>
      <c r="P118" s="10">
        <f>IFERROR(G118*MIN(1,'01_Нормативы'!$C$4/SUM(G$2:G$429)),0)</f>
        <v/>
      </c>
      <c r="Q118" s="10">
        <f>IFERROR(H118*MIN(1,'01_Нормативы'!$C$5/SUM(H$2:H$429)),0)</f>
        <v/>
      </c>
      <c r="R118" s="10">
        <f>IFERROR(I118*MIN(1,'01_Нормативы'!$C$6/SUM(I$2:I$429)),0)</f>
        <v/>
      </c>
      <c r="S118" s="10">
        <f>IFERROR(J118*MIN(1,'01_Нормативы'!$C$7/SUM(J$2:J$429)),0)</f>
        <v/>
      </c>
      <c r="T118" s="10">
        <f>IFERROR(K118*MIN(1,'01_Нормативы'!$C$8/SUM(K$2:K$429)),0)</f>
        <v/>
      </c>
      <c r="U118" s="10">
        <f>IFERROR(L118*MIN(1,'01_Нормативы'!$C$9/SUM(L$2:L$429)),0)</f>
        <v/>
      </c>
      <c r="V118" s="10">
        <f>IFERROR(M118*MIN(1,'01_Нормативы'!$C$10/SUM(M$2:M$429)),0)</f>
        <v/>
      </c>
      <c r="W118" s="10">
        <f>IFERROR(N118*MIN(1,'01_Нормативы'!$C$11/SUM(N$2:N$429)),0)</f>
        <v/>
      </c>
      <c r="X118" s="10">
        <f>SUM(P118:W118)</f>
        <v/>
      </c>
      <c r="Y118" s="10">
        <f>MAX(0,C118-X118)</f>
        <v/>
      </c>
      <c r="Z118" s="10">
        <f>IF(D118=0,100,X118/D118*100)</f>
        <v/>
      </c>
      <c r="AA118" s="10">
        <f>'02_Данные'!F118+'02_Данные'!G118</f>
        <v/>
      </c>
      <c r="AB118" s="10">
        <f>MIN('02_Данные'!L118,AA118)</f>
        <v/>
      </c>
      <c r="AC118" s="10">
        <f>AA118-AB118</f>
        <v/>
      </c>
      <c r="AD118" s="10">
        <f>MIN('02_Данные'!M118,AC118)</f>
        <v/>
      </c>
      <c r="AE118" s="10">
        <f>AC118-AD118</f>
        <v/>
      </c>
      <c r="AF118" s="10">
        <f>MIN('02_Данные'!N118,AE118)</f>
        <v/>
      </c>
      <c r="AG118" s="10">
        <f>AE118-AF118</f>
        <v/>
      </c>
      <c r="AH118" s="10">
        <f>MIN('02_Данные'!S118,AG118)</f>
        <v/>
      </c>
      <c r="AI118" s="10">
        <f>AG118-AH118</f>
        <v/>
      </c>
      <c r="AJ118" s="10">
        <f>MIN('02_Данные'!P118,AI118)</f>
        <v/>
      </c>
      <c r="AK118" s="10">
        <f>AI118-AJ118</f>
        <v/>
      </c>
      <c r="AL118" s="10">
        <f>MIN('02_Данные'!O118,AK118)</f>
        <v/>
      </c>
      <c r="AM118" s="10">
        <f>AK118-AL118</f>
        <v/>
      </c>
      <c r="AN118" s="10">
        <f>MIN('02_Данные'!Q118,AM118)</f>
        <v/>
      </c>
      <c r="AO118" s="10">
        <f>AM118-AN118</f>
        <v/>
      </c>
      <c r="AP118" s="10">
        <f>MIN('02_Данные'!R118,AO118)</f>
        <v/>
      </c>
      <c r="AQ118" s="10">
        <f>AO118-AP118</f>
        <v/>
      </c>
      <c r="AR118" s="10">
        <f>AQ118+'02_Данные'!H118</f>
        <v/>
      </c>
      <c r="AS118" s="10">
        <f>MIN('02_Данные'!T118,AR118)</f>
        <v/>
      </c>
      <c r="AT118" s="10">
        <f>AR118-AS118</f>
        <v/>
      </c>
      <c r="AU118" s="10">
        <f>MIN('02_Данные'!U118,AT118)</f>
        <v/>
      </c>
      <c r="AV118" s="10">
        <f>AT118-AU118</f>
        <v/>
      </c>
      <c r="AW118" s="10">
        <f>MIN('02_Данные'!V118,AV118)</f>
        <v/>
      </c>
      <c r="AX118" s="10">
        <f>AV118-AW118</f>
        <v/>
      </c>
      <c r="AY118" s="10">
        <f>MIN('02_Данные'!AA118,AX118)</f>
        <v/>
      </c>
      <c r="AZ118" s="10">
        <f>AX118-AY118</f>
        <v/>
      </c>
      <c r="BA118" s="10">
        <f>MIN('02_Данные'!X118,AZ118)</f>
        <v/>
      </c>
      <c r="BB118" s="10">
        <f>AZ118-BA118</f>
        <v/>
      </c>
      <c r="BC118" s="10">
        <f>MIN('02_Данные'!W118,BB118)</f>
        <v/>
      </c>
      <c r="BD118" s="10">
        <f>BB118-BC118</f>
        <v/>
      </c>
      <c r="BE118" s="10">
        <f>MIN('02_Данные'!Y118,BD118)</f>
        <v/>
      </c>
      <c r="BF118" s="10">
        <f>BD118-BE118</f>
        <v/>
      </c>
      <c r="BG118" s="10">
        <f>MIN('02_Данные'!Z118,BF118)</f>
        <v/>
      </c>
      <c r="BH118" s="10">
        <f>BF118-BG118</f>
        <v/>
      </c>
      <c r="BI118" s="10">
        <f>BH118+'02_Данные'!I118</f>
        <v/>
      </c>
      <c r="BJ118" s="10">
        <f>MIN('02_Данные'!AB118,BI118)</f>
        <v/>
      </c>
      <c r="BK118" s="10">
        <f>BI118-BJ118</f>
        <v/>
      </c>
      <c r="BL118" s="10">
        <f>MIN('02_Данные'!AC118,BK118)</f>
        <v/>
      </c>
      <c r="BM118" s="10">
        <f>BK118-BL118</f>
        <v/>
      </c>
      <c r="BN118" s="10">
        <f>MIN('02_Данные'!AD118,BM118)</f>
        <v/>
      </c>
      <c r="BO118" s="10">
        <f>BM118-BN118</f>
        <v/>
      </c>
      <c r="BP118" s="10">
        <f>MIN('02_Данные'!AI118,BO118)</f>
        <v/>
      </c>
      <c r="BQ118" s="10">
        <f>BO118-BP118</f>
        <v/>
      </c>
      <c r="BR118" s="10">
        <f>MIN('02_Данные'!AF118,BQ118)</f>
        <v/>
      </c>
      <c r="BS118" s="10">
        <f>BQ118-BR118</f>
        <v/>
      </c>
      <c r="BT118" s="10">
        <f>MIN('02_Данные'!AE118,BS118)</f>
        <v/>
      </c>
      <c r="BU118" s="10">
        <f>BS118-BT118</f>
        <v/>
      </c>
      <c r="BV118" s="10">
        <f>MIN('02_Данные'!AG118,BU118)</f>
        <v/>
      </c>
      <c r="BW118" s="10">
        <f>BU118-BV118</f>
        <v/>
      </c>
      <c r="BX118" s="10">
        <f>MIN('02_Данные'!AH118,BW118)</f>
        <v/>
      </c>
      <c r="BY118" s="10">
        <f>BW118-BX118</f>
        <v/>
      </c>
      <c r="BZ118" s="10">
        <f>BY118+'02_Данные'!J118</f>
        <v/>
      </c>
      <c r="CA118" s="10">
        <f>MIN('02_Данные'!AJ118,BZ118)</f>
        <v/>
      </c>
      <c r="CB118" s="10">
        <f>BZ118-CA118</f>
        <v/>
      </c>
      <c r="CC118" s="10">
        <f>MIN('02_Данные'!AK118,CB118)</f>
        <v/>
      </c>
      <c r="CD118" s="10">
        <f>CB118-CC118</f>
        <v/>
      </c>
      <c r="CE118" s="10">
        <f>MIN('02_Данные'!AL118,CD118)</f>
        <v/>
      </c>
      <c r="CF118" s="10">
        <f>CD118-CE118</f>
        <v/>
      </c>
      <c r="CG118" s="10">
        <f>MIN('02_Данные'!AQ118,CF118)</f>
        <v/>
      </c>
      <c r="CH118" s="10">
        <f>CF118-CG118</f>
        <v/>
      </c>
      <c r="CI118" s="10">
        <f>MIN('02_Данные'!AN118,CH118)</f>
        <v/>
      </c>
      <c r="CJ118" s="10">
        <f>CH118-CI118</f>
        <v/>
      </c>
      <c r="CK118" s="10">
        <f>MIN('02_Данные'!AM118,CJ118)</f>
        <v/>
      </c>
      <c r="CL118" s="10">
        <f>CJ118-CK118</f>
        <v/>
      </c>
      <c r="CM118" s="10">
        <f>MIN('02_Данные'!AO118,CL118)</f>
        <v/>
      </c>
      <c r="CN118" s="10">
        <f>CL118-CM118</f>
        <v/>
      </c>
      <c r="CO118" s="10">
        <f>MIN('02_Данные'!AP118,CN118)</f>
        <v/>
      </c>
      <c r="CP118" s="10">
        <f>CN118-CO118</f>
        <v/>
      </c>
      <c r="CQ118" s="10">
        <f>CP118+'02_Данные'!K118</f>
        <v/>
      </c>
      <c r="CR118" s="10">
        <f>MIN('02_Данные'!AR118,CQ118)</f>
        <v/>
      </c>
      <c r="CS118" s="10">
        <f>CQ118-CR118</f>
        <v/>
      </c>
      <c r="CT118" s="10">
        <f>MIN('02_Данные'!AS118,CS118)</f>
        <v/>
      </c>
      <c r="CU118" s="10">
        <f>CS118-CT118</f>
        <v/>
      </c>
      <c r="CV118" s="10">
        <f>MIN('02_Данные'!AT118,CU118)</f>
        <v/>
      </c>
      <c r="CW118" s="10">
        <f>CU118-CV118</f>
        <v/>
      </c>
      <c r="CX118" s="10">
        <f>MIN('02_Данные'!AY118,CW118)</f>
        <v/>
      </c>
      <c r="CY118" s="10">
        <f>CW118-CX118</f>
        <v/>
      </c>
      <c r="CZ118" s="10">
        <f>MIN('02_Данные'!AV118,CY118)</f>
        <v/>
      </c>
      <c r="DA118" s="10">
        <f>CY118-CZ118</f>
        <v/>
      </c>
      <c r="DB118" s="10">
        <f>MIN('02_Данные'!AU118,DA118)</f>
        <v/>
      </c>
      <c r="DC118" s="10">
        <f>DA118-DB118</f>
        <v/>
      </c>
      <c r="DD118" s="10">
        <f>MIN('02_Данные'!AW118,DC118)</f>
        <v/>
      </c>
      <c r="DE118" s="10">
        <f>DC118-DD118</f>
        <v/>
      </c>
      <c r="DF118" s="10">
        <f>MIN('02_Данные'!AX118,DE118)</f>
        <v/>
      </c>
      <c r="DG118" s="10">
        <f>DE118-DF118</f>
        <v/>
      </c>
    </row>
    <row r="119">
      <c r="A119" s="9">
        <f>'02_Данные'!B119</f>
        <v/>
      </c>
      <c r="B119" s="9">
        <f>'02_Данные'!E119</f>
        <v/>
      </c>
      <c r="C119" s="10">
        <f>'02_Данные'!F119+'02_Данные'!G119+'02_Данные'!H119+'02_Данные'!I119+'02_Данные'!J119+'02_Данные'!K119</f>
        <v/>
      </c>
      <c r="D119" s="10">
        <f>SUM('02_Данные'!L119:'02_Данные'!AY119)</f>
        <v/>
      </c>
      <c r="E119" s="10">
        <f>MAX(0,D119-C119)</f>
        <v/>
      </c>
      <c r="F119" s="15">
        <f>IF(E119&gt;0.0001,"ДЕФИЦИТ",IF(Y119&gt;0.0001,"ПРОФИЦИТ","БАЛАНС"))</f>
        <v/>
      </c>
      <c r="G119" s="10">
        <f>AB119+AS119+BJ119+CA119+CR119</f>
        <v/>
      </c>
      <c r="H119" s="10">
        <f>AD119+AU119+BL119+CC119+CT119</f>
        <v/>
      </c>
      <c r="I119" s="10">
        <f>AF119+AW119+BN119+CE119+CV119</f>
        <v/>
      </c>
      <c r="J119" s="10">
        <f>AL119+BC119+BT119+CK119+DB119</f>
        <v/>
      </c>
      <c r="K119" s="10">
        <f>AJ119+BA119+BR119+CI119+CZ119</f>
        <v/>
      </c>
      <c r="L119" s="10">
        <f>AN119+BE119+BV119+CM119+DD119</f>
        <v/>
      </c>
      <c r="M119" s="10">
        <f>AP119+BG119+BX119+CO119+DF119</f>
        <v/>
      </c>
      <c r="N119" s="10">
        <f>AH119+AY119+BP119+CG119+CX119</f>
        <v/>
      </c>
      <c r="O119" s="10">
        <f>SUM(G119:N119)</f>
        <v/>
      </c>
      <c r="P119" s="10">
        <f>IFERROR(G119*MIN(1,'01_Нормативы'!$C$4/SUM(G$2:G$429)),0)</f>
        <v/>
      </c>
      <c r="Q119" s="10">
        <f>IFERROR(H119*MIN(1,'01_Нормативы'!$C$5/SUM(H$2:H$429)),0)</f>
        <v/>
      </c>
      <c r="R119" s="10">
        <f>IFERROR(I119*MIN(1,'01_Нормативы'!$C$6/SUM(I$2:I$429)),0)</f>
        <v/>
      </c>
      <c r="S119" s="10">
        <f>IFERROR(J119*MIN(1,'01_Нормативы'!$C$7/SUM(J$2:J$429)),0)</f>
        <v/>
      </c>
      <c r="T119" s="10">
        <f>IFERROR(K119*MIN(1,'01_Нормативы'!$C$8/SUM(K$2:K$429)),0)</f>
        <v/>
      </c>
      <c r="U119" s="10">
        <f>IFERROR(L119*MIN(1,'01_Нормативы'!$C$9/SUM(L$2:L$429)),0)</f>
        <v/>
      </c>
      <c r="V119" s="10">
        <f>IFERROR(M119*MIN(1,'01_Нормативы'!$C$10/SUM(M$2:M$429)),0)</f>
        <v/>
      </c>
      <c r="W119" s="10">
        <f>IFERROR(N119*MIN(1,'01_Нормативы'!$C$11/SUM(N$2:N$429)),0)</f>
        <v/>
      </c>
      <c r="X119" s="10">
        <f>SUM(P119:W119)</f>
        <v/>
      </c>
      <c r="Y119" s="10">
        <f>MAX(0,C119-X119)</f>
        <v/>
      </c>
      <c r="Z119" s="10">
        <f>IF(D119=0,100,X119/D119*100)</f>
        <v/>
      </c>
      <c r="AA119" s="10">
        <f>'02_Данные'!F119+'02_Данные'!G119</f>
        <v/>
      </c>
      <c r="AB119" s="10">
        <f>MIN('02_Данные'!L119,AA119)</f>
        <v/>
      </c>
      <c r="AC119" s="10">
        <f>AA119-AB119</f>
        <v/>
      </c>
      <c r="AD119" s="10">
        <f>MIN('02_Данные'!M119,AC119)</f>
        <v/>
      </c>
      <c r="AE119" s="10">
        <f>AC119-AD119</f>
        <v/>
      </c>
      <c r="AF119" s="10">
        <f>MIN('02_Данные'!N119,AE119)</f>
        <v/>
      </c>
      <c r="AG119" s="10">
        <f>AE119-AF119</f>
        <v/>
      </c>
      <c r="AH119" s="10">
        <f>MIN('02_Данные'!S119,AG119)</f>
        <v/>
      </c>
      <c r="AI119" s="10">
        <f>AG119-AH119</f>
        <v/>
      </c>
      <c r="AJ119" s="10">
        <f>MIN('02_Данные'!P119,AI119)</f>
        <v/>
      </c>
      <c r="AK119" s="10">
        <f>AI119-AJ119</f>
        <v/>
      </c>
      <c r="AL119" s="10">
        <f>MIN('02_Данные'!O119,AK119)</f>
        <v/>
      </c>
      <c r="AM119" s="10">
        <f>AK119-AL119</f>
        <v/>
      </c>
      <c r="AN119" s="10">
        <f>MIN('02_Данные'!Q119,AM119)</f>
        <v/>
      </c>
      <c r="AO119" s="10">
        <f>AM119-AN119</f>
        <v/>
      </c>
      <c r="AP119" s="10">
        <f>MIN('02_Данные'!R119,AO119)</f>
        <v/>
      </c>
      <c r="AQ119" s="10">
        <f>AO119-AP119</f>
        <v/>
      </c>
      <c r="AR119" s="10">
        <f>AQ119+'02_Данные'!H119</f>
        <v/>
      </c>
      <c r="AS119" s="10">
        <f>MIN('02_Данные'!T119,AR119)</f>
        <v/>
      </c>
      <c r="AT119" s="10">
        <f>AR119-AS119</f>
        <v/>
      </c>
      <c r="AU119" s="10">
        <f>MIN('02_Данные'!U119,AT119)</f>
        <v/>
      </c>
      <c r="AV119" s="10">
        <f>AT119-AU119</f>
        <v/>
      </c>
      <c r="AW119" s="10">
        <f>MIN('02_Данные'!V119,AV119)</f>
        <v/>
      </c>
      <c r="AX119" s="10">
        <f>AV119-AW119</f>
        <v/>
      </c>
      <c r="AY119" s="10">
        <f>MIN('02_Данные'!AA119,AX119)</f>
        <v/>
      </c>
      <c r="AZ119" s="10">
        <f>AX119-AY119</f>
        <v/>
      </c>
      <c r="BA119" s="10">
        <f>MIN('02_Данные'!X119,AZ119)</f>
        <v/>
      </c>
      <c r="BB119" s="10">
        <f>AZ119-BA119</f>
        <v/>
      </c>
      <c r="BC119" s="10">
        <f>MIN('02_Данные'!W119,BB119)</f>
        <v/>
      </c>
      <c r="BD119" s="10">
        <f>BB119-BC119</f>
        <v/>
      </c>
      <c r="BE119" s="10">
        <f>MIN('02_Данные'!Y119,BD119)</f>
        <v/>
      </c>
      <c r="BF119" s="10">
        <f>BD119-BE119</f>
        <v/>
      </c>
      <c r="BG119" s="10">
        <f>MIN('02_Данные'!Z119,BF119)</f>
        <v/>
      </c>
      <c r="BH119" s="10">
        <f>BF119-BG119</f>
        <v/>
      </c>
      <c r="BI119" s="10">
        <f>BH119+'02_Данные'!I119</f>
        <v/>
      </c>
      <c r="BJ119" s="10">
        <f>MIN('02_Данные'!AB119,BI119)</f>
        <v/>
      </c>
      <c r="BK119" s="10">
        <f>BI119-BJ119</f>
        <v/>
      </c>
      <c r="BL119" s="10">
        <f>MIN('02_Данные'!AC119,BK119)</f>
        <v/>
      </c>
      <c r="BM119" s="10">
        <f>BK119-BL119</f>
        <v/>
      </c>
      <c r="BN119" s="10">
        <f>MIN('02_Данные'!AD119,BM119)</f>
        <v/>
      </c>
      <c r="BO119" s="10">
        <f>BM119-BN119</f>
        <v/>
      </c>
      <c r="BP119" s="10">
        <f>MIN('02_Данные'!AI119,BO119)</f>
        <v/>
      </c>
      <c r="BQ119" s="10">
        <f>BO119-BP119</f>
        <v/>
      </c>
      <c r="BR119" s="10">
        <f>MIN('02_Данные'!AF119,BQ119)</f>
        <v/>
      </c>
      <c r="BS119" s="10">
        <f>BQ119-BR119</f>
        <v/>
      </c>
      <c r="BT119" s="10">
        <f>MIN('02_Данные'!AE119,BS119)</f>
        <v/>
      </c>
      <c r="BU119" s="10">
        <f>BS119-BT119</f>
        <v/>
      </c>
      <c r="BV119" s="10">
        <f>MIN('02_Данные'!AG119,BU119)</f>
        <v/>
      </c>
      <c r="BW119" s="10">
        <f>BU119-BV119</f>
        <v/>
      </c>
      <c r="BX119" s="10">
        <f>MIN('02_Данные'!AH119,BW119)</f>
        <v/>
      </c>
      <c r="BY119" s="10">
        <f>BW119-BX119</f>
        <v/>
      </c>
      <c r="BZ119" s="10">
        <f>BY119+'02_Данные'!J119</f>
        <v/>
      </c>
      <c r="CA119" s="10">
        <f>MIN('02_Данные'!AJ119,BZ119)</f>
        <v/>
      </c>
      <c r="CB119" s="10">
        <f>BZ119-CA119</f>
        <v/>
      </c>
      <c r="CC119" s="10">
        <f>MIN('02_Данные'!AK119,CB119)</f>
        <v/>
      </c>
      <c r="CD119" s="10">
        <f>CB119-CC119</f>
        <v/>
      </c>
      <c r="CE119" s="10">
        <f>MIN('02_Данные'!AL119,CD119)</f>
        <v/>
      </c>
      <c r="CF119" s="10">
        <f>CD119-CE119</f>
        <v/>
      </c>
      <c r="CG119" s="10">
        <f>MIN('02_Данные'!AQ119,CF119)</f>
        <v/>
      </c>
      <c r="CH119" s="10">
        <f>CF119-CG119</f>
        <v/>
      </c>
      <c r="CI119" s="10">
        <f>MIN('02_Данные'!AN119,CH119)</f>
        <v/>
      </c>
      <c r="CJ119" s="10">
        <f>CH119-CI119</f>
        <v/>
      </c>
      <c r="CK119" s="10">
        <f>MIN('02_Данные'!AM119,CJ119)</f>
        <v/>
      </c>
      <c r="CL119" s="10">
        <f>CJ119-CK119</f>
        <v/>
      </c>
      <c r="CM119" s="10">
        <f>MIN('02_Данные'!AO119,CL119)</f>
        <v/>
      </c>
      <c r="CN119" s="10">
        <f>CL119-CM119</f>
        <v/>
      </c>
      <c r="CO119" s="10">
        <f>MIN('02_Данные'!AP119,CN119)</f>
        <v/>
      </c>
      <c r="CP119" s="10">
        <f>CN119-CO119</f>
        <v/>
      </c>
      <c r="CQ119" s="10">
        <f>CP119+'02_Данные'!K119</f>
        <v/>
      </c>
      <c r="CR119" s="10">
        <f>MIN('02_Данные'!AR119,CQ119)</f>
        <v/>
      </c>
      <c r="CS119" s="10">
        <f>CQ119-CR119</f>
        <v/>
      </c>
      <c r="CT119" s="10">
        <f>MIN('02_Данные'!AS119,CS119)</f>
        <v/>
      </c>
      <c r="CU119" s="10">
        <f>CS119-CT119</f>
        <v/>
      </c>
      <c r="CV119" s="10">
        <f>MIN('02_Данные'!AT119,CU119)</f>
        <v/>
      </c>
      <c r="CW119" s="10">
        <f>CU119-CV119</f>
        <v/>
      </c>
      <c r="CX119" s="10">
        <f>MIN('02_Данные'!AY119,CW119)</f>
        <v/>
      </c>
      <c r="CY119" s="10">
        <f>CW119-CX119</f>
        <v/>
      </c>
      <c r="CZ119" s="10">
        <f>MIN('02_Данные'!AV119,CY119)</f>
        <v/>
      </c>
      <c r="DA119" s="10">
        <f>CY119-CZ119</f>
        <v/>
      </c>
      <c r="DB119" s="10">
        <f>MIN('02_Данные'!AU119,DA119)</f>
        <v/>
      </c>
      <c r="DC119" s="10">
        <f>DA119-DB119</f>
        <v/>
      </c>
      <c r="DD119" s="10">
        <f>MIN('02_Данные'!AW119,DC119)</f>
        <v/>
      </c>
      <c r="DE119" s="10">
        <f>DC119-DD119</f>
        <v/>
      </c>
      <c r="DF119" s="10">
        <f>MIN('02_Данные'!AX119,DE119)</f>
        <v/>
      </c>
      <c r="DG119" s="10">
        <f>DE119-DF119</f>
        <v/>
      </c>
    </row>
    <row r="120">
      <c r="A120" s="9">
        <f>'02_Данные'!B120</f>
        <v/>
      </c>
      <c r="B120" s="9">
        <f>'02_Данные'!E120</f>
        <v/>
      </c>
      <c r="C120" s="10">
        <f>'02_Данные'!F120+'02_Данные'!G120+'02_Данные'!H120+'02_Данные'!I120+'02_Данные'!J120+'02_Данные'!K120</f>
        <v/>
      </c>
      <c r="D120" s="10">
        <f>SUM('02_Данные'!L120:'02_Данные'!AY120)</f>
        <v/>
      </c>
      <c r="E120" s="10">
        <f>MAX(0,D120-C120)</f>
        <v/>
      </c>
      <c r="F120" s="15">
        <f>IF(E120&gt;0.0001,"ДЕФИЦИТ",IF(Y120&gt;0.0001,"ПРОФИЦИТ","БАЛАНС"))</f>
        <v/>
      </c>
      <c r="G120" s="10">
        <f>AB120+AS120+BJ120+CA120+CR120</f>
        <v/>
      </c>
      <c r="H120" s="10">
        <f>AD120+AU120+BL120+CC120+CT120</f>
        <v/>
      </c>
      <c r="I120" s="10">
        <f>AF120+AW120+BN120+CE120+CV120</f>
        <v/>
      </c>
      <c r="J120" s="10">
        <f>AL120+BC120+BT120+CK120+DB120</f>
        <v/>
      </c>
      <c r="K120" s="10">
        <f>AJ120+BA120+BR120+CI120+CZ120</f>
        <v/>
      </c>
      <c r="L120" s="10">
        <f>AN120+BE120+BV120+CM120+DD120</f>
        <v/>
      </c>
      <c r="M120" s="10">
        <f>AP120+BG120+BX120+CO120+DF120</f>
        <v/>
      </c>
      <c r="N120" s="10">
        <f>AH120+AY120+BP120+CG120+CX120</f>
        <v/>
      </c>
      <c r="O120" s="10">
        <f>SUM(G120:N120)</f>
        <v/>
      </c>
      <c r="P120" s="10">
        <f>IFERROR(G120*MIN(1,'01_Нормативы'!$C$4/SUM(G$2:G$429)),0)</f>
        <v/>
      </c>
      <c r="Q120" s="10">
        <f>IFERROR(H120*MIN(1,'01_Нормативы'!$C$5/SUM(H$2:H$429)),0)</f>
        <v/>
      </c>
      <c r="R120" s="10">
        <f>IFERROR(I120*MIN(1,'01_Нормативы'!$C$6/SUM(I$2:I$429)),0)</f>
        <v/>
      </c>
      <c r="S120" s="10">
        <f>IFERROR(J120*MIN(1,'01_Нормативы'!$C$7/SUM(J$2:J$429)),0)</f>
        <v/>
      </c>
      <c r="T120" s="10">
        <f>IFERROR(K120*MIN(1,'01_Нормативы'!$C$8/SUM(K$2:K$429)),0)</f>
        <v/>
      </c>
      <c r="U120" s="10">
        <f>IFERROR(L120*MIN(1,'01_Нормативы'!$C$9/SUM(L$2:L$429)),0)</f>
        <v/>
      </c>
      <c r="V120" s="10">
        <f>IFERROR(M120*MIN(1,'01_Нормативы'!$C$10/SUM(M$2:M$429)),0)</f>
        <v/>
      </c>
      <c r="W120" s="10">
        <f>IFERROR(N120*MIN(1,'01_Нормативы'!$C$11/SUM(N$2:N$429)),0)</f>
        <v/>
      </c>
      <c r="X120" s="10">
        <f>SUM(P120:W120)</f>
        <v/>
      </c>
      <c r="Y120" s="10">
        <f>MAX(0,C120-X120)</f>
        <v/>
      </c>
      <c r="Z120" s="10">
        <f>IF(D120=0,100,X120/D120*100)</f>
        <v/>
      </c>
      <c r="AA120" s="10">
        <f>'02_Данные'!F120+'02_Данные'!G120</f>
        <v/>
      </c>
      <c r="AB120" s="10">
        <f>MIN('02_Данные'!L120,AA120)</f>
        <v/>
      </c>
      <c r="AC120" s="10">
        <f>AA120-AB120</f>
        <v/>
      </c>
      <c r="AD120" s="10">
        <f>MIN('02_Данные'!M120,AC120)</f>
        <v/>
      </c>
      <c r="AE120" s="10">
        <f>AC120-AD120</f>
        <v/>
      </c>
      <c r="AF120" s="10">
        <f>MIN('02_Данные'!N120,AE120)</f>
        <v/>
      </c>
      <c r="AG120" s="10">
        <f>AE120-AF120</f>
        <v/>
      </c>
      <c r="AH120" s="10">
        <f>MIN('02_Данные'!S120,AG120)</f>
        <v/>
      </c>
      <c r="AI120" s="10">
        <f>AG120-AH120</f>
        <v/>
      </c>
      <c r="AJ120" s="10">
        <f>MIN('02_Данные'!P120,AI120)</f>
        <v/>
      </c>
      <c r="AK120" s="10">
        <f>AI120-AJ120</f>
        <v/>
      </c>
      <c r="AL120" s="10">
        <f>MIN('02_Данные'!O120,AK120)</f>
        <v/>
      </c>
      <c r="AM120" s="10">
        <f>AK120-AL120</f>
        <v/>
      </c>
      <c r="AN120" s="10">
        <f>MIN('02_Данные'!Q120,AM120)</f>
        <v/>
      </c>
      <c r="AO120" s="10">
        <f>AM120-AN120</f>
        <v/>
      </c>
      <c r="AP120" s="10">
        <f>MIN('02_Данные'!R120,AO120)</f>
        <v/>
      </c>
      <c r="AQ120" s="10">
        <f>AO120-AP120</f>
        <v/>
      </c>
      <c r="AR120" s="10">
        <f>AQ120+'02_Данные'!H120</f>
        <v/>
      </c>
      <c r="AS120" s="10">
        <f>MIN('02_Данные'!T120,AR120)</f>
        <v/>
      </c>
      <c r="AT120" s="10">
        <f>AR120-AS120</f>
        <v/>
      </c>
      <c r="AU120" s="10">
        <f>MIN('02_Данные'!U120,AT120)</f>
        <v/>
      </c>
      <c r="AV120" s="10">
        <f>AT120-AU120</f>
        <v/>
      </c>
      <c r="AW120" s="10">
        <f>MIN('02_Данные'!V120,AV120)</f>
        <v/>
      </c>
      <c r="AX120" s="10">
        <f>AV120-AW120</f>
        <v/>
      </c>
      <c r="AY120" s="10">
        <f>MIN('02_Данные'!AA120,AX120)</f>
        <v/>
      </c>
      <c r="AZ120" s="10">
        <f>AX120-AY120</f>
        <v/>
      </c>
      <c r="BA120" s="10">
        <f>MIN('02_Данные'!X120,AZ120)</f>
        <v/>
      </c>
      <c r="BB120" s="10">
        <f>AZ120-BA120</f>
        <v/>
      </c>
      <c r="BC120" s="10">
        <f>MIN('02_Данные'!W120,BB120)</f>
        <v/>
      </c>
      <c r="BD120" s="10">
        <f>BB120-BC120</f>
        <v/>
      </c>
      <c r="BE120" s="10">
        <f>MIN('02_Данные'!Y120,BD120)</f>
        <v/>
      </c>
      <c r="BF120" s="10">
        <f>BD120-BE120</f>
        <v/>
      </c>
      <c r="BG120" s="10">
        <f>MIN('02_Данные'!Z120,BF120)</f>
        <v/>
      </c>
      <c r="BH120" s="10">
        <f>BF120-BG120</f>
        <v/>
      </c>
      <c r="BI120" s="10">
        <f>BH120+'02_Данные'!I120</f>
        <v/>
      </c>
      <c r="BJ120" s="10">
        <f>MIN('02_Данные'!AB120,BI120)</f>
        <v/>
      </c>
      <c r="BK120" s="10">
        <f>BI120-BJ120</f>
        <v/>
      </c>
      <c r="BL120" s="10">
        <f>MIN('02_Данные'!AC120,BK120)</f>
        <v/>
      </c>
      <c r="BM120" s="10">
        <f>BK120-BL120</f>
        <v/>
      </c>
      <c r="BN120" s="10">
        <f>MIN('02_Данные'!AD120,BM120)</f>
        <v/>
      </c>
      <c r="BO120" s="10">
        <f>BM120-BN120</f>
        <v/>
      </c>
      <c r="BP120" s="10">
        <f>MIN('02_Данные'!AI120,BO120)</f>
        <v/>
      </c>
      <c r="BQ120" s="10">
        <f>BO120-BP120</f>
        <v/>
      </c>
      <c r="BR120" s="10">
        <f>MIN('02_Данные'!AF120,BQ120)</f>
        <v/>
      </c>
      <c r="BS120" s="10">
        <f>BQ120-BR120</f>
        <v/>
      </c>
      <c r="BT120" s="10">
        <f>MIN('02_Данные'!AE120,BS120)</f>
        <v/>
      </c>
      <c r="BU120" s="10">
        <f>BS120-BT120</f>
        <v/>
      </c>
      <c r="BV120" s="10">
        <f>MIN('02_Данные'!AG120,BU120)</f>
        <v/>
      </c>
      <c r="BW120" s="10">
        <f>BU120-BV120</f>
        <v/>
      </c>
      <c r="BX120" s="10">
        <f>MIN('02_Данные'!AH120,BW120)</f>
        <v/>
      </c>
      <c r="BY120" s="10">
        <f>BW120-BX120</f>
        <v/>
      </c>
      <c r="BZ120" s="10">
        <f>BY120+'02_Данные'!J120</f>
        <v/>
      </c>
      <c r="CA120" s="10">
        <f>MIN('02_Данные'!AJ120,BZ120)</f>
        <v/>
      </c>
      <c r="CB120" s="10">
        <f>BZ120-CA120</f>
        <v/>
      </c>
      <c r="CC120" s="10">
        <f>MIN('02_Данные'!AK120,CB120)</f>
        <v/>
      </c>
      <c r="CD120" s="10">
        <f>CB120-CC120</f>
        <v/>
      </c>
      <c r="CE120" s="10">
        <f>MIN('02_Данные'!AL120,CD120)</f>
        <v/>
      </c>
      <c r="CF120" s="10">
        <f>CD120-CE120</f>
        <v/>
      </c>
      <c r="CG120" s="10">
        <f>MIN('02_Данные'!AQ120,CF120)</f>
        <v/>
      </c>
      <c r="CH120" s="10">
        <f>CF120-CG120</f>
        <v/>
      </c>
      <c r="CI120" s="10">
        <f>MIN('02_Данные'!AN120,CH120)</f>
        <v/>
      </c>
      <c r="CJ120" s="10">
        <f>CH120-CI120</f>
        <v/>
      </c>
      <c r="CK120" s="10">
        <f>MIN('02_Данные'!AM120,CJ120)</f>
        <v/>
      </c>
      <c r="CL120" s="10">
        <f>CJ120-CK120</f>
        <v/>
      </c>
      <c r="CM120" s="10">
        <f>MIN('02_Данные'!AO120,CL120)</f>
        <v/>
      </c>
      <c r="CN120" s="10">
        <f>CL120-CM120</f>
        <v/>
      </c>
      <c r="CO120" s="10">
        <f>MIN('02_Данные'!AP120,CN120)</f>
        <v/>
      </c>
      <c r="CP120" s="10">
        <f>CN120-CO120</f>
        <v/>
      </c>
      <c r="CQ120" s="10">
        <f>CP120+'02_Данные'!K120</f>
        <v/>
      </c>
      <c r="CR120" s="10">
        <f>MIN('02_Данные'!AR120,CQ120)</f>
        <v/>
      </c>
      <c r="CS120" s="10">
        <f>CQ120-CR120</f>
        <v/>
      </c>
      <c r="CT120" s="10">
        <f>MIN('02_Данные'!AS120,CS120)</f>
        <v/>
      </c>
      <c r="CU120" s="10">
        <f>CS120-CT120</f>
        <v/>
      </c>
      <c r="CV120" s="10">
        <f>MIN('02_Данные'!AT120,CU120)</f>
        <v/>
      </c>
      <c r="CW120" s="10">
        <f>CU120-CV120</f>
        <v/>
      </c>
      <c r="CX120" s="10">
        <f>MIN('02_Данные'!AY120,CW120)</f>
        <v/>
      </c>
      <c r="CY120" s="10">
        <f>CW120-CX120</f>
        <v/>
      </c>
      <c r="CZ120" s="10">
        <f>MIN('02_Данные'!AV120,CY120)</f>
        <v/>
      </c>
      <c r="DA120" s="10">
        <f>CY120-CZ120</f>
        <v/>
      </c>
      <c r="DB120" s="10">
        <f>MIN('02_Данные'!AU120,DA120)</f>
        <v/>
      </c>
      <c r="DC120" s="10">
        <f>DA120-DB120</f>
        <v/>
      </c>
      <c r="DD120" s="10">
        <f>MIN('02_Данные'!AW120,DC120)</f>
        <v/>
      </c>
      <c r="DE120" s="10">
        <f>DC120-DD120</f>
        <v/>
      </c>
      <c r="DF120" s="10">
        <f>MIN('02_Данные'!AX120,DE120)</f>
        <v/>
      </c>
      <c r="DG120" s="10">
        <f>DE120-DF120</f>
        <v/>
      </c>
    </row>
    <row r="121">
      <c r="A121" s="9">
        <f>'02_Данные'!B121</f>
        <v/>
      </c>
      <c r="B121" s="9">
        <f>'02_Данные'!E121</f>
        <v/>
      </c>
      <c r="C121" s="10">
        <f>'02_Данные'!F121+'02_Данные'!G121+'02_Данные'!H121+'02_Данные'!I121+'02_Данные'!J121+'02_Данные'!K121</f>
        <v/>
      </c>
      <c r="D121" s="10">
        <f>SUM('02_Данные'!L121:'02_Данные'!AY121)</f>
        <v/>
      </c>
      <c r="E121" s="10">
        <f>MAX(0,D121-C121)</f>
        <v/>
      </c>
      <c r="F121" s="15">
        <f>IF(E121&gt;0.0001,"ДЕФИЦИТ",IF(Y121&gt;0.0001,"ПРОФИЦИТ","БАЛАНС"))</f>
        <v/>
      </c>
      <c r="G121" s="10">
        <f>AB121+AS121+BJ121+CA121+CR121</f>
        <v/>
      </c>
      <c r="H121" s="10">
        <f>AD121+AU121+BL121+CC121+CT121</f>
        <v/>
      </c>
      <c r="I121" s="10">
        <f>AF121+AW121+BN121+CE121+CV121</f>
        <v/>
      </c>
      <c r="J121" s="10">
        <f>AL121+BC121+BT121+CK121+DB121</f>
        <v/>
      </c>
      <c r="K121" s="10">
        <f>AJ121+BA121+BR121+CI121+CZ121</f>
        <v/>
      </c>
      <c r="L121" s="10">
        <f>AN121+BE121+BV121+CM121+DD121</f>
        <v/>
      </c>
      <c r="M121" s="10">
        <f>AP121+BG121+BX121+CO121+DF121</f>
        <v/>
      </c>
      <c r="N121" s="10">
        <f>AH121+AY121+BP121+CG121+CX121</f>
        <v/>
      </c>
      <c r="O121" s="10">
        <f>SUM(G121:N121)</f>
        <v/>
      </c>
      <c r="P121" s="10">
        <f>IFERROR(G121*MIN(1,'01_Нормативы'!$C$4/SUM(G$2:G$429)),0)</f>
        <v/>
      </c>
      <c r="Q121" s="10">
        <f>IFERROR(H121*MIN(1,'01_Нормативы'!$C$5/SUM(H$2:H$429)),0)</f>
        <v/>
      </c>
      <c r="R121" s="10">
        <f>IFERROR(I121*MIN(1,'01_Нормативы'!$C$6/SUM(I$2:I$429)),0)</f>
        <v/>
      </c>
      <c r="S121" s="10">
        <f>IFERROR(J121*MIN(1,'01_Нормативы'!$C$7/SUM(J$2:J$429)),0)</f>
        <v/>
      </c>
      <c r="T121" s="10">
        <f>IFERROR(K121*MIN(1,'01_Нормативы'!$C$8/SUM(K$2:K$429)),0)</f>
        <v/>
      </c>
      <c r="U121" s="10">
        <f>IFERROR(L121*MIN(1,'01_Нормативы'!$C$9/SUM(L$2:L$429)),0)</f>
        <v/>
      </c>
      <c r="V121" s="10">
        <f>IFERROR(M121*MIN(1,'01_Нормативы'!$C$10/SUM(M$2:M$429)),0)</f>
        <v/>
      </c>
      <c r="W121" s="10">
        <f>IFERROR(N121*MIN(1,'01_Нормативы'!$C$11/SUM(N$2:N$429)),0)</f>
        <v/>
      </c>
      <c r="X121" s="10">
        <f>SUM(P121:W121)</f>
        <v/>
      </c>
      <c r="Y121" s="10">
        <f>MAX(0,C121-X121)</f>
        <v/>
      </c>
      <c r="Z121" s="10">
        <f>IF(D121=0,100,X121/D121*100)</f>
        <v/>
      </c>
      <c r="AA121" s="10">
        <f>'02_Данные'!F121+'02_Данные'!G121</f>
        <v/>
      </c>
      <c r="AB121" s="10">
        <f>MIN('02_Данные'!L121,AA121)</f>
        <v/>
      </c>
      <c r="AC121" s="10">
        <f>AA121-AB121</f>
        <v/>
      </c>
      <c r="AD121" s="10">
        <f>MIN('02_Данные'!M121,AC121)</f>
        <v/>
      </c>
      <c r="AE121" s="10">
        <f>AC121-AD121</f>
        <v/>
      </c>
      <c r="AF121" s="10">
        <f>MIN('02_Данные'!N121,AE121)</f>
        <v/>
      </c>
      <c r="AG121" s="10">
        <f>AE121-AF121</f>
        <v/>
      </c>
      <c r="AH121" s="10">
        <f>MIN('02_Данные'!S121,AG121)</f>
        <v/>
      </c>
      <c r="AI121" s="10">
        <f>AG121-AH121</f>
        <v/>
      </c>
      <c r="AJ121" s="10">
        <f>MIN('02_Данные'!P121,AI121)</f>
        <v/>
      </c>
      <c r="AK121" s="10">
        <f>AI121-AJ121</f>
        <v/>
      </c>
      <c r="AL121" s="10">
        <f>MIN('02_Данные'!O121,AK121)</f>
        <v/>
      </c>
      <c r="AM121" s="10">
        <f>AK121-AL121</f>
        <v/>
      </c>
      <c r="AN121" s="10">
        <f>MIN('02_Данные'!Q121,AM121)</f>
        <v/>
      </c>
      <c r="AO121" s="10">
        <f>AM121-AN121</f>
        <v/>
      </c>
      <c r="AP121" s="10">
        <f>MIN('02_Данные'!R121,AO121)</f>
        <v/>
      </c>
      <c r="AQ121" s="10">
        <f>AO121-AP121</f>
        <v/>
      </c>
      <c r="AR121" s="10">
        <f>AQ121+'02_Данные'!H121</f>
        <v/>
      </c>
      <c r="AS121" s="10">
        <f>MIN('02_Данные'!T121,AR121)</f>
        <v/>
      </c>
      <c r="AT121" s="10">
        <f>AR121-AS121</f>
        <v/>
      </c>
      <c r="AU121" s="10">
        <f>MIN('02_Данные'!U121,AT121)</f>
        <v/>
      </c>
      <c r="AV121" s="10">
        <f>AT121-AU121</f>
        <v/>
      </c>
      <c r="AW121" s="10">
        <f>MIN('02_Данные'!V121,AV121)</f>
        <v/>
      </c>
      <c r="AX121" s="10">
        <f>AV121-AW121</f>
        <v/>
      </c>
      <c r="AY121" s="10">
        <f>MIN('02_Данные'!AA121,AX121)</f>
        <v/>
      </c>
      <c r="AZ121" s="10">
        <f>AX121-AY121</f>
        <v/>
      </c>
      <c r="BA121" s="10">
        <f>MIN('02_Данные'!X121,AZ121)</f>
        <v/>
      </c>
      <c r="BB121" s="10">
        <f>AZ121-BA121</f>
        <v/>
      </c>
      <c r="BC121" s="10">
        <f>MIN('02_Данные'!W121,BB121)</f>
        <v/>
      </c>
      <c r="BD121" s="10">
        <f>BB121-BC121</f>
        <v/>
      </c>
      <c r="BE121" s="10">
        <f>MIN('02_Данные'!Y121,BD121)</f>
        <v/>
      </c>
      <c r="BF121" s="10">
        <f>BD121-BE121</f>
        <v/>
      </c>
      <c r="BG121" s="10">
        <f>MIN('02_Данные'!Z121,BF121)</f>
        <v/>
      </c>
      <c r="BH121" s="10">
        <f>BF121-BG121</f>
        <v/>
      </c>
      <c r="BI121" s="10">
        <f>BH121+'02_Данные'!I121</f>
        <v/>
      </c>
      <c r="BJ121" s="10">
        <f>MIN('02_Данные'!AB121,BI121)</f>
        <v/>
      </c>
      <c r="BK121" s="10">
        <f>BI121-BJ121</f>
        <v/>
      </c>
      <c r="BL121" s="10">
        <f>MIN('02_Данные'!AC121,BK121)</f>
        <v/>
      </c>
      <c r="BM121" s="10">
        <f>BK121-BL121</f>
        <v/>
      </c>
      <c r="BN121" s="10">
        <f>MIN('02_Данные'!AD121,BM121)</f>
        <v/>
      </c>
      <c r="BO121" s="10">
        <f>BM121-BN121</f>
        <v/>
      </c>
      <c r="BP121" s="10">
        <f>MIN('02_Данные'!AI121,BO121)</f>
        <v/>
      </c>
      <c r="BQ121" s="10">
        <f>BO121-BP121</f>
        <v/>
      </c>
      <c r="BR121" s="10">
        <f>MIN('02_Данные'!AF121,BQ121)</f>
        <v/>
      </c>
      <c r="BS121" s="10">
        <f>BQ121-BR121</f>
        <v/>
      </c>
      <c r="BT121" s="10">
        <f>MIN('02_Данные'!AE121,BS121)</f>
        <v/>
      </c>
      <c r="BU121" s="10">
        <f>BS121-BT121</f>
        <v/>
      </c>
      <c r="BV121" s="10">
        <f>MIN('02_Данные'!AG121,BU121)</f>
        <v/>
      </c>
      <c r="BW121" s="10">
        <f>BU121-BV121</f>
        <v/>
      </c>
      <c r="BX121" s="10">
        <f>MIN('02_Данные'!AH121,BW121)</f>
        <v/>
      </c>
      <c r="BY121" s="10">
        <f>BW121-BX121</f>
        <v/>
      </c>
      <c r="BZ121" s="10">
        <f>BY121+'02_Данные'!J121</f>
        <v/>
      </c>
      <c r="CA121" s="10">
        <f>MIN('02_Данные'!AJ121,BZ121)</f>
        <v/>
      </c>
      <c r="CB121" s="10">
        <f>BZ121-CA121</f>
        <v/>
      </c>
      <c r="CC121" s="10">
        <f>MIN('02_Данные'!AK121,CB121)</f>
        <v/>
      </c>
      <c r="CD121" s="10">
        <f>CB121-CC121</f>
        <v/>
      </c>
      <c r="CE121" s="10">
        <f>MIN('02_Данные'!AL121,CD121)</f>
        <v/>
      </c>
      <c r="CF121" s="10">
        <f>CD121-CE121</f>
        <v/>
      </c>
      <c r="CG121" s="10">
        <f>MIN('02_Данные'!AQ121,CF121)</f>
        <v/>
      </c>
      <c r="CH121" s="10">
        <f>CF121-CG121</f>
        <v/>
      </c>
      <c r="CI121" s="10">
        <f>MIN('02_Данные'!AN121,CH121)</f>
        <v/>
      </c>
      <c r="CJ121" s="10">
        <f>CH121-CI121</f>
        <v/>
      </c>
      <c r="CK121" s="10">
        <f>MIN('02_Данные'!AM121,CJ121)</f>
        <v/>
      </c>
      <c r="CL121" s="10">
        <f>CJ121-CK121</f>
        <v/>
      </c>
      <c r="CM121" s="10">
        <f>MIN('02_Данные'!AO121,CL121)</f>
        <v/>
      </c>
      <c r="CN121" s="10">
        <f>CL121-CM121</f>
        <v/>
      </c>
      <c r="CO121" s="10">
        <f>MIN('02_Данные'!AP121,CN121)</f>
        <v/>
      </c>
      <c r="CP121" s="10">
        <f>CN121-CO121</f>
        <v/>
      </c>
      <c r="CQ121" s="10">
        <f>CP121+'02_Данные'!K121</f>
        <v/>
      </c>
      <c r="CR121" s="10">
        <f>MIN('02_Данные'!AR121,CQ121)</f>
        <v/>
      </c>
      <c r="CS121" s="10">
        <f>CQ121-CR121</f>
        <v/>
      </c>
      <c r="CT121" s="10">
        <f>MIN('02_Данные'!AS121,CS121)</f>
        <v/>
      </c>
      <c r="CU121" s="10">
        <f>CS121-CT121</f>
        <v/>
      </c>
      <c r="CV121" s="10">
        <f>MIN('02_Данные'!AT121,CU121)</f>
        <v/>
      </c>
      <c r="CW121" s="10">
        <f>CU121-CV121</f>
        <v/>
      </c>
      <c r="CX121" s="10">
        <f>MIN('02_Данные'!AY121,CW121)</f>
        <v/>
      </c>
      <c r="CY121" s="10">
        <f>CW121-CX121</f>
        <v/>
      </c>
      <c r="CZ121" s="10">
        <f>MIN('02_Данные'!AV121,CY121)</f>
        <v/>
      </c>
      <c r="DA121" s="10">
        <f>CY121-CZ121</f>
        <v/>
      </c>
      <c r="DB121" s="10">
        <f>MIN('02_Данные'!AU121,DA121)</f>
        <v/>
      </c>
      <c r="DC121" s="10">
        <f>DA121-DB121</f>
        <v/>
      </c>
      <c r="DD121" s="10">
        <f>MIN('02_Данные'!AW121,DC121)</f>
        <v/>
      </c>
      <c r="DE121" s="10">
        <f>DC121-DD121</f>
        <v/>
      </c>
      <c r="DF121" s="10">
        <f>MIN('02_Данные'!AX121,DE121)</f>
        <v/>
      </c>
      <c r="DG121" s="10">
        <f>DE121-DF121</f>
        <v/>
      </c>
    </row>
    <row r="122">
      <c r="A122" s="9">
        <f>'02_Данные'!B122</f>
        <v/>
      </c>
      <c r="B122" s="9">
        <f>'02_Данные'!E122</f>
        <v/>
      </c>
      <c r="C122" s="10">
        <f>'02_Данные'!F122+'02_Данные'!G122+'02_Данные'!H122+'02_Данные'!I122+'02_Данные'!J122+'02_Данные'!K122</f>
        <v/>
      </c>
      <c r="D122" s="10">
        <f>SUM('02_Данные'!L122:'02_Данные'!AY122)</f>
        <v/>
      </c>
      <c r="E122" s="10">
        <f>MAX(0,D122-C122)</f>
        <v/>
      </c>
      <c r="F122" s="15">
        <f>IF(E122&gt;0.0001,"ДЕФИЦИТ",IF(Y122&gt;0.0001,"ПРОФИЦИТ","БАЛАНС"))</f>
        <v/>
      </c>
      <c r="G122" s="10">
        <f>AB122+AS122+BJ122+CA122+CR122</f>
        <v/>
      </c>
      <c r="H122" s="10">
        <f>AD122+AU122+BL122+CC122+CT122</f>
        <v/>
      </c>
      <c r="I122" s="10">
        <f>AF122+AW122+BN122+CE122+CV122</f>
        <v/>
      </c>
      <c r="J122" s="10">
        <f>AL122+BC122+BT122+CK122+DB122</f>
        <v/>
      </c>
      <c r="K122" s="10">
        <f>AJ122+BA122+BR122+CI122+CZ122</f>
        <v/>
      </c>
      <c r="L122" s="10">
        <f>AN122+BE122+BV122+CM122+DD122</f>
        <v/>
      </c>
      <c r="M122" s="10">
        <f>AP122+BG122+BX122+CO122+DF122</f>
        <v/>
      </c>
      <c r="N122" s="10">
        <f>AH122+AY122+BP122+CG122+CX122</f>
        <v/>
      </c>
      <c r="O122" s="10">
        <f>SUM(G122:N122)</f>
        <v/>
      </c>
      <c r="P122" s="10">
        <f>IFERROR(G122*MIN(1,'01_Нормативы'!$C$4/SUM(G$2:G$429)),0)</f>
        <v/>
      </c>
      <c r="Q122" s="10">
        <f>IFERROR(H122*MIN(1,'01_Нормативы'!$C$5/SUM(H$2:H$429)),0)</f>
        <v/>
      </c>
      <c r="R122" s="10">
        <f>IFERROR(I122*MIN(1,'01_Нормативы'!$C$6/SUM(I$2:I$429)),0)</f>
        <v/>
      </c>
      <c r="S122" s="10">
        <f>IFERROR(J122*MIN(1,'01_Нормативы'!$C$7/SUM(J$2:J$429)),0)</f>
        <v/>
      </c>
      <c r="T122" s="10">
        <f>IFERROR(K122*MIN(1,'01_Нормативы'!$C$8/SUM(K$2:K$429)),0)</f>
        <v/>
      </c>
      <c r="U122" s="10">
        <f>IFERROR(L122*MIN(1,'01_Нормативы'!$C$9/SUM(L$2:L$429)),0)</f>
        <v/>
      </c>
      <c r="V122" s="10">
        <f>IFERROR(M122*MIN(1,'01_Нормативы'!$C$10/SUM(M$2:M$429)),0)</f>
        <v/>
      </c>
      <c r="W122" s="10">
        <f>IFERROR(N122*MIN(1,'01_Нормативы'!$C$11/SUM(N$2:N$429)),0)</f>
        <v/>
      </c>
      <c r="X122" s="10">
        <f>SUM(P122:W122)</f>
        <v/>
      </c>
      <c r="Y122" s="10">
        <f>MAX(0,C122-X122)</f>
        <v/>
      </c>
      <c r="Z122" s="10">
        <f>IF(D122=0,100,X122/D122*100)</f>
        <v/>
      </c>
      <c r="AA122" s="10">
        <f>'02_Данные'!F122+'02_Данные'!G122</f>
        <v/>
      </c>
      <c r="AB122" s="10">
        <f>MIN('02_Данные'!L122,AA122)</f>
        <v/>
      </c>
      <c r="AC122" s="10">
        <f>AA122-AB122</f>
        <v/>
      </c>
      <c r="AD122" s="10">
        <f>MIN('02_Данные'!M122,AC122)</f>
        <v/>
      </c>
      <c r="AE122" s="10">
        <f>AC122-AD122</f>
        <v/>
      </c>
      <c r="AF122" s="10">
        <f>MIN('02_Данные'!N122,AE122)</f>
        <v/>
      </c>
      <c r="AG122" s="10">
        <f>AE122-AF122</f>
        <v/>
      </c>
      <c r="AH122" s="10">
        <f>MIN('02_Данные'!S122,AG122)</f>
        <v/>
      </c>
      <c r="AI122" s="10">
        <f>AG122-AH122</f>
        <v/>
      </c>
      <c r="AJ122" s="10">
        <f>MIN('02_Данные'!P122,AI122)</f>
        <v/>
      </c>
      <c r="AK122" s="10">
        <f>AI122-AJ122</f>
        <v/>
      </c>
      <c r="AL122" s="10">
        <f>MIN('02_Данные'!O122,AK122)</f>
        <v/>
      </c>
      <c r="AM122" s="10">
        <f>AK122-AL122</f>
        <v/>
      </c>
      <c r="AN122" s="10">
        <f>MIN('02_Данные'!Q122,AM122)</f>
        <v/>
      </c>
      <c r="AO122" s="10">
        <f>AM122-AN122</f>
        <v/>
      </c>
      <c r="AP122" s="10">
        <f>MIN('02_Данные'!R122,AO122)</f>
        <v/>
      </c>
      <c r="AQ122" s="10">
        <f>AO122-AP122</f>
        <v/>
      </c>
      <c r="AR122" s="10">
        <f>AQ122+'02_Данные'!H122</f>
        <v/>
      </c>
      <c r="AS122" s="10">
        <f>MIN('02_Данные'!T122,AR122)</f>
        <v/>
      </c>
      <c r="AT122" s="10">
        <f>AR122-AS122</f>
        <v/>
      </c>
      <c r="AU122" s="10">
        <f>MIN('02_Данные'!U122,AT122)</f>
        <v/>
      </c>
      <c r="AV122" s="10">
        <f>AT122-AU122</f>
        <v/>
      </c>
      <c r="AW122" s="10">
        <f>MIN('02_Данные'!V122,AV122)</f>
        <v/>
      </c>
      <c r="AX122" s="10">
        <f>AV122-AW122</f>
        <v/>
      </c>
      <c r="AY122" s="10">
        <f>MIN('02_Данные'!AA122,AX122)</f>
        <v/>
      </c>
      <c r="AZ122" s="10">
        <f>AX122-AY122</f>
        <v/>
      </c>
      <c r="BA122" s="10">
        <f>MIN('02_Данные'!X122,AZ122)</f>
        <v/>
      </c>
      <c r="BB122" s="10">
        <f>AZ122-BA122</f>
        <v/>
      </c>
      <c r="BC122" s="10">
        <f>MIN('02_Данные'!W122,BB122)</f>
        <v/>
      </c>
      <c r="BD122" s="10">
        <f>BB122-BC122</f>
        <v/>
      </c>
      <c r="BE122" s="10">
        <f>MIN('02_Данные'!Y122,BD122)</f>
        <v/>
      </c>
      <c r="BF122" s="10">
        <f>BD122-BE122</f>
        <v/>
      </c>
      <c r="BG122" s="10">
        <f>MIN('02_Данные'!Z122,BF122)</f>
        <v/>
      </c>
      <c r="BH122" s="10">
        <f>BF122-BG122</f>
        <v/>
      </c>
      <c r="BI122" s="10">
        <f>BH122+'02_Данные'!I122</f>
        <v/>
      </c>
      <c r="BJ122" s="10">
        <f>MIN('02_Данные'!AB122,BI122)</f>
        <v/>
      </c>
      <c r="BK122" s="10">
        <f>BI122-BJ122</f>
        <v/>
      </c>
      <c r="BL122" s="10">
        <f>MIN('02_Данные'!AC122,BK122)</f>
        <v/>
      </c>
      <c r="BM122" s="10">
        <f>BK122-BL122</f>
        <v/>
      </c>
      <c r="BN122" s="10">
        <f>MIN('02_Данные'!AD122,BM122)</f>
        <v/>
      </c>
      <c r="BO122" s="10">
        <f>BM122-BN122</f>
        <v/>
      </c>
      <c r="BP122" s="10">
        <f>MIN('02_Данные'!AI122,BO122)</f>
        <v/>
      </c>
      <c r="BQ122" s="10">
        <f>BO122-BP122</f>
        <v/>
      </c>
      <c r="BR122" s="10">
        <f>MIN('02_Данные'!AF122,BQ122)</f>
        <v/>
      </c>
      <c r="BS122" s="10">
        <f>BQ122-BR122</f>
        <v/>
      </c>
      <c r="BT122" s="10">
        <f>MIN('02_Данные'!AE122,BS122)</f>
        <v/>
      </c>
      <c r="BU122" s="10">
        <f>BS122-BT122</f>
        <v/>
      </c>
      <c r="BV122" s="10">
        <f>MIN('02_Данные'!AG122,BU122)</f>
        <v/>
      </c>
      <c r="BW122" s="10">
        <f>BU122-BV122</f>
        <v/>
      </c>
      <c r="BX122" s="10">
        <f>MIN('02_Данные'!AH122,BW122)</f>
        <v/>
      </c>
      <c r="BY122" s="10">
        <f>BW122-BX122</f>
        <v/>
      </c>
      <c r="BZ122" s="10">
        <f>BY122+'02_Данные'!J122</f>
        <v/>
      </c>
      <c r="CA122" s="10">
        <f>MIN('02_Данные'!AJ122,BZ122)</f>
        <v/>
      </c>
      <c r="CB122" s="10">
        <f>BZ122-CA122</f>
        <v/>
      </c>
      <c r="CC122" s="10">
        <f>MIN('02_Данные'!AK122,CB122)</f>
        <v/>
      </c>
      <c r="CD122" s="10">
        <f>CB122-CC122</f>
        <v/>
      </c>
      <c r="CE122" s="10">
        <f>MIN('02_Данные'!AL122,CD122)</f>
        <v/>
      </c>
      <c r="CF122" s="10">
        <f>CD122-CE122</f>
        <v/>
      </c>
      <c r="CG122" s="10">
        <f>MIN('02_Данные'!AQ122,CF122)</f>
        <v/>
      </c>
      <c r="CH122" s="10">
        <f>CF122-CG122</f>
        <v/>
      </c>
      <c r="CI122" s="10">
        <f>MIN('02_Данные'!AN122,CH122)</f>
        <v/>
      </c>
      <c r="CJ122" s="10">
        <f>CH122-CI122</f>
        <v/>
      </c>
      <c r="CK122" s="10">
        <f>MIN('02_Данные'!AM122,CJ122)</f>
        <v/>
      </c>
      <c r="CL122" s="10">
        <f>CJ122-CK122</f>
        <v/>
      </c>
      <c r="CM122" s="10">
        <f>MIN('02_Данные'!AO122,CL122)</f>
        <v/>
      </c>
      <c r="CN122" s="10">
        <f>CL122-CM122</f>
        <v/>
      </c>
      <c r="CO122" s="10">
        <f>MIN('02_Данные'!AP122,CN122)</f>
        <v/>
      </c>
      <c r="CP122" s="10">
        <f>CN122-CO122</f>
        <v/>
      </c>
      <c r="CQ122" s="10">
        <f>CP122+'02_Данные'!K122</f>
        <v/>
      </c>
      <c r="CR122" s="10">
        <f>MIN('02_Данные'!AR122,CQ122)</f>
        <v/>
      </c>
      <c r="CS122" s="10">
        <f>CQ122-CR122</f>
        <v/>
      </c>
      <c r="CT122" s="10">
        <f>MIN('02_Данные'!AS122,CS122)</f>
        <v/>
      </c>
      <c r="CU122" s="10">
        <f>CS122-CT122</f>
        <v/>
      </c>
      <c r="CV122" s="10">
        <f>MIN('02_Данные'!AT122,CU122)</f>
        <v/>
      </c>
      <c r="CW122" s="10">
        <f>CU122-CV122</f>
        <v/>
      </c>
      <c r="CX122" s="10">
        <f>MIN('02_Данные'!AY122,CW122)</f>
        <v/>
      </c>
      <c r="CY122" s="10">
        <f>CW122-CX122</f>
        <v/>
      </c>
      <c r="CZ122" s="10">
        <f>MIN('02_Данные'!AV122,CY122)</f>
        <v/>
      </c>
      <c r="DA122" s="10">
        <f>CY122-CZ122</f>
        <v/>
      </c>
      <c r="DB122" s="10">
        <f>MIN('02_Данные'!AU122,DA122)</f>
        <v/>
      </c>
      <c r="DC122" s="10">
        <f>DA122-DB122</f>
        <v/>
      </c>
      <c r="DD122" s="10">
        <f>MIN('02_Данные'!AW122,DC122)</f>
        <v/>
      </c>
      <c r="DE122" s="10">
        <f>DC122-DD122</f>
        <v/>
      </c>
      <c r="DF122" s="10">
        <f>MIN('02_Данные'!AX122,DE122)</f>
        <v/>
      </c>
      <c r="DG122" s="10">
        <f>DE122-DF122</f>
        <v/>
      </c>
    </row>
    <row r="123">
      <c r="A123" s="9">
        <f>'02_Данные'!B123</f>
        <v/>
      </c>
      <c r="B123" s="9">
        <f>'02_Данные'!E123</f>
        <v/>
      </c>
      <c r="C123" s="10">
        <f>'02_Данные'!F123+'02_Данные'!G123+'02_Данные'!H123+'02_Данные'!I123+'02_Данные'!J123+'02_Данные'!K123</f>
        <v/>
      </c>
      <c r="D123" s="10">
        <f>SUM('02_Данные'!L123:'02_Данные'!AY123)</f>
        <v/>
      </c>
      <c r="E123" s="10">
        <f>MAX(0,D123-C123)</f>
        <v/>
      </c>
      <c r="F123" s="15">
        <f>IF(E123&gt;0.0001,"ДЕФИЦИТ",IF(Y123&gt;0.0001,"ПРОФИЦИТ","БАЛАНС"))</f>
        <v/>
      </c>
      <c r="G123" s="10">
        <f>AB123+AS123+BJ123+CA123+CR123</f>
        <v/>
      </c>
      <c r="H123" s="10">
        <f>AD123+AU123+BL123+CC123+CT123</f>
        <v/>
      </c>
      <c r="I123" s="10">
        <f>AF123+AW123+BN123+CE123+CV123</f>
        <v/>
      </c>
      <c r="J123" s="10">
        <f>AL123+BC123+BT123+CK123+DB123</f>
        <v/>
      </c>
      <c r="K123" s="10">
        <f>AJ123+BA123+BR123+CI123+CZ123</f>
        <v/>
      </c>
      <c r="L123" s="10">
        <f>AN123+BE123+BV123+CM123+DD123</f>
        <v/>
      </c>
      <c r="M123" s="10">
        <f>AP123+BG123+BX123+CO123+DF123</f>
        <v/>
      </c>
      <c r="N123" s="10">
        <f>AH123+AY123+BP123+CG123+CX123</f>
        <v/>
      </c>
      <c r="O123" s="10">
        <f>SUM(G123:N123)</f>
        <v/>
      </c>
      <c r="P123" s="10">
        <f>IFERROR(G123*MIN(1,'01_Нормативы'!$C$4/SUM(G$2:G$429)),0)</f>
        <v/>
      </c>
      <c r="Q123" s="10">
        <f>IFERROR(H123*MIN(1,'01_Нормативы'!$C$5/SUM(H$2:H$429)),0)</f>
        <v/>
      </c>
      <c r="R123" s="10">
        <f>IFERROR(I123*MIN(1,'01_Нормативы'!$C$6/SUM(I$2:I$429)),0)</f>
        <v/>
      </c>
      <c r="S123" s="10">
        <f>IFERROR(J123*MIN(1,'01_Нормативы'!$C$7/SUM(J$2:J$429)),0)</f>
        <v/>
      </c>
      <c r="T123" s="10">
        <f>IFERROR(K123*MIN(1,'01_Нормативы'!$C$8/SUM(K$2:K$429)),0)</f>
        <v/>
      </c>
      <c r="U123" s="10">
        <f>IFERROR(L123*MIN(1,'01_Нормативы'!$C$9/SUM(L$2:L$429)),0)</f>
        <v/>
      </c>
      <c r="V123" s="10">
        <f>IFERROR(M123*MIN(1,'01_Нормативы'!$C$10/SUM(M$2:M$429)),0)</f>
        <v/>
      </c>
      <c r="W123" s="10">
        <f>IFERROR(N123*MIN(1,'01_Нормативы'!$C$11/SUM(N$2:N$429)),0)</f>
        <v/>
      </c>
      <c r="X123" s="10">
        <f>SUM(P123:W123)</f>
        <v/>
      </c>
      <c r="Y123" s="10">
        <f>MAX(0,C123-X123)</f>
        <v/>
      </c>
      <c r="Z123" s="10">
        <f>IF(D123=0,100,X123/D123*100)</f>
        <v/>
      </c>
      <c r="AA123" s="10">
        <f>'02_Данные'!F123+'02_Данные'!G123</f>
        <v/>
      </c>
      <c r="AB123" s="10">
        <f>MIN('02_Данные'!L123,AA123)</f>
        <v/>
      </c>
      <c r="AC123" s="10">
        <f>AA123-AB123</f>
        <v/>
      </c>
      <c r="AD123" s="10">
        <f>MIN('02_Данные'!M123,AC123)</f>
        <v/>
      </c>
      <c r="AE123" s="10">
        <f>AC123-AD123</f>
        <v/>
      </c>
      <c r="AF123" s="10">
        <f>MIN('02_Данные'!N123,AE123)</f>
        <v/>
      </c>
      <c r="AG123" s="10">
        <f>AE123-AF123</f>
        <v/>
      </c>
      <c r="AH123" s="10">
        <f>MIN('02_Данные'!S123,AG123)</f>
        <v/>
      </c>
      <c r="AI123" s="10">
        <f>AG123-AH123</f>
        <v/>
      </c>
      <c r="AJ123" s="10">
        <f>MIN('02_Данные'!P123,AI123)</f>
        <v/>
      </c>
      <c r="AK123" s="10">
        <f>AI123-AJ123</f>
        <v/>
      </c>
      <c r="AL123" s="10">
        <f>MIN('02_Данные'!O123,AK123)</f>
        <v/>
      </c>
      <c r="AM123" s="10">
        <f>AK123-AL123</f>
        <v/>
      </c>
      <c r="AN123" s="10">
        <f>MIN('02_Данные'!Q123,AM123)</f>
        <v/>
      </c>
      <c r="AO123" s="10">
        <f>AM123-AN123</f>
        <v/>
      </c>
      <c r="AP123" s="10">
        <f>MIN('02_Данные'!R123,AO123)</f>
        <v/>
      </c>
      <c r="AQ123" s="10">
        <f>AO123-AP123</f>
        <v/>
      </c>
      <c r="AR123" s="10">
        <f>AQ123+'02_Данные'!H123</f>
        <v/>
      </c>
      <c r="AS123" s="10">
        <f>MIN('02_Данные'!T123,AR123)</f>
        <v/>
      </c>
      <c r="AT123" s="10">
        <f>AR123-AS123</f>
        <v/>
      </c>
      <c r="AU123" s="10">
        <f>MIN('02_Данные'!U123,AT123)</f>
        <v/>
      </c>
      <c r="AV123" s="10">
        <f>AT123-AU123</f>
        <v/>
      </c>
      <c r="AW123" s="10">
        <f>MIN('02_Данные'!V123,AV123)</f>
        <v/>
      </c>
      <c r="AX123" s="10">
        <f>AV123-AW123</f>
        <v/>
      </c>
      <c r="AY123" s="10">
        <f>MIN('02_Данные'!AA123,AX123)</f>
        <v/>
      </c>
      <c r="AZ123" s="10">
        <f>AX123-AY123</f>
        <v/>
      </c>
      <c r="BA123" s="10">
        <f>MIN('02_Данные'!X123,AZ123)</f>
        <v/>
      </c>
      <c r="BB123" s="10">
        <f>AZ123-BA123</f>
        <v/>
      </c>
      <c r="BC123" s="10">
        <f>MIN('02_Данные'!W123,BB123)</f>
        <v/>
      </c>
      <c r="BD123" s="10">
        <f>BB123-BC123</f>
        <v/>
      </c>
      <c r="BE123" s="10">
        <f>MIN('02_Данные'!Y123,BD123)</f>
        <v/>
      </c>
      <c r="BF123" s="10">
        <f>BD123-BE123</f>
        <v/>
      </c>
      <c r="BG123" s="10">
        <f>MIN('02_Данные'!Z123,BF123)</f>
        <v/>
      </c>
      <c r="BH123" s="10">
        <f>BF123-BG123</f>
        <v/>
      </c>
      <c r="BI123" s="10">
        <f>BH123+'02_Данные'!I123</f>
        <v/>
      </c>
      <c r="BJ123" s="10">
        <f>MIN('02_Данные'!AB123,BI123)</f>
        <v/>
      </c>
      <c r="BK123" s="10">
        <f>BI123-BJ123</f>
        <v/>
      </c>
      <c r="BL123" s="10">
        <f>MIN('02_Данные'!AC123,BK123)</f>
        <v/>
      </c>
      <c r="BM123" s="10">
        <f>BK123-BL123</f>
        <v/>
      </c>
      <c r="BN123" s="10">
        <f>MIN('02_Данные'!AD123,BM123)</f>
        <v/>
      </c>
      <c r="BO123" s="10">
        <f>BM123-BN123</f>
        <v/>
      </c>
      <c r="BP123" s="10">
        <f>MIN('02_Данные'!AI123,BO123)</f>
        <v/>
      </c>
      <c r="BQ123" s="10">
        <f>BO123-BP123</f>
        <v/>
      </c>
      <c r="BR123" s="10">
        <f>MIN('02_Данные'!AF123,BQ123)</f>
        <v/>
      </c>
      <c r="BS123" s="10">
        <f>BQ123-BR123</f>
        <v/>
      </c>
      <c r="BT123" s="10">
        <f>MIN('02_Данные'!AE123,BS123)</f>
        <v/>
      </c>
      <c r="BU123" s="10">
        <f>BS123-BT123</f>
        <v/>
      </c>
      <c r="BV123" s="10">
        <f>MIN('02_Данные'!AG123,BU123)</f>
        <v/>
      </c>
      <c r="BW123" s="10">
        <f>BU123-BV123</f>
        <v/>
      </c>
      <c r="BX123" s="10">
        <f>MIN('02_Данные'!AH123,BW123)</f>
        <v/>
      </c>
      <c r="BY123" s="10">
        <f>BW123-BX123</f>
        <v/>
      </c>
      <c r="BZ123" s="10">
        <f>BY123+'02_Данные'!J123</f>
        <v/>
      </c>
      <c r="CA123" s="10">
        <f>MIN('02_Данные'!AJ123,BZ123)</f>
        <v/>
      </c>
      <c r="CB123" s="10">
        <f>BZ123-CA123</f>
        <v/>
      </c>
      <c r="CC123" s="10">
        <f>MIN('02_Данные'!AK123,CB123)</f>
        <v/>
      </c>
      <c r="CD123" s="10">
        <f>CB123-CC123</f>
        <v/>
      </c>
      <c r="CE123" s="10">
        <f>MIN('02_Данные'!AL123,CD123)</f>
        <v/>
      </c>
      <c r="CF123" s="10">
        <f>CD123-CE123</f>
        <v/>
      </c>
      <c r="CG123" s="10">
        <f>MIN('02_Данные'!AQ123,CF123)</f>
        <v/>
      </c>
      <c r="CH123" s="10">
        <f>CF123-CG123</f>
        <v/>
      </c>
      <c r="CI123" s="10">
        <f>MIN('02_Данные'!AN123,CH123)</f>
        <v/>
      </c>
      <c r="CJ123" s="10">
        <f>CH123-CI123</f>
        <v/>
      </c>
      <c r="CK123" s="10">
        <f>MIN('02_Данные'!AM123,CJ123)</f>
        <v/>
      </c>
      <c r="CL123" s="10">
        <f>CJ123-CK123</f>
        <v/>
      </c>
      <c r="CM123" s="10">
        <f>MIN('02_Данные'!AO123,CL123)</f>
        <v/>
      </c>
      <c r="CN123" s="10">
        <f>CL123-CM123</f>
        <v/>
      </c>
      <c r="CO123" s="10">
        <f>MIN('02_Данные'!AP123,CN123)</f>
        <v/>
      </c>
      <c r="CP123" s="10">
        <f>CN123-CO123</f>
        <v/>
      </c>
      <c r="CQ123" s="10">
        <f>CP123+'02_Данные'!K123</f>
        <v/>
      </c>
      <c r="CR123" s="10">
        <f>MIN('02_Данные'!AR123,CQ123)</f>
        <v/>
      </c>
      <c r="CS123" s="10">
        <f>CQ123-CR123</f>
        <v/>
      </c>
      <c r="CT123" s="10">
        <f>MIN('02_Данные'!AS123,CS123)</f>
        <v/>
      </c>
      <c r="CU123" s="10">
        <f>CS123-CT123</f>
        <v/>
      </c>
      <c r="CV123" s="10">
        <f>MIN('02_Данные'!AT123,CU123)</f>
        <v/>
      </c>
      <c r="CW123" s="10">
        <f>CU123-CV123</f>
        <v/>
      </c>
      <c r="CX123" s="10">
        <f>MIN('02_Данные'!AY123,CW123)</f>
        <v/>
      </c>
      <c r="CY123" s="10">
        <f>CW123-CX123</f>
        <v/>
      </c>
      <c r="CZ123" s="10">
        <f>MIN('02_Данные'!AV123,CY123)</f>
        <v/>
      </c>
      <c r="DA123" s="10">
        <f>CY123-CZ123</f>
        <v/>
      </c>
      <c r="DB123" s="10">
        <f>MIN('02_Данные'!AU123,DA123)</f>
        <v/>
      </c>
      <c r="DC123" s="10">
        <f>DA123-DB123</f>
        <v/>
      </c>
      <c r="DD123" s="10">
        <f>MIN('02_Данные'!AW123,DC123)</f>
        <v/>
      </c>
      <c r="DE123" s="10">
        <f>DC123-DD123</f>
        <v/>
      </c>
      <c r="DF123" s="10">
        <f>MIN('02_Данные'!AX123,DE123)</f>
        <v/>
      </c>
      <c r="DG123" s="10">
        <f>DE123-DF123</f>
        <v/>
      </c>
    </row>
    <row r="124">
      <c r="A124" s="9">
        <f>'02_Данные'!B124</f>
        <v/>
      </c>
      <c r="B124" s="9">
        <f>'02_Данные'!E124</f>
        <v/>
      </c>
      <c r="C124" s="10">
        <f>'02_Данные'!F124+'02_Данные'!G124+'02_Данные'!H124+'02_Данные'!I124+'02_Данные'!J124+'02_Данные'!K124</f>
        <v/>
      </c>
      <c r="D124" s="10">
        <f>SUM('02_Данные'!L124:'02_Данные'!AY124)</f>
        <v/>
      </c>
      <c r="E124" s="10">
        <f>MAX(0,D124-C124)</f>
        <v/>
      </c>
      <c r="F124" s="15">
        <f>IF(E124&gt;0.0001,"ДЕФИЦИТ",IF(Y124&gt;0.0001,"ПРОФИЦИТ","БАЛАНС"))</f>
        <v/>
      </c>
      <c r="G124" s="10">
        <f>AB124+AS124+BJ124+CA124+CR124</f>
        <v/>
      </c>
      <c r="H124" s="10">
        <f>AD124+AU124+BL124+CC124+CT124</f>
        <v/>
      </c>
      <c r="I124" s="10">
        <f>AF124+AW124+BN124+CE124+CV124</f>
        <v/>
      </c>
      <c r="J124" s="10">
        <f>AL124+BC124+BT124+CK124+DB124</f>
        <v/>
      </c>
      <c r="K124" s="10">
        <f>AJ124+BA124+BR124+CI124+CZ124</f>
        <v/>
      </c>
      <c r="L124" s="10">
        <f>AN124+BE124+BV124+CM124+DD124</f>
        <v/>
      </c>
      <c r="M124" s="10">
        <f>AP124+BG124+BX124+CO124+DF124</f>
        <v/>
      </c>
      <c r="N124" s="10">
        <f>AH124+AY124+BP124+CG124+CX124</f>
        <v/>
      </c>
      <c r="O124" s="10">
        <f>SUM(G124:N124)</f>
        <v/>
      </c>
      <c r="P124" s="10">
        <f>IFERROR(G124*MIN(1,'01_Нормативы'!$C$4/SUM(G$2:G$429)),0)</f>
        <v/>
      </c>
      <c r="Q124" s="10">
        <f>IFERROR(H124*MIN(1,'01_Нормативы'!$C$5/SUM(H$2:H$429)),0)</f>
        <v/>
      </c>
      <c r="R124" s="10">
        <f>IFERROR(I124*MIN(1,'01_Нормативы'!$C$6/SUM(I$2:I$429)),0)</f>
        <v/>
      </c>
      <c r="S124" s="10">
        <f>IFERROR(J124*MIN(1,'01_Нормативы'!$C$7/SUM(J$2:J$429)),0)</f>
        <v/>
      </c>
      <c r="T124" s="10">
        <f>IFERROR(K124*MIN(1,'01_Нормативы'!$C$8/SUM(K$2:K$429)),0)</f>
        <v/>
      </c>
      <c r="U124" s="10">
        <f>IFERROR(L124*MIN(1,'01_Нормативы'!$C$9/SUM(L$2:L$429)),0)</f>
        <v/>
      </c>
      <c r="V124" s="10">
        <f>IFERROR(M124*MIN(1,'01_Нормативы'!$C$10/SUM(M$2:M$429)),0)</f>
        <v/>
      </c>
      <c r="W124" s="10">
        <f>IFERROR(N124*MIN(1,'01_Нормативы'!$C$11/SUM(N$2:N$429)),0)</f>
        <v/>
      </c>
      <c r="X124" s="10">
        <f>SUM(P124:W124)</f>
        <v/>
      </c>
      <c r="Y124" s="10">
        <f>MAX(0,C124-X124)</f>
        <v/>
      </c>
      <c r="Z124" s="10">
        <f>IF(D124=0,100,X124/D124*100)</f>
        <v/>
      </c>
      <c r="AA124" s="10">
        <f>'02_Данные'!F124+'02_Данные'!G124</f>
        <v/>
      </c>
      <c r="AB124" s="10">
        <f>MIN('02_Данные'!L124,AA124)</f>
        <v/>
      </c>
      <c r="AC124" s="10">
        <f>AA124-AB124</f>
        <v/>
      </c>
      <c r="AD124" s="10">
        <f>MIN('02_Данные'!M124,AC124)</f>
        <v/>
      </c>
      <c r="AE124" s="10">
        <f>AC124-AD124</f>
        <v/>
      </c>
      <c r="AF124" s="10">
        <f>MIN('02_Данные'!N124,AE124)</f>
        <v/>
      </c>
      <c r="AG124" s="10">
        <f>AE124-AF124</f>
        <v/>
      </c>
      <c r="AH124" s="10">
        <f>MIN('02_Данные'!S124,AG124)</f>
        <v/>
      </c>
      <c r="AI124" s="10">
        <f>AG124-AH124</f>
        <v/>
      </c>
      <c r="AJ124" s="10">
        <f>MIN('02_Данные'!P124,AI124)</f>
        <v/>
      </c>
      <c r="AK124" s="10">
        <f>AI124-AJ124</f>
        <v/>
      </c>
      <c r="AL124" s="10">
        <f>MIN('02_Данные'!O124,AK124)</f>
        <v/>
      </c>
      <c r="AM124" s="10">
        <f>AK124-AL124</f>
        <v/>
      </c>
      <c r="AN124" s="10">
        <f>MIN('02_Данные'!Q124,AM124)</f>
        <v/>
      </c>
      <c r="AO124" s="10">
        <f>AM124-AN124</f>
        <v/>
      </c>
      <c r="AP124" s="10">
        <f>MIN('02_Данные'!R124,AO124)</f>
        <v/>
      </c>
      <c r="AQ124" s="10">
        <f>AO124-AP124</f>
        <v/>
      </c>
      <c r="AR124" s="10">
        <f>AQ124+'02_Данные'!H124</f>
        <v/>
      </c>
      <c r="AS124" s="10">
        <f>MIN('02_Данные'!T124,AR124)</f>
        <v/>
      </c>
      <c r="AT124" s="10">
        <f>AR124-AS124</f>
        <v/>
      </c>
      <c r="AU124" s="10">
        <f>MIN('02_Данные'!U124,AT124)</f>
        <v/>
      </c>
      <c r="AV124" s="10">
        <f>AT124-AU124</f>
        <v/>
      </c>
      <c r="AW124" s="10">
        <f>MIN('02_Данные'!V124,AV124)</f>
        <v/>
      </c>
      <c r="AX124" s="10">
        <f>AV124-AW124</f>
        <v/>
      </c>
      <c r="AY124" s="10">
        <f>MIN('02_Данные'!AA124,AX124)</f>
        <v/>
      </c>
      <c r="AZ124" s="10">
        <f>AX124-AY124</f>
        <v/>
      </c>
      <c r="BA124" s="10">
        <f>MIN('02_Данные'!X124,AZ124)</f>
        <v/>
      </c>
      <c r="BB124" s="10">
        <f>AZ124-BA124</f>
        <v/>
      </c>
      <c r="BC124" s="10">
        <f>MIN('02_Данные'!W124,BB124)</f>
        <v/>
      </c>
      <c r="BD124" s="10">
        <f>BB124-BC124</f>
        <v/>
      </c>
      <c r="BE124" s="10">
        <f>MIN('02_Данные'!Y124,BD124)</f>
        <v/>
      </c>
      <c r="BF124" s="10">
        <f>BD124-BE124</f>
        <v/>
      </c>
      <c r="BG124" s="10">
        <f>MIN('02_Данные'!Z124,BF124)</f>
        <v/>
      </c>
      <c r="BH124" s="10">
        <f>BF124-BG124</f>
        <v/>
      </c>
      <c r="BI124" s="10">
        <f>BH124+'02_Данные'!I124</f>
        <v/>
      </c>
      <c r="BJ124" s="10">
        <f>MIN('02_Данные'!AB124,BI124)</f>
        <v/>
      </c>
      <c r="BK124" s="10">
        <f>BI124-BJ124</f>
        <v/>
      </c>
      <c r="BL124" s="10">
        <f>MIN('02_Данные'!AC124,BK124)</f>
        <v/>
      </c>
      <c r="BM124" s="10">
        <f>BK124-BL124</f>
        <v/>
      </c>
      <c r="BN124" s="10">
        <f>MIN('02_Данные'!AD124,BM124)</f>
        <v/>
      </c>
      <c r="BO124" s="10">
        <f>BM124-BN124</f>
        <v/>
      </c>
      <c r="BP124" s="10">
        <f>MIN('02_Данные'!AI124,BO124)</f>
        <v/>
      </c>
      <c r="BQ124" s="10">
        <f>BO124-BP124</f>
        <v/>
      </c>
      <c r="BR124" s="10">
        <f>MIN('02_Данные'!AF124,BQ124)</f>
        <v/>
      </c>
      <c r="BS124" s="10">
        <f>BQ124-BR124</f>
        <v/>
      </c>
      <c r="BT124" s="10">
        <f>MIN('02_Данные'!AE124,BS124)</f>
        <v/>
      </c>
      <c r="BU124" s="10">
        <f>BS124-BT124</f>
        <v/>
      </c>
      <c r="BV124" s="10">
        <f>MIN('02_Данные'!AG124,BU124)</f>
        <v/>
      </c>
      <c r="BW124" s="10">
        <f>BU124-BV124</f>
        <v/>
      </c>
      <c r="BX124" s="10">
        <f>MIN('02_Данные'!AH124,BW124)</f>
        <v/>
      </c>
      <c r="BY124" s="10">
        <f>BW124-BX124</f>
        <v/>
      </c>
      <c r="BZ124" s="10">
        <f>BY124+'02_Данные'!J124</f>
        <v/>
      </c>
      <c r="CA124" s="10">
        <f>MIN('02_Данные'!AJ124,BZ124)</f>
        <v/>
      </c>
      <c r="CB124" s="10">
        <f>BZ124-CA124</f>
        <v/>
      </c>
      <c r="CC124" s="10">
        <f>MIN('02_Данные'!AK124,CB124)</f>
        <v/>
      </c>
      <c r="CD124" s="10">
        <f>CB124-CC124</f>
        <v/>
      </c>
      <c r="CE124" s="10">
        <f>MIN('02_Данные'!AL124,CD124)</f>
        <v/>
      </c>
      <c r="CF124" s="10">
        <f>CD124-CE124</f>
        <v/>
      </c>
      <c r="CG124" s="10">
        <f>MIN('02_Данные'!AQ124,CF124)</f>
        <v/>
      </c>
      <c r="CH124" s="10">
        <f>CF124-CG124</f>
        <v/>
      </c>
      <c r="CI124" s="10">
        <f>MIN('02_Данные'!AN124,CH124)</f>
        <v/>
      </c>
      <c r="CJ124" s="10">
        <f>CH124-CI124</f>
        <v/>
      </c>
      <c r="CK124" s="10">
        <f>MIN('02_Данные'!AM124,CJ124)</f>
        <v/>
      </c>
      <c r="CL124" s="10">
        <f>CJ124-CK124</f>
        <v/>
      </c>
      <c r="CM124" s="10">
        <f>MIN('02_Данные'!AO124,CL124)</f>
        <v/>
      </c>
      <c r="CN124" s="10">
        <f>CL124-CM124</f>
        <v/>
      </c>
      <c r="CO124" s="10">
        <f>MIN('02_Данные'!AP124,CN124)</f>
        <v/>
      </c>
      <c r="CP124" s="10">
        <f>CN124-CO124</f>
        <v/>
      </c>
      <c r="CQ124" s="10">
        <f>CP124+'02_Данные'!K124</f>
        <v/>
      </c>
      <c r="CR124" s="10">
        <f>MIN('02_Данные'!AR124,CQ124)</f>
        <v/>
      </c>
      <c r="CS124" s="10">
        <f>CQ124-CR124</f>
        <v/>
      </c>
      <c r="CT124" s="10">
        <f>MIN('02_Данные'!AS124,CS124)</f>
        <v/>
      </c>
      <c r="CU124" s="10">
        <f>CS124-CT124</f>
        <v/>
      </c>
      <c r="CV124" s="10">
        <f>MIN('02_Данные'!AT124,CU124)</f>
        <v/>
      </c>
      <c r="CW124" s="10">
        <f>CU124-CV124</f>
        <v/>
      </c>
      <c r="CX124" s="10">
        <f>MIN('02_Данные'!AY124,CW124)</f>
        <v/>
      </c>
      <c r="CY124" s="10">
        <f>CW124-CX124</f>
        <v/>
      </c>
      <c r="CZ124" s="10">
        <f>MIN('02_Данные'!AV124,CY124)</f>
        <v/>
      </c>
      <c r="DA124" s="10">
        <f>CY124-CZ124</f>
        <v/>
      </c>
      <c r="DB124" s="10">
        <f>MIN('02_Данные'!AU124,DA124)</f>
        <v/>
      </c>
      <c r="DC124" s="10">
        <f>DA124-DB124</f>
        <v/>
      </c>
      <c r="DD124" s="10">
        <f>MIN('02_Данные'!AW124,DC124)</f>
        <v/>
      </c>
      <c r="DE124" s="10">
        <f>DC124-DD124</f>
        <v/>
      </c>
      <c r="DF124" s="10">
        <f>MIN('02_Данные'!AX124,DE124)</f>
        <v/>
      </c>
      <c r="DG124" s="10">
        <f>DE124-DF124</f>
        <v/>
      </c>
    </row>
    <row r="125">
      <c r="A125" s="9">
        <f>'02_Данные'!B125</f>
        <v/>
      </c>
      <c r="B125" s="9">
        <f>'02_Данные'!E125</f>
        <v/>
      </c>
      <c r="C125" s="10">
        <f>'02_Данные'!F125+'02_Данные'!G125+'02_Данные'!H125+'02_Данные'!I125+'02_Данные'!J125+'02_Данные'!K125</f>
        <v/>
      </c>
      <c r="D125" s="10">
        <f>SUM('02_Данные'!L125:'02_Данные'!AY125)</f>
        <v/>
      </c>
      <c r="E125" s="10">
        <f>MAX(0,D125-C125)</f>
        <v/>
      </c>
      <c r="F125" s="15">
        <f>IF(E125&gt;0.0001,"ДЕФИЦИТ",IF(Y125&gt;0.0001,"ПРОФИЦИТ","БАЛАНС"))</f>
        <v/>
      </c>
      <c r="G125" s="10">
        <f>AB125+AS125+BJ125+CA125+CR125</f>
        <v/>
      </c>
      <c r="H125" s="10">
        <f>AD125+AU125+BL125+CC125+CT125</f>
        <v/>
      </c>
      <c r="I125" s="10">
        <f>AF125+AW125+BN125+CE125+CV125</f>
        <v/>
      </c>
      <c r="J125" s="10">
        <f>AL125+BC125+BT125+CK125+DB125</f>
        <v/>
      </c>
      <c r="K125" s="10">
        <f>AJ125+BA125+BR125+CI125+CZ125</f>
        <v/>
      </c>
      <c r="L125" s="10">
        <f>AN125+BE125+BV125+CM125+DD125</f>
        <v/>
      </c>
      <c r="M125" s="10">
        <f>AP125+BG125+BX125+CO125+DF125</f>
        <v/>
      </c>
      <c r="N125" s="10">
        <f>AH125+AY125+BP125+CG125+CX125</f>
        <v/>
      </c>
      <c r="O125" s="10">
        <f>SUM(G125:N125)</f>
        <v/>
      </c>
      <c r="P125" s="10">
        <f>IFERROR(G125*MIN(1,'01_Нормативы'!$C$4/SUM(G$2:G$429)),0)</f>
        <v/>
      </c>
      <c r="Q125" s="10">
        <f>IFERROR(H125*MIN(1,'01_Нормативы'!$C$5/SUM(H$2:H$429)),0)</f>
        <v/>
      </c>
      <c r="R125" s="10">
        <f>IFERROR(I125*MIN(1,'01_Нормативы'!$C$6/SUM(I$2:I$429)),0)</f>
        <v/>
      </c>
      <c r="S125" s="10">
        <f>IFERROR(J125*MIN(1,'01_Нормативы'!$C$7/SUM(J$2:J$429)),0)</f>
        <v/>
      </c>
      <c r="T125" s="10">
        <f>IFERROR(K125*MIN(1,'01_Нормативы'!$C$8/SUM(K$2:K$429)),0)</f>
        <v/>
      </c>
      <c r="U125" s="10">
        <f>IFERROR(L125*MIN(1,'01_Нормативы'!$C$9/SUM(L$2:L$429)),0)</f>
        <v/>
      </c>
      <c r="V125" s="10">
        <f>IFERROR(M125*MIN(1,'01_Нормативы'!$C$10/SUM(M$2:M$429)),0)</f>
        <v/>
      </c>
      <c r="W125" s="10">
        <f>IFERROR(N125*MIN(1,'01_Нормативы'!$C$11/SUM(N$2:N$429)),0)</f>
        <v/>
      </c>
      <c r="X125" s="10">
        <f>SUM(P125:W125)</f>
        <v/>
      </c>
      <c r="Y125" s="10">
        <f>MAX(0,C125-X125)</f>
        <v/>
      </c>
      <c r="Z125" s="10">
        <f>IF(D125=0,100,X125/D125*100)</f>
        <v/>
      </c>
      <c r="AA125" s="10">
        <f>'02_Данные'!F125+'02_Данные'!G125</f>
        <v/>
      </c>
      <c r="AB125" s="10">
        <f>MIN('02_Данные'!L125,AA125)</f>
        <v/>
      </c>
      <c r="AC125" s="10">
        <f>AA125-AB125</f>
        <v/>
      </c>
      <c r="AD125" s="10">
        <f>MIN('02_Данные'!M125,AC125)</f>
        <v/>
      </c>
      <c r="AE125" s="10">
        <f>AC125-AD125</f>
        <v/>
      </c>
      <c r="AF125" s="10">
        <f>MIN('02_Данные'!N125,AE125)</f>
        <v/>
      </c>
      <c r="AG125" s="10">
        <f>AE125-AF125</f>
        <v/>
      </c>
      <c r="AH125" s="10">
        <f>MIN('02_Данные'!S125,AG125)</f>
        <v/>
      </c>
      <c r="AI125" s="10">
        <f>AG125-AH125</f>
        <v/>
      </c>
      <c r="AJ125" s="10">
        <f>MIN('02_Данные'!P125,AI125)</f>
        <v/>
      </c>
      <c r="AK125" s="10">
        <f>AI125-AJ125</f>
        <v/>
      </c>
      <c r="AL125" s="10">
        <f>MIN('02_Данные'!O125,AK125)</f>
        <v/>
      </c>
      <c r="AM125" s="10">
        <f>AK125-AL125</f>
        <v/>
      </c>
      <c r="AN125" s="10">
        <f>MIN('02_Данные'!Q125,AM125)</f>
        <v/>
      </c>
      <c r="AO125" s="10">
        <f>AM125-AN125</f>
        <v/>
      </c>
      <c r="AP125" s="10">
        <f>MIN('02_Данные'!R125,AO125)</f>
        <v/>
      </c>
      <c r="AQ125" s="10">
        <f>AO125-AP125</f>
        <v/>
      </c>
      <c r="AR125" s="10">
        <f>AQ125+'02_Данные'!H125</f>
        <v/>
      </c>
      <c r="AS125" s="10">
        <f>MIN('02_Данные'!T125,AR125)</f>
        <v/>
      </c>
      <c r="AT125" s="10">
        <f>AR125-AS125</f>
        <v/>
      </c>
      <c r="AU125" s="10">
        <f>MIN('02_Данные'!U125,AT125)</f>
        <v/>
      </c>
      <c r="AV125" s="10">
        <f>AT125-AU125</f>
        <v/>
      </c>
      <c r="AW125" s="10">
        <f>MIN('02_Данные'!V125,AV125)</f>
        <v/>
      </c>
      <c r="AX125" s="10">
        <f>AV125-AW125</f>
        <v/>
      </c>
      <c r="AY125" s="10">
        <f>MIN('02_Данные'!AA125,AX125)</f>
        <v/>
      </c>
      <c r="AZ125" s="10">
        <f>AX125-AY125</f>
        <v/>
      </c>
      <c r="BA125" s="10">
        <f>MIN('02_Данные'!X125,AZ125)</f>
        <v/>
      </c>
      <c r="BB125" s="10">
        <f>AZ125-BA125</f>
        <v/>
      </c>
      <c r="BC125" s="10">
        <f>MIN('02_Данные'!W125,BB125)</f>
        <v/>
      </c>
      <c r="BD125" s="10">
        <f>BB125-BC125</f>
        <v/>
      </c>
      <c r="BE125" s="10">
        <f>MIN('02_Данные'!Y125,BD125)</f>
        <v/>
      </c>
      <c r="BF125" s="10">
        <f>BD125-BE125</f>
        <v/>
      </c>
      <c r="BG125" s="10">
        <f>MIN('02_Данные'!Z125,BF125)</f>
        <v/>
      </c>
      <c r="BH125" s="10">
        <f>BF125-BG125</f>
        <v/>
      </c>
      <c r="BI125" s="10">
        <f>BH125+'02_Данные'!I125</f>
        <v/>
      </c>
      <c r="BJ125" s="10">
        <f>MIN('02_Данные'!AB125,BI125)</f>
        <v/>
      </c>
      <c r="BK125" s="10">
        <f>BI125-BJ125</f>
        <v/>
      </c>
      <c r="BL125" s="10">
        <f>MIN('02_Данные'!AC125,BK125)</f>
        <v/>
      </c>
      <c r="BM125" s="10">
        <f>BK125-BL125</f>
        <v/>
      </c>
      <c r="BN125" s="10">
        <f>MIN('02_Данные'!AD125,BM125)</f>
        <v/>
      </c>
      <c r="BO125" s="10">
        <f>BM125-BN125</f>
        <v/>
      </c>
      <c r="BP125" s="10">
        <f>MIN('02_Данные'!AI125,BO125)</f>
        <v/>
      </c>
      <c r="BQ125" s="10">
        <f>BO125-BP125</f>
        <v/>
      </c>
      <c r="BR125" s="10">
        <f>MIN('02_Данные'!AF125,BQ125)</f>
        <v/>
      </c>
      <c r="BS125" s="10">
        <f>BQ125-BR125</f>
        <v/>
      </c>
      <c r="BT125" s="10">
        <f>MIN('02_Данные'!AE125,BS125)</f>
        <v/>
      </c>
      <c r="BU125" s="10">
        <f>BS125-BT125</f>
        <v/>
      </c>
      <c r="BV125" s="10">
        <f>MIN('02_Данные'!AG125,BU125)</f>
        <v/>
      </c>
      <c r="BW125" s="10">
        <f>BU125-BV125</f>
        <v/>
      </c>
      <c r="BX125" s="10">
        <f>MIN('02_Данные'!AH125,BW125)</f>
        <v/>
      </c>
      <c r="BY125" s="10">
        <f>BW125-BX125</f>
        <v/>
      </c>
      <c r="BZ125" s="10">
        <f>BY125+'02_Данные'!J125</f>
        <v/>
      </c>
      <c r="CA125" s="10">
        <f>MIN('02_Данные'!AJ125,BZ125)</f>
        <v/>
      </c>
      <c r="CB125" s="10">
        <f>BZ125-CA125</f>
        <v/>
      </c>
      <c r="CC125" s="10">
        <f>MIN('02_Данные'!AK125,CB125)</f>
        <v/>
      </c>
      <c r="CD125" s="10">
        <f>CB125-CC125</f>
        <v/>
      </c>
      <c r="CE125" s="10">
        <f>MIN('02_Данные'!AL125,CD125)</f>
        <v/>
      </c>
      <c r="CF125" s="10">
        <f>CD125-CE125</f>
        <v/>
      </c>
      <c r="CG125" s="10">
        <f>MIN('02_Данные'!AQ125,CF125)</f>
        <v/>
      </c>
      <c r="CH125" s="10">
        <f>CF125-CG125</f>
        <v/>
      </c>
      <c r="CI125" s="10">
        <f>MIN('02_Данные'!AN125,CH125)</f>
        <v/>
      </c>
      <c r="CJ125" s="10">
        <f>CH125-CI125</f>
        <v/>
      </c>
      <c r="CK125" s="10">
        <f>MIN('02_Данные'!AM125,CJ125)</f>
        <v/>
      </c>
      <c r="CL125" s="10">
        <f>CJ125-CK125</f>
        <v/>
      </c>
      <c r="CM125" s="10">
        <f>MIN('02_Данные'!AO125,CL125)</f>
        <v/>
      </c>
      <c r="CN125" s="10">
        <f>CL125-CM125</f>
        <v/>
      </c>
      <c r="CO125" s="10">
        <f>MIN('02_Данные'!AP125,CN125)</f>
        <v/>
      </c>
      <c r="CP125" s="10">
        <f>CN125-CO125</f>
        <v/>
      </c>
      <c r="CQ125" s="10">
        <f>CP125+'02_Данные'!K125</f>
        <v/>
      </c>
      <c r="CR125" s="10">
        <f>MIN('02_Данные'!AR125,CQ125)</f>
        <v/>
      </c>
      <c r="CS125" s="10">
        <f>CQ125-CR125</f>
        <v/>
      </c>
      <c r="CT125" s="10">
        <f>MIN('02_Данные'!AS125,CS125)</f>
        <v/>
      </c>
      <c r="CU125" s="10">
        <f>CS125-CT125</f>
        <v/>
      </c>
      <c r="CV125" s="10">
        <f>MIN('02_Данные'!AT125,CU125)</f>
        <v/>
      </c>
      <c r="CW125" s="10">
        <f>CU125-CV125</f>
        <v/>
      </c>
      <c r="CX125" s="10">
        <f>MIN('02_Данные'!AY125,CW125)</f>
        <v/>
      </c>
      <c r="CY125" s="10">
        <f>CW125-CX125</f>
        <v/>
      </c>
      <c r="CZ125" s="10">
        <f>MIN('02_Данные'!AV125,CY125)</f>
        <v/>
      </c>
      <c r="DA125" s="10">
        <f>CY125-CZ125</f>
        <v/>
      </c>
      <c r="DB125" s="10">
        <f>MIN('02_Данные'!AU125,DA125)</f>
        <v/>
      </c>
      <c r="DC125" s="10">
        <f>DA125-DB125</f>
        <v/>
      </c>
      <c r="DD125" s="10">
        <f>MIN('02_Данные'!AW125,DC125)</f>
        <v/>
      </c>
      <c r="DE125" s="10">
        <f>DC125-DD125</f>
        <v/>
      </c>
      <c r="DF125" s="10">
        <f>MIN('02_Данные'!AX125,DE125)</f>
        <v/>
      </c>
      <c r="DG125" s="10">
        <f>DE125-DF125</f>
        <v/>
      </c>
    </row>
    <row r="126">
      <c r="A126" s="9">
        <f>'02_Данные'!B126</f>
        <v/>
      </c>
      <c r="B126" s="9">
        <f>'02_Данные'!E126</f>
        <v/>
      </c>
      <c r="C126" s="10">
        <f>'02_Данные'!F126+'02_Данные'!G126+'02_Данные'!H126+'02_Данные'!I126+'02_Данные'!J126+'02_Данные'!K126</f>
        <v/>
      </c>
      <c r="D126" s="10">
        <f>SUM('02_Данные'!L126:'02_Данные'!AY126)</f>
        <v/>
      </c>
      <c r="E126" s="10">
        <f>MAX(0,D126-C126)</f>
        <v/>
      </c>
      <c r="F126" s="15">
        <f>IF(E126&gt;0.0001,"ДЕФИЦИТ",IF(Y126&gt;0.0001,"ПРОФИЦИТ","БАЛАНС"))</f>
        <v/>
      </c>
      <c r="G126" s="10">
        <f>AB126+AS126+BJ126+CA126+CR126</f>
        <v/>
      </c>
      <c r="H126" s="10">
        <f>AD126+AU126+BL126+CC126+CT126</f>
        <v/>
      </c>
      <c r="I126" s="10">
        <f>AF126+AW126+BN126+CE126+CV126</f>
        <v/>
      </c>
      <c r="J126" s="10">
        <f>AL126+BC126+BT126+CK126+DB126</f>
        <v/>
      </c>
      <c r="K126" s="10">
        <f>AJ126+BA126+BR126+CI126+CZ126</f>
        <v/>
      </c>
      <c r="L126" s="10">
        <f>AN126+BE126+BV126+CM126+DD126</f>
        <v/>
      </c>
      <c r="M126" s="10">
        <f>AP126+BG126+BX126+CO126+DF126</f>
        <v/>
      </c>
      <c r="N126" s="10">
        <f>AH126+AY126+BP126+CG126+CX126</f>
        <v/>
      </c>
      <c r="O126" s="10">
        <f>SUM(G126:N126)</f>
        <v/>
      </c>
      <c r="P126" s="10">
        <f>IFERROR(G126*MIN(1,'01_Нормативы'!$C$4/SUM(G$2:G$429)),0)</f>
        <v/>
      </c>
      <c r="Q126" s="10">
        <f>IFERROR(H126*MIN(1,'01_Нормативы'!$C$5/SUM(H$2:H$429)),0)</f>
        <v/>
      </c>
      <c r="R126" s="10">
        <f>IFERROR(I126*MIN(1,'01_Нормативы'!$C$6/SUM(I$2:I$429)),0)</f>
        <v/>
      </c>
      <c r="S126" s="10">
        <f>IFERROR(J126*MIN(1,'01_Нормативы'!$C$7/SUM(J$2:J$429)),0)</f>
        <v/>
      </c>
      <c r="T126" s="10">
        <f>IFERROR(K126*MIN(1,'01_Нормативы'!$C$8/SUM(K$2:K$429)),0)</f>
        <v/>
      </c>
      <c r="U126" s="10">
        <f>IFERROR(L126*MIN(1,'01_Нормативы'!$C$9/SUM(L$2:L$429)),0)</f>
        <v/>
      </c>
      <c r="V126" s="10">
        <f>IFERROR(M126*MIN(1,'01_Нормативы'!$C$10/SUM(M$2:M$429)),0)</f>
        <v/>
      </c>
      <c r="W126" s="10">
        <f>IFERROR(N126*MIN(1,'01_Нормативы'!$C$11/SUM(N$2:N$429)),0)</f>
        <v/>
      </c>
      <c r="X126" s="10">
        <f>SUM(P126:W126)</f>
        <v/>
      </c>
      <c r="Y126" s="10">
        <f>MAX(0,C126-X126)</f>
        <v/>
      </c>
      <c r="Z126" s="10">
        <f>IF(D126=0,100,X126/D126*100)</f>
        <v/>
      </c>
      <c r="AA126" s="10">
        <f>'02_Данные'!F126+'02_Данные'!G126</f>
        <v/>
      </c>
      <c r="AB126" s="10">
        <f>MIN('02_Данные'!L126,AA126)</f>
        <v/>
      </c>
      <c r="AC126" s="10">
        <f>AA126-AB126</f>
        <v/>
      </c>
      <c r="AD126" s="10">
        <f>MIN('02_Данные'!M126,AC126)</f>
        <v/>
      </c>
      <c r="AE126" s="10">
        <f>AC126-AD126</f>
        <v/>
      </c>
      <c r="AF126" s="10">
        <f>MIN('02_Данные'!N126,AE126)</f>
        <v/>
      </c>
      <c r="AG126" s="10">
        <f>AE126-AF126</f>
        <v/>
      </c>
      <c r="AH126" s="10">
        <f>MIN('02_Данные'!S126,AG126)</f>
        <v/>
      </c>
      <c r="AI126" s="10">
        <f>AG126-AH126</f>
        <v/>
      </c>
      <c r="AJ126" s="10">
        <f>MIN('02_Данные'!P126,AI126)</f>
        <v/>
      </c>
      <c r="AK126" s="10">
        <f>AI126-AJ126</f>
        <v/>
      </c>
      <c r="AL126" s="10">
        <f>MIN('02_Данные'!O126,AK126)</f>
        <v/>
      </c>
      <c r="AM126" s="10">
        <f>AK126-AL126</f>
        <v/>
      </c>
      <c r="AN126" s="10">
        <f>MIN('02_Данные'!Q126,AM126)</f>
        <v/>
      </c>
      <c r="AO126" s="10">
        <f>AM126-AN126</f>
        <v/>
      </c>
      <c r="AP126" s="10">
        <f>MIN('02_Данные'!R126,AO126)</f>
        <v/>
      </c>
      <c r="AQ126" s="10">
        <f>AO126-AP126</f>
        <v/>
      </c>
      <c r="AR126" s="10">
        <f>AQ126+'02_Данные'!H126</f>
        <v/>
      </c>
      <c r="AS126" s="10">
        <f>MIN('02_Данные'!T126,AR126)</f>
        <v/>
      </c>
      <c r="AT126" s="10">
        <f>AR126-AS126</f>
        <v/>
      </c>
      <c r="AU126" s="10">
        <f>MIN('02_Данные'!U126,AT126)</f>
        <v/>
      </c>
      <c r="AV126" s="10">
        <f>AT126-AU126</f>
        <v/>
      </c>
      <c r="AW126" s="10">
        <f>MIN('02_Данные'!V126,AV126)</f>
        <v/>
      </c>
      <c r="AX126" s="10">
        <f>AV126-AW126</f>
        <v/>
      </c>
      <c r="AY126" s="10">
        <f>MIN('02_Данные'!AA126,AX126)</f>
        <v/>
      </c>
      <c r="AZ126" s="10">
        <f>AX126-AY126</f>
        <v/>
      </c>
      <c r="BA126" s="10">
        <f>MIN('02_Данные'!X126,AZ126)</f>
        <v/>
      </c>
      <c r="BB126" s="10">
        <f>AZ126-BA126</f>
        <v/>
      </c>
      <c r="BC126" s="10">
        <f>MIN('02_Данные'!W126,BB126)</f>
        <v/>
      </c>
      <c r="BD126" s="10">
        <f>BB126-BC126</f>
        <v/>
      </c>
      <c r="BE126" s="10">
        <f>MIN('02_Данные'!Y126,BD126)</f>
        <v/>
      </c>
      <c r="BF126" s="10">
        <f>BD126-BE126</f>
        <v/>
      </c>
      <c r="BG126" s="10">
        <f>MIN('02_Данные'!Z126,BF126)</f>
        <v/>
      </c>
      <c r="BH126" s="10">
        <f>BF126-BG126</f>
        <v/>
      </c>
      <c r="BI126" s="10">
        <f>BH126+'02_Данные'!I126</f>
        <v/>
      </c>
      <c r="BJ126" s="10">
        <f>MIN('02_Данные'!AB126,BI126)</f>
        <v/>
      </c>
      <c r="BK126" s="10">
        <f>BI126-BJ126</f>
        <v/>
      </c>
      <c r="BL126" s="10">
        <f>MIN('02_Данные'!AC126,BK126)</f>
        <v/>
      </c>
      <c r="BM126" s="10">
        <f>BK126-BL126</f>
        <v/>
      </c>
      <c r="BN126" s="10">
        <f>MIN('02_Данные'!AD126,BM126)</f>
        <v/>
      </c>
      <c r="BO126" s="10">
        <f>BM126-BN126</f>
        <v/>
      </c>
      <c r="BP126" s="10">
        <f>MIN('02_Данные'!AI126,BO126)</f>
        <v/>
      </c>
      <c r="BQ126" s="10">
        <f>BO126-BP126</f>
        <v/>
      </c>
      <c r="BR126" s="10">
        <f>MIN('02_Данные'!AF126,BQ126)</f>
        <v/>
      </c>
      <c r="BS126" s="10">
        <f>BQ126-BR126</f>
        <v/>
      </c>
      <c r="BT126" s="10">
        <f>MIN('02_Данные'!AE126,BS126)</f>
        <v/>
      </c>
      <c r="BU126" s="10">
        <f>BS126-BT126</f>
        <v/>
      </c>
      <c r="BV126" s="10">
        <f>MIN('02_Данные'!AG126,BU126)</f>
        <v/>
      </c>
      <c r="BW126" s="10">
        <f>BU126-BV126</f>
        <v/>
      </c>
      <c r="BX126" s="10">
        <f>MIN('02_Данные'!AH126,BW126)</f>
        <v/>
      </c>
      <c r="BY126" s="10">
        <f>BW126-BX126</f>
        <v/>
      </c>
      <c r="BZ126" s="10">
        <f>BY126+'02_Данные'!J126</f>
        <v/>
      </c>
      <c r="CA126" s="10">
        <f>MIN('02_Данные'!AJ126,BZ126)</f>
        <v/>
      </c>
      <c r="CB126" s="10">
        <f>BZ126-CA126</f>
        <v/>
      </c>
      <c r="CC126" s="10">
        <f>MIN('02_Данные'!AK126,CB126)</f>
        <v/>
      </c>
      <c r="CD126" s="10">
        <f>CB126-CC126</f>
        <v/>
      </c>
      <c r="CE126" s="10">
        <f>MIN('02_Данные'!AL126,CD126)</f>
        <v/>
      </c>
      <c r="CF126" s="10">
        <f>CD126-CE126</f>
        <v/>
      </c>
      <c r="CG126" s="10">
        <f>MIN('02_Данные'!AQ126,CF126)</f>
        <v/>
      </c>
      <c r="CH126" s="10">
        <f>CF126-CG126</f>
        <v/>
      </c>
      <c r="CI126" s="10">
        <f>MIN('02_Данные'!AN126,CH126)</f>
        <v/>
      </c>
      <c r="CJ126" s="10">
        <f>CH126-CI126</f>
        <v/>
      </c>
      <c r="CK126" s="10">
        <f>MIN('02_Данные'!AM126,CJ126)</f>
        <v/>
      </c>
      <c r="CL126" s="10">
        <f>CJ126-CK126</f>
        <v/>
      </c>
      <c r="CM126" s="10">
        <f>MIN('02_Данные'!AO126,CL126)</f>
        <v/>
      </c>
      <c r="CN126" s="10">
        <f>CL126-CM126</f>
        <v/>
      </c>
      <c r="CO126" s="10">
        <f>MIN('02_Данные'!AP126,CN126)</f>
        <v/>
      </c>
      <c r="CP126" s="10">
        <f>CN126-CO126</f>
        <v/>
      </c>
      <c r="CQ126" s="10">
        <f>CP126+'02_Данные'!K126</f>
        <v/>
      </c>
      <c r="CR126" s="10">
        <f>MIN('02_Данные'!AR126,CQ126)</f>
        <v/>
      </c>
      <c r="CS126" s="10">
        <f>CQ126-CR126</f>
        <v/>
      </c>
      <c r="CT126" s="10">
        <f>MIN('02_Данные'!AS126,CS126)</f>
        <v/>
      </c>
      <c r="CU126" s="10">
        <f>CS126-CT126</f>
        <v/>
      </c>
      <c r="CV126" s="10">
        <f>MIN('02_Данные'!AT126,CU126)</f>
        <v/>
      </c>
      <c r="CW126" s="10">
        <f>CU126-CV126</f>
        <v/>
      </c>
      <c r="CX126" s="10">
        <f>MIN('02_Данные'!AY126,CW126)</f>
        <v/>
      </c>
      <c r="CY126" s="10">
        <f>CW126-CX126</f>
        <v/>
      </c>
      <c r="CZ126" s="10">
        <f>MIN('02_Данные'!AV126,CY126)</f>
        <v/>
      </c>
      <c r="DA126" s="10">
        <f>CY126-CZ126</f>
        <v/>
      </c>
      <c r="DB126" s="10">
        <f>MIN('02_Данные'!AU126,DA126)</f>
        <v/>
      </c>
      <c r="DC126" s="10">
        <f>DA126-DB126</f>
        <v/>
      </c>
      <c r="DD126" s="10">
        <f>MIN('02_Данные'!AW126,DC126)</f>
        <v/>
      </c>
      <c r="DE126" s="10">
        <f>DC126-DD126</f>
        <v/>
      </c>
      <c r="DF126" s="10">
        <f>MIN('02_Данные'!AX126,DE126)</f>
        <v/>
      </c>
      <c r="DG126" s="10">
        <f>DE126-DF126</f>
        <v/>
      </c>
    </row>
    <row r="127">
      <c r="A127" s="9">
        <f>'02_Данные'!B127</f>
        <v/>
      </c>
      <c r="B127" s="9">
        <f>'02_Данные'!E127</f>
        <v/>
      </c>
      <c r="C127" s="10">
        <f>'02_Данные'!F127+'02_Данные'!G127+'02_Данные'!H127+'02_Данные'!I127+'02_Данные'!J127+'02_Данные'!K127</f>
        <v/>
      </c>
      <c r="D127" s="10">
        <f>SUM('02_Данные'!L127:'02_Данные'!AY127)</f>
        <v/>
      </c>
      <c r="E127" s="10">
        <f>MAX(0,D127-C127)</f>
        <v/>
      </c>
      <c r="F127" s="15">
        <f>IF(E127&gt;0.0001,"ДЕФИЦИТ",IF(Y127&gt;0.0001,"ПРОФИЦИТ","БАЛАНС"))</f>
        <v/>
      </c>
      <c r="G127" s="10">
        <f>AB127+AS127+BJ127+CA127+CR127</f>
        <v/>
      </c>
      <c r="H127" s="10">
        <f>AD127+AU127+BL127+CC127+CT127</f>
        <v/>
      </c>
      <c r="I127" s="10">
        <f>AF127+AW127+BN127+CE127+CV127</f>
        <v/>
      </c>
      <c r="J127" s="10">
        <f>AL127+BC127+BT127+CK127+DB127</f>
        <v/>
      </c>
      <c r="K127" s="10">
        <f>AJ127+BA127+BR127+CI127+CZ127</f>
        <v/>
      </c>
      <c r="L127" s="10">
        <f>AN127+BE127+BV127+CM127+DD127</f>
        <v/>
      </c>
      <c r="M127" s="10">
        <f>AP127+BG127+BX127+CO127+DF127</f>
        <v/>
      </c>
      <c r="N127" s="10">
        <f>AH127+AY127+BP127+CG127+CX127</f>
        <v/>
      </c>
      <c r="O127" s="10">
        <f>SUM(G127:N127)</f>
        <v/>
      </c>
      <c r="P127" s="10">
        <f>IFERROR(G127*MIN(1,'01_Нормативы'!$C$4/SUM(G$2:G$429)),0)</f>
        <v/>
      </c>
      <c r="Q127" s="10">
        <f>IFERROR(H127*MIN(1,'01_Нормативы'!$C$5/SUM(H$2:H$429)),0)</f>
        <v/>
      </c>
      <c r="R127" s="10">
        <f>IFERROR(I127*MIN(1,'01_Нормативы'!$C$6/SUM(I$2:I$429)),0)</f>
        <v/>
      </c>
      <c r="S127" s="10">
        <f>IFERROR(J127*MIN(1,'01_Нормативы'!$C$7/SUM(J$2:J$429)),0)</f>
        <v/>
      </c>
      <c r="T127" s="10">
        <f>IFERROR(K127*MIN(1,'01_Нормативы'!$C$8/SUM(K$2:K$429)),0)</f>
        <v/>
      </c>
      <c r="U127" s="10">
        <f>IFERROR(L127*MIN(1,'01_Нормативы'!$C$9/SUM(L$2:L$429)),0)</f>
        <v/>
      </c>
      <c r="V127" s="10">
        <f>IFERROR(M127*MIN(1,'01_Нормативы'!$C$10/SUM(M$2:M$429)),0)</f>
        <v/>
      </c>
      <c r="W127" s="10">
        <f>IFERROR(N127*MIN(1,'01_Нормативы'!$C$11/SUM(N$2:N$429)),0)</f>
        <v/>
      </c>
      <c r="X127" s="10">
        <f>SUM(P127:W127)</f>
        <v/>
      </c>
      <c r="Y127" s="10">
        <f>MAX(0,C127-X127)</f>
        <v/>
      </c>
      <c r="Z127" s="10">
        <f>IF(D127=0,100,X127/D127*100)</f>
        <v/>
      </c>
      <c r="AA127" s="10">
        <f>'02_Данные'!F127+'02_Данные'!G127</f>
        <v/>
      </c>
      <c r="AB127" s="10">
        <f>MIN('02_Данные'!L127,AA127)</f>
        <v/>
      </c>
      <c r="AC127" s="10">
        <f>AA127-AB127</f>
        <v/>
      </c>
      <c r="AD127" s="10">
        <f>MIN('02_Данные'!M127,AC127)</f>
        <v/>
      </c>
      <c r="AE127" s="10">
        <f>AC127-AD127</f>
        <v/>
      </c>
      <c r="AF127" s="10">
        <f>MIN('02_Данные'!N127,AE127)</f>
        <v/>
      </c>
      <c r="AG127" s="10">
        <f>AE127-AF127</f>
        <v/>
      </c>
      <c r="AH127" s="10">
        <f>MIN('02_Данные'!S127,AG127)</f>
        <v/>
      </c>
      <c r="AI127" s="10">
        <f>AG127-AH127</f>
        <v/>
      </c>
      <c r="AJ127" s="10">
        <f>MIN('02_Данные'!P127,AI127)</f>
        <v/>
      </c>
      <c r="AK127" s="10">
        <f>AI127-AJ127</f>
        <v/>
      </c>
      <c r="AL127" s="10">
        <f>MIN('02_Данные'!O127,AK127)</f>
        <v/>
      </c>
      <c r="AM127" s="10">
        <f>AK127-AL127</f>
        <v/>
      </c>
      <c r="AN127" s="10">
        <f>MIN('02_Данные'!Q127,AM127)</f>
        <v/>
      </c>
      <c r="AO127" s="10">
        <f>AM127-AN127</f>
        <v/>
      </c>
      <c r="AP127" s="10">
        <f>MIN('02_Данные'!R127,AO127)</f>
        <v/>
      </c>
      <c r="AQ127" s="10">
        <f>AO127-AP127</f>
        <v/>
      </c>
      <c r="AR127" s="10">
        <f>AQ127+'02_Данные'!H127</f>
        <v/>
      </c>
      <c r="AS127" s="10">
        <f>MIN('02_Данные'!T127,AR127)</f>
        <v/>
      </c>
      <c r="AT127" s="10">
        <f>AR127-AS127</f>
        <v/>
      </c>
      <c r="AU127" s="10">
        <f>MIN('02_Данные'!U127,AT127)</f>
        <v/>
      </c>
      <c r="AV127" s="10">
        <f>AT127-AU127</f>
        <v/>
      </c>
      <c r="AW127" s="10">
        <f>MIN('02_Данные'!V127,AV127)</f>
        <v/>
      </c>
      <c r="AX127" s="10">
        <f>AV127-AW127</f>
        <v/>
      </c>
      <c r="AY127" s="10">
        <f>MIN('02_Данные'!AA127,AX127)</f>
        <v/>
      </c>
      <c r="AZ127" s="10">
        <f>AX127-AY127</f>
        <v/>
      </c>
      <c r="BA127" s="10">
        <f>MIN('02_Данные'!X127,AZ127)</f>
        <v/>
      </c>
      <c r="BB127" s="10">
        <f>AZ127-BA127</f>
        <v/>
      </c>
      <c r="BC127" s="10">
        <f>MIN('02_Данные'!W127,BB127)</f>
        <v/>
      </c>
      <c r="BD127" s="10">
        <f>BB127-BC127</f>
        <v/>
      </c>
      <c r="BE127" s="10">
        <f>MIN('02_Данные'!Y127,BD127)</f>
        <v/>
      </c>
      <c r="BF127" s="10">
        <f>BD127-BE127</f>
        <v/>
      </c>
      <c r="BG127" s="10">
        <f>MIN('02_Данные'!Z127,BF127)</f>
        <v/>
      </c>
      <c r="BH127" s="10">
        <f>BF127-BG127</f>
        <v/>
      </c>
      <c r="BI127" s="10">
        <f>BH127+'02_Данные'!I127</f>
        <v/>
      </c>
      <c r="BJ127" s="10">
        <f>MIN('02_Данные'!AB127,BI127)</f>
        <v/>
      </c>
      <c r="BK127" s="10">
        <f>BI127-BJ127</f>
        <v/>
      </c>
      <c r="BL127" s="10">
        <f>MIN('02_Данные'!AC127,BK127)</f>
        <v/>
      </c>
      <c r="BM127" s="10">
        <f>BK127-BL127</f>
        <v/>
      </c>
      <c r="BN127" s="10">
        <f>MIN('02_Данные'!AD127,BM127)</f>
        <v/>
      </c>
      <c r="BO127" s="10">
        <f>BM127-BN127</f>
        <v/>
      </c>
      <c r="BP127" s="10">
        <f>MIN('02_Данные'!AI127,BO127)</f>
        <v/>
      </c>
      <c r="BQ127" s="10">
        <f>BO127-BP127</f>
        <v/>
      </c>
      <c r="BR127" s="10">
        <f>MIN('02_Данные'!AF127,BQ127)</f>
        <v/>
      </c>
      <c r="BS127" s="10">
        <f>BQ127-BR127</f>
        <v/>
      </c>
      <c r="BT127" s="10">
        <f>MIN('02_Данные'!AE127,BS127)</f>
        <v/>
      </c>
      <c r="BU127" s="10">
        <f>BS127-BT127</f>
        <v/>
      </c>
      <c r="BV127" s="10">
        <f>MIN('02_Данные'!AG127,BU127)</f>
        <v/>
      </c>
      <c r="BW127" s="10">
        <f>BU127-BV127</f>
        <v/>
      </c>
      <c r="BX127" s="10">
        <f>MIN('02_Данные'!AH127,BW127)</f>
        <v/>
      </c>
      <c r="BY127" s="10">
        <f>BW127-BX127</f>
        <v/>
      </c>
      <c r="BZ127" s="10">
        <f>BY127+'02_Данные'!J127</f>
        <v/>
      </c>
      <c r="CA127" s="10">
        <f>MIN('02_Данные'!AJ127,BZ127)</f>
        <v/>
      </c>
      <c r="CB127" s="10">
        <f>BZ127-CA127</f>
        <v/>
      </c>
      <c r="CC127" s="10">
        <f>MIN('02_Данные'!AK127,CB127)</f>
        <v/>
      </c>
      <c r="CD127" s="10">
        <f>CB127-CC127</f>
        <v/>
      </c>
      <c r="CE127" s="10">
        <f>MIN('02_Данные'!AL127,CD127)</f>
        <v/>
      </c>
      <c r="CF127" s="10">
        <f>CD127-CE127</f>
        <v/>
      </c>
      <c r="CG127" s="10">
        <f>MIN('02_Данные'!AQ127,CF127)</f>
        <v/>
      </c>
      <c r="CH127" s="10">
        <f>CF127-CG127</f>
        <v/>
      </c>
      <c r="CI127" s="10">
        <f>MIN('02_Данные'!AN127,CH127)</f>
        <v/>
      </c>
      <c r="CJ127" s="10">
        <f>CH127-CI127</f>
        <v/>
      </c>
      <c r="CK127" s="10">
        <f>MIN('02_Данные'!AM127,CJ127)</f>
        <v/>
      </c>
      <c r="CL127" s="10">
        <f>CJ127-CK127</f>
        <v/>
      </c>
      <c r="CM127" s="10">
        <f>MIN('02_Данные'!AO127,CL127)</f>
        <v/>
      </c>
      <c r="CN127" s="10">
        <f>CL127-CM127</f>
        <v/>
      </c>
      <c r="CO127" s="10">
        <f>MIN('02_Данные'!AP127,CN127)</f>
        <v/>
      </c>
      <c r="CP127" s="10">
        <f>CN127-CO127</f>
        <v/>
      </c>
      <c r="CQ127" s="10">
        <f>CP127+'02_Данные'!K127</f>
        <v/>
      </c>
      <c r="CR127" s="10">
        <f>MIN('02_Данные'!AR127,CQ127)</f>
        <v/>
      </c>
      <c r="CS127" s="10">
        <f>CQ127-CR127</f>
        <v/>
      </c>
      <c r="CT127" s="10">
        <f>MIN('02_Данные'!AS127,CS127)</f>
        <v/>
      </c>
      <c r="CU127" s="10">
        <f>CS127-CT127</f>
        <v/>
      </c>
      <c r="CV127" s="10">
        <f>MIN('02_Данные'!AT127,CU127)</f>
        <v/>
      </c>
      <c r="CW127" s="10">
        <f>CU127-CV127</f>
        <v/>
      </c>
      <c r="CX127" s="10">
        <f>MIN('02_Данные'!AY127,CW127)</f>
        <v/>
      </c>
      <c r="CY127" s="10">
        <f>CW127-CX127</f>
        <v/>
      </c>
      <c r="CZ127" s="10">
        <f>MIN('02_Данные'!AV127,CY127)</f>
        <v/>
      </c>
      <c r="DA127" s="10">
        <f>CY127-CZ127</f>
        <v/>
      </c>
      <c r="DB127" s="10">
        <f>MIN('02_Данные'!AU127,DA127)</f>
        <v/>
      </c>
      <c r="DC127" s="10">
        <f>DA127-DB127</f>
        <v/>
      </c>
      <c r="DD127" s="10">
        <f>MIN('02_Данные'!AW127,DC127)</f>
        <v/>
      </c>
      <c r="DE127" s="10">
        <f>DC127-DD127</f>
        <v/>
      </c>
      <c r="DF127" s="10">
        <f>MIN('02_Данные'!AX127,DE127)</f>
        <v/>
      </c>
      <c r="DG127" s="10">
        <f>DE127-DF127</f>
        <v/>
      </c>
    </row>
    <row r="128">
      <c r="A128" s="9">
        <f>'02_Данные'!B128</f>
        <v/>
      </c>
      <c r="B128" s="9">
        <f>'02_Данные'!E128</f>
        <v/>
      </c>
      <c r="C128" s="10">
        <f>'02_Данные'!F128+'02_Данные'!G128+'02_Данные'!H128+'02_Данные'!I128+'02_Данные'!J128+'02_Данные'!K128</f>
        <v/>
      </c>
      <c r="D128" s="10">
        <f>SUM('02_Данные'!L128:'02_Данные'!AY128)</f>
        <v/>
      </c>
      <c r="E128" s="10">
        <f>MAX(0,D128-C128)</f>
        <v/>
      </c>
      <c r="F128" s="15">
        <f>IF(E128&gt;0.0001,"ДЕФИЦИТ",IF(Y128&gt;0.0001,"ПРОФИЦИТ","БАЛАНС"))</f>
        <v/>
      </c>
      <c r="G128" s="10">
        <f>AB128+AS128+BJ128+CA128+CR128</f>
        <v/>
      </c>
      <c r="H128" s="10">
        <f>AD128+AU128+BL128+CC128+CT128</f>
        <v/>
      </c>
      <c r="I128" s="10">
        <f>AF128+AW128+BN128+CE128+CV128</f>
        <v/>
      </c>
      <c r="J128" s="10">
        <f>AL128+BC128+BT128+CK128+DB128</f>
        <v/>
      </c>
      <c r="K128" s="10">
        <f>AJ128+BA128+BR128+CI128+CZ128</f>
        <v/>
      </c>
      <c r="L128" s="10">
        <f>AN128+BE128+BV128+CM128+DD128</f>
        <v/>
      </c>
      <c r="M128" s="10">
        <f>AP128+BG128+BX128+CO128+DF128</f>
        <v/>
      </c>
      <c r="N128" s="10">
        <f>AH128+AY128+BP128+CG128+CX128</f>
        <v/>
      </c>
      <c r="O128" s="10">
        <f>SUM(G128:N128)</f>
        <v/>
      </c>
      <c r="P128" s="10">
        <f>IFERROR(G128*MIN(1,'01_Нормативы'!$C$4/SUM(G$2:G$429)),0)</f>
        <v/>
      </c>
      <c r="Q128" s="10">
        <f>IFERROR(H128*MIN(1,'01_Нормативы'!$C$5/SUM(H$2:H$429)),0)</f>
        <v/>
      </c>
      <c r="R128" s="10">
        <f>IFERROR(I128*MIN(1,'01_Нормативы'!$C$6/SUM(I$2:I$429)),0)</f>
        <v/>
      </c>
      <c r="S128" s="10">
        <f>IFERROR(J128*MIN(1,'01_Нормативы'!$C$7/SUM(J$2:J$429)),0)</f>
        <v/>
      </c>
      <c r="T128" s="10">
        <f>IFERROR(K128*MIN(1,'01_Нормативы'!$C$8/SUM(K$2:K$429)),0)</f>
        <v/>
      </c>
      <c r="U128" s="10">
        <f>IFERROR(L128*MIN(1,'01_Нормативы'!$C$9/SUM(L$2:L$429)),0)</f>
        <v/>
      </c>
      <c r="V128" s="10">
        <f>IFERROR(M128*MIN(1,'01_Нормативы'!$C$10/SUM(M$2:M$429)),0)</f>
        <v/>
      </c>
      <c r="W128" s="10">
        <f>IFERROR(N128*MIN(1,'01_Нормативы'!$C$11/SUM(N$2:N$429)),0)</f>
        <v/>
      </c>
      <c r="X128" s="10">
        <f>SUM(P128:W128)</f>
        <v/>
      </c>
      <c r="Y128" s="10">
        <f>MAX(0,C128-X128)</f>
        <v/>
      </c>
      <c r="Z128" s="10">
        <f>IF(D128=0,100,X128/D128*100)</f>
        <v/>
      </c>
      <c r="AA128" s="10">
        <f>'02_Данные'!F128+'02_Данные'!G128</f>
        <v/>
      </c>
      <c r="AB128" s="10">
        <f>MIN('02_Данные'!L128,AA128)</f>
        <v/>
      </c>
      <c r="AC128" s="10">
        <f>AA128-AB128</f>
        <v/>
      </c>
      <c r="AD128" s="10">
        <f>MIN('02_Данные'!M128,AC128)</f>
        <v/>
      </c>
      <c r="AE128" s="10">
        <f>AC128-AD128</f>
        <v/>
      </c>
      <c r="AF128" s="10">
        <f>MIN('02_Данные'!N128,AE128)</f>
        <v/>
      </c>
      <c r="AG128" s="10">
        <f>AE128-AF128</f>
        <v/>
      </c>
      <c r="AH128" s="10">
        <f>MIN('02_Данные'!S128,AG128)</f>
        <v/>
      </c>
      <c r="AI128" s="10">
        <f>AG128-AH128</f>
        <v/>
      </c>
      <c r="AJ128" s="10">
        <f>MIN('02_Данные'!P128,AI128)</f>
        <v/>
      </c>
      <c r="AK128" s="10">
        <f>AI128-AJ128</f>
        <v/>
      </c>
      <c r="AL128" s="10">
        <f>MIN('02_Данные'!O128,AK128)</f>
        <v/>
      </c>
      <c r="AM128" s="10">
        <f>AK128-AL128</f>
        <v/>
      </c>
      <c r="AN128" s="10">
        <f>MIN('02_Данные'!Q128,AM128)</f>
        <v/>
      </c>
      <c r="AO128" s="10">
        <f>AM128-AN128</f>
        <v/>
      </c>
      <c r="AP128" s="10">
        <f>MIN('02_Данные'!R128,AO128)</f>
        <v/>
      </c>
      <c r="AQ128" s="10">
        <f>AO128-AP128</f>
        <v/>
      </c>
      <c r="AR128" s="10">
        <f>AQ128+'02_Данные'!H128</f>
        <v/>
      </c>
      <c r="AS128" s="10">
        <f>MIN('02_Данные'!T128,AR128)</f>
        <v/>
      </c>
      <c r="AT128" s="10">
        <f>AR128-AS128</f>
        <v/>
      </c>
      <c r="AU128" s="10">
        <f>MIN('02_Данные'!U128,AT128)</f>
        <v/>
      </c>
      <c r="AV128" s="10">
        <f>AT128-AU128</f>
        <v/>
      </c>
      <c r="AW128" s="10">
        <f>MIN('02_Данные'!V128,AV128)</f>
        <v/>
      </c>
      <c r="AX128" s="10">
        <f>AV128-AW128</f>
        <v/>
      </c>
      <c r="AY128" s="10">
        <f>MIN('02_Данные'!AA128,AX128)</f>
        <v/>
      </c>
      <c r="AZ128" s="10">
        <f>AX128-AY128</f>
        <v/>
      </c>
      <c r="BA128" s="10">
        <f>MIN('02_Данные'!X128,AZ128)</f>
        <v/>
      </c>
      <c r="BB128" s="10">
        <f>AZ128-BA128</f>
        <v/>
      </c>
      <c r="BC128" s="10">
        <f>MIN('02_Данные'!W128,BB128)</f>
        <v/>
      </c>
      <c r="BD128" s="10">
        <f>BB128-BC128</f>
        <v/>
      </c>
      <c r="BE128" s="10">
        <f>MIN('02_Данные'!Y128,BD128)</f>
        <v/>
      </c>
      <c r="BF128" s="10">
        <f>BD128-BE128</f>
        <v/>
      </c>
      <c r="BG128" s="10">
        <f>MIN('02_Данные'!Z128,BF128)</f>
        <v/>
      </c>
      <c r="BH128" s="10">
        <f>BF128-BG128</f>
        <v/>
      </c>
      <c r="BI128" s="10">
        <f>BH128+'02_Данные'!I128</f>
        <v/>
      </c>
      <c r="BJ128" s="10">
        <f>MIN('02_Данные'!AB128,BI128)</f>
        <v/>
      </c>
      <c r="BK128" s="10">
        <f>BI128-BJ128</f>
        <v/>
      </c>
      <c r="BL128" s="10">
        <f>MIN('02_Данные'!AC128,BK128)</f>
        <v/>
      </c>
      <c r="BM128" s="10">
        <f>BK128-BL128</f>
        <v/>
      </c>
      <c r="BN128" s="10">
        <f>MIN('02_Данные'!AD128,BM128)</f>
        <v/>
      </c>
      <c r="BO128" s="10">
        <f>BM128-BN128</f>
        <v/>
      </c>
      <c r="BP128" s="10">
        <f>MIN('02_Данные'!AI128,BO128)</f>
        <v/>
      </c>
      <c r="BQ128" s="10">
        <f>BO128-BP128</f>
        <v/>
      </c>
      <c r="BR128" s="10">
        <f>MIN('02_Данные'!AF128,BQ128)</f>
        <v/>
      </c>
      <c r="BS128" s="10">
        <f>BQ128-BR128</f>
        <v/>
      </c>
      <c r="BT128" s="10">
        <f>MIN('02_Данные'!AE128,BS128)</f>
        <v/>
      </c>
      <c r="BU128" s="10">
        <f>BS128-BT128</f>
        <v/>
      </c>
      <c r="BV128" s="10">
        <f>MIN('02_Данные'!AG128,BU128)</f>
        <v/>
      </c>
      <c r="BW128" s="10">
        <f>BU128-BV128</f>
        <v/>
      </c>
      <c r="BX128" s="10">
        <f>MIN('02_Данные'!AH128,BW128)</f>
        <v/>
      </c>
      <c r="BY128" s="10">
        <f>BW128-BX128</f>
        <v/>
      </c>
      <c r="BZ128" s="10">
        <f>BY128+'02_Данные'!J128</f>
        <v/>
      </c>
      <c r="CA128" s="10">
        <f>MIN('02_Данные'!AJ128,BZ128)</f>
        <v/>
      </c>
      <c r="CB128" s="10">
        <f>BZ128-CA128</f>
        <v/>
      </c>
      <c r="CC128" s="10">
        <f>MIN('02_Данные'!AK128,CB128)</f>
        <v/>
      </c>
      <c r="CD128" s="10">
        <f>CB128-CC128</f>
        <v/>
      </c>
      <c r="CE128" s="10">
        <f>MIN('02_Данные'!AL128,CD128)</f>
        <v/>
      </c>
      <c r="CF128" s="10">
        <f>CD128-CE128</f>
        <v/>
      </c>
      <c r="CG128" s="10">
        <f>MIN('02_Данные'!AQ128,CF128)</f>
        <v/>
      </c>
      <c r="CH128" s="10">
        <f>CF128-CG128</f>
        <v/>
      </c>
      <c r="CI128" s="10">
        <f>MIN('02_Данные'!AN128,CH128)</f>
        <v/>
      </c>
      <c r="CJ128" s="10">
        <f>CH128-CI128</f>
        <v/>
      </c>
      <c r="CK128" s="10">
        <f>MIN('02_Данные'!AM128,CJ128)</f>
        <v/>
      </c>
      <c r="CL128" s="10">
        <f>CJ128-CK128</f>
        <v/>
      </c>
      <c r="CM128" s="10">
        <f>MIN('02_Данные'!AO128,CL128)</f>
        <v/>
      </c>
      <c r="CN128" s="10">
        <f>CL128-CM128</f>
        <v/>
      </c>
      <c r="CO128" s="10">
        <f>MIN('02_Данные'!AP128,CN128)</f>
        <v/>
      </c>
      <c r="CP128" s="10">
        <f>CN128-CO128</f>
        <v/>
      </c>
      <c r="CQ128" s="10">
        <f>CP128+'02_Данные'!K128</f>
        <v/>
      </c>
      <c r="CR128" s="10">
        <f>MIN('02_Данные'!AR128,CQ128)</f>
        <v/>
      </c>
      <c r="CS128" s="10">
        <f>CQ128-CR128</f>
        <v/>
      </c>
      <c r="CT128" s="10">
        <f>MIN('02_Данные'!AS128,CS128)</f>
        <v/>
      </c>
      <c r="CU128" s="10">
        <f>CS128-CT128</f>
        <v/>
      </c>
      <c r="CV128" s="10">
        <f>MIN('02_Данные'!AT128,CU128)</f>
        <v/>
      </c>
      <c r="CW128" s="10">
        <f>CU128-CV128</f>
        <v/>
      </c>
      <c r="CX128" s="10">
        <f>MIN('02_Данные'!AY128,CW128)</f>
        <v/>
      </c>
      <c r="CY128" s="10">
        <f>CW128-CX128</f>
        <v/>
      </c>
      <c r="CZ128" s="10">
        <f>MIN('02_Данные'!AV128,CY128)</f>
        <v/>
      </c>
      <c r="DA128" s="10">
        <f>CY128-CZ128</f>
        <v/>
      </c>
      <c r="DB128" s="10">
        <f>MIN('02_Данные'!AU128,DA128)</f>
        <v/>
      </c>
      <c r="DC128" s="10">
        <f>DA128-DB128</f>
        <v/>
      </c>
      <c r="DD128" s="10">
        <f>MIN('02_Данные'!AW128,DC128)</f>
        <v/>
      </c>
      <c r="DE128" s="10">
        <f>DC128-DD128</f>
        <v/>
      </c>
      <c r="DF128" s="10">
        <f>MIN('02_Данные'!AX128,DE128)</f>
        <v/>
      </c>
      <c r="DG128" s="10">
        <f>DE128-DF128</f>
        <v/>
      </c>
    </row>
    <row r="129">
      <c r="A129" s="9">
        <f>'02_Данные'!B129</f>
        <v/>
      </c>
      <c r="B129" s="9">
        <f>'02_Данные'!E129</f>
        <v/>
      </c>
      <c r="C129" s="10">
        <f>'02_Данные'!F129+'02_Данные'!G129+'02_Данные'!H129+'02_Данные'!I129+'02_Данные'!J129+'02_Данные'!K129</f>
        <v/>
      </c>
      <c r="D129" s="10">
        <f>SUM('02_Данные'!L129:'02_Данные'!AY129)</f>
        <v/>
      </c>
      <c r="E129" s="10">
        <f>MAX(0,D129-C129)</f>
        <v/>
      </c>
      <c r="F129" s="15">
        <f>IF(E129&gt;0.0001,"ДЕФИЦИТ",IF(Y129&gt;0.0001,"ПРОФИЦИТ","БАЛАНС"))</f>
        <v/>
      </c>
      <c r="G129" s="10">
        <f>AB129+AS129+BJ129+CA129+CR129</f>
        <v/>
      </c>
      <c r="H129" s="10">
        <f>AD129+AU129+BL129+CC129+CT129</f>
        <v/>
      </c>
      <c r="I129" s="10">
        <f>AF129+AW129+BN129+CE129+CV129</f>
        <v/>
      </c>
      <c r="J129" s="10">
        <f>AL129+BC129+BT129+CK129+DB129</f>
        <v/>
      </c>
      <c r="K129" s="10">
        <f>AJ129+BA129+BR129+CI129+CZ129</f>
        <v/>
      </c>
      <c r="L129" s="10">
        <f>AN129+BE129+BV129+CM129+DD129</f>
        <v/>
      </c>
      <c r="M129" s="10">
        <f>AP129+BG129+BX129+CO129+DF129</f>
        <v/>
      </c>
      <c r="N129" s="10">
        <f>AH129+AY129+BP129+CG129+CX129</f>
        <v/>
      </c>
      <c r="O129" s="10">
        <f>SUM(G129:N129)</f>
        <v/>
      </c>
      <c r="P129" s="10">
        <f>IFERROR(G129*MIN(1,'01_Нормативы'!$C$4/SUM(G$2:G$429)),0)</f>
        <v/>
      </c>
      <c r="Q129" s="10">
        <f>IFERROR(H129*MIN(1,'01_Нормативы'!$C$5/SUM(H$2:H$429)),0)</f>
        <v/>
      </c>
      <c r="R129" s="10">
        <f>IFERROR(I129*MIN(1,'01_Нормативы'!$C$6/SUM(I$2:I$429)),0)</f>
        <v/>
      </c>
      <c r="S129" s="10">
        <f>IFERROR(J129*MIN(1,'01_Нормативы'!$C$7/SUM(J$2:J$429)),0)</f>
        <v/>
      </c>
      <c r="T129" s="10">
        <f>IFERROR(K129*MIN(1,'01_Нормативы'!$C$8/SUM(K$2:K$429)),0)</f>
        <v/>
      </c>
      <c r="U129" s="10">
        <f>IFERROR(L129*MIN(1,'01_Нормативы'!$C$9/SUM(L$2:L$429)),0)</f>
        <v/>
      </c>
      <c r="V129" s="10">
        <f>IFERROR(M129*MIN(1,'01_Нормативы'!$C$10/SUM(M$2:M$429)),0)</f>
        <v/>
      </c>
      <c r="W129" s="10">
        <f>IFERROR(N129*MIN(1,'01_Нормативы'!$C$11/SUM(N$2:N$429)),0)</f>
        <v/>
      </c>
      <c r="X129" s="10">
        <f>SUM(P129:W129)</f>
        <v/>
      </c>
      <c r="Y129" s="10">
        <f>MAX(0,C129-X129)</f>
        <v/>
      </c>
      <c r="Z129" s="10">
        <f>IF(D129=0,100,X129/D129*100)</f>
        <v/>
      </c>
      <c r="AA129" s="10">
        <f>'02_Данные'!F129+'02_Данные'!G129</f>
        <v/>
      </c>
      <c r="AB129" s="10">
        <f>MIN('02_Данные'!L129,AA129)</f>
        <v/>
      </c>
      <c r="AC129" s="10">
        <f>AA129-AB129</f>
        <v/>
      </c>
      <c r="AD129" s="10">
        <f>MIN('02_Данные'!M129,AC129)</f>
        <v/>
      </c>
      <c r="AE129" s="10">
        <f>AC129-AD129</f>
        <v/>
      </c>
      <c r="AF129" s="10">
        <f>MIN('02_Данные'!N129,AE129)</f>
        <v/>
      </c>
      <c r="AG129" s="10">
        <f>AE129-AF129</f>
        <v/>
      </c>
      <c r="AH129" s="10">
        <f>MIN('02_Данные'!S129,AG129)</f>
        <v/>
      </c>
      <c r="AI129" s="10">
        <f>AG129-AH129</f>
        <v/>
      </c>
      <c r="AJ129" s="10">
        <f>MIN('02_Данные'!P129,AI129)</f>
        <v/>
      </c>
      <c r="AK129" s="10">
        <f>AI129-AJ129</f>
        <v/>
      </c>
      <c r="AL129" s="10">
        <f>MIN('02_Данные'!O129,AK129)</f>
        <v/>
      </c>
      <c r="AM129" s="10">
        <f>AK129-AL129</f>
        <v/>
      </c>
      <c r="AN129" s="10">
        <f>MIN('02_Данные'!Q129,AM129)</f>
        <v/>
      </c>
      <c r="AO129" s="10">
        <f>AM129-AN129</f>
        <v/>
      </c>
      <c r="AP129" s="10">
        <f>MIN('02_Данные'!R129,AO129)</f>
        <v/>
      </c>
      <c r="AQ129" s="10">
        <f>AO129-AP129</f>
        <v/>
      </c>
      <c r="AR129" s="10">
        <f>AQ129+'02_Данные'!H129</f>
        <v/>
      </c>
      <c r="AS129" s="10">
        <f>MIN('02_Данные'!T129,AR129)</f>
        <v/>
      </c>
      <c r="AT129" s="10">
        <f>AR129-AS129</f>
        <v/>
      </c>
      <c r="AU129" s="10">
        <f>MIN('02_Данные'!U129,AT129)</f>
        <v/>
      </c>
      <c r="AV129" s="10">
        <f>AT129-AU129</f>
        <v/>
      </c>
      <c r="AW129" s="10">
        <f>MIN('02_Данные'!V129,AV129)</f>
        <v/>
      </c>
      <c r="AX129" s="10">
        <f>AV129-AW129</f>
        <v/>
      </c>
      <c r="AY129" s="10">
        <f>MIN('02_Данные'!AA129,AX129)</f>
        <v/>
      </c>
      <c r="AZ129" s="10">
        <f>AX129-AY129</f>
        <v/>
      </c>
      <c r="BA129" s="10">
        <f>MIN('02_Данные'!X129,AZ129)</f>
        <v/>
      </c>
      <c r="BB129" s="10">
        <f>AZ129-BA129</f>
        <v/>
      </c>
      <c r="BC129" s="10">
        <f>MIN('02_Данные'!W129,BB129)</f>
        <v/>
      </c>
      <c r="BD129" s="10">
        <f>BB129-BC129</f>
        <v/>
      </c>
      <c r="BE129" s="10">
        <f>MIN('02_Данные'!Y129,BD129)</f>
        <v/>
      </c>
      <c r="BF129" s="10">
        <f>BD129-BE129</f>
        <v/>
      </c>
      <c r="BG129" s="10">
        <f>MIN('02_Данные'!Z129,BF129)</f>
        <v/>
      </c>
      <c r="BH129" s="10">
        <f>BF129-BG129</f>
        <v/>
      </c>
      <c r="BI129" s="10">
        <f>BH129+'02_Данные'!I129</f>
        <v/>
      </c>
      <c r="BJ129" s="10">
        <f>MIN('02_Данные'!AB129,BI129)</f>
        <v/>
      </c>
      <c r="BK129" s="10">
        <f>BI129-BJ129</f>
        <v/>
      </c>
      <c r="BL129" s="10">
        <f>MIN('02_Данные'!AC129,BK129)</f>
        <v/>
      </c>
      <c r="BM129" s="10">
        <f>BK129-BL129</f>
        <v/>
      </c>
      <c r="BN129" s="10">
        <f>MIN('02_Данные'!AD129,BM129)</f>
        <v/>
      </c>
      <c r="BO129" s="10">
        <f>BM129-BN129</f>
        <v/>
      </c>
      <c r="BP129" s="10">
        <f>MIN('02_Данные'!AI129,BO129)</f>
        <v/>
      </c>
      <c r="BQ129" s="10">
        <f>BO129-BP129</f>
        <v/>
      </c>
      <c r="BR129" s="10">
        <f>MIN('02_Данные'!AF129,BQ129)</f>
        <v/>
      </c>
      <c r="BS129" s="10">
        <f>BQ129-BR129</f>
        <v/>
      </c>
      <c r="BT129" s="10">
        <f>MIN('02_Данные'!AE129,BS129)</f>
        <v/>
      </c>
      <c r="BU129" s="10">
        <f>BS129-BT129</f>
        <v/>
      </c>
      <c r="BV129" s="10">
        <f>MIN('02_Данные'!AG129,BU129)</f>
        <v/>
      </c>
      <c r="BW129" s="10">
        <f>BU129-BV129</f>
        <v/>
      </c>
      <c r="BX129" s="10">
        <f>MIN('02_Данные'!AH129,BW129)</f>
        <v/>
      </c>
      <c r="BY129" s="10">
        <f>BW129-BX129</f>
        <v/>
      </c>
      <c r="BZ129" s="10">
        <f>BY129+'02_Данные'!J129</f>
        <v/>
      </c>
      <c r="CA129" s="10">
        <f>MIN('02_Данные'!AJ129,BZ129)</f>
        <v/>
      </c>
      <c r="CB129" s="10">
        <f>BZ129-CA129</f>
        <v/>
      </c>
      <c r="CC129" s="10">
        <f>MIN('02_Данные'!AK129,CB129)</f>
        <v/>
      </c>
      <c r="CD129" s="10">
        <f>CB129-CC129</f>
        <v/>
      </c>
      <c r="CE129" s="10">
        <f>MIN('02_Данные'!AL129,CD129)</f>
        <v/>
      </c>
      <c r="CF129" s="10">
        <f>CD129-CE129</f>
        <v/>
      </c>
      <c r="CG129" s="10">
        <f>MIN('02_Данные'!AQ129,CF129)</f>
        <v/>
      </c>
      <c r="CH129" s="10">
        <f>CF129-CG129</f>
        <v/>
      </c>
      <c r="CI129" s="10">
        <f>MIN('02_Данные'!AN129,CH129)</f>
        <v/>
      </c>
      <c r="CJ129" s="10">
        <f>CH129-CI129</f>
        <v/>
      </c>
      <c r="CK129" s="10">
        <f>MIN('02_Данные'!AM129,CJ129)</f>
        <v/>
      </c>
      <c r="CL129" s="10">
        <f>CJ129-CK129</f>
        <v/>
      </c>
      <c r="CM129" s="10">
        <f>MIN('02_Данные'!AO129,CL129)</f>
        <v/>
      </c>
      <c r="CN129" s="10">
        <f>CL129-CM129</f>
        <v/>
      </c>
      <c r="CO129" s="10">
        <f>MIN('02_Данные'!AP129,CN129)</f>
        <v/>
      </c>
      <c r="CP129" s="10">
        <f>CN129-CO129</f>
        <v/>
      </c>
      <c r="CQ129" s="10">
        <f>CP129+'02_Данные'!K129</f>
        <v/>
      </c>
      <c r="CR129" s="10">
        <f>MIN('02_Данные'!AR129,CQ129)</f>
        <v/>
      </c>
      <c r="CS129" s="10">
        <f>CQ129-CR129</f>
        <v/>
      </c>
      <c r="CT129" s="10">
        <f>MIN('02_Данные'!AS129,CS129)</f>
        <v/>
      </c>
      <c r="CU129" s="10">
        <f>CS129-CT129</f>
        <v/>
      </c>
      <c r="CV129" s="10">
        <f>MIN('02_Данные'!AT129,CU129)</f>
        <v/>
      </c>
      <c r="CW129" s="10">
        <f>CU129-CV129</f>
        <v/>
      </c>
      <c r="CX129" s="10">
        <f>MIN('02_Данные'!AY129,CW129)</f>
        <v/>
      </c>
      <c r="CY129" s="10">
        <f>CW129-CX129</f>
        <v/>
      </c>
      <c r="CZ129" s="10">
        <f>MIN('02_Данные'!AV129,CY129)</f>
        <v/>
      </c>
      <c r="DA129" s="10">
        <f>CY129-CZ129</f>
        <v/>
      </c>
      <c r="DB129" s="10">
        <f>MIN('02_Данные'!AU129,DA129)</f>
        <v/>
      </c>
      <c r="DC129" s="10">
        <f>DA129-DB129</f>
        <v/>
      </c>
      <c r="DD129" s="10">
        <f>MIN('02_Данные'!AW129,DC129)</f>
        <v/>
      </c>
      <c r="DE129" s="10">
        <f>DC129-DD129</f>
        <v/>
      </c>
      <c r="DF129" s="10">
        <f>MIN('02_Данные'!AX129,DE129)</f>
        <v/>
      </c>
      <c r="DG129" s="10">
        <f>DE129-DF129</f>
        <v/>
      </c>
    </row>
    <row r="130">
      <c r="A130" s="9">
        <f>'02_Данные'!B130</f>
        <v/>
      </c>
      <c r="B130" s="9">
        <f>'02_Данные'!E130</f>
        <v/>
      </c>
      <c r="C130" s="10">
        <f>'02_Данные'!F130+'02_Данные'!G130+'02_Данные'!H130+'02_Данные'!I130+'02_Данные'!J130+'02_Данные'!K130</f>
        <v/>
      </c>
      <c r="D130" s="10">
        <f>SUM('02_Данные'!L130:'02_Данные'!AY130)</f>
        <v/>
      </c>
      <c r="E130" s="10">
        <f>MAX(0,D130-C130)</f>
        <v/>
      </c>
      <c r="F130" s="15">
        <f>IF(E130&gt;0.0001,"ДЕФИЦИТ",IF(Y130&gt;0.0001,"ПРОФИЦИТ","БАЛАНС"))</f>
        <v/>
      </c>
      <c r="G130" s="10">
        <f>AB130+AS130+BJ130+CA130+CR130</f>
        <v/>
      </c>
      <c r="H130" s="10">
        <f>AD130+AU130+BL130+CC130+CT130</f>
        <v/>
      </c>
      <c r="I130" s="10">
        <f>AF130+AW130+BN130+CE130+CV130</f>
        <v/>
      </c>
      <c r="J130" s="10">
        <f>AL130+BC130+BT130+CK130+DB130</f>
        <v/>
      </c>
      <c r="K130" s="10">
        <f>AJ130+BA130+BR130+CI130+CZ130</f>
        <v/>
      </c>
      <c r="L130" s="10">
        <f>AN130+BE130+BV130+CM130+DD130</f>
        <v/>
      </c>
      <c r="M130" s="10">
        <f>AP130+BG130+BX130+CO130+DF130</f>
        <v/>
      </c>
      <c r="N130" s="10">
        <f>AH130+AY130+BP130+CG130+CX130</f>
        <v/>
      </c>
      <c r="O130" s="10">
        <f>SUM(G130:N130)</f>
        <v/>
      </c>
      <c r="P130" s="10">
        <f>IFERROR(G130*MIN(1,'01_Нормативы'!$C$4/SUM(G$2:G$429)),0)</f>
        <v/>
      </c>
      <c r="Q130" s="10">
        <f>IFERROR(H130*MIN(1,'01_Нормативы'!$C$5/SUM(H$2:H$429)),0)</f>
        <v/>
      </c>
      <c r="R130" s="10">
        <f>IFERROR(I130*MIN(1,'01_Нормативы'!$C$6/SUM(I$2:I$429)),0)</f>
        <v/>
      </c>
      <c r="S130" s="10">
        <f>IFERROR(J130*MIN(1,'01_Нормативы'!$C$7/SUM(J$2:J$429)),0)</f>
        <v/>
      </c>
      <c r="T130" s="10">
        <f>IFERROR(K130*MIN(1,'01_Нормативы'!$C$8/SUM(K$2:K$429)),0)</f>
        <v/>
      </c>
      <c r="U130" s="10">
        <f>IFERROR(L130*MIN(1,'01_Нормативы'!$C$9/SUM(L$2:L$429)),0)</f>
        <v/>
      </c>
      <c r="V130" s="10">
        <f>IFERROR(M130*MIN(1,'01_Нормативы'!$C$10/SUM(M$2:M$429)),0)</f>
        <v/>
      </c>
      <c r="W130" s="10">
        <f>IFERROR(N130*MIN(1,'01_Нормативы'!$C$11/SUM(N$2:N$429)),0)</f>
        <v/>
      </c>
      <c r="X130" s="10">
        <f>SUM(P130:W130)</f>
        <v/>
      </c>
      <c r="Y130" s="10">
        <f>MAX(0,C130-X130)</f>
        <v/>
      </c>
      <c r="Z130" s="10">
        <f>IF(D130=0,100,X130/D130*100)</f>
        <v/>
      </c>
      <c r="AA130" s="10">
        <f>'02_Данные'!F130+'02_Данные'!G130</f>
        <v/>
      </c>
      <c r="AB130" s="10">
        <f>MIN('02_Данные'!L130,AA130)</f>
        <v/>
      </c>
      <c r="AC130" s="10">
        <f>AA130-AB130</f>
        <v/>
      </c>
      <c r="AD130" s="10">
        <f>MIN('02_Данные'!M130,AC130)</f>
        <v/>
      </c>
      <c r="AE130" s="10">
        <f>AC130-AD130</f>
        <v/>
      </c>
      <c r="AF130" s="10">
        <f>MIN('02_Данные'!N130,AE130)</f>
        <v/>
      </c>
      <c r="AG130" s="10">
        <f>AE130-AF130</f>
        <v/>
      </c>
      <c r="AH130" s="10">
        <f>MIN('02_Данные'!S130,AG130)</f>
        <v/>
      </c>
      <c r="AI130" s="10">
        <f>AG130-AH130</f>
        <v/>
      </c>
      <c r="AJ130" s="10">
        <f>MIN('02_Данные'!P130,AI130)</f>
        <v/>
      </c>
      <c r="AK130" s="10">
        <f>AI130-AJ130</f>
        <v/>
      </c>
      <c r="AL130" s="10">
        <f>MIN('02_Данные'!O130,AK130)</f>
        <v/>
      </c>
      <c r="AM130" s="10">
        <f>AK130-AL130</f>
        <v/>
      </c>
      <c r="AN130" s="10">
        <f>MIN('02_Данные'!Q130,AM130)</f>
        <v/>
      </c>
      <c r="AO130" s="10">
        <f>AM130-AN130</f>
        <v/>
      </c>
      <c r="AP130" s="10">
        <f>MIN('02_Данные'!R130,AO130)</f>
        <v/>
      </c>
      <c r="AQ130" s="10">
        <f>AO130-AP130</f>
        <v/>
      </c>
      <c r="AR130" s="10">
        <f>AQ130+'02_Данные'!H130</f>
        <v/>
      </c>
      <c r="AS130" s="10">
        <f>MIN('02_Данные'!T130,AR130)</f>
        <v/>
      </c>
      <c r="AT130" s="10">
        <f>AR130-AS130</f>
        <v/>
      </c>
      <c r="AU130" s="10">
        <f>MIN('02_Данные'!U130,AT130)</f>
        <v/>
      </c>
      <c r="AV130" s="10">
        <f>AT130-AU130</f>
        <v/>
      </c>
      <c r="AW130" s="10">
        <f>MIN('02_Данные'!V130,AV130)</f>
        <v/>
      </c>
      <c r="AX130" s="10">
        <f>AV130-AW130</f>
        <v/>
      </c>
      <c r="AY130" s="10">
        <f>MIN('02_Данные'!AA130,AX130)</f>
        <v/>
      </c>
      <c r="AZ130" s="10">
        <f>AX130-AY130</f>
        <v/>
      </c>
      <c r="BA130" s="10">
        <f>MIN('02_Данные'!X130,AZ130)</f>
        <v/>
      </c>
      <c r="BB130" s="10">
        <f>AZ130-BA130</f>
        <v/>
      </c>
      <c r="BC130" s="10">
        <f>MIN('02_Данные'!W130,BB130)</f>
        <v/>
      </c>
      <c r="BD130" s="10">
        <f>BB130-BC130</f>
        <v/>
      </c>
      <c r="BE130" s="10">
        <f>MIN('02_Данные'!Y130,BD130)</f>
        <v/>
      </c>
      <c r="BF130" s="10">
        <f>BD130-BE130</f>
        <v/>
      </c>
      <c r="BG130" s="10">
        <f>MIN('02_Данные'!Z130,BF130)</f>
        <v/>
      </c>
      <c r="BH130" s="10">
        <f>BF130-BG130</f>
        <v/>
      </c>
      <c r="BI130" s="10">
        <f>BH130+'02_Данные'!I130</f>
        <v/>
      </c>
      <c r="BJ130" s="10">
        <f>MIN('02_Данные'!AB130,BI130)</f>
        <v/>
      </c>
      <c r="BK130" s="10">
        <f>BI130-BJ130</f>
        <v/>
      </c>
      <c r="BL130" s="10">
        <f>MIN('02_Данные'!AC130,BK130)</f>
        <v/>
      </c>
      <c r="BM130" s="10">
        <f>BK130-BL130</f>
        <v/>
      </c>
      <c r="BN130" s="10">
        <f>MIN('02_Данные'!AD130,BM130)</f>
        <v/>
      </c>
      <c r="BO130" s="10">
        <f>BM130-BN130</f>
        <v/>
      </c>
      <c r="BP130" s="10">
        <f>MIN('02_Данные'!AI130,BO130)</f>
        <v/>
      </c>
      <c r="BQ130" s="10">
        <f>BO130-BP130</f>
        <v/>
      </c>
      <c r="BR130" s="10">
        <f>MIN('02_Данные'!AF130,BQ130)</f>
        <v/>
      </c>
      <c r="BS130" s="10">
        <f>BQ130-BR130</f>
        <v/>
      </c>
      <c r="BT130" s="10">
        <f>MIN('02_Данные'!AE130,BS130)</f>
        <v/>
      </c>
      <c r="BU130" s="10">
        <f>BS130-BT130</f>
        <v/>
      </c>
      <c r="BV130" s="10">
        <f>MIN('02_Данные'!AG130,BU130)</f>
        <v/>
      </c>
      <c r="BW130" s="10">
        <f>BU130-BV130</f>
        <v/>
      </c>
      <c r="BX130" s="10">
        <f>MIN('02_Данные'!AH130,BW130)</f>
        <v/>
      </c>
      <c r="BY130" s="10">
        <f>BW130-BX130</f>
        <v/>
      </c>
      <c r="BZ130" s="10">
        <f>BY130+'02_Данные'!J130</f>
        <v/>
      </c>
      <c r="CA130" s="10">
        <f>MIN('02_Данные'!AJ130,BZ130)</f>
        <v/>
      </c>
      <c r="CB130" s="10">
        <f>BZ130-CA130</f>
        <v/>
      </c>
      <c r="CC130" s="10">
        <f>MIN('02_Данные'!AK130,CB130)</f>
        <v/>
      </c>
      <c r="CD130" s="10">
        <f>CB130-CC130</f>
        <v/>
      </c>
      <c r="CE130" s="10">
        <f>MIN('02_Данные'!AL130,CD130)</f>
        <v/>
      </c>
      <c r="CF130" s="10">
        <f>CD130-CE130</f>
        <v/>
      </c>
      <c r="CG130" s="10">
        <f>MIN('02_Данные'!AQ130,CF130)</f>
        <v/>
      </c>
      <c r="CH130" s="10">
        <f>CF130-CG130</f>
        <v/>
      </c>
      <c r="CI130" s="10">
        <f>MIN('02_Данные'!AN130,CH130)</f>
        <v/>
      </c>
      <c r="CJ130" s="10">
        <f>CH130-CI130</f>
        <v/>
      </c>
      <c r="CK130" s="10">
        <f>MIN('02_Данные'!AM130,CJ130)</f>
        <v/>
      </c>
      <c r="CL130" s="10">
        <f>CJ130-CK130</f>
        <v/>
      </c>
      <c r="CM130" s="10">
        <f>MIN('02_Данные'!AO130,CL130)</f>
        <v/>
      </c>
      <c r="CN130" s="10">
        <f>CL130-CM130</f>
        <v/>
      </c>
      <c r="CO130" s="10">
        <f>MIN('02_Данные'!AP130,CN130)</f>
        <v/>
      </c>
      <c r="CP130" s="10">
        <f>CN130-CO130</f>
        <v/>
      </c>
      <c r="CQ130" s="10">
        <f>CP130+'02_Данные'!K130</f>
        <v/>
      </c>
      <c r="CR130" s="10">
        <f>MIN('02_Данные'!AR130,CQ130)</f>
        <v/>
      </c>
      <c r="CS130" s="10">
        <f>CQ130-CR130</f>
        <v/>
      </c>
      <c r="CT130" s="10">
        <f>MIN('02_Данные'!AS130,CS130)</f>
        <v/>
      </c>
      <c r="CU130" s="10">
        <f>CS130-CT130</f>
        <v/>
      </c>
      <c r="CV130" s="10">
        <f>MIN('02_Данные'!AT130,CU130)</f>
        <v/>
      </c>
      <c r="CW130" s="10">
        <f>CU130-CV130</f>
        <v/>
      </c>
      <c r="CX130" s="10">
        <f>MIN('02_Данные'!AY130,CW130)</f>
        <v/>
      </c>
      <c r="CY130" s="10">
        <f>CW130-CX130</f>
        <v/>
      </c>
      <c r="CZ130" s="10">
        <f>MIN('02_Данные'!AV130,CY130)</f>
        <v/>
      </c>
      <c r="DA130" s="10">
        <f>CY130-CZ130</f>
        <v/>
      </c>
      <c r="DB130" s="10">
        <f>MIN('02_Данные'!AU130,DA130)</f>
        <v/>
      </c>
      <c r="DC130" s="10">
        <f>DA130-DB130</f>
        <v/>
      </c>
      <c r="DD130" s="10">
        <f>MIN('02_Данные'!AW130,DC130)</f>
        <v/>
      </c>
      <c r="DE130" s="10">
        <f>DC130-DD130</f>
        <v/>
      </c>
      <c r="DF130" s="10">
        <f>MIN('02_Данные'!AX130,DE130)</f>
        <v/>
      </c>
      <c r="DG130" s="10">
        <f>DE130-DF130</f>
        <v/>
      </c>
    </row>
    <row r="131">
      <c r="A131" s="9">
        <f>'02_Данные'!B131</f>
        <v/>
      </c>
      <c r="B131" s="9">
        <f>'02_Данные'!E131</f>
        <v/>
      </c>
      <c r="C131" s="10">
        <f>'02_Данные'!F131+'02_Данные'!G131+'02_Данные'!H131+'02_Данные'!I131+'02_Данные'!J131+'02_Данные'!K131</f>
        <v/>
      </c>
      <c r="D131" s="10">
        <f>SUM('02_Данные'!L131:'02_Данные'!AY131)</f>
        <v/>
      </c>
      <c r="E131" s="10">
        <f>MAX(0,D131-C131)</f>
        <v/>
      </c>
      <c r="F131" s="15">
        <f>IF(E131&gt;0.0001,"ДЕФИЦИТ",IF(Y131&gt;0.0001,"ПРОФИЦИТ","БАЛАНС"))</f>
        <v/>
      </c>
      <c r="G131" s="10">
        <f>AB131+AS131+BJ131+CA131+CR131</f>
        <v/>
      </c>
      <c r="H131" s="10">
        <f>AD131+AU131+BL131+CC131+CT131</f>
        <v/>
      </c>
      <c r="I131" s="10">
        <f>AF131+AW131+BN131+CE131+CV131</f>
        <v/>
      </c>
      <c r="J131" s="10">
        <f>AL131+BC131+BT131+CK131+DB131</f>
        <v/>
      </c>
      <c r="K131" s="10">
        <f>AJ131+BA131+BR131+CI131+CZ131</f>
        <v/>
      </c>
      <c r="L131" s="10">
        <f>AN131+BE131+BV131+CM131+DD131</f>
        <v/>
      </c>
      <c r="M131" s="10">
        <f>AP131+BG131+BX131+CO131+DF131</f>
        <v/>
      </c>
      <c r="N131" s="10">
        <f>AH131+AY131+BP131+CG131+CX131</f>
        <v/>
      </c>
      <c r="O131" s="10">
        <f>SUM(G131:N131)</f>
        <v/>
      </c>
      <c r="P131" s="10">
        <f>IFERROR(G131*MIN(1,'01_Нормативы'!$C$4/SUM(G$2:G$429)),0)</f>
        <v/>
      </c>
      <c r="Q131" s="10">
        <f>IFERROR(H131*MIN(1,'01_Нормативы'!$C$5/SUM(H$2:H$429)),0)</f>
        <v/>
      </c>
      <c r="R131" s="10">
        <f>IFERROR(I131*MIN(1,'01_Нормативы'!$C$6/SUM(I$2:I$429)),0)</f>
        <v/>
      </c>
      <c r="S131" s="10">
        <f>IFERROR(J131*MIN(1,'01_Нормативы'!$C$7/SUM(J$2:J$429)),0)</f>
        <v/>
      </c>
      <c r="T131" s="10">
        <f>IFERROR(K131*MIN(1,'01_Нормативы'!$C$8/SUM(K$2:K$429)),0)</f>
        <v/>
      </c>
      <c r="U131" s="10">
        <f>IFERROR(L131*MIN(1,'01_Нормативы'!$C$9/SUM(L$2:L$429)),0)</f>
        <v/>
      </c>
      <c r="V131" s="10">
        <f>IFERROR(M131*MIN(1,'01_Нормативы'!$C$10/SUM(M$2:M$429)),0)</f>
        <v/>
      </c>
      <c r="W131" s="10">
        <f>IFERROR(N131*MIN(1,'01_Нормативы'!$C$11/SUM(N$2:N$429)),0)</f>
        <v/>
      </c>
      <c r="X131" s="10">
        <f>SUM(P131:W131)</f>
        <v/>
      </c>
      <c r="Y131" s="10">
        <f>MAX(0,C131-X131)</f>
        <v/>
      </c>
      <c r="Z131" s="10">
        <f>IF(D131=0,100,X131/D131*100)</f>
        <v/>
      </c>
      <c r="AA131" s="10">
        <f>'02_Данные'!F131+'02_Данные'!G131</f>
        <v/>
      </c>
      <c r="AB131" s="10">
        <f>MIN('02_Данные'!L131,AA131)</f>
        <v/>
      </c>
      <c r="AC131" s="10">
        <f>AA131-AB131</f>
        <v/>
      </c>
      <c r="AD131" s="10">
        <f>MIN('02_Данные'!M131,AC131)</f>
        <v/>
      </c>
      <c r="AE131" s="10">
        <f>AC131-AD131</f>
        <v/>
      </c>
      <c r="AF131" s="10">
        <f>MIN('02_Данные'!N131,AE131)</f>
        <v/>
      </c>
      <c r="AG131" s="10">
        <f>AE131-AF131</f>
        <v/>
      </c>
      <c r="AH131" s="10">
        <f>MIN('02_Данные'!S131,AG131)</f>
        <v/>
      </c>
      <c r="AI131" s="10">
        <f>AG131-AH131</f>
        <v/>
      </c>
      <c r="AJ131" s="10">
        <f>MIN('02_Данные'!P131,AI131)</f>
        <v/>
      </c>
      <c r="AK131" s="10">
        <f>AI131-AJ131</f>
        <v/>
      </c>
      <c r="AL131" s="10">
        <f>MIN('02_Данные'!O131,AK131)</f>
        <v/>
      </c>
      <c r="AM131" s="10">
        <f>AK131-AL131</f>
        <v/>
      </c>
      <c r="AN131" s="10">
        <f>MIN('02_Данные'!Q131,AM131)</f>
        <v/>
      </c>
      <c r="AO131" s="10">
        <f>AM131-AN131</f>
        <v/>
      </c>
      <c r="AP131" s="10">
        <f>MIN('02_Данные'!R131,AO131)</f>
        <v/>
      </c>
      <c r="AQ131" s="10">
        <f>AO131-AP131</f>
        <v/>
      </c>
      <c r="AR131" s="10">
        <f>AQ131+'02_Данные'!H131</f>
        <v/>
      </c>
      <c r="AS131" s="10">
        <f>MIN('02_Данные'!T131,AR131)</f>
        <v/>
      </c>
      <c r="AT131" s="10">
        <f>AR131-AS131</f>
        <v/>
      </c>
      <c r="AU131" s="10">
        <f>MIN('02_Данные'!U131,AT131)</f>
        <v/>
      </c>
      <c r="AV131" s="10">
        <f>AT131-AU131</f>
        <v/>
      </c>
      <c r="AW131" s="10">
        <f>MIN('02_Данные'!V131,AV131)</f>
        <v/>
      </c>
      <c r="AX131" s="10">
        <f>AV131-AW131</f>
        <v/>
      </c>
      <c r="AY131" s="10">
        <f>MIN('02_Данные'!AA131,AX131)</f>
        <v/>
      </c>
      <c r="AZ131" s="10">
        <f>AX131-AY131</f>
        <v/>
      </c>
      <c r="BA131" s="10">
        <f>MIN('02_Данные'!X131,AZ131)</f>
        <v/>
      </c>
      <c r="BB131" s="10">
        <f>AZ131-BA131</f>
        <v/>
      </c>
      <c r="BC131" s="10">
        <f>MIN('02_Данные'!W131,BB131)</f>
        <v/>
      </c>
      <c r="BD131" s="10">
        <f>BB131-BC131</f>
        <v/>
      </c>
      <c r="BE131" s="10">
        <f>MIN('02_Данные'!Y131,BD131)</f>
        <v/>
      </c>
      <c r="BF131" s="10">
        <f>BD131-BE131</f>
        <v/>
      </c>
      <c r="BG131" s="10">
        <f>MIN('02_Данные'!Z131,BF131)</f>
        <v/>
      </c>
      <c r="BH131" s="10">
        <f>BF131-BG131</f>
        <v/>
      </c>
      <c r="BI131" s="10">
        <f>BH131+'02_Данные'!I131</f>
        <v/>
      </c>
      <c r="BJ131" s="10">
        <f>MIN('02_Данные'!AB131,BI131)</f>
        <v/>
      </c>
      <c r="BK131" s="10">
        <f>BI131-BJ131</f>
        <v/>
      </c>
      <c r="BL131" s="10">
        <f>MIN('02_Данные'!AC131,BK131)</f>
        <v/>
      </c>
      <c r="BM131" s="10">
        <f>BK131-BL131</f>
        <v/>
      </c>
      <c r="BN131" s="10">
        <f>MIN('02_Данные'!AD131,BM131)</f>
        <v/>
      </c>
      <c r="BO131" s="10">
        <f>BM131-BN131</f>
        <v/>
      </c>
      <c r="BP131" s="10">
        <f>MIN('02_Данные'!AI131,BO131)</f>
        <v/>
      </c>
      <c r="BQ131" s="10">
        <f>BO131-BP131</f>
        <v/>
      </c>
      <c r="BR131" s="10">
        <f>MIN('02_Данные'!AF131,BQ131)</f>
        <v/>
      </c>
      <c r="BS131" s="10">
        <f>BQ131-BR131</f>
        <v/>
      </c>
      <c r="BT131" s="10">
        <f>MIN('02_Данные'!AE131,BS131)</f>
        <v/>
      </c>
      <c r="BU131" s="10">
        <f>BS131-BT131</f>
        <v/>
      </c>
      <c r="BV131" s="10">
        <f>MIN('02_Данные'!AG131,BU131)</f>
        <v/>
      </c>
      <c r="BW131" s="10">
        <f>BU131-BV131</f>
        <v/>
      </c>
      <c r="BX131" s="10">
        <f>MIN('02_Данные'!AH131,BW131)</f>
        <v/>
      </c>
      <c r="BY131" s="10">
        <f>BW131-BX131</f>
        <v/>
      </c>
      <c r="BZ131" s="10">
        <f>BY131+'02_Данные'!J131</f>
        <v/>
      </c>
      <c r="CA131" s="10">
        <f>MIN('02_Данные'!AJ131,BZ131)</f>
        <v/>
      </c>
      <c r="CB131" s="10">
        <f>BZ131-CA131</f>
        <v/>
      </c>
      <c r="CC131" s="10">
        <f>MIN('02_Данные'!AK131,CB131)</f>
        <v/>
      </c>
      <c r="CD131" s="10">
        <f>CB131-CC131</f>
        <v/>
      </c>
      <c r="CE131" s="10">
        <f>MIN('02_Данные'!AL131,CD131)</f>
        <v/>
      </c>
      <c r="CF131" s="10">
        <f>CD131-CE131</f>
        <v/>
      </c>
      <c r="CG131" s="10">
        <f>MIN('02_Данные'!AQ131,CF131)</f>
        <v/>
      </c>
      <c r="CH131" s="10">
        <f>CF131-CG131</f>
        <v/>
      </c>
      <c r="CI131" s="10">
        <f>MIN('02_Данные'!AN131,CH131)</f>
        <v/>
      </c>
      <c r="CJ131" s="10">
        <f>CH131-CI131</f>
        <v/>
      </c>
      <c r="CK131" s="10">
        <f>MIN('02_Данные'!AM131,CJ131)</f>
        <v/>
      </c>
      <c r="CL131" s="10">
        <f>CJ131-CK131</f>
        <v/>
      </c>
      <c r="CM131" s="10">
        <f>MIN('02_Данные'!AO131,CL131)</f>
        <v/>
      </c>
      <c r="CN131" s="10">
        <f>CL131-CM131</f>
        <v/>
      </c>
      <c r="CO131" s="10">
        <f>MIN('02_Данные'!AP131,CN131)</f>
        <v/>
      </c>
      <c r="CP131" s="10">
        <f>CN131-CO131</f>
        <v/>
      </c>
      <c r="CQ131" s="10">
        <f>CP131+'02_Данные'!K131</f>
        <v/>
      </c>
      <c r="CR131" s="10">
        <f>MIN('02_Данные'!AR131,CQ131)</f>
        <v/>
      </c>
      <c r="CS131" s="10">
        <f>CQ131-CR131</f>
        <v/>
      </c>
      <c r="CT131" s="10">
        <f>MIN('02_Данные'!AS131,CS131)</f>
        <v/>
      </c>
      <c r="CU131" s="10">
        <f>CS131-CT131</f>
        <v/>
      </c>
      <c r="CV131" s="10">
        <f>MIN('02_Данные'!AT131,CU131)</f>
        <v/>
      </c>
      <c r="CW131" s="10">
        <f>CU131-CV131</f>
        <v/>
      </c>
      <c r="CX131" s="10">
        <f>MIN('02_Данные'!AY131,CW131)</f>
        <v/>
      </c>
      <c r="CY131" s="10">
        <f>CW131-CX131</f>
        <v/>
      </c>
      <c r="CZ131" s="10">
        <f>MIN('02_Данные'!AV131,CY131)</f>
        <v/>
      </c>
      <c r="DA131" s="10">
        <f>CY131-CZ131</f>
        <v/>
      </c>
      <c r="DB131" s="10">
        <f>MIN('02_Данные'!AU131,DA131)</f>
        <v/>
      </c>
      <c r="DC131" s="10">
        <f>DA131-DB131</f>
        <v/>
      </c>
      <c r="DD131" s="10">
        <f>MIN('02_Данные'!AW131,DC131)</f>
        <v/>
      </c>
      <c r="DE131" s="10">
        <f>DC131-DD131</f>
        <v/>
      </c>
      <c r="DF131" s="10">
        <f>MIN('02_Данные'!AX131,DE131)</f>
        <v/>
      </c>
      <c r="DG131" s="10">
        <f>DE131-DF131</f>
        <v/>
      </c>
    </row>
    <row r="132">
      <c r="A132" s="9">
        <f>'02_Данные'!B132</f>
        <v/>
      </c>
      <c r="B132" s="9">
        <f>'02_Данные'!E132</f>
        <v/>
      </c>
      <c r="C132" s="10">
        <f>'02_Данные'!F132+'02_Данные'!G132+'02_Данные'!H132+'02_Данные'!I132+'02_Данные'!J132+'02_Данные'!K132</f>
        <v/>
      </c>
      <c r="D132" s="10">
        <f>SUM('02_Данные'!L132:'02_Данные'!AY132)</f>
        <v/>
      </c>
      <c r="E132" s="10">
        <f>MAX(0,D132-C132)</f>
        <v/>
      </c>
      <c r="F132" s="15">
        <f>IF(E132&gt;0.0001,"ДЕФИЦИТ",IF(Y132&gt;0.0001,"ПРОФИЦИТ","БАЛАНС"))</f>
        <v/>
      </c>
      <c r="G132" s="10">
        <f>AB132+AS132+BJ132+CA132+CR132</f>
        <v/>
      </c>
      <c r="H132" s="10">
        <f>AD132+AU132+BL132+CC132+CT132</f>
        <v/>
      </c>
      <c r="I132" s="10">
        <f>AF132+AW132+BN132+CE132+CV132</f>
        <v/>
      </c>
      <c r="J132" s="10">
        <f>AL132+BC132+BT132+CK132+DB132</f>
        <v/>
      </c>
      <c r="K132" s="10">
        <f>AJ132+BA132+BR132+CI132+CZ132</f>
        <v/>
      </c>
      <c r="L132" s="10">
        <f>AN132+BE132+BV132+CM132+DD132</f>
        <v/>
      </c>
      <c r="M132" s="10">
        <f>AP132+BG132+BX132+CO132+DF132</f>
        <v/>
      </c>
      <c r="N132" s="10">
        <f>AH132+AY132+BP132+CG132+CX132</f>
        <v/>
      </c>
      <c r="O132" s="10">
        <f>SUM(G132:N132)</f>
        <v/>
      </c>
      <c r="P132" s="10">
        <f>IFERROR(G132*MIN(1,'01_Нормативы'!$C$4/SUM(G$2:G$429)),0)</f>
        <v/>
      </c>
      <c r="Q132" s="10">
        <f>IFERROR(H132*MIN(1,'01_Нормативы'!$C$5/SUM(H$2:H$429)),0)</f>
        <v/>
      </c>
      <c r="R132" s="10">
        <f>IFERROR(I132*MIN(1,'01_Нормативы'!$C$6/SUM(I$2:I$429)),0)</f>
        <v/>
      </c>
      <c r="S132" s="10">
        <f>IFERROR(J132*MIN(1,'01_Нормативы'!$C$7/SUM(J$2:J$429)),0)</f>
        <v/>
      </c>
      <c r="T132" s="10">
        <f>IFERROR(K132*MIN(1,'01_Нормативы'!$C$8/SUM(K$2:K$429)),0)</f>
        <v/>
      </c>
      <c r="U132" s="10">
        <f>IFERROR(L132*MIN(1,'01_Нормативы'!$C$9/SUM(L$2:L$429)),0)</f>
        <v/>
      </c>
      <c r="V132" s="10">
        <f>IFERROR(M132*MIN(1,'01_Нормативы'!$C$10/SUM(M$2:M$429)),0)</f>
        <v/>
      </c>
      <c r="W132" s="10">
        <f>IFERROR(N132*MIN(1,'01_Нормативы'!$C$11/SUM(N$2:N$429)),0)</f>
        <v/>
      </c>
      <c r="X132" s="10">
        <f>SUM(P132:W132)</f>
        <v/>
      </c>
      <c r="Y132" s="10">
        <f>MAX(0,C132-X132)</f>
        <v/>
      </c>
      <c r="Z132" s="10">
        <f>IF(D132=0,100,X132/D132*100)</f>
        <v/>
      </c>
      <c r="AA132" s="10">
        <f>'02_Данные'!F132+'02_Данные'!G132</f>
        <v/>
      </c>
      <c r="AB132" s="10">
        <f>MIN('02_Данные'!L132,AA132)</f>
        <v/>
      </c>
      <c r="AC132" s="10">
        <f>AA132-AB132</f>
        <v/>
      </c>
      <c r="AD132" s="10">
        <f>MIN('02_Данные'!M132,AC132)</f>
        <v/>
      </c>
      <c r="AE132" s="10">
        <f>AC132-AD132</f>
        <v/>
      </c>
      <c r="AF132" s="10">
        <f>MIN('02_Данные'!N132,AE132)</f>
        <v/>
      </c>
      <c r="AG132" s="10">
        <f>AE132-AF132</f>
        <v/>
      </c>
      <c r="AH132" s="10">
        <f>MIN('02_Данные'!S132,AG132)</f>
        <v/>
      </c>
      <c r="AI132" s="10">
        <f>AG132-AH132</f>
        <v/>
      </c>
      <c r="AJ132" s="10">
        <f>MIN('02_Данные'!P132,AI132)</f>
        <v/>
      </c>
      <c r="AK132" s="10">
        <f>AI132-AJ132</f>
        <v/>
      </c>
      <c r="AL132" s="10">
        <f>MIN('02_Данные'!O132,AK132)</f>
        <v/>
      </c>
      <c r="AM132" s="10">
        <f>AK132-AL132</f>
        <v/>
      </c>
      <c r="AN132" s="10">
        <f>MIN('02_Данные'!Q132,AM132)</f>
        <v/>
      </c>
      <c r="AO132" s="10">
        <f>AM132-AN132</f>
        <v/>
      </c>
      <c r="AP132" s="10">
        <f>MIN('02_Данные'!R132,AO132)</f>
        <v/>
      </c>
      <c r="AQ132" s="10">
        <f>AO132-AP132</f>
        <v/>
      </c>
      <c r="AR132" s="10">
        <f>AQ132+'02_Данные'!H132</f>
        <v/>
      </c>
      <c r="AS132" s="10">
        <f>MIN('02_Данные'!T132,AR132)</f>
        <v/>
      </c>
      <c r="AT132" s="10">
        <f>AR132-AS132</f>
        <v/>
      </c>
      <c r="AU132" s="10">
        <f>MIN('02_Данные'!U132,AT132)</f>
        <v/>
      </c>
      <c r="AV132" s="10">
        <f>AT132-AU132</f>
        <v/>
      </c>
      <c r="AW132" s="10">
        <f>MIN('02_Данные'!V132,AV132)</f>
        <v/>
      </c>
      <c r="AX132" s="10">
        <f>AV132-AW132</f>
        <v/>
      </c>
      <c r="AY132" s="10">
        <f>MIN('02_Данные'!AA132,AX132)</f>
        <v/>
      </c>
      <c r="AZ132" s="10">
        <f>AX132-AY132</f>
        <v/>
      </c>
      <c r="BA132" s="10">
        <f>MIN('02_Данные'!X132,AZ132)</f>
        <v/>
      </c>
      <c r="BB132" s="10">
        <f>AZ132-BA132</f>
        <v/>
      </c>
      <c r="BC132" s="10">
        <f>MIN('02_Данные'!W132,BB132)</f>
        <v/>
      </c>
      <c r="BD132" s="10">
        <f>BB132-BC132</f>
        <v/>
      </c>
      <c r="BE132" s="10">
        <f>MIN('02_Данные'!Y132,BD132)</f>
        <v/>
      </c>
      <c r="BF132" s="10">
        <f>BD132-BE132</f>
        <v/>
      </c>
      <c r="BG132" s="10">
        <f>MIN('02_Данные'!Z132,BF132)</f>
        <v/>
      </c>
      <c r="BH132" s="10">
        <f>BF132-BG132</f>
        <v/>
      </c>
      <c r="BI132" s="10">
        <f>BH132+'02_Данные'!I132</f>
        <v/>
      </c>
      <c r="BJ132" s="10">
        <f>MIN('02_Данные'!AB132,BI132)</f>
        <v/>
      </c>
      <c r="BK132" s="10">
        <f>BI132-BJ132</f>
        <v/>
      </c>
      <c r="BL132" s="10">
        <f>MIN('02_Данные'!AC132,BK132)</f>
        <v/>
      </c>
      <c r="BM132" s="10">
        <f>BK132-BL132</f>
        <v/>
      </c>
      <c r="BN132" s="10">
        <f>MIN('02_Данные'!AD132,BM132)</f>
        <v/>
      </c>
      <c r="BO132" s="10">
        <f>BM132-BN132</f>
        <v/>
      </c>
      <c r="BP132" s="10">
        <f>MIN('02_Данные'!AI132,BO132)</f>
        <v/>
      </c>
      <c r="BQ132" s="10">
        <f>BO132-BP132</f>
        <v/>
      </c>
      <c r="BR132" s="10">
        <f>MIN('02_Данные'!AF132,BQ132)</f>
        <v/>
      </c>
      <c r="BS132" s="10">
        <f>BQ132-BR132</f>
        <v/>
      </c>
      <c r="BT132" s="10">
        <f>MIN('02_Данные'!AE132,BS132)</f>
        <v/>
      </c>
      <c r="BU132" s="10">
        <f>BS132-BT132</f>
        <v/>
      </c>
      <c r="BV132" s="10">
        <f>MIN('02_Данные'!AG132,BU132)</f>
        <v/>
      </c>
      <c r="BW132" s="10">
        <f>BU132-BV132</f>
        <v/>
      </c>
      <c r="BX132" s="10">
        <f>MIN('02_Данные'!AH132,BW132)</f>
        <v/>
      </c>
      <c r="BY132" s="10">
        <f>BW132-BX132</f>
        <v/>
      </c>
      <c r="BZ132" s="10">
        <f>BY132+'02_Данные'!J132</f>
        <v/>
      </c>
      <c r="CA132" s="10">
        <f>MIN('02_Данные'!AJ132,BZ132)</f>
        <v/>
      </c>
      <c r="CB132" s="10">
        <f>BZ132-CA132</f>
        <v/>
      </c>
      <c r="CC132" s="10">
        <f>MIN('02_Данные'!AK132,CB132)</f>
        <v/>
      </c>
      <c r="CD132" s="10">
        <f>CB132-CC132</f>
        <v/>
      </c>
      <c r="CE132" s="10">
        <f>MIN('02_Данные'!AL132,CD132)</f>
        <v/>
      </c>
      <c r="CF132" s="10">
        <f>CD132-CE132</f>
        <v/>
      </c>
      <c r="CG132" s="10">
        <f>MIN('02_Данные'!AQ132,CF132)</f>
        <v/>
      </c>
      <c r="CH132" s="10">
        <f>CF132-CG132</f>
        <v/>
      </c>
      <c r="CI132" s="10">
        <f>MIN('02_Данные'!AN132,CH132)</f>
        <v/>
      </c>
      <c r="CJ132" s="10">
        <f>CH132-CI132</f>
        <v/>
      </c>
      <c r="CK132" s="10">
        <f>MIN('02_Данные'!AM132,CJ132)</f>
        <v/>
      </c>
      <c r="CL132" s="10">
        <f>CJ132-CK132</f>
        <v/>
      </c>
      <c r="CM132" s="10">
        <f>MIN('02_Данные'!AO132,CL132)</f>
        <v/>
      </c>
      <c r="CN132" s="10">
        <f>CL132-CM132</f>
        <v/>
      </c>
      <c r="CO132" s="10">
        <f>MIN('02_Данные'!AP132,CN132)</f>
        <v/>
      </c>
      <c r="CP132" s="10">
        <f>CN132-CO132</f>
        <v/>
      </c>
      <c r="CQ132" s="10">
        <f>CP132+'02_Данные'!K132</f>
        <v/>
      </c>
      <c r="CR132" s="10">
        <f>MIN('02_Данные'!AR132,CQ132)</f>
        <v/>
      </c>
      <c r="CS132" s="10">
        <f>CQ132-CR132</f>
        <v/>
      </c>
      <c r="CT132" s="10">
        <f>MIN('02_Данные'!AS132,CS132)</f>
        <v/>
      </c>
      <c r="CU132" s="10">
        <f>CS132-CT132</f>
        <v/>
      </c>
      <c r="CV132" s="10">
        <f>MIN('02_Данные'!AT132,CU132)</f>
        <v/>
      </c>
      <c r="CW132" s="10">
        <f>CU132-CV132</f>
        <v/>
      </c>
      <c r="CX132" s="10">
        <f>MIN('02_Данные'!AY132,CW132)</f>
        <v/>
      </c>
      <c r="CY132" s="10">
        <f>CW132-CX132</f>
        <v/>
      </c>
      <c r="CZ132" s="10">
        <f>MIN('02_Данные'!AV132,CY132)</f>
        <v/>
      </c>
      <c r="DA132" s="10">
        <f>CY132-CZ132</f>
        <v/>
      </c>
      <c r="DB132" s="10">
        <f>MIN('02_Данные'!AU132,DA132)</f>
        <v/>
      </c>
      <c r="DC132" s="10">
        <f>DA132-DB132</f>
        <v/>
      </c>
      <c r="DD132" s="10">
        <f>MIN('02_Данные'!AW132,DC132)</f>
        <v/>
      </c>
      <c r="DE132" s="10">
        <f>DC132-DD132</f>
        <v/>
      </c>
      <c r="DF132" s="10">
        <f>MIN('02_Данные'!AX132,DE132)</f>
        <v/>
      </c>
      <c r="DG132" s="10">
        <f>DE132-DF132</f>
        <v/>
      </c>
    </row>
    <row r="133">
      <c r="A133" s="9">
        <f>'02_Данные'!B133</f>
        <v/>
      </c>
      <c r="B133" s="9">
        <f>'02_Данные'!E133</f>
        <v/>
      </c>
      <c r="C133" s="10">
        <f>'02_Данные'!F133+'02_Данные'!G133+'02_Данные'!H133+'02_Данные'!I133+'02_Данные'!J133+'02_Данные'!K133</f>
        <v/>
      </c>
      <c r="D133" s="10">
        <f>SUM('02_Данные'!L133:'02_Данные'!AY133)</f>
        <v/>
      </c>
      <c r="E133" s="10">
        <f>MAX(0,D133-C133)</f>
        <v/>
      </c>
      <c r="F133" s="15">
        <f>IF(E133&gt;0.0001,"ДЕФИЦИТ",IF(Y133&gt;0.0001,"ПРОФИЦИТ","БАЛАНС"))</f>
        <v/>
      </c>
      <c r="G133" s="10">
        <f>AB133+AS133+BJ133+CA133+CR133</f>
        <v/>
      </c>
      <c r="H133" s="10">
        <f>AD133+AU133+BL133+CC133+CT133</f>
        <v/>
      </c>
      <c r="I133" s="10">
        <f>AF133+AW133+BN133+CE133+CV133</f>
        <v/>
      </c>
      <c r="J133" s="10">
        <f>AL133+BC133+BT133+CK133+DB133</f>
        <v/>
      </c>
      <c r="K133" s="10">
        <f>AJ133+BA133+BR133+CI133+CZ133</f>
        <v/>
      </c>
      <c r="L133" s="10">
        <f>AN133+BE133+BV133+CM133+DD133</f>
        <v/>
      </c>
      <c r="M133" s="10">
        <f>AP133+BG133+BX133+CO133+DF133</f>
        <v/>
      </c>
      <c r="N133" s="10">
        <f>AH133+AY133+BP133+CG133+CX133</f>
        <v/>
      </c>
      <c r="O133" s="10">
        <f>SUM(G133:N133)</f>
        <v/>
      </c>
      <c r="P133" s="10">
        <f>IFERROR(G133*MIN(1,'01_Нормативы'!$C$4/SUM(G$2:G$429)),0)</f>
        <v/>
      </c>
      <c r="Q133" s="10">
        <f>IFERROR(H133*MIN(1,'01_Нормативы'!$C$5/SUM(H$2:H$429)),0)</f>
        <v/>
      </c>
      <c r="R133" s="10">
        <f>IFERROR(I133*MIN(1,'01_Нормативы'!$C$6/SUM(I$2:I$429)),0)</f>
        <v/>
      </c>
      <c r="S133" s="10">
        <f>IFERROR(J133*MIN(1,'01_Нормативы'!$C$7/SUM(J$2:J$429)),0)</f>
        <v/>
      </c>
      <c r="T133" s="10">
        <f>IFERROR(K133*MIN(1,'01_Нормативы'!$C$8/SUM(K$2:K$429)),0)</f>
        <v/>
      </c>
      <c r="U133" s="10">
        <f>IFERROR(L133*MIN(1,'01_Нормативы'!$C$9/SUM(L$2:L$429)),0)</f>
        <v/>
      </c>
      <c r="V133" s="10">
        <f>IFERROR(M133*MIN(1,'01_Нормативы'!$C$10/SUM(M$2:M$429)),0)</f>
        <v/>
      </c>
      <c r="W133" s="10">
        <f>IFERROR(N133*MIN(1,'01_Нормативы'!$C$11/SUM(N$2:N$429)),0)</f>
        <v/>
      </c>
      <c r="X133" s="10">
        <f>SUM(P133:W133)</f>
        <v/>
      </c>
      <c r="Y133" s="10">
        <f>MAX(0,C133-X133)</f>
        <v/>
      </c>
      <c r="Z133" s="10">
        <f>IF(D133=0,100,X133/D133*100)</f>
        <v/>
      </c>
      <c r="AA133" s="10">
        <f>'02_Данные'!F133+'02_Данные'!G133</f>
        <v/>
      </c>
      <c r="AB133" s="10">
        <f>MIN('02_Данные'!L133,AA133)</f>
        <v/>
      </c>
      <c r="AC133" s="10">
        <f>AA133-AB133</f>
        <v/>
      </c>
      <c r="AD133" s="10">
        <f>MIN('02_Данные'!M133,AC133)</f>
        <v/>
      </c>
      <c r="AE133" s="10">
        <f>AC133-AD133</f>
        <v/>
      </c>
      <c r="AF133" s="10">
        <f>MIN('02_Данные'!N133,AE133)</f>
        <v/>
      </c>
      <c r="AG133" s="10">
        <f>AE133-AF133</f>
        <v/>
      </c>
      <c r="AH133" s="10">
        <f>MIN('02_Данные'!S133,AG133)</f>
        <v/>
      </c>
      <c r="AI133" s="10">
        <f>AG133-AH133</f>
        <v/>
      </c>
      <c r="AJ133" s="10">
        <f>MIN('02_Данные'!P133,AI133)</f>
        <v/>
      </c>
      <c r="AK133" s="10">
        <f>AI133-AJ133</f>
        <v/>
      </c>
      <c r="AL133" s="10">
        <f>MIN('02_Данные'!O133,AK133)</f>
        <v/>
      </c>
      <c r="AM133" s="10">
        <f>AK133-AL133</f>
        <v/>
      </c>
      <c r="AN133" s="10">
        <f>MIN('02_Данные'!Q133,AM133)</f>
        <v/>
      </c>
      <c r="AO133" s="10">
        <f>AM133-AN133</f>
        <v/>
      </c>
      <c r="AP133" s="10">
        <f>MIN('02_Данные'!R133,AO133)</f>
        <v/>
      </c>
      <c r="AQ133" s="10">
        <f>AO133-AP133</f>
        <v/>
      </c>
      <c r="AR133" s="10">
        <f>AQ133+'02_Данные'!H133</f>
        <v/>
      </c>
      <c r="AS133" s="10">
        <f>MIN('02_Данные'!T133,AR133)</f>
        <v/>
      </c>
      <c r="AT133" s="10">
        <f>AR133-AS133</f>
        <v/>
      </c>
      <c r="AU133" s="10">
        <f>MIN('02_Данные'!U133,AT133)</f>
        <v/>
      </c>
      <c r="AV133" s="10">
        <f>AT133-AU133</f>
        <v/>
      </c>
      <c r="AW133" s="10">
        <f>MIN('02_Данные'!V133,AV133)</f>
        <v/>
      </c>
      <c r="AX133" s="10">
        <f>AV133-AW133</f>
        <v/>
      </c>
      <c r="AY133" s="10">
        <f>MIN('02_Данные'!AA133,AX133)</f>
        <v/>
      </c>
      <c r="AZ133" s="10">
        <f>AX133-AY133</f>
        <v/>
      </c>
      <c r="BA133" s="10">
        <f>MIN('02_Данные'!X133,AZ133)</f>
        <v/>
      </c>
      <c r="BB133" s="10">
        <f>AZ133-BA133</f>
        <v/>
      </c>
      <c r="BC133" s="10">
        <f>MIN('02_Данные'!W133,BB133)</f>
        <v/>
      </c>
      <c r="BD133" s="10">
        <f>BB133-BC133</f>
        <v/>
      </c>
      <c r="BE133" s="10">
        <f>MIN('02_Данные'!Y133,BD133)</f>
        <v/>
      </c>
      <c r="BF133" s="10">
        <f>BD133-BE133</f>
        <v/>
      </c>
      <c r="BG133" s="10">
        <f>MIN('02_Данные'!Z133,BF133)</f>
        <v/>
      </c>
      <c r="BH133" s="10">
        <f>BF133-BG133</f>
        <v/>
      </c>
      <c r="BI133" s="10">
        <f>BH133+'02_Данные'!I133</f>
        <v/>
      </c>
      <c r="BJ133" s="10">
        <f>MIN('02_Данные'!AB133,BI133)</f>
        <v/>
      </c>
      <c r="BK133" s="10">
        <f>BI133-BJ133</f>
        <v/>
      </c>
      <c r="BL133" s="10">
        <f>MIN('02_Данные'!AC133,BK133)</f>
        <v/>
      </c>
      <c r="BM133" s="10">
        <f>BK133-BL133</f>
        <v/>
      </c>
      <c r="BN133" s="10">
        <f>MIN('02_Данные'!AD133,BM133)</f>
        <v/>
      </c>
      <c r="BO133" s="10">
        <f>BM133-BN133</f>
        <v/>
      </c>
      <c r="BP133" s="10">
        <f>MIN('02_Данные'!AI133,BO133)</f>
        <v/>
      </c>
      <c r="BQ133" s="10">
        <f>BO133-BP133</f>
        <v/>
      </c>
      <c r="BR133" s="10">
        <f>MIN('02_Данные'!AF133,BQ133)</f>
        <v/>
      </c>
      <c r="BS133" s="10">
        <f>BQ133-BR133</f>
        <v/>
      </c>
      <c r="BT133" s="10">
        <f>MIN('02_Данные'!AE133,BS133)</f>
        <v/>
      </c>
      <c r="BU133" s="10">
        <f>BS133-BT133</f>
        <v/>
      </c>
      <c r="BV133" s="10">
        <f>MIN('02_Данные'!AG133,BU133)</f>
        <v/>
      </c>
      <c r="BW133" s="10">
        <f>BU133-BV133</f>
        <v/>
      </c>
      <c r="BX133" s="10">
        <f>MIN('02_Данные'!AH133,BW133)</f>
        <v/>
      </c>
      <c r="BY133" s="10">
        <f>BW133-BX133</f>
        <v/>
      </c>
      <c r="BZ133" s="10">
        <f>BY133+'02_Данные'!J133</f>
        <v/>
      </c>
      <c r="CA133" s="10">
        <f>MIN('02_Данные'!AJ133,BZ133)</f>
        <v/>
      </c>
      <c r="CB133" s="10">
        <f>BZ133-CA133</f>
        <v/>
      </c>
      <c r="CC133" s="10">
        <f>MIN('02_Данные'!AK133,CB133)</f>
        <v/>
      </c>
      <c r="CD133" s="10">
        <f>CB133-CC133</f>
        <v/>
      </c>
      <c r="CE133" s="10">
        <f>MIN('02_Данные'!AL133,CD133)</f>
        <v/>
      </c>
      <c r="CF133" s="10">
        <f>CD133-CE133</f>
        <v/>
      </c>
      <c r="CG133" s="10">
        <f>MIN('02_Данные'!AQ133,CF133)</f>
        <v/>
      </c>
      <c r="CH133" s="10">
        <f>CF133-CG133</f>
        <v/>
      </c>
      <c r="CI133" s="10">
        <f>MIN('02_Данные'!AN133,CH133)</f>
        <v/>
      </c>
      <c r="CJ133" s="10">
        <f>CH133-CI133</f>
        <v/>
      </c>
      <c r="CK133" s="10">
        <f>MIN('02_Данные'!AM133,CJ133)</f>
        <v/>
      </c>
      <c r="CL133" s="10">
        <f>CJ133-CK133</f>
        <v/>
      </c>
      <c r="CM133" s="10">
        <f>MIN('02_Данные'!AO133,CL133)</f>
        <v/>
      </c>
      <c r="CN133" s="10">
        <f>CL133-CM133</f>
        <v/>
      </c>
      <c r="CO133" s="10">
        <f>MIN('02_Данные'!AP133,CN133)</f>
        <v/>
      </c>
      <c r="CP133" s="10">
        <f>CN133-CO133</f>
        <v/>
      </c>
      <c r="CQ133" s="10">
        <f>CP133+'02_Данные'!K133</f>
        <v/>
      </c>
      <c r="CR133" s="10">
        <f>MIN('02_Данные'!AR133,CQ133)</f>
        <v/>
      </c>
      <c r="CS133" s="10">
        <f>CQ133-CR133</f>
        <v/>
      </c>
      <c r="CT133" s="10">
        <f>MIN('02_Данные'!AS133,CS133)</f>
        <v/>
      </c>
      <c r="CU133" s="10">
        <f>CS133-CT133</f>
        <v/>
      </c>
      <c r="CV133" s="10">
        <f>MIN('02_Данные'!AT133,CU133)</f>
        <v/>
      </c>
      <c r="CW133" s="10">
        <f>CU133-CV133</f>
        <v/>
      </c>
      <c r="CX133" s="10">
        <f>MIN('02_Данные'!AY133,CW133)</f>
        <v/>
      </c>
      <c r="CY133" s="10">
        <f>CW133-CX133</f>
        <v/>
      </c>
      <c r="CZ133" s="10">
        <f>MIN('02_Данные'!AV133,CY133)</f>
        <v/>
      </c>
      <c r="DA133" s="10">
        <f>CY133-CZ133</f>
        <v/>
      </c>
      <c r="DB133" s="10">
        <f>MIN('02_Данные'!AU133,DA133)</f>
        <v/>
      </c>
      <c r="DC133" s="10">
        <f>DA133-DB133</f>
        <v/>
      </c>
      <c r="DD133" s="10">
        <f>MIN('02_Данные'!AW133,DC133)</f>
        <v/>
      </c>
      <c r="DE133" s="10">
        <f>DC133-DD133</f>
        <v/>
      </c>
      <c r="DF133" s="10">
        <f>MIN('02_Данные'!AX133,DE133)</f>
        <v/>
      </c>
      <c r="DG133" s="10">
        <f>DE133-DF133</f>
        <v/>
      </c>
    </row>
    <row r="134">
      <c r="A134" s="9">
        <f>'02_Данные'!B134</f>
        <v/>
      </c>
      <c r="B134" s="9">
        <f>'02_Данные'!E134</f>
        <v/>
      </c>
      <c r="C134" s="10">
        <f>'02_Данные'!F134+'02_Данные'!G134+'02_Данные'!H134+'02_Данные'!I134+'02_Данные'!J134+'02_Данные'!K134</f>
        <v/>
      </c>
      <c r="D134" s="10">
        <f>SUM('02_Данные'!L134:'02_Данные'!AY134)</f>
        <v/>
      </c>
      <c r="E134" s="10">
        <f>MAX(0,D134-C134)</f>
        <v/>
      </c>
      <c r="F134" s="15">
        <f>IF(E134&gt;0.0001,"ДЕФИЦИТ",IF(Y134&gt;0.0001,"ПРОФИЦИТ","БАЛАНС"))</f>
        <v/>
      </c>
      <c r="G134" s="10">
        <f>AB134+AS134+BJ134+CA134+CR134</f>
        <v/>
      </c>
      <c r="H134" s="10">
        <f>AD134+AU134+BL134+CC134+CT134</f>
        <v/>
      </c>
      <c r="I134" s="10">
        <f>AF134+AW134+BN134+CE134+CV134</f>
        <v/>
      </c>
      <c r="J134" s="10">
        <f>AL134+BC134+BT134+CK134+DB134</f>
        <v/>
      </c>
      <c r="K134" s="10">
        <f>AJ134+BA134+BR134+CI134+CZ134</f>
        <v/>
      </c>
      <c r="L134" s="10">
        <f>AN134+BE134+BV134+CM134+DD134</f>
        <v/>
      </c>
      <c r="M134" s="10">
        <f>AP134+BG134+BX134+CO134+DF134</f>
        <v/>
      </c>
      <c r="N134" s="10">
        <f>AH134+AY134+BP134+CG134+CX134</f>
        <v/>
      </c>
      <c r="O134" s="10">
        <f>SUM(G134:N134)</f>
        <v/>
      </c>
      <c r="P134" s="10">
        <f>IFERROR(G134*MIN(1,'01_Нормативы'!$C$4/SUM(G$2:G$429)),0)</f>
        <v/>
      </c>
      <c r="Q134" s="10">
        <f>IFERROR(H134*MIN(1,'01_Нормативы'!$C$5/SUM(H$2:H$429)),0)</f>
        <v/>
      </c>
      <c r="R134" s="10">
        <f>IFERROR(I134*MIN(1,'01_Нормативы'!$C$6/SUM(I$2:I$429)),0)</f>
        <v/>
      </c>
      <c r="S134" s="10">
        <f>IFERROR(J134*MIN(1,'01_Нормативы'!$C$7/SUM(J$2:J$429)),0)</f>
        <v/>
      </c>
      <c r="T134" s="10">
        <f>IFERROR(K134*MIN(1,'01_Нормативы'!$C$8/SUM(K$2:K$429)),0)</f>
        <v/>
      </c>
      <c r="U134" s="10">
        <f>IFERROR(L134*MIN(1,'01_Нормативы'!$C$9/SUM(L$2:L$429)),0)</f>
        <v/>
      </c>
      <c r="V134" s="10">
        <f>IFERROR(M134*MIN(1,'01_Нормативы'!$C$10/SUM(M$2:M$429)),0)</f>
        <v/>
      </c>
      <c r="W134" s="10">
        <f>IFERROR(N134*MIN(1,'01_Нормативы'!$C$11/SUM(N$2:N$429)),0)</f>
        <v/>
      </c>
      <c r="X134" s="10">
        <f>SUM(P134:W134)</f>
        <v/>
      </c>
      <c r="Y134" s="10">
        <f>MAX(0,C134-X134)</f>
        <v/>
      </c>
      <c r="Z134" s="10">
        <f>IF(D134=0,100,X134/D134*100)</f>
        <v/>
      </c>
      <c r="AA134" s="10">
        <f>'02_Данные'!F134+'02_Данные'!G134</f>
        <v/>
      </c>
      <c r="AB134" s="10">
        <f>MIN('02_Данные'!L134,AA134)</f>
        <v/>
      </c>
      <c r="AC134" s="10">
        <f>AA134-AB134</f>
        <v/>
      </c>
      <c r="AD134" s="10">
        <f>MIN('02_Данные'!M134,AC134)</f>
        <v/>
      </c>
      <c r="AE134" s="10">
        <f>AC134-AD134</f>
        <v/>
      </c>
      <c r="AF134" s="10">
        <f>MIN('02_Данные'!N134,AE134)</f>
        <v/>
      </c>
      <c r="AG134" s="10">
        <f>AE134-AF134</f>
        <v/>
      </c>
      <c r="AH134" s="10">
        <f>MIN('02_Данные'!S134,AG134)</f>
        <v/>
      </c>
      <c r="AI134" s="10">
        <f>AG134-AH134</f>
        <v/>
      </c>
      <c r="AJ134" s="10">
        <f>MIN('02_Данные'!P134,AI134)</f>
        <v/>
      </c>
      <c r="AK134" s="10">
        <f>AI134-AJ134</f>
        <v/>
      </c>
      <c r="AL134" s="10">
        <f>MIN('02_Данные'!O134,AK134)</f>
        <v/>
      </c>
      <c r="AM134" s="10">
        <f>AK134-AL134</f>
        <v/>
      </c>
      <c r="AN134" s="10">
        <f>MIN('02_Данные'!Q134,AM134)</f>
        <v/>
      </c>
      <c r="AO134" s="10">
        <f>AM134-AN134</f>
        <v/>
      </c>
      <c r="AP134" s="10">
        <f>MIN('02_Данные'!R134,AO134)</f>
        <v/>
      </c>
      <c r="AQ134" s="10">
        <f>AO134-AP134</f>
        <v/>
      </c>
      <c r="AR134" s="10">
        <f>AQ134+'02_Данные'!H134</f>
        <v/>
      </c>
      <c r="AS134" s="10">
        <f>MIN('02_Данные'!T134,AR134)</f>
        <v/>
      </c>
      <c r="AT134" s="10">
        <f>AR134-AS134</f>
        <v/>
      </c>
      <c r="AU134" s="10">
        <f>MIN('02_Данные'!U134,AT134)</f>
        <v/>
      </c>
      <c r="AV134" s="10">
        <f>AT134-AU134</f>
        <v/>
      </c>
      <c r="AW134" s="10">
        <f>MIN('02_Данные'!V134,AV134)</f>
        <v/>
      </c>
      <c r="AX134" s="10">
        <f>AV134-AW134</f>
        <v/>
      </c>
      <c r="AY134" s="10">
        <f>MIN('02_Данные'!AA134,AX134)</f>
        <v/>
      </c>
      <c r="AZ134" s="10">
        <f>AX134-AY134</f>
        <v/>
      </c>
      <c r="BA134" s="10">
        <f>MIN('02_Данные'!X134,AZ134)</f>
        <v/>
      </c>
      <c r="BB134" s="10">
        <f>AZ134-BA134</f>
        <v/>
      </c>
      <c r="BC134" s="10">
        <f>MIN('02_Данные'!W134,BB134)</f>
        <v/>
      </c>
      <c r="BD134" s="10">
        <f>BB134-BC134</f>
        <v/>
      </c>
      <c r="BE134" s="10">
        <f>MIN('02_Данные'!Y134,BD134)</f>
        <v/>
      </c>
      <c r="BF134" s="10">
        <f>BD134-BE134</f>
        <v/>
      </c>
      <c r="BG134" s="10">
        <f>MIN('02_Данные'!Z134,BF134)</f>
        <v/>
      </c>
      <c r="BH134" s="10">
        <f>BF134-BG134</f>
        <v/>
      </c>
      <c r="BI134" s="10">
        <f>BH134+'02_Данные'!I134</f>
        <v/>
      </c>
      <c r="BJ134" s="10">
        <f>MIN('02_Данные'!AB134,BI134)</f>
        <v/>
      </c>
      <c r="BK134" s="10">
        <f>BI134-BJ134</f>
        <v/>
      </c>
      <c r="BL134" s="10">
        <f>MIN('02_Данные'!AC134,BK134)</f>
        <v/>
      </c>
      <c r="BM134" s="10">
        <f>BK134-BL134</f>
        <v/>
      </c>
      <c r="BN134" s="10">
        <f>MIN('02_Данные'!AD134,BM134)</f>
        <v/>
      </c>
      <c r="BO134" s="10">
        <f>BM134-BN134</f>
        <v/>
      </c>
      <c r="BP134" s="10">
        <f>MIN('02_Данные'!AI134,BO134)</f>
        <v/>
      </c>
      <c r="BQ134" s="10">
        <f>BO134-BP134</f>
        <v/>
      </c>
      <c r="BR134" s="10">
        <f>MIN('02_Данные'!AF134,BQ134)</f>
        <v/>
      </c>
      <c r="BS134" s="10">
        <f>BQ134-BR134</f>
        <v/>
      </c>
      <c r="BT134" s="10">
        <f>MIN('02_Данные'!AE134,BS134)</f>
        <v/>
      </c>
      <c r="BU134" s="10">
        <f>BS134-BT134</f>
        <v/>
      </c>
      <c r="BV134" s="10">
        <f>MIN('02_Данные'!AG134,BU134)</f>
        <v/>
      </c>
      <c r="BW134" s="10">
        <f>BU134-BV134</f>
        <v/>
      </c>
      <c r="BX134" s="10">
        <f>MIN('02_Данные'!AH134,BW134)</f>
        <v/>
      </c>
      <c r="BY134" s="10">
        <f>BW134-BX134</f>
        <v/>
      </c>
      <c r="BZ134" s="10">
        <f>BY134+'02_Данные'!J134</f>
        <v/>
      </c>
      <c r="CA134" s="10">
        <f>MIN('02_Данные'!AJ134,BZ134)</f>
        <v/>
      </c>
      <c r="CB134" s="10">
        <f>BZ134-CA134</f>
        <v/>
      </c>
      <c r="CC134" s="10">
        <f>MIN('02_Данные'!AK134,CB134)</f>
        <v/>
      </c>
      <c r="CD134" s="10">
        <f>CB134-CC134</f>
        <v/>
      </c>
      <c r="CE134" s="10">
        <f>MIN('02_Данные'!AL134,CD134)</f>
        <v/>
      </c>
      <c r="CF134" s="10">
        <f>CD134-CE134</f>
        <v/>
      </c>
      <c r="CG134" s="10">
        <f>MIN('02_Данные'!AQ134,CF134)</f>
        <v/>
      </c>
      <c r="CH134" s="10">
        <f>CF134-CG134</f>
        <v/>
      </c>
      <c r="CI134" s="10">
        <f>MIN('02_Данные'!AN134,CH134)</f>
        <v/>
      </c>
      <c r="CJ134" s="10">
        <f>CH134-CI134</f>
        <v/>
      </c>
      <c r="CK134" s="10">
        <f>MIN('02_Данные'!AM134,CJ134)</f>
        <v/>
      </c>
      <c r="CL134" s="10">
        <f>CJ134-CK134</f>
        <v/>
      </c>
      <c r="CM134" s="10">
        <f>MIN('02_Данные'!AO134,CL134)</f>
        <v/>
      </c>
      <c r="CN134" s="10">
        <f>CL134-CM134</f>
        <v/>
      </c>
      <c r="CO134" s="10">
        <f>MIN('02_Данные'!AP134,CN134)</f>
        <v/>
      </c>
      <c r="CP134" s="10">
        <f>CN134-CO134</f>
        <v/>
      </c>
      <c r="CQ134" s="10">
        <f>CP134+'02_Данные'!K134</f>
        <v/>
      </c>
      <c r="CR134" s="10">
        <f>MIN('02_Данные'!AR134,CQ134)</f>
        <v/>
      </c>
      <c r="CS134" s="10">
        <f>CQ134-CR134</f>
        <v/>
      </c>
      <c r="CT134" s="10">
        <f>MIN('02_Данные'!AS134,CS134)</f>
        <v/>
      </c>
      <c r="CU134" s="10">
        <f>CS134-CT134</f>
        <v/>
      </c>
      <c r="CV134" s="10">
        <f>MIN('02_Данные'!AT134,CU134)</f>
        <v/>
      </c>
      <c r="CW134" s="10">
        <f>CU134-CV134</f>
        <v/>
      </c>
      <c r="CX134" s="10">
        <f>MIN('02_Данные'!AY134,CW134)</f>
        <v/>
      </c>
      <c r="CY134" s="10">
        <f>CW134-CX134</f>
        <v/>
      </c>
      <c r="CZ134" s="10">
        <f>MIN('02_Данные'!AV134,CY134)</f>
        <v/>
      </c>
      <c r="DA134" s="10">
        <f>CY134-CZ134</f>
        <v/>
      </c>
      <c r="DB134" s="10">
        <f>MIN('02_Данные'!AU134,DA134)</f>
        <v/>
      </c>
      <c r="DC134" s="10">
        <f>DA134-DB134</f>
        <v/>
      </c>
      <c r="DD134" s="10">
        <f>MIN('02_Данные'!AW134,DC134)</f>
        <v/>
      </c>
      <c r="DE134" s="10">
        <f>DC134-DD134</f>
        <v/>
      </c>
      <c r="DF134" s="10">
        <f>MIN('02_Данные'!AX134,DE134)</f>
        <v/>
      </c>
      <c r="DG134" s="10">
        <f>DE134-DF134</f>
        <v/>
      </c>
    </row>
    <row r="135">
      <c r="A135" s="9">
        <f>'02_Данные'!B135</f>
        <v/>
      </c>
      <c r="B135" s="9">
        <f>'02_Данные'!E135</f>
        <v/>
      </c>
      <c r="C135" s="10">
        <f>'02_Данные'!F135+'02_Данные'!G135+'02_Данные'!H135+'02_Данные'!I135+'02_Данные'!J135+'02_Данные'!K135</f>
        <v/>
      </c>
      <c r="D135" s="10">
        <f>SUM('02_Данные'!L135:'02_Данные'!AY135)</f>
        <v/>
      </c>
      <c r="E135" s="10">
        <f>MAX(0,D135-C135)</f>
        <v/>
      </c>
      <c r="F135" s="15">
        <f>IF(E135&gt;0.0001,"ДЕФИЦИТ",IF(Y135&gt;0.0001,"ПРОФИЦИТ","БАЛАНС"))</f>
        <v/>
      </c>
      <c r="G135" s="10">
        <f>AB135+AS135+BJ135+CA135+CR135</f>
        <v/>
      </c>
      <c r="H135" s="10">
        <f>AD135+AU135+BL135+CC135+CT135</f>
        <v/>
      </c>
      <c r="I135" s="10">
        <f>AF135+AW135+BN135+CE135+CV135</f>
        <v/>
      </c>
      <c r="J135" s="10">
        <f>AL135+BC135+BT135+CK135+DB135</f>
        <v/>
      </c>
      <c r="K135" s="10">
        <f>AJ135+BA135+BR135+CI135+CZ135</f>
        <v/>
      </c>
      <c r="L135" s="10">
        <f>AN135+BE135+BV135+CM135+DD135</f>
        <v/>
      </c>
      <c r="M135" s="10">
        <f>AP135+BG135+BX135+CO135+DF135</f>
        <v/>
      </c>
      <c r="N135" s="10">
        <f>AH135+AY135+BP135+CG135+CX135</f>
        <v/>
      </c>
      <c r="O135" s="10">
        <f>SUM(G135:N135)</f>
        <v/>
      </c>
      <c r="P135" s="10">
        <f>IFERROR(G135*MIN(1,'01_Нормативы'!$C$4/SUM(G$2:G$429)),0)</f>
        <v/>
      </c>
      <c r="Q135" s="10">
        <f>IFERROR(H135*MIN(1,'01_Нормативы'!$C$5/SUM(H$2:H$429)),0)</f>
        <v/>
      </c>
      <c r="R135" s="10">
        <f>IFERROR(I135*MIN(1,'01_Нормативы'!$C$6/SUM(I$2:I$429)),0)</f>
        <v/>
      </c>
      <c r="S135" s="10">
        <f>IFERROR(J135*MIN(1,'01_Нормативы'!$C$7/SUM(J$2:J$429)),0)</f>
        <v/>
      </c>
      <c r="T135" s="10">
        <f>IFERROR(K135*MIN(1,'01_Нормативы'!$C$8/SUM(K$2:K$429)),0)</f>
        <v/>
      </c>
      <c r="U135" s="10">
        <f>IFERROR(L135*MIN(1,'01_Нормативы'!$C$9/SUM(L$2:L$429)),0)</f>
        <v/>
      </c>
      <c r="V135" s="10">
        <f>IFERROR(M135*MIN(1,'01_Нормативы'!$C$10/SUM(M$2:M$429)),0)</f>
        <v/>
      </c>
      <c r="W135" s="10">
        <f>IFERROR(N135*MIN(1,'01_Нормативы'!$C$11/SUM(N$2:N$429)),0)</f>
        <v/>
      </c>
      <c r="X135" s="10">
        <f>SUM(P135:W135)</f>
        <v/>
      </c>
      <c r="Y135" s="10">
        <f>MAX(0,C135-X135)</f>
        <v/>
      </c>
      <c r="Z135" s="10">
        <f>IF(D135=0,100,X135/D135*100)</f>
        <v/>
      </c>
      <c r="AA135" s="10">
        <f>'02_Данные'!F135+'02_Данные'!G135</f>
        <v/>
      </c>
      <c r="AB135" s="10">
        <f>MIN('02_Данные'!L135,AA135)</f>
        <v/>
      </c>
      <c r="AC135" s="10">
        <f>AA135-AB135</f>
        <v/>
      </c>
      <c r="AD135" s="10">
        <f>MIN('02_Данные'!M135,AC135)</f>
        <v/>
      </c>
      <c r="AE135" s="10">
        <f>AC135-AD135</f>
        <v/>
      </c>
      <c r="AF135" s="10">
        <f>MIN('02_Данные'!N135,AE135)</f>
        <v/>
      </c>
      <c r="AG135" s="10">
        <f>AE135-AF135</f>
        <v/>
      </c>
      <c r="AH135" s="10">
        <f>MIN('02_Данные'!S135,AG135)</f>
        <v/>
      </c>
      <c r="AI135" s="10">
        <f>AG135-AH135</f>
        <v/>
      </c>
      <c r="AJ135" s="10">
        <f>MIN('02_Данные'!P135,AI135)</f>
        <v/>
      </c>
      <c r="AK135" s="10">
        <f>AI135-AJ135</f>
        <v/>
      </c>
      <c r="AL135" s="10">
        <f>MIN('02_Данные'!O135,AK135)</f>
        <v/>
      </c>
      <c r="AM135" s="10">
        <f>AK135-AL135</f>
        <v/>
      </c>
      <c r="AN135" s="10">
        <f>MIN('02_Данные'!Q135,AM135)</f>
        <v/>
      </c>
      <c r="AO135" s="10">
        <f>AM135-AN135</f>
        <v/>
      </c>
      <c r="AP135" s="10">
        <f>MIN('02_Данные'!R135,AO135)</f>
        <v/>
      </c>
      <c r="AQ135" s="10">
        <f>AO135-AP135</f>
        <v/>
      </c>
      <c r="AR135" s="10">
        <f>AQ135+'02_Данные'!H135</f>
        <v/>
      </c>
      <c r="AS135" s="10">
        <f>MIN('02_Данные'!T135,AR135)</f>
        <v/>
      </c>
      <c r="AT135" s="10">
        <f>AR135-AS135</f>
        <v/>
      </c>
      <c r="AU135" s="10">
        <f>MIN('02_Данные'!U135,AT135)</f>
        <v/>
      </c>
      <c r="AV135" s="10">
        <f>AT135-AU135</f>
        <v/>
      </c>
      <c r="AW135" s="10">
        <f>MIN('02_Данные'!V135,AV135)</f>
        <v/>
      </c>
      <c r="AX135" s="10">
        <f>AV135-AW135</f>
        <v/>
      </c>
      <c r="AY135" s="10">
        <f>MIN('02_Данные'!AA135,AX135)</f>
        <v/>
      </c>
      <c r="AZ135" s="10">
        <f>AX135-AY135</f>
        <v/>
      </c>
      <c r="BA135" s="10">
        <f>MIN('02_Данные'!X135,AZ135)</f>
        <v/>
      </c>
      <c r="BB135" s="10">
        <f>AZ135-BA135</f>
        <v/>
      </c>
      <c r="BC135" s="10">
        <f>MIN('02_Данные'!W135,BB135)</f>
        <v/>
      </c>
      <c r="BD135" s="10">
        <f>BB135-BC135</f>
        <v/>
      </c>
      <c r="BE135" s="10">
        <f>MIN('02_Данные'!Y135,BD135)</f>
        <v/>
      </c>
      <c r="BF135" s="10">
        <f>BD135-BE135</f>
        <v/>
      </c>
      <c r="BG135" s="10">
        <f>MIN('02_Данные'!Z135,BF135)</f>
        <v/>
      </c>
      <c r="BH135" s="10">
        <f>BF135-BG135</f>
        <v/>
      </c>
      <c r="BI135" s="10">
        <f>BH135+'02_Данные'!I135</f>
        <v/>
      </c>
      <c r="BJ135" s="10">
        <f>MIN('02_Данные'!AB135,BI135)</f>
        <v/>
      </c>
      <c r="BK135" s="10">
        <f>BI135-BJ135</f>
        <v/>
      </c>
      <c r="BL135" s="10">
        <f>MIN('02_Данные'!AC135,BK135)</f>
        <v/>
      </c>
      <c r="BM135" s="10">
        <f>BK135-BL135</f>
        <v/>
      </c>
      <c r="BN135" s="10">
        <f>MIN('02_Данные'!AD135,BM135)</f>
        <v/>
      </c>
      <c r="BO135" s="10">
        <f>BM135-BN135</f>
        <v/>
      </c>
      <c r="BP135" s="10">
        <f>MIN('02_Данные'!AI135,BO135)</f>
        <v/>
      </c>
      <c r="BQ135" s="10">
        <f>BO135-BP135</f>
        <v/>
      </c>
      <c r="BR135" s="10">
        <f>MIN('02_Данные'!AF135,BQ135)</f>
        <v/>
      </c>
      <c r="BS135" s="10">
        <f>BQ135-BR135</f>
        <v/>
      </c>
      <c r="BT135" s="10">
        <f>MIN('02_Данные'!AE135,BS135)</f>
        <v/>
      </c>
      <c r="BU135" s="10">
        <f>BS135-BT135</f>
        <v/>
      </c>
      <c r="BV135" s="10">
        <f>MIN('02_Данные'!AG135,BU135)</f>
        <v/>
      </c>
      <c r="BW135" s="10">
        <f>BU135-BV135</f>
        <v/>
      </c>
      <c r="BX135" s="10">
        <f>MIN('02_Данные'!AH135,BW135)</f>
        <v/>
      </c>
      <c r="BY135" s="10">
        <f>BW135-BX135</f>
        <v/>
      </c>
      <c r="BZ135" s="10">
        <f>BY135+'02_Данные'!J135</f>
        <v/>
      </c>
      <c r="CA135" s="10">
        <f>MIN('02_Данные'!AJ135,BZ135)</f>
        <v/>
      </c>
      <c r="CB135" s="10">
        <f>BZ135-CA135</f>
        <v/>
      </c>
      <c r="CC135" s="10">
        <f>MIN('02_Данные'!AK135,CB135)</f>
        <v/>
      </c>
      <c r="CD135" s="10">
        <f>CB135-CC135</f>
        <v/>
      </c>
      <c r="CE135" s="10">
        <f>MIN('02_Данные'!AL135,CD135)</f>
        <v/>
      </c>
      <c r="CF135" s="10">
        <f>CD135-CE135</f>
        <v/>
      </c>
      <c r="CG135" s="10">
        <f>MIN('02_Данные'!AQ135,CF135)</f>
        <v/>
      </c>
      <c r="CH135" s="10">
        <f>CF135-CG135</f>
        <v/>
      </c>
      <c r="CI135" s="10">
        <f>MIN('02_Данные'!AN135,CH135)</f>
        <v/>
      </c>
      <c r="CJ135" s="10">
        <f>CH135-CI135</f>
        <v/>
      </c>
      <c r="CK135" s="10">
        <f>MIN('02_Данные'!AM135,CJ135)</f>
        <v/>
      </c>
      <c r="CL135" s="10">
        <f>CJ135-CK135</f>
        <v/>
      </c>
      <c r="CM135" s="10">
        <f>MIN('02_Данные'!AO135,CL135)</f>
        <v/>
      </c>
      <c r="CN135" s="10">
        <f>CL135-CM135</f>
        <v/>
      </c>
      <c r="CO135" s="10">
        <f>MIN('02_Данные'!AP135,CN135)</f>
        <v/>
      </c>
      <c r="CP135" s="10">
        <f>CN135-CO135</f>
        <v/>
      </c>
      <c r="CQ135" s="10">
        <f>CP135+'02_Данные'!K135</f>
        <v/>
      </c>
      <c r="CR135" s="10">
        <f>MIN('02_Данные'!AR135,CQ135)</f>
        <v/>
      </c>
      <c r="CS135" s="10">
        <f>CQ135-CR135</f>
        <v/>
      </c>
      <c r="CT135" s="10">
        <f>MIN('02_Данные'!AS135,CS135)</f>
        <v/>
      </c>
      <c r="CU135" s="10">
        <f>CS135-CT135</f>
        <v/>
      </c>
      <c r="CV135" s="10">
        <f>MIN('02_Данные'!AT135,CU135)</f>
        <v/>
      </c>
      <c r="CW135" s="10">
        <f>CU135-CV135</f>
        <v/>
      </c>
      <c r="CX135" s="10">
        <f>MIN('02_Данные'!AY135,CW135)</f>
        <v/>
      </c>
      <c r="CY135" s="10">
        <f>CW135-CX135</f>
        <v/>
      </c>
      <c r="CZ135" s="10">
        <f>MIN('02_Данные'!AV135,CY135)</f>
        <v/>
      </c>
      <c r="DA135" s="10">
        <f>CY135-CZ135</f>
        <v/>
      </c>
      <c r="DB135" s="10">
        <f>MIN('02_Данные'!AU135,DA135)</f>
        <v/>
      </c>
      <c r="DC135" s="10">
        <f>DA135-DB135</f>
        <v/>
      </c>
      <c r="DD135" s="10">
        <f>MIN('02_Данные'!AW135,DC135)</f>
        <v/>
      </c>
      <c r="DE135" s="10">
        <f>DC135-DD135</f>
        <v/>
      </c>
      <c r="DF135" s="10">
        <f>MIN('02_Данные'!AX135,DE135)</f>
        <v/>
      </c>
      <c r="DG135" s="10">
        <f>DE135-DF135</f>
        <v/>
      </c>
    </row>
    <row r="136">
      <c r="A136" s="9">
        <f>'02_Данные'!B136</f>
        <v/>
      </c>
      <c r="B136" s="9">
        <f>'02_Данные'!E136</f>
        <v/>
      </c>
      <c r="C136" s="10">
        <f>'02_Данные'!F136+'02_Данные'!G136+'02_Данные'!H136+'02_Данные'!I136+'02_Данные'!J136+'02_Данные'!K136</f>
        <v/>
      </c>
      <c r="D136" s="10">
        <f>SUM('02_Данные'!L136:'02_Данные'!AY136)</f>
        <v/>
      </c>
      <c r="E136" s="10">
        <f>MAX(0,D136-C136)</f>
        <v/>
      </c>
      <c r="F136" s="15">
        <f>IF(E136&gt;0.0001,"ДЕФИЦИТ",IF(Y136&gt;0.0001,"ПРОФИЦИТ","БАЛАНС"))</f>
        <v/>
      </c>
      <c r="G136" s="10">
        <f>AB136+AS136+BJ136+CA136+CR136</f>
        <v/>
      </c>
      <c r="H136" s="10">
        <f>AD136+AU136+BL136+CC136+CT136</f>
        <v/>
      </c>
      <c r="I136" s="10">
        <f>AF136+AW136+BN136+CE136+CV136</f>
        <v/>
      </c>
      <c r="J136" s="10">
        <f>AL136+BC136+BT136+CK136+DB136</f>
        <v/>
      </c>
      <c r="K136" s="10">
        <f>AJ136+BA136+BR136+CI136+CZ136</f>
        <v/>
      </c>
      <c r="L136" s="10">
        <f>AN136+BE136+BV136+CM136+DD136</f>
        <v/>
      </c>
      <c r="M136" s="10">
        <f>AP136+BG136+BX136+CO136+DF136</f>
        <v/>
      </c>
      <c r="N136" s="10">
        <f>AH136+AY136+BP136+CG136+CX136</f>
        <v/>
      </c>
      <c r="O136" s="10">
        <f>SUM(G136:N136)</f>
        <v/>
      </c>
      <c r="P136" s="10">
        <f>IFERROR(G136*MIN(1,'01_Нормативы'!$C$4/SUM(G$2:G$429)),0)</f>
        <v/>
      </c>
      <c r="Q136" s="10">
        <f>IFERROR(H136*MIN(1,'01_Нормативы'!$C$5/SUM(H$2:H$429)),0)</f>
        <v/>
      </c>
      <c r="R136" s="10">
        <f>IFERROR(I136*MIN(1,'01_Нормативы'!$C$6/SUM(I$2:I$429)),0)</f>
        <v/>
      </c>
      <c r="S136" s="10">
        <f>IFERROR(J136*MIN(1,'01_Нормативы'!$C$7/SUM(J$2:J$429)),0)</f>
        <v/>
      </c>
      <c r="T136" s="10">
        <f>IFERROR(K136*MIN(1,'01_Нормативы'!$C$8/SUM(K$2:K$429)),0)</f>
        <v/>
      </c>
      <c r="U136" s="10">
        <f>IFERROR(L136*MIN(1,'01_Нормативы'!$C$9/SUM(L$2:L$429)),0)</f>
        <v/>
      </c>
      <c r="V136" s="10">
        <f>IFERROR(M136*MIN(1,'01_Нормативы'!$C$10/SUM(M$2:M$429)),0)</f>
        <v/>
      </c>
      <c r="W136" s="10">
        <f>IFERROR(N136*MIN(1,'01_Нормативы'!$C$11/SUM(N$2:N$429)),0)</f>
        <v/>
      </c>
      <c r="X136" s="10">
        <f>SUM(P136:W136)</f>
        <v/>
      </c>
      <c r="Y136" s="10">
        <f>MAX(0,C136-X136)</f>
        <v/>
      </c>
      <c r="Z136" s="10">
        <f>IF(D136=0,100,X136/D136*100)</f>
        <v/>
      </c>
      <c r="AA136" s="10">
        <f>'02_Данные'!F136+'02_Данные'!G136</f>
        <v/>
      </c>
      <c r="AB136" s="10">
        <f>MIN('02_Данные'!L136,AA136)</f>
        <v/>
      </c>
      <c r="AC136" s="10">
        <f>AA136-AB136</f>
        <v/>
      </c>
      <c r="AD136" s="10">
        <f>MIN('02_Данные'!M136,AC136)</f>
        <v/>
      </c>
      <c r="AE136" s="10">
        <f>AC136-AD136</f>
        <v/>
      </c>
      <c r="AF136" s="10">
        <f>MIN('02_Данные'!N136,AE136)</f>
        <v/>
      </c>
      <c r="AG136" s="10">
        <f>AE136-AF136</f>
        <v/>
      </c>
      <c r="AH136" s="10">
        <f>MIN('02_Данные'!S136,AG136)</f>
        <v/>
      </c>
      <c r="AI136" s="10">
        <f>AG136-AH136</f>
        <v/>
      </c>
      <c r="AJ136" s="10">
        <f>MIN('02_Данные'!P136,AI136)</f>
        <v/>
      </c>
      <c r="AK136" s="10">
        <f>AI136-AJ136</f>
        <v/>
      </c>
      <c r="AL136" s="10">
        <f>MIN('02_Данные'!O136,AK136)</f>
        <v/>
      </c>
      <c r="AM136" s="10">
        <f>AK136-AL136</f>
        <v/>
      </c>
      <c r="AN136" s="10">
        <f>MIN('02_Данные'!Q136,AM136)</f>
        <v/>
      </c>
      <c r="AO136" s="10">
        <f>AM136-AN136</f>
        <v/>
      </c>
      <c r="AP136" s="10">
        <f>MIN('02_Данные'!R136,AO136)</f>
        <v/>
      </c>
      <c r="AQ136" s="10">
        <f>AO136-AP136</f>
        <v/>
      </c>
      <c r="AR136" s="10">
        <f>AQ136+'02_Данные'!H136</f>
        <v/>
      </c>
      <c r="AS136" s="10">
        <f>MIN('02_Данные'!T136,AR136)</f>
        <v/>
      </c>
      <c r="AT136" s="10">
        <f>AR136-AS136</f>
        <v/>
      </c>
      <c r="AU136" s="10">
        <f>MIN('02_Данные'!U136,AT136)</f>
        <v/>
      </c>
      <c r="AV136" s="10">
        <f>AT136-AU136</f>
        <v/>
      </c>
      <c r="AW136" s="10">
        <f>MIN('02_Данные'!V136,AV136)</f>
        <v/>
      </c>
      <c r="AX136" s="10">
        <f>AV136-AW136</f>
        <v/>
      </c>
      <c r="AY136" s="10">
        <f>MIN('02_Данные'!AA136,AX136)</f>
        <v/>
      </c>
      <c r="AZ136" s="10">
        <f>AX136-AY136</f>
        <v/>
      </c>
      <c r="BA136" s="10">
        <f>MIN('02_Данные'!X136,AZ136)</f>
        <v/>
      </c>
      <c r="BB136" s="10">
        <f>AZ136-BA136</f>
        <v/>
      </c>
      <c r="BC136" s="10">
        <f>MIN('02_Данные'!W136,BB136)</f>
        <v/>
      </c>
      <c r="BD136" s="10">
        <f>BB136-BC136</f>
        <v/>
      </c>
      <c r="BE136" s="10">
        <f>MIN('02_Данные'!Y136,BD136)</f>
        <v/>
      </c>
      <c r="BF136" s="10">
        <f>BD136-BE136</f>
        <v/>
      </c>
      <c r="BG136" s="10">
        <f>MIN('02_Данные'!Z136,BF136)</f>
        <v/>
      </c>
      <c r="BH136" s="10">
        <f>BF136-BG136</f>
        <v/>
      </c>
      <c r="BI136" s="10">
        <f>BH136+'02_Данные'!I136</f>
        <v/>
      </c>
      <c r="BJ136" s="10">
        <f>MIN('02_Данные'!AB136,BI136)</f>
        <v/>
      </c>
      <c r="BK136" s="10">
        <f>BI136-BJ136</f>
        <v/>
      </c>
      <c r="BL136" s="10">
        <f>MIN('02_Данные'!AC136,BK136)</f>
        <v/>
      </c>
      <c r="BM136" s="10">
        <f>BK136-BL136</f>
        <v/>
      </c>
      <c r="BN136" s="10">
        <f>MIN('02_Данные'!AD136,BM136)</f>
        <v/>
      </c>
      <c r="BO136" s="10">
        <f>BM136-BN136</f>
        <v/>
      </c>
      <c r="BP136" s="10">
        <f>MIN('02_Данные'!AI136,BO136)</f>
        <v/>
      </c>
      <c r="BQ136" s="10">
        <f>BO136-BP136</f>
        <v/>
      </c>
      <c r="BR136" s="10">
        <f>MIN('02_Данные'!AF136,BQ136)</f>
        <v/>
      </c>
      <c r="BS136" s="10">
        <f>BQ136-BR136</f>
        <v/>
      </c>
      <c r="BT136" s="10">
        <f>MIN('02_Данные'!AE136,BS136)</f>
        <v/>
      </c>
      <c r="BU136" s="10">
        <f>BS136-BT136</f>
        <v/>
      </c>
      <c r="BV136" s="10">
        <f>MIN('02_Данные'!AG136,BU136)</f>
        <v/>
      </c>
      <c r="BW136" s="10">
        <f>BU136-BV136</f>
        <v/>
      </c>
      <c r="BX136" s="10">
        <f>MIN('02_Данные'!AH136,BW136)</f>
        <v/>
      </c>
      <c r="BY136" s="10">
        <f>BW136-BX136</f>
        <v/>
      </c>
      <c r="BZ136" s="10">
        <f>BY136+'02_Данные'!J136</f>
        <v/>
      </c>
      <c r="CA136" s="10">
        <f>MIN('02_Данные'!AJ136,BZ136)</f>
        <v/>
      </c>
      <c r="CB136" s="10">
        <f>BZ136-CA136</f>
        <v/>
      </c>
      <c r="CC136" s="10">
        <f>MIN('02_Данные'!AK136,CB136)</f>
        <v/>
      </c>
      <c r="CD136" s="10">
        <f>CB136-CC136</f>
        <v/>
      </c>
      <c r="CE136" s="10">
        <f>MIN('02_Данные'!AL136,CD136)</f>
        <v/>
      </c>
      <c r="CF136" s="10">
        <f>CD136-CE136</f>
        <v/>
      </c>
      <c r="CG136" s="10">
        <f>MIN('02_Данные'!AQ136,CF136)</f>
        <v/>
      </c>
      <c r="CH136" s="10">
        <f>CF136-CG136</f>
        <v/>
      </c>
      <c r="CI136" s="10">
        <f>MIN('02_Данные'!AN136,CH136)</f>
        <v/>
      </c>
      <c r="CJ136" s="10">
        <f>CH136-CI136</f>
        <v/>
      </c>
      <c r="CK136" s="10">
        <f>MIN('02_Данные'!AM136,CJ136)</f>
        <v/>
      </c>
      <c r="CL136" s="10">
        <f>CJ136-CK136</f>
        <v/>
      </c>
      <c r="CM136" s="10">
        <f>MIN('02_Данные'!AO136,CL136)</f>
        <v/>
      </c>
      <c r="CN136" s="10">
        <f>CL136-CM136</f>
        <v/>
      </c>
      <c r="CO136" s="10">
        <f>MIN('02_Данные'!AP136,CN136)</f>
        <v/>
      </c>
      <c r="CP136" s="10">
        <f>CN136-CO136</f>
        <v/>
      </c>
      <c r="CQ136" s="10">
        <f>CP136+'02_Данные'!K136</f>
        <v/>
      </c>
      <c r="CR136" s="10">
        <f>MIN('02_Данные'!AR136,CQ136)</f>
        <v/>
      </c>
      <c r="CS136" s="10">
        <f>CQ136-CR136</f>
        <v/>
      </c>
      <c r="CT136" s="10">
        <f>MIN('02_Данные'!AS136,CS136)</f>
        <v/>
      </c>
      <c r="CU136" s="10">
        <f>CS136-CT136</f>
        <v/>
      </c>
      <c r="CV136" s="10">
        <f>MIN('02_Данные'!AT136,CU136)</f>
        <v/>
      </c>
      <c r="CW136" s="10">
        <f>CU136-CV136</f>
        <v/>
      </c>
      <c r="CX136" s="10">
        <f>MIN('02_Данные'!AY136,CW136)</f>
        <v/>
      </c>
      <c r="CY136" s="10">
        <f>CW136-CX136</f>
        <v/>
      </c>
      <c r="CZ136" s="10">
        <f>MIN('02_Данные'!AV136,CY136)</f>
        <v/>
      </c>
      <c r="DA136" s="10">
        <f>CY136-CZ136</f>
        <v/>
      </c>
      <c r="DB136" s="10">
        <f>MIN('02_Данные'!AU136,DA136)</f>
        <v/>
      </c>
      <c r="DC136" s="10">
        <f>DA136-DB136</f>
        <v/>
      </c>
      <c r="DD136" s="10">
        <f>MIN('02_Данные'!AW136,DC136)</f>
        <v/>
      </c>
      <c r="DE136" s="10">
        <f>DC136-DD136</f>
        <v/>
      </c>
      <c r="DF136" s="10">
        <f>MIN('02_Данные'!AX136,DE136)</f>
        <v/>
      </c>
      <c r="DG136" s="10">
        <f>DE136-DF136</f>
        <v/>
      </c>
    </row>
    <row r="137">
      <c r="A137" s="9">
        <f>'02_Данные'!B137</f>
        <v/>
      </c>
      <c r="B137" s="9">
        <f>'02_Данные'!E137</f>
        <v/>
      </c>
      <c r="C137" s="10">
        <f>'02_Данные'!F137+'02_Данные'!G137+'02_Данные'!H137+'02_Данные'!I137+'02_Данные'!J137+'02_Данные'!K137</f>
        <v/>
      </c>
      <c r="D137" s="10">
        <f>SUM('02_Данные'!L137:'02_Данные'!AY137)</f>
        <v/>
      </c>
      <c r="E137" s="10">
        <f>MAX(0,D137-C137)</f>
        <v/>
      </c>
      <c r="F137" s="15">
        <f>IF(E137&gt;0.0001,"ДЕФИЦИТ",IF(Y137&gt;0.0001,"ПРОФИЦИТ","БАЛАНС"))</f>
        <v/>
      </c>
      <c r="G137" s="10">
        <f>AB137+AS137+BJ137+CA137+CR137</f>
        <v/>
      </c>
      <c r="H137" s="10">
        <f>AD137+AU137+BL137+CC137+CT137</f>
        <v/>
      </c>
      <c r="I137" s="10">
        <f>AF137+AW137+BN137+CE137+CV137</f>
        <v/>
      </c>
      <c r="J137" s="10">
        <f>AL137+BC137+BT137+CK137+DB137</f>
        <v/>
      </c>
      <c r="K137" s="10">
        <f>AJ137+BA137+BR137+CI137+CZ137</f>
        <v/>
      </c>
      <c r="L137" s="10">
        <f>AN137+BE137+BV137+CM137+DD137</f>
        <v/>
      </c>
      <c r="M137" s="10">
        <f>AP137+BG137+BX137+CO137+DF137</f>
        <v/>
      </c>
      <c r="N137" s="10">
        <f>AH137+AY137+BP137+CG137+CX137</f>
        <v/>
      </c>
      <c r="O137" s="10">
        <f>SUM(G137:N137)</f>
        <v/>
      </c>
      <c r="P137" s="10">
        <f>IFERROR(G137*MIN(1,'01_Нормативы'!$C$4/SUM(G$2:G$429)),0)</f>
        <v/>
      </c>
      <c r="Q137" s="10">
        <f>IFERROR(H137*MIN(1,'01_Нормативы'!$C$5/SUM(H$2:H$429)),0)</f>
        <v/>
      </c>
      <c r="R137" s="10">
        <f>IFERROR(I137*MIN(1,'01_Нормативы'!$C$6/SUM(I$2:I$429)),0)</f>
        <v/>
      </c>
      <c r="S137" s="10">
        <f>IFERROR(J137*MIN(1,'01_Нормативы'!$C$7/SUM(J$2:J$429)),0)</f>
        <v/>
      </c>
      <c r="T137" s="10">
        <f>IFERROR(K137*MIN(1,'01_Нормативы'!$C$8/SUM(K$2:K$429)),0)</f>
        <v/>
      </c>
      <c r="U137" s="10">
        <f>IFERROR(L137*MIN(1,'01_Нормативы'!$C$9/SUM(L$2:L$429)),0)</f>
        <v/>
      </c>
      <c r="V137" s="10">
        <f>IFERROR(M137*MIN(1,'01_Нормативы'!$C$10/SUM(M$2:M$429)),0)</f>
        <v/>
      </c>
      <c r="W137" s="10">
        <f>IFERROR(N137*MIN(1,'01_Нормативы'!$C$11/SUM(N$2:N$429)),0)</f>
        <v/>
      </c>
      <c r="X137" s="10">
        <f>SUM(P137:W137)</f>
        <v/>
      </c>
      <c r="Y137" s="10">
        <f>MAX(0,C137-X137)</f>
        <v/>
      </c>
      <c r="Z137" s="10">
        <f>IF(D137=0,100,X137/D137*100)</f>
        <v/>
      </c>
      <c r="AA137" s="10">
        <f>'02_Данные'!F137+'02_Данные'!G137</f>
        <v/>
      </c>
      <c r="AB137" s="10">
        <f>MIN('02_Данные'!L137,AA137)</f>
        <v/>
      </c>
      <c r="AC137" s="10">
        <f>AA137-AB137</f>
        <v/>
      </c>
      <c r="AD137" s="10">
        <f>MIN('02_Данные'!M137,AC137)</f>
        <v/>
      </c>
      <c r="AE137" s="10">
        <f>AC137-AD137</f>
        <v/>
      </c>
      <c r="AF137" s="10">
        <f>MIN('02_Данные'!N137,AE137)</f>
        <v/>
      </c>
      <c r="AG137" s="10">
        <f>AE137-AF137</f>
        <v/>
      </c>
      <c r="AH137" s="10">
        <f>MIN('02_Данные'!S137,AG137)</f>
        <v/>
      </c>
      <c r="AI137" s="10">
        <f>AG137-AH137</f>
        <v/>
      </c>
      <c r="AJ137" s="10">
        <f>MIN('02_Данные'!P137,AI137)</f>
        <v/>
      </c>
      <c r="AK137" s="10">
        <f>AI137-AJ137</f>
        <v/>
      </c>
      <c r="AL137" s="10">
        <f>MIN('02_Данные'!O137,AK137)</f>
        <v/>
      </c>
      <c r="AM137" s="10">
        <f>AK137-AL137</f>
        <v/>
      </c>
      <c r="AN137" s="10">
        <f>MIN('02_Данные'!Q137,AM137)</f>
        <v/>
      </c>
      <c r="AO137" s="10">
        <f>AM137-AN137</f>
        <v/>
      </c>
      <c r="AP137" s="10">
        <f>MIN('02_Данные'!R137,AO137)</f>
        <v/>
      </c>
      <c r="AQ137" s="10">
        <f>AO137-AP137</f>
        <v/>
      </c>
      <c r="AR137" s="10">
        <f>AQ137+'02_Данные'!H137</f>
        <v/>
      </c>
      <c r="AS137" s="10">
        <f>MIN('02_Данные'!T137,AR137)</f>
        <v/>
      </c>
      <c r="AT137" s="10">
        <f>AR137-AS137</f>
        <v/>
      </c>
      <c r="AU137" s="10">
        <f>MIN('02_Данные'!U137,AT137)</f>
        <v/>
      </c>
      <c r="AV137" s="10">
        <f>AT137-AU137</f>
        <v/>
      </c>
      <c r="AW137" s="10">
        <f>MIN('02_Данные'!V137,AV137)</f>
        <v/>
      </c>
      <c r="AX137" s="10">
        <f>AV137-AW137</f>
        <v/>
      </c>
      <c r="AY137" s="10">
        <f>MIN('02_Данные'!AA137,AX137)</f>
        <v/>
      </c>
      <c r="AZ137" s="10">
        <f>AX137-AY137</f>
        <v/>
      </c>
      <c r="BA137" s="10">
        <f>MIN('02_Данные'!X137,AZ137)</f>
        <v/>
      </c>
      <c r="BB137" s="10">
        <f>AZ137-BA137</f>
        <v/>
      </c>
      <c r="BC137" s="10">
        <f>MIN('02_Данные'!W137,BB137)</f>
        <v/>
      </c>
      <c r="BD137" s="10">
        <f>BB137-BC137</f>
        <v/>
      </c>
      <c r="BE137" s="10">
        <f>MIN('02_Данные'!Y137,BD137)</f>
        <v/>
      </c>
      <c r="BF137" s="10">
        <f>BD137-BE137</f>
        <v/>
      </c>
      <c r="BG137" s="10">
        <f>MIN('02_Данные'!Z137,BF137)</f>
        <v/>
      </c>
      <c r="BH137" s="10">
        <f>BF137-BG137</f>
        <v/>
      </c>
      <c r="BI137" s="10">
        <f>BH137+'02_Данные'!I137</f>
        <v/>
      </c>
      <c r="BJ137" s="10">
        <f>MIN('02_Данные'!AB137,BI137)</f>
        <v/>
      </c>
      <c r="BK137" s="10">
        <f>BI137-BJ137</f>
        <v/>
      </c>
      <c r="BL137" s="10">
        <f>MIN('02_Данные'!AC137,BK137)</f>
        <v/>
      </c>
      <c r="BM137" s="10">
        <f>BK137-BL137</f>
        <v/>
      </c>
      <c r="BN137" s="10">
        <f>MIN('02_Данные'!AD137,BM137)</f>
        <v/>
      </c>
      <c r="BO137" s="10">
        <f>BM137-BN137</f>
        <v/>
      </c>
      <c r="BP137" s="10">
        <f>MIN('02_Данные'!AI137,BO137)</f>
        <v/>
      </c>
      <c r="BQ137" s="10">
        <f>BO137-BP137</f>
        <v/>
      </c>
      <c r="BR137" s="10">
        <f>MIN('02_Данные'!AF137,BQ137)</f>
        <v/>
      </c>
      <c r="BS137" s="10">
        <f>BQ137-BR137</f>
        <v/>
      </c>
      <c r="BT137" s="10">
        <f>MIN('02_Данные'!AE137,BS137)</f>
        <v/>
      </c>
      <c r="BU137" s="10">
        <f>BS137-BT137</f>
        <v/>
      </c>
      <c r="BV137" s="10">
        <f>MIN('02_Данные'!AG137,BU137)</f>
        <v/>
      </c>
      <c r="BW137" s="10">
        <f>BU137-BV137</f>
        <v/>
      </c>
      <c r="BX137" s="10">
        <f>MIN('02_Данные'!AH137,BW137)</f>
        <v/>
      </c>
      <c r="BY137" s="10">
        <f>BW137-BX137</f>
        <v/>
      </c>
      <c r="BZ137" s="10">
        <f>BY137+'02_Данные'!J137</f>
        <v/>
      </c>
      <c r="CA137" s="10">
        <f>MIN('02_Данные'!AJ137,BZ137)</f>
        <v/>
      </c>
      <c r="CB137" s="10">
        <f>BZ137-CA137</f>
        <v/>
      </c>
      <c r="CC137" s="10">
        <f>MIN('02_Данные'!AK137,CB137)</f>
        <v/>
      </c>
      <c r="CD137" s="10">
        <f>CB137-CC137</f>
        <v/>
      </c>
      <c r="CE137" s="10">
        <f>MIN('02_Данные'!AL137,CD137)</f>
        <v/>
      </c>
      <c r="CF137" s="10">
        <f>CD137-CE137</f>
        <v/>
      </c>
      <c r="CG137" s="10">
        <f>MIN('02_Данные'!AQ137,CF137)</f>
        <v/>
      </c>
      <c r="CH137" s="10">
        <f>CF137-CG137</f>
        <v/>
      </c>
      <c r="CI137" s="10">
        <f>MIN('02_Данные'!AN137,CH137)</f>
        <v/>
      </c>
      <c r="CJ137" s="10">
        <f>CH137-CI137</f>
        <v/>
      </c>
      <c r="CK137" s="10">
        <f>MIN('02_Данные'!AM137,CJ137)</f>
        <v/>
      </c>
      <c r="CL137" s="10">
        <f>CJ137-CK137</f>
        <v/>
      </c>
      <c r="CM137" s="10">
        <f>MIN('02_Данные'!AO137,CL137)</f>
        <v/>
      </c>
      <c r="CN137" s="10">
        <f>CL137-CM137</f>
        <v/>
      </c>
      <c r="CO137" s="10">
        <f>MIN('02_Данные'!AP137,CN137)</f>
        <v/>
      </c>
      <c r="CP137" s="10">
        <f>CN137-CO137</f>
        <v/>
      </c>
      <c r="CQ137" s="10">
        <f>CP137+'02_Данные'!K137</f>
        <v/>
      </c>
      <c r="CR137" s="10">
        <f>MIN('02_Данные'!AR137,CQ137)</f>
        <v/>
      </c>
      <c r="CS137" s="10">
        <f>CQ137-CR137</f>
        <v/>
      </c>
      <c r="CT137" s="10">
        <f>MIN('02_Данные'!AS137,CS137)</f>
        <v/>
      </c>
      <c r="CU137" s="10">
        <f>CS137-CT137</f>
        <v/>
      </c>
      <c r="CV137" s="10">
        <f>MIN('02_Данные'!AT137,CU137)</f>
        <v/>
      </c>
      <c r="CW137" s="10">
        <f>CU137-CV137</f>
        <v/>
      </c>
      <c r="CX137" s="10">
        <f>MIN('02_Данные'!AY137,CW137)</f>
        <v/>
      </c>
      <c r="CY137" s="10">
        <f>CW137-CX137</f>
        <v/>
      </c>
      <c r="CZ137" s="10">
        <f>MIN('02_Данные'!AV137,CY137)</f>
        <v/>
      </c>
      <c r="DA137" s="10">
        <f>CY137-CZ137</f>
        <v/>
      </c>
      <c r="DB137" s="10">
        <f>MIN('02_Данные'!AU137,DA137)</f>
        <v/>
      </c>
      <c r="DC137" s="10">
        <f>DA137-DB137</f>
        <v/>
      </c>
      <c r="DD137" s="10">
        <f>MIN('02_Данные'!AW137,DC137)</f>
        <v/>
      </c>
      <c r="DE137" s="10">
        <f>DC137-DD137</f>
        <v/>
      </c>
      <c r="DF137" s="10">
        <f>MIN('02_Данные'!AX137,DE137)</f>
        <v/>
      </c>
      <c r="DG137" s="10">
        <f>DE137-DF137</f>
        <v/>
      </c>
    </row>
    <row r="138">
      <c r="A138" s="9">
        <f>'02_Данные'!B138</f>
        <v/>
      </c>
      <c r="B138" s="9">
        <f>'02_Данные'!E138</f>
        <v/>
      </c>
      <c r="C138" s="10">
        <f>'02_Данные'!F138+'02_Данные'!G138+'02_Данные'!H138+'02_Данные'!I138+'02_Данные'!J138+'02_Данные'!K138</f>
        <v/>
      </c>
      <c r="D138" s="10">
        <f>SUM('02_Данные'!L138:'02_Данные'!AY138)</f>
        <v/>
      </c>
      <c r="E138" s="10">
        <f>MAX(0,D138-C138)</f>
        <v/>
      </c>
      <c r="F138" s="15">
        <f>IF(E138&gt;0.0001,"ДЕФИЦИТ",IF(Y138&gt;0.0001,"ПРОФИЦИТ","БАЛАНС"))</f>
        <v/>
      </c>
      <c r="G138" s="10">
        <f>AB138+AS138+BJ138+CA138+CR138</f>
        <v/>
      </c>
      <c r="H138" s="10">
        <f>AD138+AU138+BL138+CC138+CT138</f>
        <v/>
      </c>
      <c r="I138" s="10">
        <f>AF138+AW138+BN138+CE138+CV138</f>
        <v/>
      </c>
      <c r="J138" s="10">
        <f>AL138+BC138+BT138+CK138+DB138</f>
        <v/>
      </c>
      <c r="K138" s="10">
        <f>AJ138+BA138+BR138+CI138+CZ138</f>
        <v/>
      </c>
      <c r="L138" s="10">
        <f>AN138+BE138+BV138+CM138+DD138</f>
        <v/>
      </c>
      <c r="M138" s="10">
        <f>AP138+BG138+BX138+CO138+DF138</f>
        <v/>
      </c>
      <c r="N138" s="10">
        <f>AH138+AY138+BP138+CG138+CX138</f>
        <v/>
      </c>
      <c r="O138" s="10">
        <f>SUM(G138:N138)</f>
        <v/>
      </c>
      <c r="P138" s="10">
        <f>IFERROR(G138*MIN(1,'01_Нормативы'!$C$4/SUM(G$2:G$429)),0)</f>
        <v/>
      </c>
      <c r="Q138" s="10">
        <f>IFERROR(H138*MIN(1,'01_Нормативы'!$C$5/SUM(H$2:H$429)),0)</f>
        <v/>
      </c>
      <c r="R138" s="10">
        <f>IFERROR(I138*MIN(1,'01_Нормативы'!$C$6/SUM(I$2:I$429)),0)</f>
        <v/>
      </c>
      <c r="S138" s="10">
        <f>IFERROR(J138*MIN(1,'01_Нормативы'!$C$7/SUM(J$2:J$429)),0)</f>
        <v/>
      </c>
      <c r="T138" s="10">
        <f>IFERROR(K138*MIN(1,'01_Нормативы'!$C$8/SUM(K$2:K$429)),0)</f>
        <v/>
      </c>
      <c r="U138" s="10">
        <f>IFERROR(L138*MIN(1,'01_Нормативы'!$C$9/SUM(L$2:L$429)),0)</f>
        <v/>
      </c>
      <c r="V138" s="10">
        <f>IFERROR(M138*MIN(1,'01_Нормативы'!$C$10/SUM(M$2:M$429)),0)</f>
        <v/>
      </c>
      <c r="W138" s="10">
        <f>IFERROR(N138*MIN(1,'01_Нормативы'!$C$11/SUM(N$2:N$429)),0)</f>
        <v/>
      </c>
      <c r="X138" s="10">
        <f>SUM(P138:W138)</f>
        <v/>
      </c>
      <c r="Y138" s="10">
        <f>MAX(0,C138-X138)</f>
        <v/>
      </c>
      <c r="Z138" s="10">
        <f>IF(D138=0,100,X138/D138*100)</f>
        <v/>
      </c>
      <c r="AA138" s="10">
        <f>'02_Данные'!F138+'02_Данные'!G138</f>
        <v/>
      </c>
      <c r="AB138" s="10">
        <f>MIN('02_Данные'!L138,AA138)</f>
        <v/>
      </c>
      <c r="AC138" s="10">
        <f>AA138-AB138</f>
        <v/>
      </c>
      <c r="AD138" s="10">
        <f>MIN('02_Данные'!M138,AC138)</f>
        <v/>
      </c>
      <c r="AE138" s="10">
        <f>AC138-AD138</f>
        <v/>
      </c>
      <c r="AF138" s="10">
        <f>MIN('02_Данные'!N138,AE138)</f>
        <v/>
      </c>
      <c r="AG138" s="10">
        <f>AE138-AF138</f>
        <v/>
      </c>
      <c r="AH138" s="10">
        <f>MIN('02_Данные'!S138,AG138)</f>
        <v/>
      </c>
      <c r="AI138" s="10">
        <f>AG138-AH138</f>
        <v/>
      </c>
      <c r="AJ138" s="10">
        <f>MIN('02_Данные'!P138,AI138)</f>
        <v/>
      </c>
      <c r="AK138" s="10">
        <f>AI138-AJ138</f>
        <v/>
      </c>
      <c r="AL138" s="10">
        <f>MIN('02_Данные'!O138,AK138)</f>
        <v/>
      </c>
      <c r="AM138" s="10">
        <f>AK138-AL138</f>
        <v/>
      </c>
      <c r="AN138" s="10">
        <f>MIN('02_Данные'!Q138,AM138)</f>
        <v/>
      </c>
      <c r="AO138" s="10">
        <f>AM138-AN138</f>
        <v/>
      </c>
      <c r="AP138" s="10">
        <f>MIN('02_Данные'!R138,AO138)</f>
        <v/>
      </c>
      <c r="AQ138" s="10">
        <f>AO138-AP138</f>
        <v/>
      </c>
      <c r="AR138" s="10">
        <f>AQ138+'02_Данные'!H138</f>
        <v/>
      </c>
      <c r="AS138" s="10">
        <f>MIN('02_Данные'!T138,AR138)</f>
        <v/>
      </c>
      <c r="AT138" s="10">
        <f>AR138-AS138</f>
        <v/>
      </c>
      <c r="AU138" s="10">
        <f>MIN('02_Данные'!U138,AT138)</f>
        <v/>
      </c>
      <c r="AV138" s="10">
        <f>AT138-AU138</f>
        <v/>
      </c>
      <c r="AW138" s="10">
        <f>MIN('02_Данные'!V138,AV138)</f>
        <v/>
      </c>
      <c r="AX138" s="10">
        <f>AV138-AW138</f>
        <v/>
      </c>
      <c r="AY138" s="10">
        <f>MIN('02_Данные'!AA138,AX138)</f>
        <v/>
      </c>
      <c r="AZ138" s="10">
        <f>AX138-AY138</f>
        <v/>
      </c>
      <c r="BA138" s="10">
        <f>MIN('02_Данные'!X138,AZ138)</f>
        <v/>
      </c>
      <c r="BB138" s="10">
        <f>AZ138-BA138</f>
        <v/>
      </c>
      <c r="BC138" s="10">
        <f>MIN('02_Данные'!W138,BB138)</f>
        <v/>
      </c>
      <c r="BD138" s="10">
        <f>BB138-BC138</f>
        <v/>
      </c>
      <c r="BE138" s="10">
        <f>MIN('02_Данные'!Y138,BD138)</f>
        <v/>
      </c>
      <c r="BF138" s="10">
        <f>BD138-BE138</f>
        <v/>
      </c>
      <c r="BG138" s="10">
        <f>MIN('02_Данные'!Z138,BF138)</f>
        <v/>
      </c>
      <c r="BH138" s="10">
        <f>BF138-BG138</f>
        <v/>
      </c>
      <c r="BI138" s="10">
        <f>BH138+'02_Данные'!I138</f>
        <v/>
      </c>
      <c r="BJ138" s="10">
        <f>MIN('02_Данные'!AB138,BI138)</f>
        <v/>
      </c>
      <c r="BK138" s="10">
        <f>BI138-BJ138</f>
        <v/>
      </c>
      <c r="BL138" s="10">
        <f>MIN('02_Данные'!AC138,BK138)</f>
        <v/>
      </c>
      <c r="BM138" s="10">
        <f>BK138-BL138</f>
        <v/>
      </c>
      <c r="BN138" s="10">
        <f>MIN('02_Данные'!AD138,BM138)</f>
        <v/>
      </c>
      <c r="BO138" s="10">
        <f>BM138-BN138</f>
        <v/>
      </c>
      <c r="BP138" s="10">
        <f>MIN('02_Данные'!AI138,BO138)</f>
        <v/>
      </c>
      <c r="BQ138" s="10">
        <f>BO138-BP138</f>
        <v/>
      </c>
      <c r="BR138" s="10">
        <f>MIN('02_Данные'!AF138,BQ138)</f>
        <v/>
      </c>
      <c r="BS138" s="10">
        <f>BQ138-BR138</f>
        <v/>
      </c>
      <c r="BT138" s="10">
        <f>MIN('02_Данные'!AE138,BS138)</f>
        <v/>
      </c>
      <c r="BU138" s="10">
        <f>BS138-BT138</f>
        <v/>
      </c>
      <c r="BV138" s="10">
        <f>MIN('02_Данные'!AG138,BU138)</f>
        <v/>
      </c>
      <c r="BW138" s="10">
        <f>BU138-BV138</f>
        <v/>
      </c>
      <c r="BX138" s="10">
        <f>MIN('02_Данные'!AH138,BW138)</f>
        <v/>
      </c>
      <c r="BY138" s="10">
        <f>BW138-BX138</f>
        <v/>
      </c>
      <c r="BZ138" s="10">
        <f>BY138+'02_Данные'!J138</f>
        <v/>
      </c>
      <c r="CA138" s="10">
        <f>MIN('02_Данные'!AJ138,BZ138)</f>
        <v/>
      </c>
      <c r="CB138" s="10">
        <f>BZ138-CA138</f>
        <v/>
      </c>
      <c r="CC138" s="10">
        <f>MIN('02_Данные'!AK138,CB138)</f>
        <v/>
      </c>
      <c r="CD138" s="10">
        <f>CB138-CC138</f>
        <v/>
      </c>
      <c r="CE138" s="10">
        <f>MIN('02_Данные'!AL138,CD138)</f>
        <v/>
      </c>
      <c r="CF138" s="10">
        <f>CD138-CE138</f>
        <v/>
      </c>
      <c r="CG138" s="10">
        <f>MIN('02_Данные'!AQ138,CF138)</f>
        <v/>
      </c>
      <c r="CH138" s="10">
        <f>CF138-CG138</f>
        <v/>
      </c>
      <c r="CI138" s="10">
        <f>MIN('02_Данные'!AN138,CH138)</f>
        <v/>
      </c>
      <c r="CJ138" s="10">
        <f>CH138-CI138</f>
        <v/>
      </c>
      <c r="CK138" s="10">
        <f>MIN('02_Данные'!AM138,CJ138)</f>
        <v/>
      </c>
      <c r="CL138" s="10">
        <f>CJ138-CK138</f>
        <v/>
      </c>
      <c r="CM138" s="10">
        <f>MIN('02_Данные'!AO138,CL138)</f>
        <v/>
      </c>
      <c r="CN138" s="10">
        <f>CL138-CM138</f>
        <v/>
      </c>
      <c r="CO138" s="10">
        <f>MIN('02_Данные'!AP138,CN138)</f>
        <v/>
      </c>
      <c r="CP138" s="10">
        <f>CN138-CO138</f>
        <v/>
      </c>
      <c r="CQ138" s="10">
        <f>CP138+'02_Данные'!K138</f>
        <v/>
      </c>
      <c r="CR138" s="10">
        <f>MIN('02_Данные'!AR138,CQ138)</f>
        <v/>
      </c>
      <c r="CS138" s="10">
        <f>CQ138-CR138</f>
        <v/>
      </c>
      <c r="CT138" s="10">
        <f>MIN('02_Данные'!AS138,CS138)</f>
        <v/>
      </c>
      <c r="CU138" s="10">
        <f>CS138-CT138</f>
        <v/>
      </c>
      <c r="CV138" s="10">
        <f>MIN('02_Данные'!AT138,CU138)</f>
        <v/>
      </c>
      <c r="CW138" s="10">
        <f>CU138-CV138</f>
        <v/>
      </c>
      <c r="CX138" s="10">
        <f>MIN('02_Данные'!AY138,CW138)</f>
        <v/>
      </c>
      <c r="CY138" s="10">
        <f>CW138-CX138</f>
        <v/>
      </c>
      <c r="CZ138" s="10">
        <f>MIN('02_Данные'!AV138,CY138)</f>
        <v/>
      </c>
      <c r="DA138" s="10">
        <f>CY138-CZ138</f>
        <v/>
      </c>
      <c r="DB138" s="10">
        <f>MIN('02_Данные'!AU138,DA138)</f>
        <v/>
      </c>
      <c r="DC138" s="10">
        <f>DA138-DB138</f>
        <v/>
      </c>
      <c r="DD138" s="10">
        <f>MIN('02_Данные'!AW138,DC138)</f>
        <v/>
      </c>
      <c r="DE138" s="10">
        <f>DC138-DD138</f>
        <v/>
      </c>
      <c r="DF138" s="10">
        <f>MIN('02_Данные'!AX138,DE138)</f>
        <v/>
      </c>
      <c r="DG138" s="10">
        <f>DE138-DF138</f>
        <v/>
      </c>
    </row>
    <row r="139">
      <c r="A139" s="9">
        <f>'02_Данные'!B139</f>
        <v/>
      </c>
      <c r="B139" s="9">
        <f>'02_Данные'!E139</f>
        <v/>
      </c>
      <c r="C139" s="10">
        <f>'02_Данные'!F139+'02_Данные'!G139+'02_Данные'!H139+'02_Данные'!I139+'02_Данные'!J139+'02_Данные'!K139</f>
        <v/>
      </c>
      <c r="D139" s="10">
        <f>SUM('02_Данные'!L139:'02_Данные'!AY139)</f>
        <v/>
      </c>
      <c r="E139" s="10">
        <f>MAX(0,D139-C139)</f>
        <v/>
      </c>
      <c r="F139" s="15">
        <f>IF(E139&gt;0.0001,"ДЕФИЦИТ",IF(Y139&gt;0.0001,"ПРОФИЦИТ","БАЛАНС"))</f>
        <v/>
      </c>
      <c r="G139" s="10">
        <f>AB139+AS139+BJ139+CA139+CR139</f>
        <v/>
      </c>
      <c r="H139" s="10">
        <f>AD139+AU139+BL139+CC139+CT139</f>
        <v/>
      </c>
      <c r="I139" s="10">
        <f>AF139+AW139+BN139+CE139+CV139</f>
        <v/>
      </c>
      <c r="J139" s="10">
        <f>AL139+BC139+BT139+CK139+DB139</f>
        <v/>
      </c>
      <c r="K139" s="10">
        <f>AJ139+BA139+BR139+CI139+CZ139</f>
        <v/>
      </c>
      <c r="L139" s="10">
        <f>AN139+BE139+BV139+CM139+DD139</f>
        <v/>
      </c>
      <c r="M139" s="10">
        <f>AP139+BG139+BX139+CO139+DF139</f>
        <v/>
      </c>
      <c r="N139" s="10">
        <f>AH139+AY139+BP139+CG139+CX139</f>
        <v/>
      </c>
      <c r="O139" s="10">
        <f>SUM(G139:N139)</f>
        <v/>
      </c>
      <c r="P139" s="10">
        <f>IFERROR(G139*MIN(1,'01_Нормативы'!$C$4/SUM(G$2:G$429)),0)</f>
        <v/>
      </c>
      <c r="Q139" s="10">
        <f>IFERROR(H139*MIN(1,'01_Нормативы'!$C$5/SUM(H$2:H$429)),0)</f>
        <v/>
      </c>
      <c r="R139" s="10">
        <f>IFERROR(I139*MIN(1,'01_Нормативы'!$C$6/SUM(I$2:I$429)),0)</f>
        <v/>
      </c>
      <c r="S139" s="10">
        <f>IFERROR(J139*MIN(1,'01_Нормативы'!$C$7/SUM(J$2:J$429)),0)</f>
        <v/>
      </c>
      <c r="T139" s="10">
        <f>IFERROR(K139*MIN(1,'01_Нормативы'!$C$8/SUM(K$2:K$429)),0)</f>
        <v/>
      </c>
      <c r="U139" s="10">
        <f>IFERROR(L139*MIN(1,'01_Нормативы'!$C$9/SUM(L$2:L$429)),0)</f>
        <v/>
      </c>
      <c r="V139" s="10">
        <f>IFERROR(M139*MIN(1,'01_Нормативы'!$C$10/SUM(M$2:M$429)),0)</f>
        <v/>
      </c>
      <c r="W139" s="10">
        <f>IFERROR(N139*MIN(1,'01_Нормативы'!$C$11/SUM(N$2:N$429)),0)</f>
        <v/>
      </c>
      <c r="X139" s="10">
        <f>SUM(P139:W139)</f>
        <v/>
      </c>
      <c r="Y139" s="10">
        <f>MAX(0,C139-X139)</f>
        <v/>
      </c>
      <c r="Z139" s="10">
        <f>IF(D139=0,100,X139/D139*100)</f>
        <v/>
      </c>
      <c r="AA139" s="10">
        <f>'02_Данные'!F139+'02_Данные'!G139</f>
        <v/>
      </c>
      <c r="AB139" s="10">
        <f>MIN('02_Данные'!L139,AA139)</f>
        <v/>
      </c>
      <c r="AC139" s="10">
        <f>AA139-AB139</f>
        <v/>
      </c>
      <c r="AD139" s="10">
        <f>MIN('02_Данные'!M139,AC139)</f>
        <v/>
      </c>
      <c r="AE139" s="10">
        <f>AC139-AD139</f>
        <v/>
      </c>
      <c r="AF139" s="10">
        <f>MIN('02_Данные'!N139,AE139)</f>
        <v/>
      </c>
      <c r="AG139" s="10">
        <f>AE139-AF139</f>
        <v/>
      </c>
      <c r="AH139" s="10">
        <f>MIN('02_Данные'!S139,AG139)</f>
        <v/>
      </c>
      <c r="AI139" s="10">
        <f>AG139-AH139</f>
        <v/>
      </c>
      <c r="AJ139" s="10">
        <f>MIN('02_Данные'!P139,AI139)</f>
        <v/>
      </c>
      <c r="AK139" s="10">
        <f>AI139-AJ139</f>
        <v/>
      </c>
      <c r="AL139" s="10">
        <f>MIN('02_Данные'!O139,AK139)</f>
        <v/>
      </c>
      <c r="AM139" s="10">
        <f>AK139-AL139</f>
        <v/>
      </c>
      <c r="AN139" s="10">
        <f>MIN('02_Данные'!Q139,AM139)</f>
        <v/>
      </c>
      <c r="AO139" s="10">
        <f>AM139-AN139</f>
        <v/>
      </c>
      <c r="AP139" s="10">
        <f>MIN('02_Данные'!R139,AO139)</f>
        <v/>
      </c>
      <c r="AQ139" s="10">
        <f>AO139-AP139</f>
        <v/>
      </c>
      <c r="AR139" s="10">
        <f>AQ139+'02_Данные'!H139</f>
        <v/>
      </c>
      <c r="AS139" s="10">
        <f>MIN('02_Данные'!T139,AR139)</f>
        <v/>
      </c>
      <c r="AT139" s="10">
        <f>AR139-AS139</f>
        <v/>
      </c>
      <c r="AU139" s="10">
        <f>MIN('02_Данные'!U139,AT139)</f>
        <v/>
      </c>
      <c r="AV139" s="10">
        <f>AT139-AU139</f>
        <v/>
      </c>
      <c r="AW139" s="10">
        <f>MIN('02_Данные'!V139,AV139)</f>
        <v/>
      </c>
      <c r="AX139" s="10">
        <f>AV139-AW139</f>
        <v/>
      </c>
      <c r="AY139" s="10">
        <f>MIN('02_Данные'!AA139,AX139)</f>
        <v/>
      </c>
      <c r="AZ139" s="10">
        <f>AX139-AY139</f>
        <v/>
      </c>
      <c r="BA139" s="10">
        <f>MIN('02_Данные'!X139,AZ139)</f>
        <v/>
      </c>
      <c r="BB139" s="10">
        <f>AZ139-BA139</f>
        <v/>
      </c>
      <c r="BC139" s="10">
        <f>MIN('02_Данные'!W139,BB139)</f>
        <v/>
      </c>
      <c r="BD139" s="10">
        <f>BB139-BC139</f>
        <v/>
      </c>
      <c r="BE139" s="10">
        <f>MIN('02_Данные'!Y139,BD139)</f>
        <v/>
      </c>
      <c r="BF139" s="10">
        <f>BD139-BE139</f>
        <v/>
      </c>
      <c r="BG139" s="10">
        <f>MIN('02_Данные'!Z139,BF139)</f>
        <v/>
      </c>
      <c r="BH139" s="10">
        <f>BF139-BG139</f>
        <v/>
      </c>
      <c r="BI139" s="10">
        <f>BH139+'02_Данные'!I139</f>
        <v/>
      </c>
      <c r="BJ139" s="10">
        <f>MIN('02_Данные'!AB139,BI139)</f>
        <v/>
      </c>
      <c r="BK139" s="10">
        <f>BI139-BJ139</f>
        <v/>
      </c>
      <c r="BL139" s="10">
        <f>MIN('02_Данные'!AC139,BK139)</f>
        <v/>
      </c>
      <c r="BM139" s="10">
        <f>BK139-BL139</f>
        <v/>
      </c>
      <c r="BN139" s="10">
        <f>MIN('02_Данные'!AD139,BM139)</f>
        <v/>
      </c>
      <c r="BO139" s="10">
        <f>BM139-BN139</f>
        <v/>
      </c>
      <c r="BP139" s="10">
        <f>MIN('02_Данные'!AI139,BO139)</f>
        <v/>
      </c>
      <c r="BQ139" s="10">
        <f>BO139-BP139</f>
        <v/>
      </c>
      <c r="BR139" s="10">
        <f>MIN('02_Данные'!AF139,BQ139)</f>
        <v/>
      </c>
      <c r="BS139" s="10">
        <f>BQ139-BR139</f>
        <v/>
      </c>
      <c r="BT139" s="10">
        <f>MIN('02_Данные'!AE139,BS139)</f>
        <v/>
      </c>
      <c r="BU139" s="10">
        <f>BS139-BT139</f>
        <v/>
      </c>
      <c r="BV139" s="10">
        <f>MIN('02_Данные'!AG139,BU139)</f>
        <v/>
      </c>
      <c r="BW139" s="10">
        <f>BU139-BV139</f>
        <v/>
      </c>
      <c r="BX139" s="10">
        <f>MIN('02_Данные'!AH139,BW139)</f>
        <v/>
      </c>
      <c r="BY139" s="10">
        <f>BW139-BX139</f>
        <v/>
      </c>
      <c r="BZ139" s="10">
        <f>BY139+'02_Данные'!J139</f>
        <v/>
      </c>
      <c r="CA139" s="10">
        <f>MIN('02_Данные'!AJ139,BZ139)</f>
        <v/>
      </c>
      <c r="CB139" s="10">
        <f>BZ139-CA139</f>
        <v/>
      </c>
      <c r="CC139" s="10">
        <f>MIN('02_Данные'!AK139,CB139)</f>
        <v/>
      </c>
      <c r="CD139" s="10">
        <f>CB139-CC139</f>
        <v/>
      </c>
      <c r="CE139" s="10">
        <f>MIN('02_Данные'!AL139,CD139)</f>
        <v/>
      </c>
      <c r="CF139" s="10">
        <f>CD139-CE139</f>
        <v/>
      </c>
      <c r="CG139" s="10">
        <f>MIN('02_Данные'!AQ139,CF139)</f>
        <v/>
      </c>
      <c r="CH139" s="10">
        <f>CF139-CG139</f>
        <v/>
      </c>
      <c r="CI139" s="10">
        <f>MIN('02_Данные'!AN139,CH139)</f>
        <v/>
      </c>
      <c r="CJ139" s="10">
        <f>CH139-CI139</f>
        <v/>
      </c>
      <c r="CK139" s="10">
        <f>MIN('02_Данные'!AM139,CJ139)</f>
        <v/>
      </c>
      <c r="CL139" s="10">
        <f>CJ139-CK139</f>
        <v/>
      </c>
      <c r="CM139" s="10">
        <f>MIN('02_Данные'!AO139,CL139)</f>
        <v/>
      </c>
      <c r="CN139" s="10">
        <f>CL139-CM139</f>
        <v/>
      </c>
      <c r="CO139" s="10">
        <f>MIN('02_Данные'!AP139,CN139)</f>
        <v/>
      </c>
      <c r="CP139" s="10">
        <f>CN139-CO139</f>
        <v/>
      </c>
      <c r="CQ139" s="10">
        <f>CP139+'02_Данные'!K139</f>
        <v/>
      </c>
      <c r="CR139" s="10">
        <f>MIN('02_Данные'!AR139,CQ139)</f>
        <v/>
      </c>
      <c r="CS139" s="10">
        <f>CQ139-CR139</f>
        <v/>
      </c>
      <c r="CT139" s="10">
        <f>MIN('02_Данные'!AS139,CS139)</f>
        <v/>
      </c>
      <c r="CU139" s="10">
        <f>CS139-CT139</f>
        <v/>
      </c>
      <c r="CV139" s="10">
        <f>MIN('02_Данные'!AT139,CU139)</f>
        <v/>
      </c>
      <c r="CW139" s="10">
        <f>CU139-CV139</f>
        <v/>
      </c>
      <c r="CX139" s="10">
        <f>MIN('02_Данные'!AY139,CW139)</f>
        <v/>
      </c>
      <c r="CY139" s="10">
        <f>CW139-CX139</f>
        <v/>
      </c>
      <c r="CZ139" s="10">
        <f>MIN('02_Данные'!AV139,CY139)</f>
        <v/>
      </c>
      <c r="DA139" s="10">
        <f>CY139-CZ139</f>
        <v/>
      </c>
      <c r="DB139" s="10">
        <f>MIN('02_Данные'!AU139,DA139)</f>
        <v/>
      </c>
      <c r="DC139" s="10">
        <f>DA139-DB139</f>
        <v/>
      </c>
      <c r="DD139" s="10">
        <f>MIN('02_Данные'!AW139,DC139)</f>
        <v/>
      </c>
      <c r="DE139" s="10">
        <f>DC139-DD139</f>
        <v/>
      </c>
      <c r="DF139" s="10">
        <f>MIN('02_Данные'!AX139,DE139)</f>
        <v/>
      </c>
      <c r="DG139" s="10">
        <f>DE139-DF139</f>
        <v/>
      </c>
    </row>
    <row r="140">
      <c r="A140" s="9">
        <f>'02_Данные'!B140</f>
        <v/>
      </c>
      <c r="B140" s="9">
        <f>'02_Данные'!E140</f>
        <v/>
      </c>
      <c r="C140" s="10">
        <f>'02_Данные'!F140+'02_Данные'!G140+'02_Данные'!H140+'02_Данные'!I140+'02_Данные'!J140+'02_Данные'!K140</f>
        <v/>
      </c>
      <c r="D140" s="10">
        <f>SUM('02_Данные'!L140:'02_Данные'!AY140)</f>
        <v/>
      </c>
      <c r="E140" s="10">
        <f>MAX(0,D140-C140)</f>
        <v/>
      </c>
      <c r="F140" s="15">
        <f>IF(E140&gt;0.0001,"ДЕФИЦИТ",IF(Y140&gt;0.0001,"ПРОФИЦИТ","БАЛАНС"))</f>
        <v/>
      </c>
      <c r="G140" s="10">
        <f>AB140+AS140+BJ140+CA140+CR140</f>
        <v/>
      </c>
      <c r="H140" s="10">
        <f>AD140+AU140+BL140+CC140+CT140</f>
        <v/>
      </c>
      <c r="I140" s="10">
        <f>AF140+AW140+BN140+CE140+CV140</f>
        <v/>
      </c>
      <c r="J140" s="10">
        <f>AL140+BC140+BT140+CK140+DB140</f>
        <v/>
      </c>
      <c r="K140" s="10">
        <f>AJ140+BA140+BR140+CI140+CZ140</f>
        <v/>
      </c>
      <c r="L140" s="10">
        <f>AN140+BE140+BV140+CM140+DD140</f>
        <v/>
      </c>
      <c r="M140" s="10">
        <f>AP140+BG140+BX140+CO140+DF140</f>
        <v/>
      </c>
      <c r="N140" s="10">
        <f>AH140+AY140+BP140+CG140+CX140</f>
        <v/>
      </c>
      <c r="O140" s="10">
        <f>SUM(G140:N140)</f>
        <v/>
      </c>
      <c r="P140" s="10">
        <f>IFERROR(G140*MIN(1,'01_Нормативы'!$C$4/SUM(G$2:G$429)),0)</f>
        <v/>
      </c>
      <c r="Q140" s="10">
        <f>IFERROR(H140*MIN(1,'01_Нормативы'!$C$5/SUM(H$2:H$429)),0)</f>
        <v/>
      </c>
      <c r="R140" s="10">
        <f>IFERROR(I140*MIN(1,'01_Нормативы'!$C$6/SUM(I$2:I$429)),0)</f>
        <v/>
      </c>
      <c r="S140" s="10">
        <f>IFERROR(J140*MIN(1,'01_Нормативы'!$C$7/SUM(J$2:J$429)),0)</f>
        <v/>
      </c>
      <c r="T140" s="10">
        <f>IFERROR(K140*MIN(1,'01_Нормативы'!$C$8/SUM(K$2:K$429)),0)</f>
        <v/>
      </c>
      <c r="U140" s="10">
        <f>IFERROR(L140*MIN(1,'01_Нормативы'!$C$9/SUM(L$2:L$429)),0)</f>
        <v/>
      </c>
      <c r="V140" s="10">
        <f>IFERROR(M140*MIN(1,'01_Нормативы'!$C$10/SUM(M$2:M$429)),0)</f>
        <v/>
      </c>
      <c r="W140" s="10">
        <f>IFERROR(N140*MIN(1,'01_Нормативы'!$C$11/SUM(N$2:N$429)),0)</f>
        <v/>
      </c>
      <c r="X140" s="10">
        <f>SUM(P140:W140)</f>
        <v/>
      </c>
      <c r="Y140" s="10">
        <f>MAX(0,C140-X140)</f>
        <v/>
      </c>
      <c r="Z140" s="10">
        <f>IF(D140=0,100,X140/D140*100)</f>
        <v/>
      </c>
      <c r="AA140" s="10">
        <f>'02_Данные'!F140+'02_Данные'!G140</f>
        <v/>
      </c>
      <c r="AB140" s="10">
        <f>MIN('02_Данные'!L140,AA140)</f>
        <v/>
      </c>
      <c r="AC140" s="10">
        <f>AA140-AB140</f>
        <v/>
      </c>
      <c r="AD140" s="10">
        <f>MIN('02_Данные'!M140,AC140)</f>
        <v/>
      </c>
      <c r="AE140" s="10">
        <f>AC140-AD140</f>
        <v/>
      </c>
      <c r="AF140" s="10">
        <f>MIN('02_Данные'!N140,AE140)</f>
        <v/>
      </c>
      <c r="AG140" s="10">
        <f>AE140-AF140</f>
        <v/>
      </c>
      <c r="AH140" s="10">
        <f>MIN('02_Данные'!S140,AG140)</f>
        <v/>
      </c>
      <c r="AI140" s="10">
        <f>AG140-AH140</f>
        <v/>
      </c>
      <c r="AJ140" s="10">
        <f>MIN('02_Данные'!P140,AI140)</f>
        <v/>
      </c>
      <c r="AK140" s="10">
        <f>AI140-AJ140</f>
        <v/>
      </c>
      <c r="AL140" s="10">
        <f>MIN('02_Данные'!O140,AK140)</f>
        <v/>
      </c>
      <c r="AM140" s="10">
        <f>AK140-AL140</f>
        <v/>
      </c>
      <c r="AN140" s="10">
        <f>MIN('02_Данные'!Q140,AM140)</f>
        <v/>
      </c>
      <c r="AO140" s="10">
        <f>AM140-AN140</f>
        <v/>
      </c>
      <c r="AP140" s="10">
        <f>MIN('02_Данные'!R140,AO140)</f>
        <v/>
      </c>
      <c r="AQ140" s="10">
        <f>AO140-AP140</f>
        <v/>
      </c>
      <c r="AR140" s="10">
        <f>AQ140+'02_Данные'!H140</f>
        <v/>
      </c>
      <c r="AS140" s="10">
        <f>MIN('02_Данные'!T140,AR140)</f>
        <v/>
      </c>
      <c r="AT140" s="10">
        <f>AR140-AS140</f>
        <v/>
      </c>
      <c r="AU140" s="10">
        <f>MIN('02_Данные'!U140,AT140)</f>
        <v/>
      </c>
      <c r="AV140" s="10">
        <f>AT140-AU140</f>
        <v/>
      </c>
      <c r="AW140" s="10">
        <f>MIN('02_Данные'!V140,AV140)</f>
        <v/>
      </c>
      <c r="AX140" s="10">
        <f>AV140-AW140</f>
        <v/>
      </c>
      <c r="AY140" s="10">
        <f>MIN('02_Данные'!AA140,AX140)</f>
        <v/>
      </c>
      <c r="AZ140" s="10">
        <f>AX140-AY140</f>
        <v/>
      </c>
      <c r="BA140" s="10">
        <f>MIN('02_Данные'!X140,AZ140)</f>
        <v/>
      </c>
      <c r="BB140" s="10">
        <f>AZ140-BA140</f>
        <v/>
      </c>
      <c r="BC140" s="10">
        <f>MIN('02_Данные'!W140,BB140)</f>
        <v/>
      </c>
      <c r="BD140" s="10">
        <f>BB140-BC140</f>
        <v/>
      </c>
      <c r="BE140" s="10">
        <f>MIN('02_Данные'!Y140,BD140)</f>
        <v/>
      </c>
      <c r="BF140" s="10">
        <f>BD140-BE140</f>
        <v/>
      </c>
      <c r="BG140" s="10">
        <f>MIN('02_Данные'!Z140,BF140)</f>
        <v/>
      </c>
      <c r="BH140" s="10">
        <f>BF140-BG140</f>
        <v/>
      </c>
      <c r="BI140" s="10">
        <f>BH140+'02_Данные'!I140</f>
        <v/>
      </c>
      <c r="BJ140" s="10">
        <f>MIN('02_Данные'!AB140,BI140)</f>
        <v/>
      </c>
      <c r="BK140" s="10">
        <f>BI140-BJ140</f>
        <v/>
      </c>
      <c r="BL140" s="10">
        <f>MIN('02_Данные'!AC140,BK140)</f>
        <v/>
      </c>
      <c r="BM140" s="10">
        <f>BK140-BL140</f>
        <v/>
      </c>
      <c r="BN140" s="10">
        <f>MIN('02_Данные'!AD140,BM140)</f>
        <v/>
      </c>
      <c r="BO140" s="10">
        <f>BM140-BN140</f>
        <v/>
      </c>
      <c r="BP140" s="10">
        <f>MIN('02_Данные'!AI140,BO140)</f>
        <v/>
      </c>
      <c r="BQ140" s="10">
        <f>BO140-BP140</f>
        <v/>
      </c>
      <c r="BR140" s="10">
        <f>MIN('02_Данные'!AF140,BQ140)</f>
        <v/>
      </c>
      <c r="BS140" s="10">
        <f>BQ140-BR140</f>
        <v/>
      </c>
      <c r="BT140" s="10">
        <f>MIN('02_Данные'!AE140,BS140)</f>
        <v/>
      </c>
      <c r="BU140" s="10">
        <f>BS140-BT140</f>
        <v/>
      </c>
      <c r="BV140" s="10">
        <f>MIN('02_Данные'!AG140,BU140)</f>
        <v/>
      </c>
      <c r="BW140" s="10">
        <f>BU140-BV140</f>
        <v/>
      </c>
      <c r="BX140" s="10">
        <f>MIN('02_Данные'!AH140,BW140)</f>
        <v/>
      </c>
      <c r="BY140" s="10">
        <f>BW140-BX140</f>
        <v/>
      </c>
      <c r="BZ140" s="10">
        <f>BY140+'02_Данные'!J140</f>
        <v/>
      </c>
      <c r="CA140" s="10">
        <f>MIN('02_Данные'!AJ140,BZ140)</f>
        <v/>
      </c>
      <c r="CB140" s="10">
        <f>BZ140-CA140</f>
        <v/>
      </c>
      <c r="CC140" s="10">
        <f>MIN('02_Данные'!AK140,CB140)</f>
        <v/>
      </c>
      <c r="CD140" s="10">
        <f>CB140-CC140</f>
        <v/>
      </c>
      <c r="CE140" s="10">
        <f>MIN('02_Данные'!AL140,CD140)</f>
        <v/>
      </c>
      <c r="CF140" s="10">
        <f>CD140-CE140</f>
        <v/>
      </c>
      <c r="CG140" s="10">
        <f>MIN('02_Данные'!AQ140,CF140)</f>
        <v/>
      </c>
      <c r="CH140" s="10">
        <f>CF140-CG140</f>
        <v/>
      </c>
      <c r="CI140" s="10">
        <f>MIN('02_Данные'!AN140,CH140)</f>
        <v/>
      </c>
      <c r="CJ140" s="10">
        <f>CH140-CI140</f>
        <v/>
      </c>
      <c r="CK140" s="10">
        <f>MIN('02_Данные'!AM140,CJ140)</f>
        <v/>
      </c>
      <c r="CL140" s="10">
        <f>CJ140-CK140</f>
        <v/>
      </c>
      <c r="CM140" s="10">
        <f>MIN('02_Данные'!AO140,CL140)</f>
        <v/>
      </c>
      <c r="CN140" s="10">
        <f>CL140-CM140</f>
        <v/>
      </c>
      <c r="CO140" s="10">
        <f>MIN('02_Данные'!AP140,CN140)</f>
        <v/>
      </c>
      <c r="CP140" s="10">
        <f>CN140-CO140</f>
        <v/>
      </c>
      <c r="CQ140" s="10">
        <f>CP140+'02_Данные'!K140</f>
        <v/>
      </c>
      <c r="CR140" s="10">
        <f>MIN('02_Данные'!AR140,CQ140)</f>
        <v/>
      </c>
      <c r="CS140" s="10">
        <f>CQ140-CR140</f>
        <v/>
      </c>
      <c r="CT140" s="10">
        <f>MIN('02_Данные'!AS140,CS140)</f>
        <v/>
      </c>
      <c r="CU140" s="10">
        <f>CS140-CT140</f>
        <v/>
      </c>
      <c r="CV140" s="10">
        <f>MIN('02_Данные'!AT140,CU140)</f>
        <v/>
      </c>
      <c r="CW140" s="10">
        <f>CU140-CV140</f>
        <v/>
      </c>
      <c r="CX140" s="10">
        <f>MIN('02_Данные'!AY140,CW140)</f>
        <v/>
      </c>
      <c r="CY140" s="10">
        <f>CW140-CX140</f>
        <v/>
      </c>
      <c r="CZ140" s="10">
        <f>MIN('02_Данные'!AV140,CY140)</f>
        <v/>
      </c>
      <c r="DA140" s="10">
        <f>CY140-CZ140</f>
        <v/>
      </c>
      <c r="DB140" s="10">
        <f>MIN('02_Данные'!AU140,DA140)</f>
        <v/>
      </c>
      <c r="DC140" s="10">
        <f>DA140-DB140</f>
        <v/>
      </c>
      <c r="DD140" s="10">
        <f>MIN('02_Данные'!AW140,DC140)</f>
        <v/>
      </c>
      <c r="DE140" s="10">
        <f>DC140-DD140</f>
        <v/>
      </c>
      <c r="DF140" s="10">
        <f>MIN('02_Данные'!AX140,DE140)</f>
        <v/>
      </c>
      <c r="DG140" s="10">
        <f>DE140-DF140</f>
        <v/>
      </c>
    </row>
    <row r="141">
      <c r="A141" s="9">
        <f>'02_Данные'!B141</f>
        <v/>
      </c>
      <c r="B141" s="9">
        <f>'02_Данные'!E141</f>
        <v/>
      </c>
      <c r="C141" s="10">
        <f>'02_Данные'!F141+'02_Данные'!G141+'02_Данные'!H141+'02_Данные'!I141+'02_Данные'!J141+'02_Данные'!K141</f>
        <v/>
      </c>
      <c r="D141" s="10">
        <f>SUM('02_Данные'!L141:'02_Данные'!AY141)</f>
        <v/>
      </c>
      <c r="E141" s="10">
        <f>MAX(0,D141-C141)</f>
        <v/>
      </c>
      <c r="F141" s="15">
        <f>IF(E141&gt;0.0001,"ДЕФИЦИТ",IF(Y141&gt;0.0001,"ПРОФИЦИТ","БАЛАНС"))</f>
        <v/>
      </c>
      <c r="G141" s="10">
        <f>AB141+AS141+BJ141+CA141+CR141</f>
        <v/>
      </c>
      <c r="H141" s="10">
        <f>AD141+AU141+BL141+CC141+CT141</f>
        <v/>
      </c>
      <c r="I141" s="10">
        <f>AF141+AW141+BN141+CE141+CV141</f>
        <v/>
      </c>
      <c r="J141" s="10">
        <f>AL141+BC141+BT141+CK141+DB141</f>
        <v/>
      </c>
      <c r="K141" s="10">
        <f>AJ141+BA141+BR141+CI141+CZ141</f>
        <v/>
      </c>
      <c r="L141" s="10">
        <f>AN141+BE141+BV141+CM141+DD141</f>
        <v/>
      </c>
      <c r="M141" s="10">
        <f>AP141+BG141+BX141+CO141+DF141</f>
        <v/>
      </c>
      <c r="N141" s="10">
        <f>AH141+AY141+BP141+CG141+CX141</f>
        <v/>
      </c>
      <c r="O141" s="10">
        <f>SUM(G141:N141)</f>
        <v/>
      </c>
      <c r="P141" s="10">
        <f>IFERROR(G141*MIN(1,'01_Нормативы'!$C$4/SUM(G$2:G$429)),0)</f>
        <v/>
      </c>
      <c r="Q141" s="10">
        <f>IFERROR(H141*MIN(1,'01_Нормативы'!$C$5/SUM(H$2:H$429)),0)</f>
        <v/>
      </c>
      <c r="R141" s="10">
        <f>IFERROR(I141*MIN(1,'01_Нормативы'!$C$6/SUM(I$2:I$429)),0)</f>
        <v/>
      </c>
      <c r="S141" s="10">
        <f>IFERROR(J141*MIN(1,'01_Нормативы'!$C$7/SUM(J$2:J$429)),0)</f>
        <v/>
      </c>
      <c r="T141" s="10">
        <f>IFERROR(K141*MIN(1,'01_Нормативы'!$C$8/SUM(K$2:K$429)),0)</f>
        <v/>
      </c>
      <c r="U141" s="10">
        <f>IFERROR(L141*MIN(1,'01_Нормативы'!$C$9/SUM(L$2:L$429)),0)</f>
        <v/>
      </c>
      <c r="V141" s="10">
        <f>IFERROR(M141*MIN(1,'01_Нормативы'!$C$10/SUM(M$2:M$429)),0)</f>
        <v/>
      </c>
      <c r="W141" s="10">
        <f>IFERROR(N141*MIN(1,'01_Нормативы'!$C$11/SUM(N$2:N$429)),0)</f>
        <v/>
      </c>
      <c r="X141" s="10">
        <f>SUM(P141:W141)</f>
        <v/>
      </c>
      <c r="Y141" s="10">
        <f>MAX(0,C141-X141)</f>
        <v/>
      </c>
      <c r="Z141" s="10">
        <f>IF(D141=0,100,X141/D141*100)</f>
        <v/>
      </c>
      <c r="AA141" s="10">
        <f>'02_Данные'!F141+'02_Данные'!G141</f>
        <v/>
      </c>
      <c r="AB141" s="10">
        <f>MIN('02_Данные'!L141,AA141)</f>
        <v/>
      </c>
      <c r="AC141" s="10">
        <f>AA141-AB141</f>
        <v/>
      </c>
      <c r="AD141" s="10">
        <f>MIN('02_Данные'!M141,AC141)</f>
        <v/>
      </c>
      <c r="AE141" s="10">
        <f>AC141-AD141</f>
        <v/>
      </c>
      <c r="AF141" s="10">
        <f>MIN('02_Данные'!N141,AE141)</f>
        <v/>
      </c>
      <c r="AG141" s="10">
        <f>AE141-AF141</f>
        <v/>
      </c>
      <c r="AH141" s="10">
        <f>MIN('02_Данные'!S141,AG141)</f>
        <v/>
      </c>
      <c r="AI141" s="10">
        <f>AG141-AH141</f>
        <v/>
      </c>
      <c r="AJ141" s="10">
        <f>MIN('02_Данные'!P141,AI141)</f>
        <v/>
      </c>
      <c r="AK141" s="10">
        <f>AI141-AJ141</f>
        <v/>
      </c>
      <c r="AL141" s="10">
        <f>MIN('02_Данные'!O141,AK141)</f>
        <v/>
      </c>
      <c r="AM141" s="10">
        <f>AK141-AL141</f>
        <v/>
      </c>
      <c r="AN141" s="10">
        <f>MIN('02_Данные'!Q141,AM141)</f>
        <v/>
      </c>
      <c r="AO141" s="10">
        <f>AM141-AN141</f>
        <v/>
      </c>
      <c r="AP141" s="10">
        <f>MIN('02_Данные'!R141,AO141)</f>
        <v/>
      </c>
      <c r="AQ141" s="10">
        <f>AO141-AP141</f>
        <v/>
      </c>
      <c r="AR141" s="10">
        <f>AQ141+'02_Данные'!H141</f>
        <v/>
      </c>
      <c r="AS141" s="10">
        <f>MIN('02_Данные'!T141,AR141)</f>
        <v/>
      </c>
      <c r="AT141" s="10">
        <f>AR141-AS141</f>
        <v/>
      </c>
      <c r="AU141" s="10">
        <f>MIN('02_Данные'!U141,AT141)</f>
        <v/>
      </c>
      <c r="AV141" s="10">
        <f>AT141-AU141</f>
        <v/>
      </c>
      <c r="AW141" s="10">
        <f>MIN('02_Данные'!V141,AV141)</f>
        <v/>
      </c>
      <c r="AX141" s="10">
        <f>AV141-AW141</f>
        <v/>
      </c>
      <c r="AY141" s="10">
        <f>MIN('02_Данные'!AA141,AX141)</f>
        <v/>
      </c>
      <c r="AZ141" s="10">
        <f>AX141-AY141</f>
        <v/>
      </c>
      <c r="BA141" s="10">
        <f>MIN('02_Данные'!X141,AZ141)</f>
        <v/>
      </c>
      <c r="BB141" s="10">
        <f>AZ141-BA141</f>
        <v/>
      </c>
      <c r="BC141" s="10">
        <f>MIN('02_Данные'!W141,BB141)</f>
        <v/>
      </c>
      <c r="BD141" s="10">
        <f>BB141-BC141</f>
        <v/>
      </c>
      <c r="BE141" s="10">
        <f>MIN('02_Данные'!Y141,BD141)</f>
        <v/>
      </c>
      <c r="BF141" s="10">
        <f>BD141-BE141</f>
        <v/>
      </c>
      <c r="BG141" s="10">
        <f>MIN('02_Данные'!Z141,BF141)</f>
        <v/>
      </c>
      <c r="BH141" s="10">
        <f>BF141-BG141</f>
        <v/>
      </c>
      <c r="BI141" s="10">
        <f>BH141+'02_Данные'!I141</f>
        <v/>
      </c>
      <c r="BJ141" s="10">
        <f>MIN('02_Данные'!AB141,BI141)</f>
        <v/>
      </c>
      <c r="BK141" s="10">
        <f>BI141-BJ141</f>
        <v/>
      </c>
      <c r="BL141" s="10">
        <f>MIN('02_Данные'!AC141,BK141)</f>
        <v/>
      </c>
      <c r="BM141" s="10">
        <f>BK141-BL141</f>
        <v/>
      </c>
      <c r="BN141" s="10">
        <f>MIN('02_Данные'!AD141,BM141)</f>
        <v/>
      </c>
      <c r="BO141" s="10">
        <f>BM141-BN141</f>
        <v/>
      </c>
      <c r="BP141" s="10">
        <f>MIN('02_Данные'!AI141,BO141)</f>
        <v/>
      </c>
      <c r="BQ141" s="10">
        <f>BO141-BP141</f>
        <v/>
      </c>
      <c r="BR141" s="10">
        <f>MIN('02_Данные'!AF141,BQ141)</f>
        <v/>
      </c>
      <c r="BS141" s="10">
        <f>BQ141-BR141</f>
        <v/>
      </c>
      <c r="BT141" s="10">
        <f>MIN('02_Данные'!AE141,BS141)</f>
        <v/>
      </c>
      <c r="BU141" s="10">
        <f>BS141-BT141</f>
        <v/>
      </c>
      <c r="BV141" s="10">
        <f>MIN('02_Данные'!AG141,BU141)</f>
        <v/>
      </c>
      <c r="BW141" s="10">
        <f>BU141-BV141</f>
        <v/>
      </c>
      <c r="BX141" s="10">
        <f>MIN('02_Данные'!AH141,BW141)</f>
        <v/>
      </c>
      <c r="BY141" s="10">
        <f>BW141-BX141</f>
        <v/>
      </c>
      <c r="BZ141" s="10">
        <f>BY141+'02_Данные'!J141</f>
        <v/>
      </c>
      <c r="CA141" s="10">
        <f>MIN('02_Данные'!AJ141,BZ141)</f>
        <v/>
      </c>
      <c r="CB141" s="10">
        <f>BZ141-CA141</f>
        <v/>
      </c>
      <c r="CC141" s="10">
        <f>MIN('02_Данные'!AK141,CB141)</f>
        <v/>
      </c>
      <c r="CD141" s="10">
        <f>CB141-CC141</f>
        <v/>
      </c>
      <c r="CE141" s="10">
        <f>MIN('02_Данные'!AL141,CD141)</f>
        <v/>
      </c>
      <c r="CF141" s="10">
        <f>CD141-CE141</f>
        <v/>
      </c>
      <c r="CG141" s="10">
        <f>MIN('02_Данные'!AQ141,CF141)</f>
        <v/>
      </c>
      <c r="CH141" s="10">
        <f>CF141-CG141</f>
        <v/>
      </c>
      <c r="CI141" s="10">
        <f>MIN('02_Данные'!AN141,CH141)</f>
        <v/>
      </c>
      <c r="CJ141" s="10">
        <f>CH141-CI141</f>
        <v/>
      </c>
      <c r="CK141" s="10">
        <f>MIN('02_Данные'!AM141,CJ141)</f>
        <v/>
      </c>
      <c r="CL141" s="10">
        <f>CJ141-CK141</f>
        <v/>
      </c>
      <c r="CM141" s="10">
        <f>MIN('02_Данные'!AO141,CL141)</f>
        <v/>
      </c>
      <c r="CN141" s="10">
        <f>CL141-CM141</f>
        <v/>
      </c>
      <c r="CO141" s="10">
        <f>MIN('02_Данные'!AP141,CN141)</f>
        <v/>
      </c>
      <c r="CP141" s="10">
        <f>CN141-CO141</f>
        <v/>
      </c>
      <c r="CQ141" s="10">
        <f>CP141+'02_Данные'!K141</f>
        <v/>
      </c>
      <c r="CR141" s="10">
        <f>MIN('02_Данные'!AR141,CQ141)</f>
        <v/>
      </c>
      <c r="CS141" s="10">
        <f>CQ141-CR141</f>
        <v/>
      </c>
      <c r="CT141" s="10">
        <f>MIN('02_Данные'!AS141,CS141)</f>
        <v/>
      </c>
      <c r="CU141" s="10">
        <f>CS141-CT141</f>
        <v/>
      </c>
      <c r="CV141" s="10">
        <f>MIN('02_Данные'!AT141,CU141)</f>
        <v/>
      </c>
      <c r="CW141" s="10">
        <f>CU141-CV141</f>
        <v/>
      </c>
      <c r="CX141" s="10">
        <f>MIN('02_Данные'!AY141,CW141)</f>
        <v/>
      </c>
      <c r="CY141" s="10">
        <f>CW141-CX141</f>
        <v/>
      </c>
      <c r="CZ141" s="10">
        <f>MIN('02_Данные'!AV141,CY141)</f>
        <v/>
      </c>
      <c r="DA141" s="10">
        <f>CY141-CZ141</f>
        <v/>
      </c>
      <c r="DB141" s="10">
        <f>MIN('02_Данные'!AU141,DA141)</f>
        <v/>
      </c>
      <c r="DC141" s="10">
        <f>DA141-DB141</f>
        <v/>
      </c>
      <c r="DD141" s="10">
        <f>MIN('02_Данные'!AW141,DC141)</f>
        <v/>
      </c>
      <c r="DE141" s="10">
        <f>DC141-DD141</f>
        <v/>
      </c>
      <c r="DF141" s="10">
        <f>MIN('02_Данные'!AX141,DE141)</f>
        <v/>
      </c>
      <c r="DG141" s="10">
        <f>DE141-DF141</f>
        <v/>
      </c>
    </row>
    <row r="142">
      <c r="A142" s="9">
        <f>'02_Данные'!B142</f>
        <v/>
      </c>
      <c r="B142" s="9">
        <f>'02_Данные'!E142</f>
        <v/>
      </c>
      <c r="C142" s="10">
        <f>'02_Данные'!F142+'02_Данные'!G142+'02_Данные'!H142+'02_Данные'!I142+'02_Данные'!J142+'02_Данные'!K142</f>
        <v/>
      </c>
      <c r="D142" s="10">
        <f>SUM('02_Данные'!L142:'02_Данные'!AY142)</f>
        <v/>
      </c>
      <c r="E142" s="10">
        <f>MAX(0,D142-C142)</f>
        <v/>
      </c>
      <c r="F142" s="15">
        <f>IF(E142&gt;0.0001,"ДЕФИЦИТ",IF(Y142&gt;0.0001,"ПРОФИЦИТ","БАЛАНС"))</f>
        <v/>
      </c>
      <c r="G142" s="10">
        <f>AB142+AS142+BJ142+CA142+CR142</f>
        <v/>
      </c>
      <c r="H142" s="10">
        <f>AD142+AU142+BL142+CC142+CT142</f>
        <v/>
      </c>
      <c r="I142" s="10">
        <f>AF142+AW142+BN142+CE142+CV142</f>
        <v/>
      </c>
      <c r="J142" s="10">
        <f>AL142+BC142+BT142+CK142+DB142</f>
        <v/>
      </c>
      <c r="K142" s="10">
        <f>AJ142+BA142+BR142+CI142+CZ142</f>
        <v/>
      </c>
      <c r="L142" s="10">
        <f>AN142+BE142+BV142+CM142+DD142</f>
        <v/>
      </c>
      <c r="M142" s="10">
        <f>AP142+BG142+BX142+CO142+DF142</f>
        <v/>
      </c>
      <c r="N142" s="10">
        <f>AH142+AY142+BP142+CG142+CX142</f>
        <v/>
      </c>
      <c r="O142" s="10">
        <f>SUM(G142:N142)</f>
        <v/>
      </c>
      <c r="P142" s="10">
        <f>IFERROR(G142*MIN(1,'01_Нормативы'!$C$4/SUM(G$2:G$429)),0)</f>
        <v/>
      </c>
      <c r="Q142" s="10">
        <f>IFERROR(H142*MIN(1,'01_Нормативы'!$C$5/SUM(H$2:H$429)),0)</f>
        <v/>
      </c>
      <c r="R142" s="10">
        <f>IFERROR(I142*MIN(1,'01_Нормативы'!$C$6/SUM(I$2:I$429)),0)</f>
        <v/>
      </c>
      <c r="S142" s="10">
        <f>IFERROR(J142*MIN(1,'01_Нормативы'!$C$7/SUM(J$2:J$429)),0)</f>
        <v/>
      </c>
      <c r="T142" s="10">
        <f>IFERROR(K142*MIN(1,'01_Нормативы'!$C$8/SUM(K$2:K$429)),0)</f>
        <v/>
      </c>
      <c r="U142" s="10">
        <f>IFERROR(L142*MIN(1,'01_Нормативы'!$C$9/SUM(L$2:L$429)),0)</f>
        <v/>
      </c>
      <c r="V142" s="10">
        <f>IFERROR(M142*MIN(1,'01_Нормативы'!$C$10/SUM(M$2:M$429)),0)</f>
        <v/>
      </c>
      <c r="W142" s="10">
        <f>IFERROR(N142*MIN(1,'01_Нормативы'!$C$11/SUM(N$2:N$429)),0)</f>
        <v/>
      </c>
      <c r="X142" s="10">
        <f>SUM(P142:W142)</f>
        <v/>
      </c>
      <c r="Y142" s="10">
        <f>MAX(0,C142-X142)</f>
        <v/>
      </c>
      <c r="Z142" s="10">
        <f>IF(D142=0,100,X142/D142*100)</f>
        <v/>
      </c>
      <c r="AA142" s="10">
        <f>'02_Данные'!F142+'02_Данные'!G142</f>
        <v/>
      </c>
      <c r="AB142" s="10">
        <f>MIN('02_Данные'!L142,AA142)</f>
        <v/>
      </c>
      <c r="AC142" s="10">
        <f>AA142-AB142</f>
        <v/>
      </c>
      <c r="AD142" s="10">
        <f>MIN('02_Данные'!M142,AC142)</f>
        <v/>
      </c>
      <c r="AE142" s="10">
        <f>AC142-AD142</f>
        <v/>
      </c>
      <c r="AF142" s="10">
        <f>MIN('02_Данные'!N142,AE142)</f>
        <v/>
      </c>
      <c r="AG142" s="10">
        <f>AE142-AF142</f>
        <v/>
      </c>
      <c r="AH142" s="10">
        <f>MIN('02_Данные'!S142,AG142)</f>
        <v/>
      </c>
      <c r="AI142" s="10">
        <f>AG142-AH142</f>
        <v/>
      </c>
      <c r="AJ142" s="10">
        <f>MIN('02_Данные'!P142,AI142)</f>
        <v/>
      </c>
      <c r="AK142" s="10">
        <f>AI142-AJ142</f>
        <v/>
      </c>
      <c r="AL142" s="10">
        <f>MIN('02_Данные'!O142,AK142)</f>
        <v/>
      </c>
      <c r="AM142" s="10">
        <f>AK142-AL142</f>
        <v/>
      </c>
      <c r="AN142" s="10">
        <f>MIN('02_Данные'!Q142,AM142)</f>
        <v/>
      </c>
      <c r="AO142" s="10">
        <f>AM142-AN142</f>
        <v/>
      </c>
      <c r="AP142" s="10">
        <f>MIN('02_Данные'!R142,AO142)</f>
        <v/>
      </c>
      <c r="AQ142" s="10">
        <f>AO142-AP142</f>
        <v/>
      </c>
      <c r="AR142" s="10">
        <f>AQ142+'02_Данные'!H142</f>
        <v/>
      </c>
      <c r="AS142" s="10">
        <f>MIN('02_Данные'!T142,AR142)</f>
        <v/>
      </c>
      <c r="AT142" s="10">
        <f>AR142-AS142</f>
        <v/>
      </c>
      <c r="AU142" s="10">
        <f>MIN('02_Данные'!U142,AT142)</f>
        <v/>
      </c>
      <c r="AV142" s="10">
        <f>AT142-AU142</f>
        <v/>
      </c>
      <c r="AW142" s="10">
        <f>MIN('02_Данные'!V142,AV142)</f>
        <v/>
      </c>
      <c r="AX142" s="10">
        <f>AV142-AW142</f>
        <v/>
      </c>
      <c r="AY142" s="10">
        <f>MIN('02_Данные'!AA142,AX142)</f>
        <v/>
      </c>
      <c r="AZ142" s="10">
        <f>AX142-AY142</f>
        <v/>
      </c>
      <c r="BA142" s="10">
        <f>MIN('02_Данные'!X142,AZ142)</f>
        <v/>
      </c>
      <c r="BB142" s="10">
        <f>AZ142-BA142</f>
        <v/>
      </c>
      <c r="BC142" s="10">
        <f>MIN('02_Данные'!W142,BB142)</f>
        <v/>
      </c>
      <c r="BD142" s="10">
        <f>BB142-BC142</f>
        <v/>
      </c>
      <c r="BE142" s="10">
        <f>MIN('02_Данные'!Y142,BD142)</f>
        <v/>
      </c>
      <c r="BF142" s="10">
        <f>BD142-BE142</f>
        <v/>
      </c>
      <c r="BG142" s="10">
        <f>MIN('02_Данные'!Z142,BF142)</f>
        <v/>
      </c>
      <c r="BH142" s="10">
        <f>BF142-BG142</f>
        <v/>
      </c>
      <c r="BI142" s="10">
        <f>BH142+'02_Данные'!I142</f>
        <v/>
      </c>
      <c r="BJ142" s="10">
        <f>MIN('02_Данные'!AB142,BI142)</f>
        <v/>
      </c>
      <c r="BK142" s="10">
        <f>BI142-BJ142</f>
        <v/>
      </c>
      <c r="BL142" s="10">
        <f>MIN('02_Данные'!AC142,BK142)</f>
        <v/>
      </c>
      <c r="BM142" s="10">
        <f>BK142-BL142</f>
        <v/>
      </c>
      <c r="BN142" s="10">
        <f>MIN('02_Данные'!AD142,BM142)</f>
        <v/>
      </c>
      <c r="BO142" s="10">
        <f>BM142-BN142</f>
        <v/>
      </c>
      <c r="BP142" s="10">
        <f>MIN('02_Данные'!AI142,BO142)</f>
        <v/>
      </c>
      <c r="BQ142" s="10">
        <f>BO142-BP142</f>
        <v/>
      </c>
      <c r="BR142" s="10">
        <f>MIN('02_Данные'!AF142,BQ142)</f>
        <v/>
      </c>
      <c r="BS142" s="10">
        <f>BQ142-BR142</f>
        <v/>
      </c>
      <c r="BT142" s="10">
        <f>MIN('02_Данные'!AE142,BS142)</f>
        <v/>
      </c>
      <c r="BU142" s="10">
        <f>BS142-BT142</f>
        <v/>
      </c>
      <c r="BV142" s="10">
        <f>MIN('02_Данные'!AG142,BU142)</f>
        <v/>
      </c>
      <c r="BW142" s="10">
        <f>BU142-BV142</f>
        <v/>
      </c>
      <c r="BX142" s="10">
        <f>MIN('02_Данные'!AH142,BW142)</f>
        <v/>
      </c>
      <c r="BY142" s="10">
        <f>BW142-BX142</f>
        <v/>
      </c>
      <c r="BZ142" s="10">
        <f>BY142+'02_Данные'!J142</f>
        <v/>
      </c>
      <c r="CA142" s="10">
        <f>MIN('02_Данные'!AJ142,BZ142)</f>
        <v/>
      </c>
      <c r="CB142" s="10">
        <f>BZ142-CA142</f>
        <v/>
      </c>
      <c r="CC142" s="10">
        <f>MIN('02_Данные'!AK142,CB142)</f>
        <v/>
      </c>
      <c r="CD142" s="10">
        <f>CB142-CC142</f>
        <v/>
      </c>
      <c r="CE142" s="10">
        <f>MIN('02_Данные'!AL142,CD142)</f>
        <v/>
      </c>
      <c r="CF142" s="10">
        <f>CD142-CE142</f>
        <v/>
      </c>
      <c r="CG142" s="10">
        <f>MIN('02_Данные'!AQ142,CF142)</f>
        <v/>
      </c>
      <c r="CH142" s="10">
        <f>CF142-CG142</f>
        <v/>
      </c>
      <c r="CI142" s="10">
        <f>MIN('02_Данные'!AN142,CH142)</f>
        <v/>
      </c>
      <c r="CJ142" s="10">
        <f>CH142-CI142</f>
        <v/>
      </c>
      <c r="CK142" s="10">
        <f>MIN('02_Данные'!AM142,CJ142)</f>
        <v/>
      </c>
      <c r="CL142" s="10">
        <f>CJ142-CK142</f>
        <v/>
      </c>
      <c r="CM142" s="10">
        <f>MIN('02_Данные'!AO142,CL142)</f>
        <v/>
      </c>
      <c r="CN142" s="10">
        <f>CL142-CM142</f>
        <v/>
      </c>
      <c r="CO142" s="10">
        <f>MIN('02_Данные'!AP142,CN142)</f>
        <v/>
      </c>
      <c r="CP142" s="10">
        <f>CN142-CO142</f>
        <v/>
      </c>
      <c r="CQ142" s="10">
        <f>CP142+'02_Данные'!K142</f>
        <v/>
      </c>
      <c r="CR142" s="10">
        <f>MIN('02_Данные'!AR142,CQ142)</f>
        <v/>
      </c>
      <c r="CS142" s="10">
        <f>CQ142-CR142</f>
        <v/>
      </c>
      <c r="CT142" s="10">
        <f>MIN('02_Данные'!AS142,CS142)</f>
        <v/>
      </c>
      <c r="CU142" s="10">
        <f>CS142-CT142</f>
        <v/>
      </c>
      <c r="CV142" s="10">
        <f>MIN('02_Данные'!AT142,CU142)</f>
        <v/>
      </c>
      <c r="CW142" s="10">
        <f>CU142-CV142</f>
        <v/>
      </c>
      <c r="CX142" s="10">
        <f>MIN('02_Данные'!AY142,CW142)</f>
        <v/>
      </c>
      <c r="CY142" s="10">
        <f>CW142-CX142</f>
        <v/>
      </c>
      <c r="CZ142" s="10">
        <f>MIN('02_Данные'!AV142,CY142)</f>
        <v/>
      </c>
      <c r="DA142" s="10">
        <f>CY142-CZ142</f>
        <v/>
      </c>
      <c r="DB142" s="10">
        <f>MIN('02_Данные'!AU142,DA142)</f>
        <v/>
      </c>
      <c r="DC142" s="10">
        <f>DA142-DB142</f>
        <v/>
      </c>
      <c r="DD142" s="10">
        <f>MIN('02_Данные'!AW142,DC142)</f>
        <v/>
      </c>
      <c r="DE142" s="10">
        <f>DC142-DD142</f>
        <v/>
      </c>
      <c r="DF142" s="10">
        <f>MIN('02_Данные'!AX142,DE142)</f>
        <v/>
      </c>
      <c r="DG142" s="10">
        <f>DE142-DF142</f>
        <v/>
      </c>
    </row>
    <row r="143">
      <c r="A143" s="9">
        <f>'02_Данные'!B143</f>
        <v/>
      </c>
      <c r="B143" s="9">
        <f>'02_Данные'!E143</f>
        <v/>
      </c>
      <c r="C143" s="10">
        <f>'02_Данные'!F143+'02_Данные'!G143+'02_Данные'!H143+'02_Данные'!I143+'02_Данные'!J143+'02_Данные'!K143</f>
        <v/>
      </c>
      <c r="D143" s="10">
        <f>SUM('02_Данные'!L143:'02_Данные'!AY143)</f>
        <v/>
      </c>
      <c r="E143" s="10">
        <f>MAX(0,D143-C143)</f>
        <v/>
      </c>
      <c r="F143" s="15">
        <f>IF(E143&gt;0.0001,"ДЕФИЦИТ",IF(Y143&gt;0.0001,"ПРОФИЦИТ","БАЛАНС"))</f>
        <v/>
      </c>
      <c r="G143" s="10">
        <f>AB143+AS143+BJ143+CA143+CR143</f>
        <v/>
      </c>
      <c r="H143" s="10">
        <f>AD143+AU143+BL143+CC143+CT143</f>
        <v/>
      </c>
      <c r="I143" s="10">
        <f>AF143+AW143+BN143+CE143+CV143</f>
        <v/>
      </c>
      <c r="J143" s="10">
        <f>AL143+BC143+BT143+CK143+DB143</f>
        <v/>
      </c>
      <c r="K143" s="10">
        <f>AJ143+BA143+BR143+CI143+CZ143</f>
        <v/>
      </c>
      <c r="L143" s="10">
        <f>AN143+BE143+BV143+CM143+DD143</f>
        <v/>
      </c>
      <c r="M143" s="10">
        <f>AP143+BG143+BX143+CO143+DF143</f>
        <v/>
      </c>
      <c r="N143" s="10">
        <f>AH143+AY143+BP143+CG143+CX143</f>
        <v/>
      </c>
      <c r="O143" s="10">
        <f>SUM(G143:N143)</f>
        <v/>
      </c>
      <c r="P143" s="10">
        <f>IFERROR(G143*MIN(1,'01_Нормативы'!$C$4/SUM(G$2:G$429)),0)</f>
        <v/>
      </c>
      <c r="Q143" s="10">
        <f>IFERROR(H143*MIN(1,'01_Нормативы'!$C$5/SUM(H$2:H$429)),0)</f>
        <v/>
      </c>
      <c r="R143" s="10">
        <f>IFERROR(I143*MIN(1,'01_Нормативы'!$C$6/SUM(I$2:I$429)),0)</f>
        <v/>
      </c>
      <c r="S143" s="10">
        <f>IFERROR(J143*MIN(1,'01_Нормативы'!$C$7/SUM(J$2:J$429)),0)</f>
        <v/>
      </c>
      <c r="T143" s="10">
        <f>IFERROR(K143*MIN(1,'01_Нормативы'!$C$8/SUM(K$2:K$429)),0)</f>
        <v/>
      </c>
      <c r="U143" s="10">
        <f>IFERROR(L143*MIN(1,'01_Нормативы'!$C$9/SUM(L$2:L$429)),0)</f>
        <v/>
      </c>
      <c r="V143" s="10">
        <f>IFERROR(M143*MIN(1,'01_Нормативы'!$C$10/SUM(M$2:M$429)),0)</f>
        <v/>
      </c>
      <c r="W143" s="10">
        <f>IFERROR(N143*MIN(1,'01_Нормативы'!$C$11/SUM(N$2:N$429)),0)</f>
        <v/>
      </c>
      <c r="X143" s="10">
        <f>SUM(P143:W143)</f>
        <v/>
      </c>
      <c r="Y143" s="10">
        <f>MAX(0,C143-X143)</f>
        <v/>
      </c>
      <c r="Z143" s="10">
        <f>IF(D143=0,100,X143/D143*100)</f>
        <v/>
      </c>
      <c r="AA143" s="10">
        <f>'02_Данные'!F143+'02_Данные'!G143</f>
        <v/>
      </c>
      <c r="AB143" s="10">
        <f>MIN('02_Данные'!L143,AA143)</f>
        <v/>
      </c>
      <c r="AC143" s="10">
        <f>AA143-AB143</f>
        <v/>
      </c>
      <c r="AD143" s="10">
        <f>MIN('02_Данные'!M143,AC143)</f>
        <v/>
      </c>
      <c r="AE143" s="10">
        <f>AC143-AD143</f>
        <v/>
      </c>
      <c r="AF143" s="10">
        <f>MIN('02_Данные'!N143,AE143)</f>
        <v/>
      </c>
      <c r="AG143" s="10">
        <f>AE143-AF143</f>
        <v/>
      </c>
      <c r="AH143" s="10">
        <f>MIN('02_Данные'!S143,AG143)</f>
        <v/>
      </c>
      <c r="AI143" s="10">
        <f>AG143-AH143</f>
        <v/>
      </c>
      <c r="AJ143" s="10">
        <f>MIN('02_Данные'!P143,AI143)</f>
        <v/>
      </c>
      <c r="AK143" s="10">
        <f>AI143-AJ143</f>
        <v/>
      </c>
      <c r="AL143" s="10">
        <f>MIN('02_Данные'!O143,AK143)</f>
        <v/>
      </c>
      <c r="AM143" s="10">
        <f>AK143-AL143</f>
        <v/>
      </c>
      <c r="AN143" s="10">
        <f>MIN('02_Данные'!Q143,AM143)</f>
        <v/>
      </c>
      <c r="AO143" s="10">
        <f>AM143-AN143</f>
        <v/>
      </c>
      <c r="AP143" s="10">
        <f>MIN('02_Данные'!R143,AO143)</f>
        <v/>
      </c>
      <c r="AQ143" s="10">
        <f>AO143-AP143</f>
        <v/>
      </c>
      <c r="AR143" s="10">
        <f>AQ143+'02_Данные'!H143</f>
        <v/>
      </c>
      <c r="AS143" s="10">
        <f>MIN('02_Данные'!T143,AR143)</f>
        <v/>
      </c>
      <c r="AT143" s="10">
        <f>AR143-AS143</f>
        <v/>
      </c>
      <c r="AU143" s="10">
        <f>MIN('02_Данные'!U143,AT143)</f>
        <v/>
      </c>
      <c r="AV143" s="10">
        <f>AT143-AU143</f>
        <v/>
      </c>
      <c r="AW143" s="10">
        <f>MIN('02_Данные'!V143,AV143)</f>
        <v/>
      </c>
      <c r="AX143" s="10">
        <f>AV143-AW143</f>
        <v/>
      </c>
      <c r="AY143" s="10">
        <f>MIN('02_Данные'!AA143,AX143)</f>
        <v/>
      </c>
      <c r="AZ143" s="10">
        <f>AX143-AY143</f>
        <v/>
      </c>
      <c r="BA143" s="10">
        <f>MIN('02_Данные'!X143,AZ143)</f>
        <v/>
      </c>
      <c r="BB143" s="10">
        <f>AZ143-BA143</f>
        <v/>
      </c>
      <c r="BC143" s="10">
        <f>MIN('02_Данные'!W143,BB143)</f>
        <v/>
      </c>
      <c r="BD143" s="10">
        <f>BB143-BC143</f>
        <v/>
      </c>
      <c r="BE143" s="10">
        <f>MIN('02_Данные'!Y143,BD143)</f>
        <v/>
      </c>
      <c r="BF143" s="10">
        <f>BD143-BE143</f>
        <v/>
      </c>
      <c r="BG143" s="10">
        <f>MIN('02_Данные'!Z143,BF143)</f>
        <v/>
      </c>
      <c r="BH143" s="10">
        <f>BF143-BG143</f>
        <v/>
      </c>
      <c r="BI143" s="10">
        <f>BH143+'02_Данные'!I143</f>
        <v/>
      </c>
      <c r="BJ143" s="10">
        <f>MIN('02_Данные'!AB143,BI143)</f>
        <v/>
      </c>
      <c r="BK143" s="10">
        <f>BI143-BJ143</f>
        <v/>
      </c>
      <c r="BL143" s="10">
        <f>MIN('02_Данные'!AC143,BK143)</f>
        <v/>
      </c>
      <c r="BM143" s="10">
        <f>BK143-BL143</f>
        <v/>
      </c>
      <c r="BN143" s="10">
        <f>MIN('02_Данные'!AD143,BM143)</f>
        <v/>
      </c>
      <c r="BO143" s="10">
        <f>BM143-BN143</f>
        <v/>
      </c>
      <c r="BP143" s="10">
        <f>MIN('02_Данные'!AI143,BO143)</f>
        <v/>
      </c>
      <c r="BQ143" s="10">
        <f>BO143-BP143</f>
        <v/>
      </c>
      <c r="BR143" s="10">
        <f>MIN('02_Данные'!AF143,BQ143)</f>
        <v/>
      </c>
      <c r="BS143" s="10">
        <f>BQ143-BR143</f>
        <v/>
      </c>
      <c r="BT143" s="10">
        <f>MIN('02_Данные'!AE143,BS143)</f>
        <v/>
      </c>
      <c r="BU143" s="10">
        <f>BS143-BT143</f>
        <v/>
      </c>
      <c r="BV143" s="10">
        <f>MIN('02_Данные'!AG143,BU143)</f>
        <v/>
      </c>
      <c r="BW143" s="10">
        <f>BU143-BV143</f>
        <v/>
      </c>
      <c r="BX143" s="10">
        <f>MIN('02_Данные'!AH143,BW143)</f>
        <v/>
      </c>
      <c r="BY143" s="10">
        <f>BW143-BX143</f>
        <v/>
      </c>
      <c r="BZ143" s="10">
        <f>BY143+'02_Данные'!J143</f>
        <v/>
      </c>
      <c r="CA143" s="10">
        <f>MIN('02_Данные'!AJ143,BZ143)</f>
        <v/>
      </c>
      <c r="CB143" s="10">
        <f>BZ143-CA143</f>
        <v/>
      </c>
      <c r="CC143" s="10">
        <f>MIN('02_Данные'!AK143,CB143)</f>
        <v/>
      </c>
      <c r="CD143" s="10">
        <f>CB143-CC143</f>
        <v/>
      </c>
      <c r="CE143" s="10">
        <f>MIN('02_Данные'!AL143,CD143)</f>
        <v/>
      </c>
      <c r="CF143" s="10">
        <f>CD143-CE143</f>
        <v/>
      </c>
      <c r="CG143" s="10">
        <f>MIN('02_Данные'!AQ143,CF143)</f>
        <v/>
      </c>
      <c r="CH143" s="10">
        <f>CF143-CG143</f>
        <v/>
      </c>
      <c r="CI143" s="10">
        <f>MIN('02_Данные'!AN143,CH143)</f>
        <v/>
      </c>
      <c r="CJ143" s="10">
        <f>CH143-CI143</f>
        <v/>
      </c>
      <c r="CK143" s="10">
        <f>MIN('02_Данные'!AM143,CJ143)</f>
        <v/>
      </c>
      <c r="CL143" s="10">
        <f>CJ143-CK143</f>
        <v/>
      </c>
      <c r="CM143" s="10">
        <f>MIN('02_Данные'!AO143,CL143)</f>
        <v/>
      </c>
      <c r="CN143" s="10">
        <f>CL143-CM143</f>
        <v/>
      </c>
      <c r="CO143" s="10">
        <f>MIN('02_Данные'!AP143,CN143)</f>
        <v/>
      </c>
      <c r="CP143" s="10">
        <f>CN143-CO143</f>
        <v/>
      </c>
      <c r="CQ143" s="10">
        <f>CP143+'02_Данные'!K143</f>
        <v/>
      </c>
      <c r="CR143" s="10">
        <f>MIN('02_Данные'!AR143,CQ143)</f>
        <v/>
      </c>
      <c r="CS143" s="10">
        <f>CQ143-CR143</f>
        <v/>
      </c>
      <c r="CT143" s="10">
        <f>MIN('02_Данные'!AS143,CS143)</f>
        <v/>
      </c>
      <c r="CU143" s="10">
        <f>CS143-CT143</f>
        <v/>
      </c>
      <c r="CV143" s="10">
        <f>MIN('02_Данные'!AT143,CU143)</f>
        <v/>
      </c>
      <c r="CW143" s="10">
        <f>CU143-CV143</f>
        <v/>
      </c>
      <c r="CX143" s="10">
        <f>MIN('02_Данные'!AY143,CW143)</f>
        <v/>
      </c>
      <c r="CY143" s="10">
        <f>CW143-CX143</f>
        <v/>
      </c>
      <c r="CZ143" s="10">
        <f>MIN('02_Данные'!AV143,CY143)</f>
        <v/>
      </c>
      <c r="DA143" s="10">
        <f>CY143-CZ143</f>
        <v/>
      </c>
      <c r="DB143" s="10">
        <f>MIN('02_Данные'!AU143,DA143)</f>
        <v/>
      </c>
      <c r="DC143" s="10">
        <f>DA143-DB143</f>
        <v/>
      </c>
      <c r="DD143" s="10">
        <f>MIN('02_Данные'!AW143,DC143)</f>
        <v/>
      </c>
      <c r="DE143" s="10">
        <f>DC143-DD143</f>
        <v/>
      </c>
      <c r="DF143" s="10">
        <f>MIN('02_Данные'!AX143,DE143)</f>
        <v/>
      </c>
      <c r="DG143" s="10">
        <f>DE143-DF143</f>
        <v/>
      </c>
    </row>
    <row r="144">
      <c r="A144" s="9">
        <f>'02_Данные'!B144</f>
        <v/>
      </c>
      <c r="B144" s="9">
        <f>'02_Данные'!E144</f>
        <v/>
      </c>
      <c r="C144" s="10">
        <f>'02_Данные'!F144+'02_Данные'!G144+'02_Данные'!H144+'02_Данные'!I144+'02_Данные'!J144+'02_Данные'!K144</f>
        <v/>
      </c>
      <c r="D144" s="10">
        <f>SUM('02_Данные'!L144:'02_Данные'!AY144)</f>
        <v/>
      </c>
      <c r="E144" s="10">
        <f>MAX(0,D144-C144)</f>
        <v/>
      </c>
      <c r="F144" s="15">
        <f>IF(E144&gt;0.0001,"ДЕФИЦИТ",IF(Y144&gt;0.0001,"ПРОФИЦИТ","БАЛАНС"))</f>
        <v/>
      </c>
      <c r="G144" s="10">
        <f>AB144+AS144+BJ144+CA144+CR144</f>
        <v/>
      </c>
      <c r="H144" s="10">
        <f>AD144+AU144+BL144+CC144+CT144</f>
        <v/>
      </c>
      <c r="I144" s="10">
        <f>AF144+AW144+BN144+CE144+CV144</f>
        <v/>
      </c>
      <c r="J144" s="10">
        <f>AL144+BC144+BT144+CK144+DB144</f>
        <v/>
      </c>
      <c r="K144" s="10">
        <f>AJ144+BA144+BR144+CI144+CZ144</f>
        <v/>
      </c>
      <c r="L144" s="10">
        <f>AN144+BE144+BV144+CM144+DD144</f>
        <v/>
      </c>
      <c r="M144" s="10">
        <f>AP144+BG144+BX144+CO144+DF144</f>
        <v/>
      </c>
      <c r="N144" s="10">
        <f>AH144+AY144+BP144+CG144+CX144</f>
        <v/>
      </c>
      <c r="O144" s="10">
        <f>SUM(G144:N144)</f>
        <v/>
      </c>
      <c r="P144" s="10">
        <f>IFERROR(G144*MIN(1,'01_Нормативы'!$C$4/SUM(G$2:G$429)),0)</f>
        <v/>
      </c>
      <c r="Q144" s="10">
        <f>IFERROR(H144*MIN(1,'01_Нормативы'!$C$5/SUM(H$2:H$429)),0)</f>
        <v/>
      </c>
      <c r="R144" s="10">
        <f>IFERROR(I144*MIN(1,'01_Нормативы'!$C$6/SUM(I$2:I$429)),0)</f>
        <v/>
      </c>
      <c r="S144" s="10">
        <f>IFERROR(J144*MIN(1,'01_Нормативы'!$C$7/SUM(J$2:J$429)),0)</f>
        <v/>
      </c>
      <c r="T144" s="10">
        <f>IFERROR(K144*MIN(1,'01_Нормативы'!$C$8/SUM(K$2:K$429)),0)</f>
        <v/>
      </c>
      <c r="U144" s="10">
        <f>IFERROR(L144*MIN(1,'01_Нормативы'!$C$9/SUM(L$2:L$429)),0)</f>
        <v/>
      </c>
      <c r="V144" s="10">
        <f>IFERROR(M144*MIN(1,'01_Нормативы'!$C$10/SUM(M$2:M$429)),0)</f>
        <v/>
      </c>
      <c r="W144" s="10">
        <f>IFERROR(N144*MIN(1,'01_Нормативы'!$C$11/SUM(N$2:N$429)),0)</f>
        <v/>
      </c>
      <c r="X144" s="10">
        <f>SUM(P144:W144)</f>
        <v/>
      </c>
      <c r="Y144" s="10">
        <f>MAX(0,C144-X144)</f>
        <v/>
      </c>
      <c r="Z144" s="10">
        <f>IF(D144=0,100,X144/D144*100)</f>
        <v/>
      </c>
      <c r="AA144" s="10">
        <f>'02_Данные'!F144+'02_Данные'!G144</f>
        <v/>
      </c>
      <c r="AB144" s="10">
        <f>MIN('02_Данные'!L144,AA144)</f>
        <v/>
      </c>
      <c r="AC144" s="10">
        <f>AA144-AB144</f>
        <v/>
      </c>
      <c r="AD144" s="10">
        <f>MIN('02_Данные'!M144,AC144)</f>
        <v/>
      </c>
      <c r="AE144" s="10">
        <f>AC144-AD144</f>
        <v/>
      </c>
      <c r="AF144" s="10">
        <f>MIN('02_Данные'!N144,AE144)</f>
        <v/>
      </c>
      <c r="AG144" s="10">
        <f>AE144-AF144</f>
        <v/>
      </c>
      <c r="AH144" s="10">
        <f>MIN('02_Данные'!S144,AG144)</f>
        <v/>
      </c>
      <c r="AI144" s="10">
        <f>AG144-AH144</f>
        <v/>
      </c>
      <c r="AJ144" s="10">
        <f>MIN('02_Данные'!P144,AI144)</f>
        <v/>
      </c>
      <c r="AK144" s="10">
        <f>AI144-AJ144</f>
        <v/>
      </c>
      <c r="AL144" s="10">
        <f>MIN('02_Данные'!O144,AK144)</f>
        <v/>
      </c>
      <c r="AM144" s="10">
        <f>AK144-AL144</f>
        <v/>
      </c>
      <c r="AN144" s="10">
        <f>MIN('02_Данные'!Q144,AM144)</f>
        <v/>
      </c>
      <c r="AO144" s="10">
        <f>AM144-AN144</f>
        <v/>
      </c>
      <c r="AP144" s="10">
        <f>MIN('02_Данные'!R144,AO144)</f>
        <v/>
      </c>
      <c r="AQ144" s="10">
        <f>AO144-AP144</f>
        <v/>
      </c>
      <c r="AR144" s="10">
        <f>AQ144+'02_Данные'!H144</f>
        <v/>
      </c>
      <c r="AS144" s="10">
        <f>MIN('02_Данные'!T144,AR144)</f>
        <v/>
      </c>
      <c r="AT144" s="10">
        <f>AR144-AS144</f>
        <v/>
      </c>
      <c r="AU144" s="10">
        <f>MIN('02_Данные'!U144,AT144)</f>
        <v/>
      </c>
      <c r="AV144" s="10">
        <f>AT144-AU144</f>
        <v/>
      </c>
      <c r="AW144" s="10">
        <f>MIN('02_Данные'!V144,AV144)</f>
        <v/>
      </c>
      <c r="AX144" s="10">
        <f>AV144-AW144</f>
        <v/>
      </c>
      <c r="AY144" s="10">
        <f>MIN('02_Данные'!AA144,AX144)</f>
        <v/>
      </c>
      <c r="AZ144" s="10">
        <f>AX144-AY144</f>
        <v/>
      </c>
      <c r="BA144" s="10">
        <f>MIN('02_Данные'!X144,AZ144)</f>
        <v/>
      </c>
      <c r="BB144" s="10">
        <f>AZ144-BA144</f>
        <v/>
      </c>
      <c r="BC144" s="10">
        <f>MIN('02_Данные'!W144,BB144)</f>
        <v/>
      </c>
      <c r="BD144" s="10">
        <f>BB144-BC144</f>
        <v/>
      </c>
      <c r="BE144" s="10">
        <f>MIN('02_Данные'!Y144,BD144)</f>
        <v/>
      </c>
      <c r="BF144" s="10">
        <f>BD144-BE144</f>
        <v/>
      </c>
      <c r="BG144" s="10">
        <f>MIN('02_Данные'!Z144,BF144)</f>
        <v/>
      </c>
      <c r="BH144" s="10">
        <f>BF144-BG144</f>
        <v/>
      </c>
      <c r="BI144" s="10">
        <f>BH144+'02_Данные'!I144</f>
        <v/>
      </c>
      <c r="BJ144" s="10">
        <f>MIN('02_Данные'!AB144,BI144)</f>
        <v/>
      </c>
      <c r="BK144" s="10">
        <f>BI144-BJ144</f>
        <v/>
      </c>
      <c r="BL144" s="10">
        <f>MIN('02_Данные'!AC144,BK144)</f>
        <v/>
      </c>
      <c r="BM144" s="10">
        <f>BK144-BL144</f>
        <v/>
      </c>
      <c r="BN144" s="10">
        <f>MIN('02_Данные'!AD144,BM144)</f>
        <v/>
      </c>
      <c r="BO144" s="10">
        <f>BM144-BN144</f>
        <v/>
      </c>
      <c r="BP144" s="10">
        <f>MIN('02_Данные'!AI144,BO144)</f>
        <v/>
      </c>
      <c r="BQ144" s="10">
        <f>BO144-BP144</f>
        <v/>
      </c>
      <c r="BR144" s="10">
        <f>MIN('02_Данные'!AF144,BQ144)</f>
        <v/>
      </c>
      <c r="BS144" s="10">
        <f>BQ144-BR144</f>
        <v/>
      </c>
      <c r="BT144" s="10">
        <f>MIN('02_Данные'!AE144,BS144)</f>
        <v/>
      </c>
      <c r="BU144" s="10">
        <f>BS144-BT144</f>
        <v/>
      </c>
      <c r="BV144" s="10">
        <f>MIN('02_Данные'!AG144,BU144)</f>
        <v/>
      </c>
      <c r="BW144" s="10">
        <f>BU144-BV144</f>
        <v/>
      </c>
      <c r="BX144" s="10">
        <f>MIN('02_Данные'!AH144,BW144)</f>
        <v/>
      </c>
      <c r="BY144" s="10">
        <f>BW144-BX144</f>
        <v/>
      </c>
      <c r="BZ144" s="10">
        <f>BY144+'02_Данные'!J144</f>
        <v/>
      </c>
      <c r="CA144" s="10">
        <f>MIN('02_Данные'!AJ144,BZ144)</f>
        <v/>
      </c>
      <c r="CB144" s="10">
        <f>BZ144-CA144</f>
        <v/>
      </c>
      <c r="CC144" s="10">
        <f>MIN('02_Данные'!AK144,CB144)</f>
        <v/>
      </c>
      <c r="CD144" s="10">
        <f>CB144-CC144</f>
        <v/>
      </c>
      <c r="CE144" s="10">
        <f>MIN('02_Данные'!AL144,CD144)</f>
        <v/>
      </c>
      <c r="CF144" s="10">
        <f>CD144-CE144</f>
        <v/>
      </c>
      <c r="CG144" s="10">
        <f>MIN('02_Данные'!AQ144,CF144)</f>
        <v/>
      </c>
      <c r="CH144" s="10">
        <f>CF144-CG144</f>
        <v/>
      </c>
      <c r="CI144" s="10">
        <f>MIN('02_Данные'!AN144,CH144)</f>
        <v/>
      </c>
      <c r="CJ144" s="10">
        <f>CH144-CI144</f>
        <v/>
      </c>
      <c r="CK144" s="10">
        <f>MIN('02_Данные'!AM144,CJ144)</f>
        <v/>
      </c>
      <c r="CL144" s="10">
        <f>CJ144-CK144</f>
        <v/>
      </c>
      <c r="CM144" s="10">
        <f>MIN('02_Данные'!AO144,CL144)</f>
        <v/>
      </c>
      <c r="CN144" s="10">
        <f>CL144-CM144</f>
        <v/>
      </c>
      <c r="CO144" s="10">
        <f>MIN('02_Данные'!AP144,CN144)</f>
        <v/>
      </c>
      <c r="CP144" s="10">
        <f>CN144-CO144</f>
        <v/>
      </c>
      <c r="CQ144" s="10">
        <f>CP144+'02_Данные'!K144</f>
        <v/>
      </c>
      <c r="CR144" s="10">
        <f>MIN('02_Данные'!AR144,CQ144)</f>
        <v/>
      </c>
      <c r="CS144" s="10">
        <f>CQ144-CR144</f>
        <v/>
      </c>
      <c r="CT144" s="10">
        <f>MIN('02_Данные'!AS144,CS144)</f>
        <v/>
      </c>
      <c r="CU144" s="10">
        <f>CS144-CT144</f>
        <v/>
      </c>
      <c r="CV144" s="10">
        <f>MIN('02_Данные'!AT144,CU144)</f>
        <v/>
      </c>
      <c r="CW144" s="10">
        <f>CU144-CV144</f>
        <v/>
      </c>
      <c r="CX144" s="10">
        <f>MIN('02_Данные'!AY144,CW144)</f>
        <v/>
      </c>
      <c r="CY144" s="10">
        <f>CW144-CX144</f>
        <v/>
      </c>
      <c r="CZ144" s="10">
        <f>MIN('02_Данные'!AV144,CY144)</f>
        <v/>
      </c>
      <c r="DA144" s="10">
        <f>CY144-CZ144</f>
        <v/>
      </c>
      <c r="DB144" s="10">
        <f>MIN('02_Данные'!AU144,DA144)</f>
        <v/>
      </c>
      <c r="DC144" s="10">
        <f>DA144-DB144</f>
        <v/>
      </c>
      <c r="DD144" s="10">
        <f>MIN('02_Данные'!AW144,DC144)</f>
        <v/>
      </c>
      <c r="DE144" s="10">
        <f>DC144-DD144</f>
        <v/>
      </c>
      <c r="DF144" s="10">
        <f>MIN('02_Данные'!AX144,DE144)</f>
        <v/>
      </c>
      <c r="DG144" s="10">
        <f>DE144-DF144</f>
        <v/>
      </c>
    </row>
    <row r="145">
      <c r="A145" s="9">
        <f>'02_Данные'!B145</f>
        <v/>
      </c>
      <c r="B145" s="9">
        <f>'02_Данные'!E145</f>
        <v/>
      </c>
      <c r="C145" s="10">
        <f>'02_Данные'!F145+'02_Данные'!G145+'02_Данные'!H145+'02_Данные'!I145+'02_Данные'!J145+'02_Данные'!K145</f>
        <v/>
      </c>
      <c r="D145" s="10">
        <f>SUM('02_Данные'!L145:'02_Данные'!AY145)</f>
        <v/>
      </c>
      <c r="E145" s="10">
        <f>MAX(0,D145-C145)</f>
        <v/>
      </c>
      <c r="F145" s="15">
        <f>IF(E145&gt;0.0001,"ДЕФИЦИТ",IF(Y145&gt;0.0001,"ПРОФИЦИТ","БАЛАНС"))</f>
        <v/>
      </c>
      <c r="G145" s="10">
        <f>AB145+AS145+BJ145+CA145+CR145</f>
        <v/>
      </c>
      <c r="H145" s="10">
        <f>AD145+AU145+BL145+CC145+CT145</f>
        <v/>
      </c>
      <c r="I145" s="10">
        <f>AF145+AW145+BN145+CE145+CV145</f>
        <v/>
      </c>
      <c r="J145" s="10">
        <f>AL145+BC145+BT145+CK145+DB145</f>
        <v/>
      </c>
      <c r="K145" s="10">
        <f>AJ145+BA145+BR145+CI145+CZ145</f>
        <v/>
      </c>
      <c r="L145" s="10">
        <f>AN145+BE145+BV145+CM145+DD145</f>
        <v/>
      </c>
      <c r="M145" s="10">
        <f>AP145+BG145+BX145+CO145+DF145</f>
        <v/>
      </c>
      <c r="N145" s="10">
        <f>AH145+AY145+BP145+CG145+CX145</f>
        <v/>
      </c>
      <c r="O145" s="10">
        <f>SUM(G145:N145)</f>
        <v/>
      </c>
      <c r="P145" s="10">
        <f>IFERROR(G145*MIN(1,'01_Нормативы'!$C$4/SUM(G$2:G$429)),0)</f>
        <v/>
      </c>
      <c r="Q145" s="10">
        <f>IFERROR(H145*MIN(1,'01_Нормативы'!$C$5/SUM(H$2:H$429)),0)</f>
        <v/>
      </c>
      <c r="R145" s="10">
        <f>IFERROR(I145*MIN(1,'01_Нормативы'!$C$6/SUM(I$2:I$429)),0)</f>
        <v/>
      </c>
      <c r="S145" s="10">
        <f>IFERROR(J145*MIN(1,'01_Нормативы'!$C$7/SUM(J$2:J$429)),0)</f>
        <v/>
      </c>
      <c r="T145" s="10">
        <f>IFERROR(K145*MIN(1,'01_Нормативы'!$C$8/SUM(K$2:K$429)),0)</f>
        <v/>
      </c>
      <c r="U145" s="10">
        <f>IFERROR(L145*MIN(1,'01_Нормативы'!$C$9/SUM(L$2:L$429)),0)</f>
        <v/>
      </c>
      <c r="V145" s="10">
        <f>IFERROR(M145*MIN(1,'01_Нормативы'!$C$10/SUM(M$2:M$429)),0)</f>
        <v/>
      </c>
      <c r="W145" s="10">
        <f>IFERROR(N145*MIN(1,'01_Нормативы'!$C$11/SUM(N$2:N$429)),0)</f>
        <v/>
      </c>
      <c r="X145" s="10">
        <f>SUM(P145:W145)</f>
        <v/>
      </c>
      <c r="Y145" s="10">
        <f>MAX(0,C145-X145)</f>
        <v/>
      </c>
      <c r="Z145" s="10">
        <f>IF(D145=0,100,X145/D145*100)</f>
        <v/>
      </c>
      <c r="AA145" s="10">
        <f>'02_Данные'!F145+'02_Данные'!G145</f>
        <v/>
      </c>
      <c r="AB145" s="10">
        <f>MIN('02_Данные'!L145,AA145)</f>
        <v/>
      </c>
      <c r="AC145" s="10">
        <f>AA145-AB145</f>
        <v/>
      </c>
      <c r="AD145" s="10">
        <f>MIN('02_Данные'!M145,AC145)</f>
        <v/>
      </c>
      <c r="AE145" s="10">
        <f>AC145-AD145</f>
        <v/>
      </c>
      <c r="AF145" s="10">
        <f>MIN('02_Данные'!N145,AE145)</f>
        <v/>
      </c>
      <c r="AG145" s="10">
        <f>AE145-AF145</f>
        <v/>
      </c>
      <c r="AH145" s="10">
        <f>MIN('02_Данные'!S145,AG145)</f>
        <v/>
      </c>
      <c r="AI145" s="10">
        <f>AG145-AH145</f>
        <v/>
      </c>
      <c r="AJ145" s="10">
        <f>MIN('02_Данные'!P145,AI145)</f>
        <v/>
      </c>
      <c r="AK145" s="10">
        <f>AI145-AJ145</f>
        <v/>
      </c>
      <c r="AL145" s="10">
        <f>MIN('02_Данные'!O145,AK145)</f>
        <v/>
      </c>
      <c r="AM145" s="10">
        <f>AK145-AL145</f>
        <v/>
      </c>
      <c r="AN145" s="10">
        <f>MIN('02_Данные'!Q145,AM145)</f>
        <v/>
      </c>
      <c r="AO145" s="10">
        <f>AM145-AN145</f>
        <v/>
      </c>
      <c r="AP145" s="10">
        <f>MIN('02_Данные'!R145,AO145)</f>
        <v/>
      </c>
      <c r="AQ145" s="10">
        <f>AO145-AP145</f>
        <v/>
      </c>
      <c r="AR145" s="10">
        <f>AQ145+'02_Данные'!H145</f>
        <v/>
      </c>
      <c r="AS145" s="10">
        <f>MIN('02_Данные'!T145,AR145)</f>
        <v/>
      </c>
      <c r="AT145" s="10">
        <f>AR145-AS145</f>
        <v/>
      </c>
      <c r="AU145" s="10">
        <f>MIN('02_Данные'!U145,AT145)</f>
        <v/>
      </c>
      <c r="AV145" s="10">
        <f>AT145-AU145</f>
        <v/>
      </c>
      <c r="AW145" s="10">
        <f>MIN('02_Данные'!V145,AV145)</f>
        <v/>
      </c>
      <c r="AX145" s="10">
        <f>AV145-AW145</f>
        <v/>
      </c>
      <c r="AY145" s="10">
        <f>MIN('02_Данные'!AA145,AX145)</f>
        <v/>
      </c>
      <c r="AZ145" s="10">
        <f>AX145-AY145</f>
        <v/>
      </c>
      <c r="BA145" s="10">
        <f>MIN('02_Данные'!X145,AZ145)</f>
        <v/>
      </c>
      <c r="BB145" s="10">
        <f>AZ145-BA145</f>
        <v/>
      </c>
      <c r="BC145" s="10">
        <f>MIN('02_Данные'!W145,BB145)</f>
        <v/>
      </c>
      <c r="BD145" s="10">
        <f>BB145-BC145</f>
        <v/>
      </c>
      <c r="BE145" s="10">
        <f>MIN('02_Данные'!Y145,BD145)</f>
        <v/>
      </c>
      <c r="BF145" s="10">
        <f>BD145-BE145</f>
        <v/>
      </c>
      <c r="BG145" s="10">
        <f>MIN('02_Данные'!Z145,BF145)</f>
        <v/>
      </c>
      <c r="BH145" s="10">
        <f>BF145-BG145</f>
        <v/>
      </c>
      <c r="BI145" s="10">
        <f>BH145+'02_Данные'!I145</f>
        <v/>
      </c>
      <c r="BJ145" s="10">
        <f>MIN('02_Данные'!AB145,BI145)</f>
        <v/>
      </c>
      <c r="BK145" s="10">
        <f>BI145-BJ145</f>
        <v/>
      </c>
      <c r="BL145" s="10">
        <f>MIN('02_Данные'!AC145,BK145)</f>
        <v/>
      </c>
      <c r="BM145" s="10">
        <f>BK145-BL145</f>
        <v/>
      </c>
      <c r="BN145" s="10">
        <f>MIN('02_Данные'!AD145,BM145)</f>
        <v/>
      </c>
      <c r="BO145" s="10">
        <f>BM145-BN145</f>
        <v/>
      </c>
      <c r="BP145" s="10">
        <f>MIN('02_Данные'!AI145,BO145)</f>
        <v/>
      </c>
      <c r="BQ145" s="10">
        <f>BO145-BP145</f>
        <v/>
      </c>
      <c r="BR145" s="10">
        <f>MIN('02_Данные'!AF145,BQ145)</f>
        <v/>
      </c>
      <c r="BS145" s="10">
        <f>BQ145-BR145</f>
        <v/>
      </c>
      <c r="BT145" s="10">
        <f>MIN('02_Данные'!AE145,BS145)</f>
        <v/>
      </c>
      <c r="BU145" s="10">
        <f>BS145-BT145</f>
        <v/>
      </c>
      <c r="BV145" s="10">
        <f>MIN('02_Данные'!AG145,BU145)</f>
        <v/>
      </c>
      <c r="BW145" s="10">
        <f>BU145-BV145</f>
        <v/>
      </c>
      <c r="BX145" s="10">
        <f>MIN('02_Данные'!AH145,BW145)</f>
        <v/>
      </c>
      <c r="BY145" s="10">
        <f>BW145-BX145</f>
        <v/>
      </c>
      <c r="BZ145" s="10">
        <f>BY145+'02_Данные'!J145</f>
        <v/>
      </c>
      <c r="CA145" s="10">
        <f>MIN('02_Данные'!AJ145,BZ145)</f>
        <v/>
      </c>
      <c r="CB145" s="10">
        <f>BZ145-CA145</f>
        <v/>
      </c>
      <c r="CC145" s="10">
        <f>MIN('02_Данные'!AK145,CB145)</f>
        <v/>
      </c>
      <c r="CD145" s="10">
        <f>CB145-CC145</f>
        <v/>
      </c>
      <c r="CE145" s="10">
        <f>MIN('02_Данные'!AL145,CD145)</f>
        <v/>
      </c>
      <c r="CF145" s="10">
        <f>CD145-CE145</f>
        <v/>
      </c>
      <c r="CG145" s="10">
        <f>MIN('02_Данные'!AQ145,CF145)</f>
        <v/>
      </c>
      <c r="CH145" s="10">
        <f>CF145-CG145</f>
        <v/>
      </c>
      <c r="CI145" s="10">
        <f>MIN('02_Данные'!AN145,CH145)</f>
        <v/>
      </c>
      <c r="CJ145" s="10">
        <f>CH145-CI145</f>
        <v/>
      </c>
      <c r="CK145" s="10">
        <f>MIN('02_Данные'!AM145,CJ145)</f>
        <v/>
      </c>
      <c r="CL145" s="10">
        <f>CJ145-CK145</f>
        <v/>
      </c>
      <c r="CM145" s="10">
        <f>MIN('02_Данные'!AO145,CL145)</f>
        <v/>
      </c>
      <c r="CN145" s="10">
        <f>CL145-CM145</f>
        <v/>
      </c>
      <c r="CO145" s="10">
        <f>MIN('02_Данные'!AP145,CN145)</f>
        <v/>
      </c>
      <c r="CP145" s="10">
        <f>CN145-CO145</f>
        <v/>
      </c>
      <c r="CQ145" s="10">
        <f>CP145+'02_Данные'!K145</f>
        <v/>
      </c>
      <c r="CR145" s="10">
        <f>MIN('02_Данные'!AR145,CQ145)</f>
        <v/>
      </c>
      <c r="CS145" s="10">
        <f>CQ145-CR145</f>
        <v/>
      </c>
      <c r="CT145" s="10">
        <f>MIN('02_Данные'!AS145,CS145)</f>
        <v/>
      </c>
      <c r="CU145" s="10">
        <f>CS145-CT145</f>
        <v/>
      </c>
      <c r="CV145" s="10">
        <f>MIN('02_Данные'!AT145,CU145)</f>
        <v/>
      </c>
      <c r="CW145" s="10">
        <f>CU145-CV145</f>
        <v/>
      </c>
      <c r="CX145" s="10">
        <f>MIN('02_Данные'!AY145,CW145)</f>
        <v/>
      </c>
      <c r="CY145" s="10">
        <f>CW145-CX145</f>
        <v/>
      </c>
      <c r="CZ145" s="10">
        <f>MIN('02_Данные'!AV145,CY145)</f>
        <v/>
      </c>
      <c r="DA145" s="10">
        <f>CY145-CZ145</f>
        <v/>
      </c>
      <c r="DB145" s="10">
        <f>MIN('02_Данные'!AU145,DA145)</f>
        <v/>
      </c>
      <c r="DC145" s="10">
        <f>DA145-DB145</f>
        <v/>
      </c>
      <c r="DD145" s="10">
        <f>MIN('02_Данные'!AW145,DC145)</f>
        <v/>
      </c>
      <c r="DE145" s="10">
        <f>DC145-DD145</f>
        <v/>
      </c>
      <c r="DF145" s="10">
        <f>MIN('02_Данные'!AX145,DE145)</f>
        <v/>
      </c>
      <c r="DG145" s="10">
        <f>DE145-DF145</f>
        <v/>
      </c>
    </row>
    <row r="146">
      <c r="A146" s="9">
        <f>'02_Данные'!B146</f>
        <v/>
      </c>
      <c r="B146" s="9">
        <f>'02_Данные'!E146</f>
        <v/>
      </c>
      <c r="C146" s="10">
        <f>'02_Данные'!F146+'02_Данные'!G146+'02_Данные'!H146+'02_Данные'!I146+'02_Данные'!J146+'02_Данные'!K146</f>
        <v/>
      </c>
      <c r="D146" s="10">
        <f>SUM('02_Данные'!L146:'02_Данные'!AY146)</f>
        <v/>
      </c>
      <c r="E146" s="10">
        <f>MAX(0,D146-C146)</f>
        <v/>
      </c>
      <c r="F146" s="15">
        <f>IF(E146&gt;0.0001,"ДЕФИЦИТ",IF(Y146&gt;0.0001,"ПРОФИЦИТ","БАЛАНС"))</f>
        <v/>
      </c>
      <c r="G146" s="10">
        <f>AB146+AS146+BJ146+CA146+CR146</f>
        <v/>
      </c>
      <c r="H146" s="10">
        <f>AD146+AU146+BL146+CC146+CT146</f>
        <v/>
      </c>
      <c r="I146" s="10">
        <f>AF146+AW146+BN146+CE146+CV146</f>
        <v/>
      </c>
      <c r="J146" s="10">
        <f>AL146+BC146+BT146+CK146+DB146</f>
        <v/>
      </c>
      <c r="K146" s="10">
        <f>AJ146+BA146+BR146+CI146+CZ146</f>
        <v/>
      </c>
      <c r="L146" s="10">
        <f>AN146+BE146+BV146+CM146+DD146</f>
        <v/>
      </c>
      <c r="M146" s="10">
        <f>AP146+BG146+BX146+CO146+DF146</f>
        <v/>
      </c>
      <c r="N146" s="10">
        <f>AH146+AY146+BP146+CG146+CX146</f>
        <v/>
      </c>
      <c r="O146" s="10">
        <f>SUM(G146:N146)</f>
        <v/>
      </c>
      <c r="P146" s="10">
        <f>IFERROR(G146*MIN(1,'01_Нормативы'!$C$4/SUM(G$2:G$429)),0)</f>
        <v/>
      </c>
      <c r="Q146" s="10">
        <f>IFERROR(H146*MIN(1,'01_Нормативы'!$C$5/SUM(H$2:H$429)),0)</f>
        <v/>
      </c>
      <c r="R146" s="10">
        <f>IFERROR(I146*MIN(1,'01_Нормативы'!$C$6/SUM(I$2:I$429)),0)</f>
        <v/>
      </c>
      <c r="S146" s="10">
        <f>IFERROR(J146*MIN(1,'01_Нормативы'!$C$7/SUM(J$2:J$429)),0)</f>
        <v/>
      </c>
      <c r="T146" s="10">
        <f>IFERROR(K146*MIN(1,'01_Нормативы'!$C$8/SUM(K$2:K$429)),0)</f>
        <v/>
      </c>
      <c r="U146" s="10">
        <f>IFERROR(L146*MIN(1,'01_Нормативы'!$C$9/SUM(L$2:L$429)),0)</f>
        <v/>
      </c>
      <c r="V146" s="10">
        <f>IFERROR(M146*MIN(1,'01_Нормативы'!$C$10/SUM(M$2:M$429)),0)</f>
        <v/>
      </c>
      <c r="W146" s="10">
        <f>IFERROR(N146*MIN(1,'01_Нормативы'!$C$11/SUM(N$2:N$429)),0)</f>
        <v/>
      </c>
      <c r="X146" s="10">
        <f>SUM(P146:W146)</f>
        <v/>
      </c>
      <c r="Y146" s="10">
        <f>MAX(0,C146-X146)</f>
        <v/>
      </c>
      <c r="Z146" s="10">
        <f>IF(D146=0,100,X146/D146*100)</f>
        <v/>
      </c>
      <c r="AA146" s="10">
        <f>'02_Данные'!F146+'02_Данные'!G146</f>
        <v/>
      </c>
      <c r="AB146" s="10">
        <f>MIN('02_Данные'!L146,AA146)</f>
        <v/>
      </c>
      <c r="AC146" s="10">
        <f>AA146-AB146</f>
        <v/>
      </c>
      <c r="AD146" s="10">
        <f>MIN('02_Данные'!M146,AC146)</f>
        <v/>
      </c>
      <c r="AE146" s="10">
        <f>AC146-AD146</f>
        <v/>
      </c>
      <c r="AF146" s="10">
        <f>MIN('02_Данные'!N146,AE146)</f>
        <v/>
      </c>
      <c r="AG146" s="10">
        <f>AE146-AF146</f>
        <v/>
      </c>
      <c r="AH146" s="10">
        <f>MIN('02_Данные'!S146,AG146)</f>
        <v/>
      </c>
      <c r="AI146" s="10">
        <f>AG146-AH146</f>
        <v/>
      </c>
      <c r="AJ146" s="10">
        <f>MIN('02_Данные'!P146,AI146)</f>
        <v/>
      </c>
      <c r="AK146" s="10">
        <f>AI146-AJ146</f>
        <v/>
      </c>
      <c r="AL146" s="10">
        <f>MIN('02_Данные'!O146,AK146)</f>
        <v/>
      </c>
      <c r="AM146" s="10">
        <f>AK146-AL146</f>
        <v/>
      </c>
      <c r="AN146" s="10">
        <f>MIN('02_Данные'!Q146,AM146)</f>
        <v/>
      </c>
      <c r="AO146" s="10">
        <f>AM146-AN146</f>
        <v/>
      </c>
      <c r="AP146" s="10">
        <f>MIN('02_Данные'!R146,AO146)</f>
        <v/>
      </c>
      <c r="AQ146" s="10">
        <f>AO146-AP146</f>
        <v/>
      </c>
      <c r="AR146" s="10">
        <f>AQ146+'02_Данные'!H146</f>
        <v/>
      </c>
      <c r="AS146" s="10">
        <f>MIN('02_Данные'!T146,AR146)</f>
        <v/>
      </c>
      <c r="AT146" s="10">
        <f>AR146-AS146</f>
        <v/>
      </c>
      <c r="AU146" s="10">
        <f>MIN('02_Данные'!U146,AT146)</f>
        <v/>
      </c>
      <c r="AV146" s="10">
        <f>AT146-AU146</f>
        <v/>
      </c>
      <c r="AW146" s="10">
        <f>MIN('02_Данные'!V146,AV146)</f>
        <v/>
      </c>
      <c r="AX146" s="10">
        <f>AV146-AW146</f>
        <v/>
      </c>
      <c r="AY146" s="10">
        <f>MIN('02_Данные'!AA146,AX146)</f>
        <v/>
      </c>
      <c r="AZ146" s="10">
        <f>AX146-AY146</f>
        <v/>
      </c>
      <c r="BA146" s="10">
        <f>MIN('02_Данные'!X146,AZ146)</f>
        <v/>
      </c>
      <c r="BB146" s="10">
        <f>AZ146-BA146</f>
        <v/>
      </c>
      <c r="BC146" s="10">
        <f>MIN('02_Данные'!W146,BB146)</f>
        <v/>
      </c>
      <c r="BD146" s="10">
        <f>BB146-BC146</f>
        <v/>
      </c>
      <c r="BE146" s="10">
        <f>MIN('02_Данные'!Y146,BD146)</f>
        <v/>
      </c>
      <c r="BF146" s="10">
        <f>BD146-BE146</f>
        <v/>
      </c>
      <c r="BG146" s="10">
        <f>MIN('02_Данные'!Z146,BF146)</f>
        <v/>
      </c>
      <c r="BH146" s="10">
        <f>BF146-BG146</f>
        <v/>
      </c>
      <c r="BI146" s="10">
        <f>BH146+'02_Данные'!I146</f>
        <v/>
      </c>
      <c r="BJ146" s="10">
        <f>MIN('02_Данные'!AB146,BI146)</f>
        <v/>
      </c>
      <c r="BK146" s="10">
        <f>BI146-BJ146</f>
        <v/>
      </c>
      <c r="BL146" s="10">
        <f>MIN('02_Данные'!AC146,BK146)</f>
        <v/>
      </c>
      <c r="BM146" s="10">
        <f>BK146-BL146</f>
        <v/>
      </c>
      <c r="BN146" s="10">
        <f>MIN('02_Данные'!AD146,BM146)</f>
        <v/>
      </c>
      <c r="BO146" s="10">
        <f>BM146-BN146</f>
        <v/>
      </c>
      <c r="BP146" s="10">
        <f>MIN('02_Данные'!AI146,BO146)</f>
        <v/>
      </c>
      <c r="BQ146" s="10">
        <f>BO146-BP146</f>
        <v/>
      </c>
      <c r="BR146" s="10">
        <f>MIN('02_Данные'!AF146,BQ146)</f>
        <v/>
      </c>
      <c r="BS146" s="10">
        <f>BQ146-BR146</f>
        <v/>
      </c>
      <c r="BT146" s="10">
        <f>MIN('02_Данные'!AE146,BS146)</f>
        <v/>
      </c>
      <c r="BU146" s="10">
        <f>BS146-BT146</f>
        <v/>
      </c>
      <c r="BV146" s="10">
        <f>MIN('02_Данные'!AG146,BU146)</f>
        <v/>
      </c>
      <c r="BW146" s="10">
        <f>BU146-BV146</f>
        <v/>
      </c>
      <c r="BX146" s="10">
        <f>MIN('02_Данные'!AH146,BW146)</f>
        <v/>
      </c>
      <c r="BY146" s="10">
        <f>BW146-BX146</f>
        <v/>
      </c>
      <c r="BZ146" s="10">
        <f>BY146+'02_Данные'!J146</f>
        <v/>
      </c>
      <c r="CA146" s="10">
        <f>MIN('02_Данные'!AJ146,BZ146)</f>
        <v/>
      </c>
      <c r="CB146" s="10">
        <f>BZ146-CA146</f>
        <v/>
      </c>
      <c r="CC146" s="10">
        <f>MIN('02_Данные'!AK146,CB146)</f>
        <v/>
      </c>
      <c r="CD146" s="10">
        <f>CB146-CC146</f>
        <v/>
      </c>
      <c r="CE146" s="10">
        <f>MIN('02_Данные'!AL146,CD146)</f>
        <v/>
      </c>
      <c r="CF146" s="10">
        <f>CD146-CE146</f>
        <v/>
      </c>
      <c r="CG146" s="10">
        <f>MIN('02_Данные'!AQ146,CF146)</f>
        <v/>
      </c>
      <c r="CH146" s="10">
        <f>CF146-CG146</f>
        <v/>
      </c>
      <c r="CI146" s="10">
        <f>MIN('02_Данные'!AN146,CH146)</f>
        <v/>
      </c>
      <c r="CJ146" s="10">
        <f>CH146-CI146</f>
        <v/>
      </c>
      <c r="CK146" s="10">
        <f>MIN('02_Данные'!AM146,CJ146)</f>
        <v/>
      </c>
      <c r="CL146" s="10">
        <f>CJ146-CK146</f>
        <v/>
      </c>
      <c r="CM146" s="10">
        <f>MIN('02_Данные'!AO146,CL146)</f>
        <v/>
      </c>
      <c r="CN146" s="10">
        <f>CL146-CM146</f>
        <v/>
      </c>
      <c r="CO146" s="10">
        <f>MIN('02_Данные'!AP146,CN146)</f>
        <v/>
      </c>
      <c r="CP146" s="10">
        <f>CN146-CO146</f>
        <v/>
      </c>
      <c r="CQ146" s="10">
        <f>CP146+'02_Данные'!K146</f>
        <v/>
      </c>
      <c r="CR146" s="10">
        <f>MIN('02_Данные'!AR146,CQ146)</f>
        <v/>
      </c>
      <c r="CS146" s="10">
        <f>CQ146-CR146</f>
        <v/>
      </c>
      <c r="CT146" s="10">
        <f>MIN('02_Данные'!AS146,CS146)</f>
        <v/>
      </c>
      <c r="CU146" s="10">
        <f>CS146-CT146</f>
        <v/>
      </c>
      <c r="CV146" s="10">
        <f>MIN('02_Данные'!AT146,CU146)</f>
        <v/>
      </c>
      <c r="CW146" s="10">
        <f>CU146-CV146</f>
        <v/>
      </c>
      <c r="CX146" s="10">
        <f>MIN('02_Данные'!AY146,CW146)</f>
        <v/>
      </c>
      <c r="CY146" s="10">
        <f>CW146-CX146</f>
        <v/>
      </c>
      <c r="CZ146" s="10">
        <f>MIN('02_Данные'!AV146,CY146)</f>
        <v/>
      </c>
      <c r="DA146" s="10">
        <f>CY146-CZ146</f>
        <v/>
      </c>
      <c r="DB146" s="10">
        <f>MIN('02_Данные'!AU146,DA146)</f>
        <v/>
      </c>
      <c r="DC146" s="10">
        <f>DA146-DB146</f>
        <v/>
      </c>
      <c r="DD146" s="10">
        <f>MIN('02_Данные'!AW146,DC146)</f>
        <v/>
      </c>
      <c r="DE146" s="10">
        <f>DC146-DD146</f>
        <v/>
      </c>
      <c r="DF146" s="10">
        <f>MIN('02_Данные'!AX146,DE146)</f>
        <v/>
      </c>
      <c r="DG146" s="10">
        <f>DE146-DF146</f>
        <v/>
      </c>
    </row>
    <row r="147">
      <c r="A147" s="9">
        <f>'02_Данные'!B147</f>
        <v/>
      </c>
      <c r="B147" s="9">
        <f>'02_Данные'!E147</f>
        <v/>
      </c>
      <c r="C147" s="10">
        <f>'02_Данные'!F147+'02_Данные'!G147+'02_Данные'!H147+'02_Данные'!I147+'02_Данные'!J147+'02_Данные'!K147</f>
        <v/>
      </c>
      <c r="D147" s="10">
        <f>SUM('02_Данные'!L147:'02_Данные'!AY147)</f>
        <v/>
      </c>
      <c r="E147" s="10">
        <f>MAX(0,D147-C147)</f>
        <v/>
      </c>
      <c r="F147" s="15">
        <f>IF(E147&gt;0.0001,"ДЕФИЦИТ",IF(Y147&gt;0.0001,"ПРОФИЦИТ","БАЛАНС"))</f>
        <v/>
      </c>
      <c r="G147" s="10">
        <f>AB147+AS147+BJ147+CA147+CR147</f>
        <v/>
      </c>
      <c r="H147" s="10">
        <f>AD147+AU147+BL147+CC147+CT147</f>
        <v/>
      </c>
      <c r="I147" s="10">
        <f>AF147+AW147+BN147+CE147+CV147</f>
        <v/>
      </c>
      <c r="J147" s="10">
        <f>AL147+BC147+BT147+CK147+DB147</f>
        <v/>
      </c>
      <c r="K147" s="10">
        <f>AJ147+BA147+BR147+CI147+CZ147</f>
        <v/>
      </c>
      <c r="L147" s="10">
        <f>AN147+BE147+BV147+CM147+DD147</f>
        <v/>
      </c>
      <c r="M147" s="10">
        <f>AP147+BG147+BX147+CO147+DF147</f>
        <v/>
      </c>
      <c r="N147" s="10">
        <f>AH147+AY147+BP147+CG147+CX147</f>
        <v/>
      </c>
      <c r="O147" s="10">
        <f>SUM(G147:N147)</f>
        <v/>
      </c>
      <c r="P147" s="10">
        <f>IFERROR(G147*MIN(1,'01_Нормативы'!$C$4/SUM(G$2:G$429)),0)</f>
        <v/>
      </c>
      <c r="Q147" s="10">
        <f>IFERROR(H147*MIN(1,'01_Нормативы'!$C$5/SUM(H$2:H$429)),0)</f>
        <v/>
      </c>
      <c r="R147" s="10">
        <f>IFERROR(I147*MIN(1,'01_Нормативы'!$C$6/SUM(I$2:I$429)),0)</f>
        <v/>
      </c>
      <c r="S147" s="10">
        <f>IFERROR(J147*MIN(1,'01_Нормативы'!$C$7/SUM(J$2:J$429)),0)</f>
        <v/>
      </c>
      <c r="T147" s="10">
        <f>IFERROR(K147*MIN(1,'01_Нормативы'!$C$8/SUM(K$2:K$429)),0)</f>
        <v/>
      </c>
      <c r="U147" s="10">
        <f>IFERROR(L147*MIN(1,'01_Нормативы'!$C$9/SUM(L$2:L$429)),0)</f>
        <v/>
      </c>
      <c r="V147" s="10">
        <f>IFERROR(M147*MIN(1,'01_Нормативы'!$C$10/SUM(M$2:M$429)),0)</f>
        <v/>
      </c>
      <c r="W147" s="10">
        <f>IFERROR(N147*MIN(1,'01_Нормативы'!$C$11/SUM(N$2:N$429)),0)</f>
        <v/>
      </c>
      <c r="X147" s="10">
        <f>SUM(P147:W147)</f>
        <v/>
      </c>
      <c r="Y147" s="10">
        <f>MAX(0,C147-X147)</f>
        <v/>
      </c>
      <c r="Z147" s="10">
        <f>IF(D147=0,100,X147/D147*100)</f>
        <v/>
      </c>
      <c r="AA147" s="10">
        <f>'02_Данные'!F147+'02_Данные'!G147</f>
        <v/>
      </c>
      <c r="AB147" s="10">
        <f>MIN('02_Данные'!L147,AA147)</f>
        <v/>
      </c>
      <c r="AC147" s="10">
        <f>AA147-AB147</f>
        <v/>
      </c>
      <c r="AD147" s="10">
        <f>MIN('02_Данные'!M147,AC147)</f>
        <v/>
      </c>
      <c r="AE147" s="10">
        <f>AC147-AD147</f>
        <v/>
      </c>
      <c r="AF147" s="10">
        <f>MIN('02_Данные'!N147,AE147)</f>
        <v/>
      </c>
      <c r="AG147" s="10">
        <f>AE147-AF147</f>
        <v/>
      </c>
      <c r="AH147" s="10">
        <f>MIN('02_Данные'!S147,AG147)</f>
        <v/>
      </c>
      <c r="AI147" s="10">
        <f>AG147-AH147</f>
        <v/>
      </c>
      <c r="AJ147" s="10">
        <f>MIN('02_Данные'!P147,AI147)</f>
        <v/>
      </c>
      <c r="AK147" s="10">
        <f>AI147-AJ147</f>
        <v/>
      </c>
      <c r="AL147" s="10">
        <f>MIN('02_Данные'!O147,AK147)</f>
        <v/>
      </c>
      <c r="AM147" s="10">
        <f>AK147-AL147</f>
        <v/>
      </c>
      <c r="AN147" s="10">
        <f>MIN('02_Данные'!Q147,AM147)</f>
        <v/>
      </c>
      <c r="AO147" s="10">
        <f>AM147-AN147</f>
        <v/>
      </c>
      <c r="AP147" s="10">
        <f>MIN('02_Данные'!R147,AO147)</f>
        <v/>
      </c>
      <c r="AQ147" s="10">
        <f>AO147-AP147</f>
        <v/>
      </c>
      <c r="AR147" s="10">
        <f>AQ147+'02_Данные'!H147</f>
        <v/>
      </c>
      <c r="AS147" s="10">
        <f>MIN('02_Данные'!T147,AR147)</f>
        <v/>
      </c>
      <c r="AT147" s="10">
        <f>AR147-AS147</f>
        <v/>
      </c>
      <c r="AU147" s="10">
        <f>MIN('02_Данные'!U147,AT147)</f>
        <v/>
      </c>
      <c r="AV147" s="10">
        <f>AT147-AU147</f>
        <v/>
      </c>
      <c r="AW147" s="10">
        <f>MIN('02_Данные'!V147,AV147)</f>
        <v/>
      </c>
      <c r="AX147" s="10">
        <f>AV147-AW147</f>
        <v/>
      </c>
      <c r="AY147" s="10">
        <f>MIN('02_Данные'!AA147,AX147)</f>
        <v/>
      </c>
      <c r="AZ147" s="10">
        <f>AX147-AY147</f>
        <v/>
      </c>
      <c r="BA147" s="10">
        <f>MIN('02_Данные'!X147,AZ147)</f>
        <v/>
      </c>
      <c r="BB147" s="10">
        <f>AZ147-BA147</f>
        <v/>
      </c>
      <c r="BC147" s="10">
        <f>MIN('02_Данные'!W147,BB147)</f>
        <v/>
      </c>
      <c r="BD147" s="10">
        <f>BB147-BC147</f>
        <v/>
      </c>
      <c r="BE147" s="10">
        <f>MIN('02_Данные'!Y147,BD147)</f>
        <v/>
      </c>
      <c r="BF147" s="10">
        <f>BD147-BE147</f>
        <v/>
      </c>
      <c r="BG147" s="10">
        <f>MIN('02_Данные'!Z147,BF147)</f>
        <v/>
      </c>
      <c r="BH147" s="10">
        <f>BF147-BG147</f>
        <v/>
      </c>
      <c r="BI147" s="10">
        <f>BH147+'02_Данные'!I147</f>
        <v/>
      </c>
      <c r="BJ147" s="10">
        <f>MIN('02_Данные'!AB147,BI147)</f>
        <v/>
      </c>
      <c r="BK147" s="10">
        <f>BI147-BJ147</f>
        <v/>
      </c>
      <c r="BL147" s="10">
        <f>MIN('02_Данные'!AC147,BK147)</f>
        <v/>
      </c>
      <c r="BM147" s="10">
        <f>BK147-BL147</f>
        <v/>
      </c>
      <c r="BN147" s="10">
        <f>MIN('02_Данные'!AD147,BM147)</f>
        <v/>
      </c>
      <c r="BO147" s="10">
        <f>BM147-BN147</f>
        <v/>
      </c>
      <c r="BP147" s="10">
        <f>MIN('02_Данные'!AI147,BO147)</f>
        <v/>
      </c>
      <c r="BQ147" s="10">
        <f>BO147-BP147</f>
        <v/>
      </c>
      <c r="BR147" s="10">
        <f>MIN('02_Данные'!AF147,BQ147)</f>
        <v/>
      </c>
      <c r="BS147" s="10">
        <f>BQ147-BR147</f>
        <v/>
      </c>
      <c r="BT147" s="10">
        <f>MIN('02_Данные'!AE147,BS147)</f>
        <v/>
      </c>
      <c r="BU147" s="10">
        <f>BS147-BT147</f>
        <v/>
      </c>
      <c r="BV147" s="10">
        <f>MIN('02_Данные'!AG147,BU147)</f>
        <v/>
      </c>
      <c r="BW147" s="10">
        <f>BU147-BV147</f>
        <v/>
      </c>
      <c r="BX147" s="10">
        <f>MIN('02_Данные'!AH147,BW147)</f>
        <v/>
      </c>
      <c r="BY147" s="10">
        <f>BW147-BX147</f>
        <v/>
      </c>
      <c r="BZ147" s="10">
        <f>BY147+'02_Данные'!J147</f>
        <v/>
      </c>
      <c r="CA147" s="10">
        <f>MIN('02_Данные'!AJ147,BZ147)</f>
        <v/>
      </c>
      <c r="CB147" s="10">
        <f>BZ147-CA147</f>
        <v/>
      </c>
      <c r="CC147" s="10">
        <f>MIN('02_Данные'!AK147,CB147)</f>
        <v/>
      </c>
      <c r="CD147" s="10">
        <f>CB147-CC147</f>
        <v/>
      </c>
      <c r="CE147" s="10">
        <f>MIN('02_Данные'!AL147,CD147)</f>
        <v/>
      </c>
      <c r="CF147" s="10">
        <f>CD147-CE147</f>
        <v/>
      </c>
      <c r="CG147" s="10">
        <f>MIN('02_Данные'!AQ147,CF147)</f>
        <v/>
      </c>
      <c r="CH147" s="10">
        <f>CF147-CG147</f>
        <v/>
      </c>
      <c r="CI147" s="10">
        <f>MIN('02_Данные'!AN147,CH147)</f>
        <v/>
      </c>
      <c r="CJ147" s="10">
        <f>CH147-CI147</f>
        <v/>
      </c>
      <c r="CK147" s="10">
        <f>MIN('02_Данные'!AM147,CJ147)</f>
        <v/>
      </c>
      <c r="CL147" s="10">
        <f>CJ147-CK147</f>
        <v/>
      </c>
      <c r="CM147" s="10">
        <f>MIN('02_Данные'!AO147,CL147)</f>
        <v/>
      </c>
      <c r="CN147" s="10">
        <f>CL147-CM147</f>
        <v/>
      </c>
      <c r="CO147" s="10">
        <f>MIN('02_Данные'!AP147,CN147)</f>
        <v/>
      </c>
      <c r="CP147" s="10">
        <f>CN147-CO147</f>
        <v/>
      </c>
      <c r="CQ147" s="10">
        <f>CP147+'02_Данные'!K147</f>
        <v/>
      </c>
      <c r="CR147" s="10">
        <f>MIN('02_Данные'!AR147,CQ147)</f>
        <v/>
      </c>
      <c r="CS147" s="10">
        <f>CQ147-CR147</f>
        <v/>
      </c>
      <c r="CT147" s="10">
        <f>MIN('02_Данные'!AS147,CS147)</f>
        <v/>
      </c>
      <c r="CU147" s="10">
        <f>CS147-CT147</f>
        <v/>
      </c>
      <c r="CV147" s="10">
        <f>MIN('02_Данные'!AT147,CU147)</f>
        <v/>
      </c>
      <c r="CW147" s="10">
        <f>CU147-CV147</f>
        <v/>
      </c>
      <c r="CX147" s="10">
        <f>MIN('02_Данные'!AY147,CW147)</f>
        <v/>
      </c>
      <c r="CY147" s="10">
        <f>CW147-CX147</f>
        <v/>
      </c>
      <c r="CZ147" s="10">
        <f>MIN('02_Данные'!AV147,CY147)</f>
        <v/>
      </c>
      <c r="DA147" s="10">
        <f>CY147-CZ147</f>
        <v/>
      </c>
      <c r="DB147" s="10">
        <f>MIN('02_Данные'!AU147,DA147)</f>
        <v/>
      </c>
      <c r="DC147" s="10">
        <f>DA147-DB147</f>
        <v/>
      </c>
      <c r="DD147" s="10">
        <f>MIN('02_Данные'!AW147,DC147)</f>
        <v/>
      </c>
      <c r="DE147" s="10">
        <f>DC147-DD147</f>
        <v/>
      </c>
      <c r="DF147" s="10">
        <f>MIN('02_Данные'!AX147,DE147)</f>
        <v/>
      </c>
      <c r="DG147" s="10">
        <f>DE147-DF147</f>
        <v/>
      </c>
    </row>
    <row r="148">
      <c r="A148" s="9">
        <f>'02_Данные'!B148</f>
        <v/>
      </c>
      <c r="B148" s="9">
        <f>'02_Данные'!E148</f>
        <v/>
      </c>
      <c r="C148" s="10">
        <f>'02_Данные'!F148+'02_Данные'!G148+'02_Данные'!H148+'02_Данные'!I148+'02_Данные'!J148+'02_Данные'!K148</f>
        <v/>
      </c>
      <c r="D148" s="10">
        <f>SUM('02_Данные'!L148:'02_Данные'!AY148)</f>
        <v/>
      </c>
      <c r="E148" s="10">
        <f>MAX(0,D148-C148)</f>
        <v/>
      </c>
      <c r="F148" s="15">
        <f>IF(E148&gt;0.0001,"ДЕФИЦИТ",IF(Y148&gt;0.0001,"ПРОФИЦИТ","БАЛАНС"))</f>
        <v/>
      </c>
      <c r="G148" s="10">
        <f>AB148+AS148+BJ148+CA148+CR148</f>
        <v/>
      </c>
      <c r="H148" s="10">
        <f>AD148+AU148+BL148+CC148+CT148</f>
        <v/>
      </c>
      <c r="I148" s="10">
        <f>AF148+AW148+BN148+CE148+CV148</f>
        <v/>
      </c>
      <c r="J148" s="10">
        <f>AL148+BC148+BT148+CK148+DB148</f>
        <v/>
      </c>
      <c r="K148" s="10">
        <f>AJ148+BA148+BR148+CI148+CZ148</f>
        <v/>
      </c>
      <c r="L148" s="10">
        <f>AN148+BE148+BV148+CM148+DD148</f>
        <v/>
      </c>
      <c r="M148" s="10">
        <f>AP148+BG148+BX148+CO148+DF148</f>
        <v/>
      </c>
      <c r="N148" s="10">
        <f>AH148+AY148+BP148+CG148+CX148</f>
        <v/>
      </c>
      <c r="O148" s="10">
        <f>SUM(G148:N148)</f>
        <v/>
      </c>
      <c r="P148" s="10">
        <f>IFERROR(G148*MIN(1,'01_Нормативы'!$C$4/SUM(G$2:G$429)),0)</f>
        <v/>
      </c>
      <c r="Q148" s="10">
        <f>IFERROR(H148*MIN(1,'01_Нормативы'!$C$5/SUM(H$2:H$429)),0)</f>
        <v/>
      </c>
      <c r="R148" s="10">
        <f>IFERROR(I148*MIN(1,'01_Нормативы'!$C$6/SUM(I$2:I$429)),0)</f>
        <v/>
      </c>
      <c r="S148" s="10">
        <f>IFERROR(J148*MIN(1,'01_Нормативы'!$C$7/SUM(J$2:J$429)),0)</f>
        <v/>
      </c>
      <c r="T148" s="10">
        <f>IFERROR(K148*MIN(1,'01_Нормативы'!$C$8/SUM(K$2:K$429)),0)</f>
        <v/>
      </c>
      <c r="U148" s="10">
        <f>IFERROR(L148*MIN(1,'01_Нормативы'!$C$9/SUM(L$2:L$429)),0)</f>
        <v/>
      </c>
      <c r="V148" s="10">
        <f>IFERROR(M148*MIN(1,'01_Нормативы'!$C$10/SUM(M$2:M$429)),0)</f>
        <v/>
      </c>
      <c r="W148" s="10">
        <f>IFERROR(N148*MIN(1,'01_Нормативы'!$C$11/SUM(N$2:N$429)),0)</f>
        <v/>
      </c>
      <c r="X148" s="10">
        <f>SUM(P148:W148)</f>
        <v/>
      </c>
      <c r="Y148" s="10">
        <f>MAX(0,C148-X148)</f>
        <v/>
      </c>
      <c r="Z148" s="10">
        <f>IF(D148=0,100,X148/D148*100)</f>
        <v/>
      </c>
      <c r="AA148" s="10">
        <f>'02_Данные'!F148+'02_Данные'!G148</f>
        <v/>
      </c>
      <c r="AB148" s="10">
        <f>MIN('02_Данные'!L148,AA148)</f>
        <v/>
      </c>
      <c r="AC148" s="10">
        <f>AA148-AB148</f>
        <v/>
      </c>
      <c r="AD148" s="10">
        <f>MIN('02_Данные'!M148,AC148)</f>
        <v/>
      </c>
      <c r="AE148" s="10">
        <f>AC148-AD148</f>
        <v/>
      </c>
      <c r="AF148" s="10">
        <f>MIN('02_Данные'!N148,AE148)</f>
        <v/>
      </c>
      <c r="AG148" s="10">
        <f>AE148-AF148</f>
        <v/>
      </c>
      <c r="AH148" s="10">
        <f>MIN('02_Данные'!S148,AG148)</f>
        <v/>
      </c>
      <c r="AI148" s="10">
        <f>AG148-AH148</f>
        <v/>
      </c>
      <c r="AJ148" s="10">
        <f>MIN('02_Данные'!P148,AI148)</f>
        <v/>
      </c>
      <c r="AK148" s="10">
        <f>AI148-AJ148</f>
        <v/>
      </c>
      <c r="AL148" s="10">
        <f>MIN('02_Данные'!O148,AK148)</f>
        <v/>
      </c>
      <c r="AM148" s="10">
        <f>AK148-AL148</f>
        <v/>
      </c>
      <c r="AN148" s="10">
        <f>MIN('02_Данные'!Q148,AM148)</f>
        <v/>
      </c>
      <c r="AO148" s="10">
        <f>AM148-AN148</f>
        <v/>
      </c>
      <c r="AP148" s="10">
        <f>MIN('02_Данные'!R148,AO148)</f>
        <v/>
      </c>
      <c r="AQ148" s="10">
        <f>AO148-AP148</f>
        <v/>
      </c>
      <c r="AR148" s="10">
        <f>AQ148+'02_Данные'!H148</f>
        <v/>
      </c>
      <c r="AS148" s="10">
        <f>MIN('02_Данные'!T148,AR148)</f>
        <v/>
      </c>
      <c r="AT148" s="10">
        <f>AR148-AS148</f>
        <v/>
      </c>
      <c r="AU148" s="10">
        <f>MIN('02_Данные'!U148,AT148)</f>
        <v/>
      </c>
      <c r="AV148" s="10">
        <f>AT148-AU148</f>
        <v/>
      </c>
      <c r="AW148" s="10">
        <f>MIN('02_Данные'!V148,AV148)</f>
        <v/>
      </c>
      <c r="AX148" s="10">
        <f>AV148-AW148</f>
        <v/>
      </c>
      <c r="AY148" s="10">
        <f>MIN('02_Данные'!AA148,AX148)</f>
        <v/>
      </c>
      <c r="AZ148" s="10">
        <f>AX148-AY148</f>
        <v/>
      </c>
      <c r="BA148" s="10">
        <f>MIN('02_Данные'!X148,AZ148)</f>
        <v/>
      </c>
      <c r="BB148" s="10">
        <f>AZ148-BA148</f>
        <v/>
      </c>
      <c r="BC148" s="10">
        <f>MIN('02_Данные'!W148,BB148)</f>
        <v/>
      </c>
      <c r="BD148" s="10">
        <f>BB148-BC148</f>
        <v/>
      </c>
      <c r="BE148" s="10">
        <f>MIN('02_Данные'!Y148,BD148)</f>
        <v/>
      </c>
      <c r="BF148" s="10">
        <f>BD148-BE148</f>
        <v/>
      </c>
      <c r="BG148" s="10">
        <f>MIN('02_Данные'!Z148,BF148)</f>
        <v/>
      </c>
      <c r="BH148" s="10">
        <f>BF148-BG148</f>
        <v/>
      </c>
      <c r="BI148" s="10">
        <f>BH148+'02_Данные'!I148</f>
        <v/>
      </c>
      <c r="BJ148" s="10">
        <f>MIN('02_Данные'!AB148,BI148)</f>
        <v/>
      </c>
      <c r="BK148" s="10">
        <f>BI148-BJ148</f>
        <v/>
      </c>
      <c r="BL148" s="10">
        <f>MIN('02_Данные'!AC148,BK148)</f>
        <v/>
      </c>
      <c r="BM148" s="10">
        <f>BK148-BL148</f>
        <v/>
      </c>
      <c r="BN148" s="10">
        <f>MIN('02_Данные'!AD148,BM148)</f>
        <v/>
      </c>
      <c r="BO148" s="10">
        <f>BM148-BN148</f>
        <v/>
      </c>
      <c r="BP148" s="10">
        <f>MIN('02_Данные'!AI148,BO148)</f>
        <v/>
      </c>
      <c r="BQ148" s="10">
        <f>BO148-BP148</f>
        <v/>
      </c>
      <c r="BR148" s="10">
        <f>MIN('02_Данные'!AF148,BQ148)</f>
        <v/>
      </c>
      <c r="BS148" s="10">
        <f>BQ148-BR148</f>
        <v/>
      </c>
      <c r="BT148" s="10">
        <f>MIN('02_Данные'!AE148,BS148)</f>
        <v/>
      </c>
      <c r="BU148" s="10">
        <f>BS148-BT148</f>
        <v/>
      </c>
      <c r="BV148" s="10">
        <f>MIN('02_Данные'!AG148,BU148)</f>
        <v/>
      </c>
      <c r="BW148" s="10">
        <f>BU148-BV148</f>
        <v/>
      </c>
      <c r="BX148" s="10">
        <f>MIN('02_Данные'!AH148,BW148)</f>
        <v/>
      </c>
      <c r="BY148" s="10">
        <f>BW148-BX148</f>
        <v/>
      </c>
      <c r="BZ148" s="10">
        <f>BY148+'02_Данные'!J148</f>
        <v/>
      </c>
      <c r="CA148" s="10">
        <f>MIN('02_Данные'!AJ148,BZ148)</f>
        <v/>
      </c>
      <c r="CB148" s="10">
        <f>BZ148-CA148</f>
        <v/>
      </c>
      <c r="CC148" s="10">
        <f>MIN('02_Данные'!AK148,CB148)</f>
        <v/>
      </c>
      <c r="CD148" s="10">
        <f>CB148-CC148</f>
        <v/>
      </c>
      <c r="CE148" s="10">
        <f>MIN('02_Данные'!AL148,CD148)</f>
        <v/>
      </c>
      <c r="CF148" s="10">
        <f>CD148-CE148</f>
        <v/>
      </c>
      <c r="CG148" s="10">
        <f>MIN('02_Данные'!AQ148,CF148)</f>
        <v/>
      </c>
      <c r="CH148" s="10">
        <f>CF148-CG148</f>
        <v/>
      </c>
      <c r="CI148" s="10">
        <f>MIN('02_Данные'!AN148,CH148)</f>
        <v/>
      </c>
      <c r="CJ148" s="10">
        <f>CH148-CI148</f>
        <v/>
      </c>
      <c r="CK148" s="10">
        <f>MIN('02_Данные'!AM148,CJ148)</f>
        <v/>
      </c>
      <c r="CL148" s="10">
        <f>CJ148-CK148</f>
        <v/>
      </c>
      <c r="CM148" s="10">
        <f>MIN('02_Данные'!AO148,CL148)</f>
        <v/>
      </c>
      <c r="CN148" s="10">
        <f>CL148-CM148</f>
        <v/>
      </c>
      <c r="CO148" s="10">
        <f>MIN('02_Данные'!AP148,CN148)</f>
        <v/>
      </c>
      <c r="CP148" s="10">
        <f>CN148-CO148</f>
        <v/>
      </c>
      <c r="CQ148" s="10">
        <f>CP148+'02_Данные'!K148</f>
        <v/>
      </c>
      <c r="CR148" s="10">
        <f>MIN('02_Данные'!AR148,CQ148)</f>
        <v/>
      </c>
      <c r="CS148" s="10">
        <f>CQ148-CR148</f>
        <v/>
      </c>
      <c r="CT148" s="10">
        <f>MIN('02_Данные'!AS148,CS148)</f>
        <v/>
      </c>
      <c r="CU148" s="10">
        <f>CS148-CT148</f>
        <v/>
      </c>
      <c r="CV148" s="10">
        <f>MIN('02_Данные'!AT148,CU148)</f>
        <v/>
      </c>
      <c r="CW148" s="10">
        <f>CU148-CV148</f>
        <v/>
      </c>
      <c r="CX148" s="10">
        <f>MIN('02_Данные'!AY148,CW148)</f>
        <v/>
      </c>
      <c r="CY148" s="10">
        <f>CW148-CX148</f>
        <v/>
      </c>
      <c r="CZ148" s="10">
        <f>MIN('02_Данные'!AV148,CY148)</f>
        <v/>
      </c>
      <c r="DA148" s="10">
        <f>CY148-CZ148</f>
        <v/>
      </c>
      <c r="DB148" s="10">
        <f>MIN('02_Данные'!AU148,DA148)</f>
        <v/>
      </c>
      <c r="DC148" s="10">
        <f>DA148-DB148</f>
        <v/>
      </c>
      <c r="DD148" s="10">
        <f>MIN('02_Данные'!AW148,DC148)</f>
        <v/>
      </c>
      <c r="DE148" s="10">
        <f>DC148-DD148</f>
        <v/>
      </c>
      <c r="DF148" s="10">
        <f>MIN('02_Данные'!AX148,DE148)</f>
        <v/>
      </c>
      <c r="DG148" s="10">
        <f>DE148-DF148</f>
        <v/>
      </c>
    </row>
    <row r="149">
      <c r="A149" s="9">
        <f>'02_Данные'!B149</f>
        <v/>
      </c>
      <c r="B149" s="9">
        <f>'02_Данные'!E149</f>
        <v/>
      </c>
      <c r="C149" s="10">
        <f>'02_Данные'!F149+'02_Данные'!G149+'02_Данные'!H149+'02_Данные'!I149+'02_Данные'!J149+'02_Данные'!K149</f>
        <v/>
      </c>
      <c r="D149" s="10">
        <f>SUM('02_Данные'!L149:'02_Данные'!AY149)</f>
        <v/>
      </c>
      <c r="E149" s="10">
        <f>MAX(0,D149-C149)</f>
        <v/>
      </c>
      <c r="F149" s="15">
        <f>IF(E149&gt;0.0001,"ДЕФИЦИТ",IF(Y149&gt;0.0001,"ПРОФИЦИТ","БАЛАНС"))</f>
        <v/>
      </c>
      <c r="G149" s="10">
        <f>AB149+AS149+BJ149+CA149+CR149</f>
        <v/>
      </c>
      <c r="H149" s="10">
        <f>AD149+AU149+BL149+CC149+CT149</f>
        <v/>
      </c>
      <c r="I149" s="10">
        <f>AF149+AW149+BN149+CE149+CV149</f>
        <v/>
      </c>
      <c r="J149" s="10">
        <f>AL149+BC149+BT149+CK149+DB149</f>
        <v/>
      </c>
      <c r="K149" s="10">
        <f>AJ149+BA149+BR149+CI149+CZ149</f>
        <v/>
      </c>
      <c r="L149" s="10">
        <f>AN149+BE149+BV149+CM149+DD149</f>
        <v/>
      </c>
      <c r="M149" s="10">
        <f>AP149+BG149+BX149+CO149+DF149</f>
        <v/>
      </c>
      <c r="N149" s="10">
        <f>AH149+AY149+BP149+CG149+CX149</f>
        <v/>
      </c>
      <c r="O149" s="10">
        <f>SUM(G149:N149)</f>
        <v/>
      </c>
      <c r="P149" s="10">
        <f>IFERROR(G149*MIN(1,'01_Нормативы'!$C$4/SUM(G$2:G$429)),0)</f>
        <v/>
      </c>
      <c r="Q149" s="10">
        <f>IFERROR(H149*MIN(1,'01_Нормативы'!$C$5/SUM(H$2:H$429)),0)</f>
        <v/>
      </c>
      <c r="R149" s="10">
        <f>IFERROR(I149*MIN(1,'01_Нормативы'!$C$6/SUM(I$2:I$429)),0)</f>
        <v/>
      </c>
      <c r="S149" s="10">
        <f>IFERROR(J149*MIN(1,'01_Нормативы'!$C$7/SUM(J$2:J$429)),0)</f>
        <v/>
      </c>
      <c r="T149" s="10">
        <f>IFERROR(K149*MIN(1,'01_Нормативы'!$C$8/SUM(K$2:K$429)),0)</f>
        <v/>
      </c>
      <c r="U149" s="10">
        <f>IFERROR(L149*MIN(1,'01_Нормативы'!$C$9/SUM(L$2:L$429)),0)</f>
        <v/>
      </c>
      <c r="V149" s="10">
        <f>IFERROR(M149*MIN(1,'01_Нормативы'!$C$10/SUM(M$2:M$429)),0)</f>
        <v/>
      </c>
      <c r="W149" s="10">
        <f>IFERROR(N149*MIN(1,'01_Нормативы'!$C$11/SUM(N$2:N$429)),0)</f>
        <v/>
      </c>
      <c r="X149" s="10">
        <f>SUM(P149:W149)</f>
        <v/>
      </c>
      <c r="Y149" s="10">
        <f>MAX(0,C149-X149)</f>
        <v/>
      </c>
      <c r="Z149" s="10">
        <f>IF(D149=0,100,X149/D149*100)</f>
        <v/>
      </c>
      <c r="AA149" s="10">
        <f>'02_Данные'!F149+'02_Данные'!G149</f>
        <v/>
      </c>
      <c r="AB149" s="10">
        <f>MIN('02_Данные'!L149,AA149)</f>
        <v/>
      </c>
      <c r="AC149" s="10">
        <f>AA149-AB149</f>
        <v/>
      </c>
      <c r="AD149" s="10">
        <f>MIN('02_Данные'!M149,AC149)</f>
        <v/>
      </c>
      <c r="AE149" s="10">
        <f>AC149-AD149</f>
        <v/>
      </c>
      <c r="AF149" s="10">
        <f>MIN('02_Данные'!N149,AE149)</f>
        <v/>
      </c>
      <c r="AG149" s="10">
        <f>AE149-AF149</f>
        <v/>
      </c>
      <c r="AH149" s="10">
        <f>MIN('02_Данные'!S149,AG149)</f>
        <v/>
      </c>
      <c r="AI149" s="10">
        <f>AG149-AH149</f>
        <v/>
      </c>
      <c r="AJ149" s="10">
        <f>MIN('02_Данные'!P149,AI149)</f>
        <v/>
      </c>
      <c r="AK149" s="10">
        <f>AI149-AJ149</f>
        <v/>
      </c>
      <c r="AL149" s="10">
        <f>MIN('02_Данные'!O149,AK149)</f>
        <v/>
      </c>
      <c r="AM149" s="10">
        <f>AK149-AL149</f>
        <v/>
      </c>
      <c r="AN149" s="10">
        <f>MIN('02_Данные'!Q149,AM149)</f>
        <v/>
      </c>
      <c r="AO149" s="10">
        <f>AM149-AN149</f>
        <v/>
      </c>
      <c r="AP149" s="10">
        <f>MIN('02_Данные'!R149,AO149)</f>
        <v/>
      </c>
      <c r="AQ149" s="10">
        <f>AO149-AP149</f>
        <v/>
      </c>
      <c r="AR149" s="10">
        <f>AQ149+'02_Данные'!H149</f>
        <v/>
      </c>
      <c r="AS149" s="10">
        <f>MIN('02_Данные'!T149,AR149)</f>
        <v/>
      </c>
      <c r="AT149" s="10">
        <f>AR149-AS149</f>
        <v/>
      </c>
      <c r="AU149" s="10">
        <f>MIN('02_Данные'!U149,AT149)</f>
        <v/>
      </c>
      <c r="AV149" s="10">
        <f>AT149-AU149</f>
        <v/>
      </c>
      <c r="AW149" s="10">
        <f>MIN('02_Данные'!V149,AV149)</f>
        <v/>
      </c>
      <c r="AX149" s="10">
        <f>AV149-AW149</f>
        <v/>
      </c>
      <c r="AY149" s="10">
        <f>MIN('02_Данные'!AA149,AX149)</f>
        <v/>
      </c>
      <c r="AZ149" s="10">
        <f>AX149-AY149</f>
        <v/>
      </c>
      <c r="BA149" s="10">
        <f>MIN('02_Данные'!X149,AZ149)</f>
        <v/>
      </c>
      <c r="BB149" s="10">
        <f>AZ149-BA149</f>
        <v/>
      </c>
      <c r="BC149" s="10">
        <f>MIN('02_Данные'!W149,BB149)</f>
        <v/>
      </c>
      <c r="BD149" s="10">
        <f>BB149-BC149</f>
        <v/>
      </c>
      <c r="BE149" s="10">
        <f>MIN('02_Данные'!Y149,BD149)</f>
        <v/>
      </c>
      <c r="BF149" s="10">
        <f>BD149-BE149</f>
        <v/>
      </c>
      <c r="BG149" s="10">
        <f>MIN('02_Данные'!Z149,BF149)</f>
        <v/>
      </c>
      <c r="BH149" s="10">
        <f>BF149-BG149</f>
        <v/>
      </c>
      <c r="BI149" s="10">
        <f>BH149+'02_Данные'!I149</f>
        <v/>
      </c>
      <c r="BJ149" s="10">
        <f>MIN('02_Данные'!AB149,BI149)</f>
        <v/>
      </c>
      <c r="BK149" s="10">
        <f>BI149-BJ149</f>
        <v/>
      </c>
      <c r="BL149" s="10">
        <f>MIN('02_Данные'!AC149,BK149)</f>
        <v/>
      </c>
      <c r="BM149" s="10">
        <f>BK149-BL149</f>
        <v/>
      </c>
      <c r="BN149" s="10">
        <f>MIN('02_Данные'!AD149,BM149)</f>
        <v/>
      </c>
      <c r="BO149" s="10">
        <f>BM149-BN149</f>
        <v/>
      </c>
      <c r="BP149" s="10">
        <f>MIN('02_Данные'!AI149,BO149)</f>
        <v/>
      </c>
      <c r="BQ149" s="10">
        <f>BO149-BP149</f>
        <v/>
      </c>
      <c r="BR149" s="10">
        <f>MIN('02_Данные'!AF149,BQ149)</f>
        <v/>
      </c>
      <c r="BS149" s="10">
        <f>BQ149-BR149</f>
        <v/>
      </c>
      <c r="BT149" s="10">
        <f>MIN('02_Данные'!AE149,BS149)</f>
        <v/>
      </c>
      <c r="BU149" s="10">
        <f>BS149-BT149</f>
        <v/>
      </c>
      <c r="BV149" s="10">
        <f>MIN('02_Данные'!AG149,BU149)</f>
        <v/>
      </c>
      <c r="BW149" s="10">
        <f>BU149-BV149</f>
        <v/>
      </c>
      <c r="BX149" s="10">
        <f>MIN('02_Данные'!AH149,BW149)</f>
        <v/>
      </c>
      <c r="BY149" s="10">
        <f>BW149-BX149</f>
        <v/>
      </c>
      <c r="BZ149" s="10">
        <f>BY149+'02_Данные'!J149</f>
        <v/>
      </c>
      <c r="CA149" s="10">
        <f>MIN('02_Данные'!AJ149,BZ149)</f>
        <v/>
      </c>
      <c r="CB149" s="10">
        <f>BZ149-CA149</f>
        <v/>
      </c>
      <c r="CC149" s="10">
        <f>MIN('02_Данные'!AK149,CB149)</f>
        <v/>
      </c>
      <c r="CD149" s="10">
        <f>CB149-CC149</f>
        <v/>
      </c>
      <c r="CE149" s="10">
        <f>MIN('02_Данные'!AL149,CD149)</f>
        <v/>
      </c>
      <c r="CF149" s="10">
        <f>CD149-CE149</f>
        <v/>
      </c>
      <c r="CG149" s="10">
        <f>MIN('02_Данные'!AQ149,CF149)</f>
        <v/>
      </c>
      <c r="CH149" s="10">
        <f>CF149-CG149</f>
        <v/>
      </c>
      <c r="CI149" s="10">
        <f>MIN('02_Данные'!AN149,CH149)</f>
        <v/>
      </c>
      <c r="CJ149" s="10">
        <f>CH149-CI149</f>
        <v/>
      </c>
      <c r="CK149" s="10">
        <f>MIN('02_Данные'!AM149,CJ149)</f>
        <v/>
      </c>
      <c r="CL149" s="10">
        <f>CJ149-CK149</f>
        <v/>
      </c>
      <c r="CM149" s="10">
        <f>MIN('02_Данные'!AO149,CL149)</f>
        <v/>
      </c>
      <c r="CN149" s="10">
        <f>CL149-CM149</f>
        <v/>
      </c>
      <c r="CO149" s="10">
        <f>MIN('02_Данные'!AP149,CN149)</f>
        <v/>
      </c>
      <c r="CP149" s="10">
        <f>CN149-CO149</f>
        <v/>
      </c>
      <c r="CQ149" s="10">
        <f>CP149+'02_Данные'!K149</f>
        <v/>
      </c>
      <c r="CR149" s="10">
        <f>MIN('02_Данные'!AR149,CQ149)</f>
        <v/>
      </c>
      <c r="CS149" s="10">
        <f>CQ149-CR149</f>
        <v/>
      </c>
      <c r="CT149" s="10">
        <f>MIN('02_Данные'!AS149,CS149)</f>
        <v/>
      </c>
      <c r="CU149" s="10">
        <f>CS149-CT149</f>
        <v/>
      </c>
      <c r="CV149" s="10">
        <f>MIN('02_Данные'!AT149,CU149)</f>
        <v/>
      </c>
      <c r="CW149" s="10">
        <f>CU149-CV149</f>
        <v/>
      </c>
      <c r="CX149" s="10">
        <f>MIN('02_Данные'!AY149,CW149)</f>
        <v/>
      </c>
      <c r="CY149" s="10">
        <f>CW149-CX149</f>
        <v/>
      </c>
      <c r="CZ149" s="10">
        <f>MIN('02_Данные'!AV149,CY149)</f>
        <v/>
      </c>
      <c r="DA149" s="10">
        <f>CY149-CZ149</f>
        <v/>
      </c>
      <c r="DB149" s="10">
        <f>MIN('02_Данные'!AU149,DA149)</f>
        <v/>
      </c>
      <c r="DC149" s="10">
        <f>DA149-DB149</f>
        <v/>
      </c>
      <c r="DD149" s="10">
        <f>MIN('02_Данные'!AW149,DC149)</f>
        <v/>
      </c>
      <c r="DE149" s="10">
        <f>DC149-DD149</f>
        <v/>
      </c>
      <c r="DF149" s="10">
        <f>MIN('02_Данные'!AX149,DE149)</f>
        <v/>
      </c>
      <c r="DG149" s="10">
        <f>DE149-DF149</f>
        <v/>
      </c>
    </row>
    <row r="150">
      <c r="A150" s="9">
        <f>'02_Данные'!B150</f>
        <v/>
      </c>
      <c r="B150" s="9">
        <f>'02_Данные'!E150</f>
        <v/>
      </c>
      <c r="C150" s="10">
        <f>'02_Данные'!F150+'02_Данные'!G150+'02_Данные'!H150+'02_Данные'!I150+'02_Данные'!J150+'02_Данные'!K150</f>
        <v/>
      </c>
      <c r="D150" s="10">
        <f>SUM('02_Данные'!L150:'02_Данные'!AY150)</f>
        <v/>
      </c>
      <c r="E150" s="10">
        <f>MAX(0,D150-C150)</f>
        <v/>
      </c>
      <c r="F150" s="15">
        <f>IF(E150&gt;0.0001,"ДЕФИЦИТ",IF(Y150&gt;0.0001,"ПРОФИЦИТ","БАЛАНС"))</f>
        <v/>
      </c>
      <c r="G150" s="10">
        <f>AB150+AS150+BJ150+CA150+CR150</f>
        <v/>
      </c>
      <c r="H150" s="10">
        <f>AD150+AU150+BL150+CC150+CT150</f>
        <v/>
      </c>
      <c r="I150" s="10">
        <f>AF150+AW150+BN150+CE150+CV150</f>
        <v/>
      </c>
      <c r="J150" s="10">
        <f>AL150+BC150+BT150+CK150+DB150</f>
        <v/>
      </c>
      <c r="K150" s="10">
        <f>AJ150+BA150+BR150+CI150+CZ150</f>
        <v/>
      </c>
      <c r="L150" s="10">
        <f>AN150+BE150+BV150+CM150+DD150</f>
        <v/>
      </c>
      <c r="M150" s="10">
        <f>AP150+BG150+BX150+CO150+DF150</f>
        <v/>
      </c>
      <c r="N150" s="10">
        <f>AH150+AY150+BP150+CG150+CX150</f>
        <v/>
      </c>
      <c r="O150" s="10">
        <f>SUM(G150:N150)</f>
        <v/>
      </c>
      <c r="P150" s="10">
        <f>IFERROR(G150*MIN(1,'01_Нормативы'!$C$4/SUM(G$2:G$429)),0)</f>
        <v/>
      </c>
      <c r="Q150" s="10">
        <f>IFERROR(H150*MIN(1,'01_Нормативы'!$C$5/SUM(H$2:H$429)),0)</f>
        <v/>
      </c>
      <c r="R150" s="10">
        <f>IFERROR(I150*MIN(1,'01_Нормативы'!$C$6/SUM(I$2:I$429)),0)</f>
        <v/>
      </c>
      <c r="S150" s="10">
        <f>IFERROR(J150*MIN(1,'01_Нормативы'!$C$7/SUM(J$2:J$429)),0)</f>
        <v/>
      </c>
      <c r="T150" s="10">
        <f>IFERROR(K150*MIN(1,'01_Нормативы'!$C$8/SUM(K$2:K$429)),0)</f>
        <v/>
      </c>
      <c r="U150" s="10">
        <f>IFERROR(L150*MIN(1,'01_Нормативы'!$C$9/SUM(L$2:L$429)),0)</f>
        <v/>
      </c>
      <c r="V150" s="10">
        <f>IFERROR(M150*MIN(1,'01_Нормативы'!$C$10/SUM(M$2:M$429)),0)</f>
        <v/>
      </c>
      <c r="W150" s="10">
        <f>IFERROR(N150*MIN(1,'01_Нормативы'!$C$11/SUM(N$2:N$429)),0)</f>
        <v/>
      </c>
      <c r="X150" s="10">
        <f>SUM(P150:W150)</f>
        <v/>
      </c>
      <c r="Y150" s="10">
        <f>MAX(0,C150-X150)</f>
        <v/>
      </c>
      <c r="Z150" s="10">
        <f>IF(D150=0,100,X150/D150*100)</f>
        <v/>
      </c>
      <c r="AA150" s="10">
        <f>'02_Данные'!F150+'02_Данные'!G150</f>
        <v/>
      </c>
      <c r="AB150" s="10">
        <f>MIN('02_Данные'!L150,AA150)</f>
        <v/>
      </c>
      <c r="AC150" s="10">
        <f>AA150-AB150</f>
        <v/>
      </c>
      <c r="AD150" s="10">
        <f>MIN('02_Данные'!M150,AC150)</f>
        <v/>
      </c>
      <c r="AE150" s="10">
        <f>AC150-AD150</f>
        <v/>
      </c>
      <c r="AF150" s="10">
        <f>MIN('02_Данные'!N150,AE150)</f>
        <v/>
      </c>
      <c r="AG150" s="10">
        <f>AE150-AF150</f>
        <v/>
      </c>
      <c r="AH150" s="10">
        <f>MIN('02_Данные'!S150,AG150)</f>
        <v/>
      </c>
      <c r="AI150" s="10">
        <f>AG150-AH150</f>
        <v/>
      </c>
      <c r="AJ150" s="10">
        <f>MIN('02_Данные'!P150,AI150)</f>
        <v/>
      </c>
      <c r="AK150" s="10">
        <f>AI150-AJ150</f>
        <v/>
      </c>
      <c r="AL150" s="10">
        <f>MIN('02_Данные'!O150,AK150)</f>
        <v/>
      </c>
      <c r="AM150" s="10">
        <f>AK150-AL150</f>
        <v/>
      </c>
      <c r="AN150" s="10">
        <f>MIN('02_Данные'!Q150,AM150)</f>
        <v/>
      </c>
      <c r="AO150" s="10">
        <f>AM150-AN150</f>
        <v/>
      </c>
      <c r="AP150" s="10">
        <f>MIN('02_Данные'!R150,AO150)</f>
        <v/>
      </c>
      <c r="AQ150" s="10">
        <f>AO150-AP150</f>
        <v/>
      </c>
      <c r="AR150" s="10">
        <f>AQ150+'02_Данные'!H150</f>
        <v/>
      </c>
      <c r="AS150" s="10">
        <f>MIN('02_Данные'!T150,AR150)</f>
        <v/>
      </c>
      <c r="AT150" s="10">
        <f>AR150-AS150</f>
        <v/>
      </c>
      <c r="AU150" s="10">
        <f>MIN('02_Данные'!U150,AT150)</f>
        <v/>
      </c>
      <c r="AV150" s="10">
        <f>AT150-AU150</f>
        <v/>
      </c>
      <c r="AW150" s="10">
        <f>MIN('02_Данные'!V150,AV150)</f>
        <v/>
      </c>
      <c r="AX150" s="10">
        <f>AV150-AW150</f>
        <v/>
      </c>
      <c r="AY150" s="10">
        <f>MIN('02_Данные'!AA150,AX150)</f>
        <v/>
      </c>
      <c r="AZ150" s="10">
        <f>AX150-AY150</f>
        <v/>
      </c>
      <c r="BA150" s="10">
        <f>MIN('02_Данные'!X150,AZ150)</f>
        <v/>
      </c>
      <c r="BB150" s="10">
        <f>AZ150-BA150</f>
        <v/>
      </c>
      <c r="BC150" s="10">
        <f>MIN('02_Данные'!W150,BB150)</f>
        <v/>
      </c>
      <c r="BD150" s="10">
        <f>BB150-BC150</f>
        <v/>
      </c>
      <c r="BE150" s="10">
        <f>MIN('02_Данные'!Y150,BD150)</f>
        <v/>
      </c>
      <c r="BF150" s="10">
        <f>BD150-BE150</f>
        <v/>
      </c>
      <c r="BG150" s="10">
        <f>MIN('02_Данные'!Z150,BF150)</f>
        <v/>
      </c>
      <c r="BH150" s="10">
        <f>BF150-BG150</f>
        <v/>
      </c>
      <c r="BI150" s="10">
        <f>BH150+'02_Данные'!I150</f>
        <v/>
      </c>
      <c r="BJ150" s="10">
        <f>MIN('02_Данные'!AB150,BI150)</f>
        <v/>
      </c>
      <c r="BK150" s="10">
        <f>BI150-BJ150</f>
        <v/>
      </c>
      <c r="BL150" s="10">
        <f>MIN('02_Данные'!AC150,BK150)</f>
        <v/>
      </c>
      <c r="BM150" s="10">
        <f>BK150-BL150</f>
        <v/>
      </c>
      <c r="BN150" s="10">
        <f>MIN('02_Данные'!AD150,BM150)</f>
        <v/>
      </c>
      <c r="BO150" s="10">
        <f>BM150-BN150</f>
        <v/>
      </c>
      <c r="BP150" s="10">
        <f>MIN('02_Данные'!AI150,BO150)</f>
        <v/>
      </c>
      <c r="BQ150" s="10">
        <f>BO150-BP150</f>
        <v/>
      </c>
      <c r="BR150" s="10">
        <f>MIN('02_Данные'!AF150,BQ150)</f>
        <v/>
      </c>
      <c r="BS150" s="10">
        <f>BQ150-BR150</f>
        <v/>
      </c>
      <c r="BT150" s="10">
        <f>MIN('02_Данные'!AE150,BS150)</f>
        <v/>
      </c>
      <c r="BU150" s="10">
        <f>BS150-BT150</f>
        <v/>
      </c>
      <c r="BV150" s="10">
        <f>MIN('02_Данные'!AG150,BU150)</f>
        <v/>
      </c>
      <c r="BW150" s="10">
        <f>BU150-BV150</f>
        <v/>
      </c>
      <c r="BX150" s="10">
        <f>MIN('02_Данные'!AH150,BW150)</f>
        <v/>
      </c>
      <c r="BY150" s="10">
        <f>BW150-BX150</f>
        <v/>
      </c>
      <c r="BZ150" s="10">
        <f>BY150+'02_Данные'!J150</f>
        <v/>
      </c>
      <c r="CA150" s="10">
        <f>MIN('02_Данные'!AJ150,BZ150)</f>
        <v/>
      </c>
      <c r="CB150" s="10">
        <f>BZ150-CA150</f>
        <v/>
      </c>
      <c r="CC150" s="10">
        <f>MIN('02_Данные'!AK150,CB150)</f>
        <v/>
      </c>
      <c r="CD150" s="10">
        <f>CB150-CC150</f>
        <v/>
      </c>
      <c r="CE150" s="10">
        <f>MIN('02_Данные'!AL150,CD150)</f>
        <v/>
      </c>
      <c r="CF150" s="10">
        <f>CD150-CE150</f>
        <v/>
      </c>
      <c r="CG150" s="10">
        <f>MIN('02_Данные'!AQ150,CF150)</f>
        <v/>
      </c>
      <c r="CH150" s="10">
        <f>CF150-CG150</f>
        <v/>
      </c>
      <c r="CI150" s="10">
        <f>MIN('02_Данные'!AN150,CH150)</f>
        <v/>
      </c>
      <c r="CJ150" s="10">
        <f>CH150-CI150</f>
        <v/>
      </c>
      <c r="CK150" s="10">
        <f>MIN('02_Данные'!AM150,CJ150)</f>
        <v/>
      </c>
      <c r="CL150" s="10">
        <f>CJ150-CK150</f>
        <v/>
      </c>
      <c r="CM150" s="10">
        <f>MIN('02_Данные'!AO150,CL150)</f>
        <v/>
      </c>
      <c r="CN150" s="10">
        <f>CL150-CM150</f>
        <v/>
      </c>
      <c r="CO150" s="10">
        <f>MIN('02_Данные'!AP150,CN150)</f>
        <v/>
      </c>
      <c r="CP150" s="10">
        <f>CN150-CO150</f>
        <v/>
      </c>
      <c r="CQ150" s="10">
        <f>CP150+'02_Данные'!K150</f>
        <v/>
      </c>
      <c r="CR150" s="10">
        <f>MIN('02_Данные'!AR150,CQ150)</f>
        <v/>
      </c>
      <c r="CS150" s="10">
        <f>CQ150-CR150</f>
        <v/>
      </c>
      <c r="CT150" s="10">
        <f>MIN('02_Данные'!AS150,CS150)</f>
        <v/>
      </c>
      <c r="CU150" s="10">
        <f>CS150-CT150</f>
        <v/>
      </c>
      <c r="CV150" s="10">
        <f>MIN('02_Данные'!AT150,CU150)</f>
        <v/>
      </c>
      <c r="CW150" s="10">
        <f>CU150-CV150</f>
        <v/>
      </c>
      <c r="CX150" s="10">
        <f>MIN('02_Данные'!AY150,CW150)</f>
        <v/>
      </c>
      <c r="CY150" s="10">
        <f>CW150-CX150</f>
        <v/>
      </c>
      <c r="CZ150" s="10">
        <f>MIN('02_Данные'!AV150,CY150)</f>
        <v/>
      </c>
      <c r="DA150" s="10">
        <f>CY150-CZ150</f>
        <v/>
      </c>
      <c r="DB150" s="10">
        <f>MIN('02_Данные'!AU150,DA150)</f>
        <v/>
      </c>
      <c r="DC150" s="10">
        <f>DA150-DB150</f>
        <v/>
      </c>
      <c r="DD150" s="10">
        <f>MIN('02_Данные'!AW150,DC150)</f>
        <v/>
      </c>
      <c r="DE150" s="10">
        <f>DC150-DD150</f>
        <v/>
      </c>
      <c r="DF150" s="10">
        <f>MIN('02_Данные'!AX150,DE150)</f>
        <v/>
      </c>
      <c r="DG150" s="10">
        <f>DE150-DF150</f>
        <v/>
      </c>
    </row>
    <row r="151">
      <c r="A151" s="9">
        <f>'02_Данные'!B151</f>
        <v/>
      </c>
      <c r="B151" s="9">
        <f>'02_Данные'!E151</f>
        <v/>
      </c>
      <c r="C151" s="10">
        <f>'02_Данные'!F151+'02_Данные'!G151+'02_Данные'!H151+'02_Данные'!I151+'02_Данные'!J151+'02_Данные'!K151</f>
        <v/>
      </c>
      <c r="D151" s="10">
        <f>SUM('02_Данные'!L151:'02_Данные'!AY151)</f>
        <v/>
      </c>
      <c r="E151" s="10">
        <f>MAX(0,D151-C151)</f>
        <v/>
      </c>
      <c r="F151" s="15">
        <f>IF(E151&gt;0.0001,"ДЕФИЦИТ",IF(Y151&gt;0.0001,"ПРОФИЦИТ","БАЛАНС"))</f>
        <v/>
      </c>
      <c r="G151" s="10">
        <f>AB151+AS151+BJ151+CA151+CR151</f>
        <v/>
      </c>
      <c r="H151" s="10">
        <f>AD151+AU151+BL151+CC151+CT151</f>
        <v/>
      </c>
      <c r="I151" s="10">
        <f>AF151+AW151+BN151+CE151+CV151</f>
        <v/>
      </c>
      <c r="J151" s="10">
        <f>AL151+BC151+BT151+CK151+DB151</f>
        <v/>
      </c>
      <c r="K151" s="10">
        <f>AJ151+BA151+BR151+CI151+CZ151</f>
        <v/>
      </c>
      <c r="L151" s="10">
        <f>AN151+BE151+BV151+CM151+DD151</f>
        <v/>
      </c>
      <c r="M151" s="10">
        <f>AP151+BG151+BX151+CO151+DF151</f>
        <v/>
      </c>
      <c r="N151" s="10">
        <f>AH151+AY151+BP151+CG151+CX151</f>
        <v/>
      </c>
      <c r="O151" s="10">
        <f>SUM(G151:N151)</f>
        <v/>
      </c>
      <c r="P151" s="10">
        <f>IFERROR(G151*MIN(1,'01_Нормативы'!$C$4/SUM(G$2:G$429)),0)</f>
        <v/>
      </c>
      <c r="Q151" s="10">
        <f>IFERROR(H151*MIN(1,'01_Нормативы'!$C$5/SUM(H$2:H$429)),0)</f>
        <v/>
      </c>
      <c r="R151" s="10">
        <f>IFERROR(I151*MIN(1,'01_Нормативы'!$C$6/SUM(I$2:I$429)),0)</f>
        <v/>
      </c>
      <c r="S151" s="10">
        <f>IFERROR(J151*MIN(1,'01_Нормативы'!$C$7/SUM(J$2:J$429)),0)</f>
        <v/>
      </c>
      <c r="T151" s="10">
        <f>IFERROR(K151*MIN(1,'01_Нормативы'!$C$8/SUM(K$2:K$429)),0)</f>
        <v/>
      </c>
      <c r="U151" s="10">
        <f>IFERROR(L151*MIN(1,'01_Нормативы'!$C$9/SUM(L$2:L$429)),0)</f>
        <v/>
      </c>
      <c r="V151" s="10">
        <f>IFERROR(M151*MIN(1,'01_Нормативы'!$C$10/SUM(M$2:M$429)),0)</f>
        <v/>
      </c>
      <c r="W151" s="10">
        <f>IFERROR(N151*MIN(1,'01_Нормативы'!$C$11/SUM(N$2:N$429)),0)</f>
        <v/>
      </c>
      <c r="X151" s="10">
        <f>SUM(P151:W151)</f>
        <v/>
      </c>
      <c r="Y151" s="10">
        <f>MAX(0,C151-X151)</f>
        <v/>
      </c>
      <c r="Z151" s="10">
        <f>IF(D151=0,100,X151/D151*100)</f>
        <v/>
      </c>
      <c r="AA151" s="10">
        <f>'02_Данные'!F151+'02_Данные'!G151</f>
        <v/>
      </c>
      <c r="AB151" s="10">
        <f>MIN('02_Данные'!L151,AA151)</f>
        <v/>
      </c>
      <c r="AC151" s="10">
        <f>AA151-AB151</f>
        <v/>
      </c>
      <c r="AD151" s="10">
        <f>MIN('02_Данные'!M151,AC151)</f>
        <v/>
      </c>
      <c r="AE151" s="10">
        <f>AC151-AD151</f>
        <v/>
      </c>
      <c r="AF151" s="10">
        <f>MIN('02_Данные'!N151,AE151)</f>
        <v/>
      </c>
      <c r="AG151" s="10">
        <f>AE151-AF151</f>
        <v/>
      </c>
      <c r="AH151" s="10">
        <f>MIN('02_Данные'!S151,AG151)</f>
        <v/>
      </c>
      <c r="AI151" s="10">
        <f>AG151-AH151</f>
        <v/>
      </c>
      <c r="AJ151" s="10">
        <f>MIN('02_Данные'!P151,AI151)</f>
        <v/>
      </c>
      <c r="AK151" s="10">
        <f>AI151-AJ151</f>
        <v/>
      </c>
      <c r="AL151" s="10">
        <f>MIN('02_Данные'!O151,AK151)</f>
        <v/>
      </c>
      <c r="AM151" s="10">
        <f>AK151-AL151</f>
        <v/>
      </c>
      <c r="AN151" s="10">
        <f>MIN('02_Данные'!Q151,AM151)</f>
        <v/>
      </c>
      <c r="AO151" s="10">
        <f>AM151-AN151</f>
        <v/>
      </c>
      <c r="AP151" s="10">
        <f>MIN('02_Данные'!R151,AO151)</f>
        <v/>
      </c>
      <c r="AQ151" s="10">
        <f>AO151-AP151</f>
        <v/>
      </c>
      <c r="AR151" s="10">
        <f>AQ151+'02_Данные'!H151</f>
        <v/>
      </c>
      <c r="AS151" s="10">
        <f>MIN('02_Данные'!T151,AR151)</f>
        <v/>
      </c>
      <c r="AT151" s="10">
        <f>AR151-AS151</f>
        <v/>
      </c>
      <c r="AU151" s="10">
        <f>MIN('02_Данные'!U151,AT151)</f>
        <v/>
      </c>
      <c r="AV151" s="10">
        <f>AT151-AU151</f>
        <v/>
      </c>
      <c r="AW151" s="10">
        <f>MIN('02_Данные'!V151,AV151)</f>
        <v/>
      </c>
      <c r="AX151" s="10">
        <f>AV151-AW151</f>
        <v/>
      </c>
      <c r="AY151" s="10">
        <f>MIN('02_Данные'!AA151,AX151)</f>
        <v/>
      </c>
      <c r="AZ151" s="10">
        <f>AX151-AY151</f>
        <v/>
      </c>
      <c r="BA151" s="10">
        <f>MIN('02_Данные'!X151,AZ151)</f>
        <v/>
      </c>
      <c r="BB151" s="10">
        <f>AZ151-BA151</f>
        <v/>
      </c>
      <c r="BC151" s="10">
        <f>MIN('02_Данные'!W151,BB151)</f>
        <v/>
      </c>
      <c r="BD151" s="10">
        <f>BB151-BC151</f>
        <v/>
      </c>
      <c r="BE151" s="10">
        <f>MIN('02_Данные'!Y151,BD151)</f>
        <v/>
      </c>
      <c r="BF151" s="10">
        <f>BD151-BE151</f>
        <v/>
      </c>
      <c r="BG151" s="10">
        <f>MIN('02_Данные'!Z151,BF151)</f>
        <v/>
      </c>
      <c r="BH151" s="10">
        <f>BF151-BG151</f>
        <v/>
      </c>
      <c r="BI151" s="10">
        <f>BH151+'02_Данные'!I151</f>
        <v/>
      </c>
      <c r="BJ151" s="10">
        <f>MIN('02_Данные'!AB151,BI151)</f>
        <v/>
      </c>
      <c r="BK151" s="10">
        <f>BI151-BJ151</f>
        <v/>
      </c>
      <c r="BL151" s="10">
        <f>MIN('02_Данные'!AC151,BK151)</f>
        <v/>
      </c>
      <c r="BM151" s="10">
        <f>BK151-BL151</f>
        <v/>
      </c>
      <c r="BN151" s="10">
        <f>MIN('02_Данные'!AD151,BM151)</f>
        <v/>
      </c>
      <c r="BO151" s="10">
        <f>BM151-BN151</f>
        <v/>
      </c>
      <c r="BP151" s="10">
        <f>MIN('02_Данные'!AI151,BO151)</f>
        <v/>
      </c>
      <c r="BQ151" s="10">
        <f>BO151-BP151</f>
        <v/>
      </c>
      <c r="BR151" s="10">
        <f>MIN('02_Данные'!AF151,BQ151)</f>
        <v/>
      </c>
      <c r="BS151" s="10">
        <f>BQ151-BR151</f>
        <v/>
      </c>
      <c r="BT151" s="10">
        <f>MIN('02_Данные'!AE151,BS151)</f>
        <v/>
      </c>
      <c r="BU151" s="10">
        <f>BS151-BT151</f>
        <v/>
      </c>
      <c r="BV151" s="10">
        <f>MIN('02_Данные'!AG151,BU151)</f>
        <v/>
      </c>
      <c r="BW151" s="10">
        <f>BU151-BV151</f>
        <v/>
      </c>
      <c r="BX151" s="10">
        <f>MIN('02_Данные'!AH151,BW151)</f>
        <v/>
      </c>
      <c r="BY151" s="10">
        <f>BW151-BX151</f>
        <v/>
      </c>
      <c r="BZ151" s="10">
        <f>BY151+'02_Данные'!J151</f>
        <v/>
      </c>
      <c r="CA151" s="10">
        <f>MIN('02_Данные'!AJ151,BZ151)</f>
        <v/>
      </c>
      <c r="CB151" s="10">
        <f>BZ151-CA151</f>
        <v/>
      </c>
      <c r="CC151" s="10">
        <f>MIN('02_Данные'!AK151,CB151)</f>
        <v/>
      </c>
      <c r="CD151" s="10">
        <f>CB151-CC151</f>
        <v/>
      </c>
      <c r="CE151" s="10">
        <f>MIN('02_Данные'!AL151,CD151)</f>
        <v/>
      </c>
      <c r="CF151" s="10">
        <f>CD151-CE151</f>
        <v/>
      </c>
      <c r="CG151" s="10">
        <f>MIN('02_Данные'!AQ151,CF151)</f>
        <v/>
      </c>
      <c r="CH151" s="10">
        <f>CF151-CG151</f>
        <v/>
      </c>
      <c r="CI151" s="10">
        <f>MIN('02_Данные'!AN151,CH151)</f>
        <v/>
      </c>
      <c r="CJ151" s="10">
        <f>CH151-CI151</f>
        <v/>
      </c>
      <c r="CK151" s="10">
        <f>MIN('02_Данные'!AM151,CJ151)</f>
        <v/>
      </c>
      <c r="CL151" s="10">
        <f>CJ151-CK151</f>
        <v/>
      </c>
      <c r="CM151" s="10">
        <f>MIN('02_Данные'!AO151,CL151)</f>
        <v/>
      </c>
      <c r="CN151" s="10">
        <f>CL151-CM151</f>
        <v/>
      </c>
      <c r="CO151" s="10">
        <f>MIN('02_Данные'!AP151,CN151)</f>
        <v/>
      </c>
      <c r="CP151" s="10">
        <f>CN151-CO151</f>
        <v/>
      </c>
      <c r="CQ151" s="10">
        <f>CP151+'02_Данные'!K151</f>
        <v/>
      </c>
      <c r="CR151" s="10">
        <f>MIN('02_Данные'!AR151,CQ151)</f>
        <v/>
      </c>
      <c r="CS151" s="10">
        <f>CQ151-CR151</f>
        <v/>
      </c>
      <c r="CT151" s="10">
        <f>MIN('02_Данные'!AS151,CS151)</f>
        <v/>
      </c>
      <c r="CU151" s="10">
        <f>CS151-CT151</f>
        <v/>
      </c>
      <c r="CV151" s="10">
        <f>MIN('02_Данные'!AT151,CU151)</f>
        <v/>
      </c>
      <c r="CW151" s="10">
        <f>CU151-CV151</f>
        <v/>
      </c>
      <c r="CX151" s="10">
        <f>MIN('02_Данные'!AY151,CW151)</f>
        <v/>
      </c>
      <c r="CY151" s="10">
        <f>CW151-CX151</f>
        <v/>
      </c>
      <c r="CZ151" s="10">
        <f>MIN('02_Данные'!AV151,CY151)</f>
        <v/>
      </c>
      <c r="DA151" s="10">
        <f>CY151-CZ151</f>
        <v/>
      </c>
      <c r="DB151" s="10">
        <f>MIN('02_Данные'!AU151,DA151)</f>
        <v/>
      </c>
      <c r="DC151" s="10">
        <f>DA151-DB151</f>
        <v/>
      </c>
      <c r="DD151" s="10">
        <f>MIN('02_Данные'!AW151,DC151)</f>
        <v/>
      </c>
      <c r="DE151" s="10">
        <f>DC151-DD151</f>
        <v/>
      </c>
      <c r="DF151" s="10">
        <f>MIN('02_Данные'!AX151,DE151)</f>
        <v/>
      </c>
      <c r="DG151" s="10">
        <f>DE151-DF151</f>
        <v/>
      </c>
    </row>
    <row r="152">
      <c r="A152" s="9">
        <f>'02_Данные'!B152</f>
        <v/>
      </c>
      <c r="B152" s="9">
        <f>'02_Данные'!E152</f>
        <v/>
      </c>
      <c r="C152" s="10">
        <f>'02_Данные'!F152+'02_Данные'!G152+'02_Данные'!H152+'02_Данные'!I152+'02_Данные'!J152+'02_Данные'!K152</f>
        <v/>
      </c>
      <c r="D152" s="10">
        <f>SUM('02_Данные'!L152:'02_Данные'!AY152)</f>
        <v/>
      </c>
      <c r="E152" s="10">
        <f>MAX(0,D152-C152)</f>
        <v/>
      </c>
      <c r="F152" s="15">
        <f>IF(E152&gt;0.0001,"ДЕФИЦИТ",IF(Y152&gt;0.0001,"ПРОФИЦИТ","БАЛАНС"))</f>
        <v/>
      </c>
      <c r="G152" s="10">
        <f>AB152+AS152+BJ152+CA152+CR152</f>
        <v/>
      </c>
      <c r="H152" s="10">
        <f>AD152+AU152+BL152+CC152+CT152</f>
        <v/>
      </c>
      <c r="I152" s="10">
        <f>AF152+AW152+BN152+CE152+CV152</f>
        <v/>
      </c>
      <c r="J152" s="10">
        <f>AL152+BC152+BT152+CK152+DB152</f>
        <v/>
      </c>
      <c r="K152" s="10">
        <f>AJ152+BA152+BR152+CI152+CZ152</f>
        <v/>
      </c>
      <c r="L152" s="10">
        <f>AN152+BE152+BV152+CM152+DD152</f>
        <v/>
      </c>
      <c r="M152" s="10">
        <f>AP152+BG152+BX152+CO152+DF152</f>
        <v/>
      </c>
      <c r="N152" s="10">
        <f>AH152+AY152+BP152+CG152+CX152</f>
        <v/>
      </c>
      <c r="O152" s="10">
        <f>SUM(G152:N152)</f>
        <v/>
      </c>
      <c r="P152" s="10">
        <f>IFERROR(G152*MIN(1,'01_Нормативы'!$C$4/SUM(G$2:G$429)),0)</f>
        <v/>
      </c>
      <c r="Q152" s="10">
        <f>IFERROR(H152*MIN(1,'01_Нормативы'!$C$5/SUM(H$2:H$429)),0)</f>
        <v/>
      </c>
      <c r="R152" s="10">
        <f>IFERROR(I152*MIN(1,'01_Нормативы'!$C$6/SUM(I$2:I$429)),0)</f>
        <v/>
      </c>
      <c r="S152" s="10">
        <f>IFERROR(J152*MIN(1,'01_Нормативы'!$C$7/SUM(J$2:J$429)),0)</f>
        <v/>
      </c>
      <c r="T152" s="10">
        <f>IFERROR(K152*MIN(1,'01_Нормативы'!$C$8/SUM(K$2:K$429)),0)</f>
        <v/>
      </c>
      <c r="U152" s="10">
        <f>IFERROR(L152*MIN(1,'01_Нормативы'!$C$9/SUM(L$2:L$429)),0)</f>
        <v/>
      </c>
      <c r="V152" s="10">
        <f>IFERROR(M152*MIN(1,'01_Нормативы'!$C$10/SUM(M$2:M$429)),0)</f>
        <v/>
      </c>
      <c r="W152" s="10">
        <f>IFERROR(N152*MIN(1,'01_Нормативы'!$C$11/SUM(N$2:N$429)),0)</f>
        <v/>
      </c>
      <c r="X152" s="10">
        <f>SUM(P152:W152)</f>
        <v/>
      </c>
      <c r="Y152" s="10">
        <f>MAX(0,C152-X152)</f>
        <v/>
      </c>
      <c r="Z152" s="10">
        <f>IF(D152=0,100,X152/D152*100)</f>
        <v/>
      </c>
      <c r="AA152" s="10">
        <f>'02_Данные'!F152+'02_Данные'!G152</f>
        <v/>
      </c>
      <c r="AB152" s="10">
        <f>MIN('02_Данные'!L152,AA152)</f>
        <v/>
      </c>
      <c r="AC152" s="10">
        <f>AA152-AB152</f>
        <v/>
      </c>
      <c r="AD152" s="10">
        <f>MIN('02_Данные'!M152,AC152)</f>
        <v/>
      </c>
      <c r="AE152" s="10">
        <f>AC152-AD152</f>
        <v/>
      </c>
      <c r="AF152" s="10">
        <f>MIN('02_Данные'!N152,AE152)</f>
        <v/>
      </c>
      <c r="AG152" s="10">
        <f>AE152-AF152</f>
        <v/>
      </c>
      <c r="AH152" s="10">
        <f>MIN('02_Данные'!S152,AG152)</f>
        <v/>
      </c>
      <c r="AI152" s="10">
        <f>AG152-AH152</f>
        <v/>
      </c>
      <c r="AJ152" s="10">
        <f>MIN('02_Данные'!P152,AI152)</f>
        <v/>
      </c>
      <c r="AK152" s="10">
        <f>AI152-AJ152</f>
        <v/>
      </c>
      <c r="AL152" s="10">
        <f>MIN('02_Данные'!O152,AK152)</f>
        <v/>
      </c>
      <c r="AM152" s="10">
        <f>AK152-AL152</f>
        <v/>
      </c>
      <c r="AN152" s="10">
        <f>MIN('02_Данные'!Q152,AM152)</f>
        <v/>
      </c>
      <c r="AO152" s="10">
        <f>AM152-AN152</f>
        <v/>
      </c>
      <c r="AP152" s="10">
        <f>MIN('02_Данные'!R152,AO152)</f>
        <v/>
      </c>
      <c r="AQ152" s="10">
        <f>AO152-AP152</f>
        <v/>
      </c>
      <c r="AR152" s="10">
        <f>AQ152+'02_Данные'!H152</f>
        <v/>
      </c>
      <c r="AS152" s="10">
        <f>MIN('02_Данные'!T152,AR152)</f>
        <v/>
      </c>
      <c r="AT152" s="10">
        <f>AR152-AS152</f>
        <v/>
      </c>
      <c r="AU152" s="10">
        <f>MIN('02_Данные'!U152,AT152)</f>
        <v/>
      </c>
      <c r="AV152" s="10">
        <f>AT152-AU152</f>
        <v/>
      </c>
      <c r="AW152" s="10">
        <f>MIN('02_Данные'!V152,AV152)</f>
        <v/>
      </c>
      <c r="AX152" s="10">
        <f>AV152-AW152</f>
        <v/>
      </c>
      <c r="AY152" s="10">
        <f>MIN('02_Данные'!AA152,AX152)</f>
        <v/>
      </c>
      <c r="AZ152" s="10">
        <f>AX152-AY152</f>
        <v/>
      </c>
      <c r="BA152" s="10">
        <f>MIN('02_Данные'!X152,AZ152)</f>
        <v/>
      </c>
      <c r="BB152" s="10">
        <f>AZ152-BA152</f>
        <v/>
      </c>
      <c r="BC152" s="10">
        <f>MIN('02_Данные'!W152,BB152)</f>
        <v/>
      </c>
      <c r="BD152" s="10">
        <f>BB152-BC152</f>
        <v/>
      </c>
      <c r="BE152" s="10">
        <f>MIN('02_Данные'!Y152,BD152)</f>
        <v/>
      </c>
      <c r="BF152" s="10">
        <f>BD152-BE152</f>
        <v/>
      </c>
      <c r="BG152" s="10">
        <f>MIN('02_Данные'!Z152,BF152)</f>
        <v/>
      </c>
      <c r="BH152" s="10">
        <f>BF152-BG152</f>
        <v/>
      </c>
      <c r="BI152" s="10">
        <f>BH152+'02_Данные'!I152</f>
        <v/>
      </c>
      <c r="BJ152" s="10">
        <f>MIN('02_Данные'!AB152,BI152)</f>
        <v/>
      </c>
      <c r="BK152" s="10">
        <f>BI152-BJ152</f>
        <v/>
      </c>
      <c r="BL152" s="10">
        <f>MIN('02_Данные'!AC152,BK152)</f>
        <v/>
      </c>
      <c r="BM152" s="10">
        <f>BK152-BL152</f>
        <v/>
      </c>
      <c r="BN152" s="10">
        <f>MIN('02_Данные'!AD152,BM152)</f>
        <v/>
      </c>
      <c r="BO152" s="10">
        <f>BM152-BN152</f>
        <v/>
      </c>
      <c r="BP152" s="10">
        <f>MIN('02_Данные'!AI152,BO152)</f>
        <v/>
      </c>
      <c r="BQ152" s="10">
        <f>BO152-BP152</f>
        <v/>
      </c>
      <c r="BR152" s="10">
        <f>MIN('02_Данные'!AF152,BQ152)</f>
        <v/>
      </c>
      <c r="BS152" s="10">
        <f>BQ152-BR152</f>
        <v/>
      </c>
      <c r="BT152" s="10">
        <f>MIN('02_Данные'!AE152,BS152)</f>
        <v/>
      </c>
      <c r="BU152" s="10">
        <f>BS152-BT152</f>
        <v/>
      </c>
      <c r="BV152" s="10">
        <f>MIN('02_Данные'!AG152,BU152)</f>
        <v/>
      </c>
      <c r="BW152" s="10">
        <f>BU152-BV152</f>
        <v/>
      </c>
      <c r="BX152" s="10">
        <f>MIN('02_Данные'!AH152,BW152)</f>
        <v/>
      </c>
      <c r="BY152" s="10">
        <f>BW152-BX152</f>
        <v/>
      </c>
      <c r="BZ152" s="10">
        <f>BY152+'02_Данные'!J152</f>
        <v/>
      </c>
      <c r="CA152" s="10">
        <f>MIN('02_Данные'!AJ152,BZ152)</f>
        <v/>
      </c>
      <c r="CB152" s="10">
        <f>BZ152-CA152</f>
        <v/>
      </c>
      <c r="CC152" s="10">
        <f>MIN('02_Данные'!AK152,CB152)</f>
        <v/>
      </c>
      <c r="CD152" s="10">
        <f>CB152-CC152</f>
        <v/>
      </c>
      <c r="CE152" s="10">
        <f>MIN('02_Данные'!AL152,CD152)</f>
        <v/>
      </c>
      <c r="CF152" s="10">
        <f>CD152-CE152</f>
        <v/>
      </c>
      <c r="CG152" s="10">
        <f>MIN('02_Данные'!AQ152,CF152)</f>
        <v/>
      </c>
      <c r="CH152" s="10">
        <f>CF152-CG152</f>
        <v/>
      </c>
      <c r="CI152" s="10">
        <f>MIN('02_Данные'!AN152,CH152)</f>
        <v/>
      </c>
      <c r="CJ152" s="10">
        <f>CH152-CI152</f>
        <v/>
      </c>
      <c r="CK152" s="10">
        <f>MIN('02_Данные'!AM152,CJ152)</f>
        <v/>
      </c>
      <c r="CL152" s="10">
        <f>CJ152-CK152</f>
        <v/>
      </c>
      <c r="CM152" s="10">
        <f>MIN('02_Данные'!AO152,CL152)</f>
        <v/>
      </c>
      <c r="CN152" s="10">
        <f>CL152-CM152</f>
        <v/>
      </c>
      <c r="CO152" s="10">
        <f>MIN('02_Данные'!AP152,CN152)</f>
        <v/>
      </c>
      <c r="CP152" s="10">
        <f>CN152-CO152</f>
        <v/>
      </c>
      <c r="CQ152" s="10">
        <f>CP152+'02_Данные'!K152</f>
        <v/>
      </c>
      <c r="CR152" s="10">
        <f>MIN('02_Данные'!AR152,CQ152)</f>
        <v/>
      </c>
      <c r="CS152" s="10">
        <f>CQ152-CR152</f>
        <v/>
      </c>
      <c r="CT152" s="10">
        <f>MIN('02_Данные'!AS152,CS152)</f>
        <v/>
      </c>
      <c r="CU152" s="10">
        <f>CS152-CT152</f>
        <v/>
      </c>
      <c r="CV152" s="10">
        <f>MIN('02_Данные'!AT152,CU152)</f>
        <v/>
      </c>
      <c r="CW152" s="10">
        <f>CU152-CV152</f>
        <v/>
      </c>
      <c r="CX152" s="10">
        <f>MIN('02_Данные'!AY152,CW152)</f>
        <v/>
      </c>
      <c r="CY152" s="10">
        <f>CW152-CX152</f>
        <v/>
      </c>
      <c r="CZ152" s="10">
        <f>MIN('02_Данные'!AV152,CY152)</f>
        <v/>
      </c>
      <c r="DA152" s="10">
        <f>CY152-CZ152</f>
        <v/>
      </c>
      <c r="DB152" s="10">
        <f>MIN('02_Данные'!AU152,DA152)</f>
        <v/>
      </c>
      <c r="DC152" s="10">
        <f>DA152-DB152</f>
        <v/>
      </c>
      <c r="DD152" s="10">
        <f>MIN('02_Данные'!AW152,DC152)</f>
        <v/>
      </c>
      <c r="DE152" s="10">
        <f>DC152-DD152</f>
        <v/>
      </c>
      <c r="DF152" s="10">
        <f>MIN('02_Данные'!AX152,DE152)</f>
        <v/>
      </c>
      <c r="DG152" s="10">
        <f>DE152-DF152</f>
        <v/>
      </c>
    </row>
    <row r="153">
      <c r="A153" s="9">
        <f>'02_Данные'!B153</f>
        <v/>
      </c>
      <c r="B153" s="9">
        <f>'02_Данные'!E153</f>
        <v/>
      </c>
      <c r="C153" s="10">
        <f>'02_Данные'!F153+'02_Данные'!G153+'02_Данные'!H153+'02_Данные'!I153+'02_Данные'!J153+'02_Данные'!K153</f>
        <v/>
      </c>
      <c r="D153" s="10">
        <f>SUM('02_Данные'!L153:'02_Данные'!AY153)</f>
        <v/>
      </c>
      <c r="E153" s="10">
        <f>MAX(0,D153-C153)</f>
        <v/>
      </c>
      <c r="F153" s="15">
        <f>IF(E153&gt;0.0001,"ДЕФИЦИТ",IF(Y153&gt;0.0001,"ПРОФИЦИТ","БАЛАНС"))</f>
        <v/>
      </c>
      <c r="G153" s="10">
        <f>AB153+AS153+BJ153+CA153+CR153</f>
        <v/>
      </c>
      <c r="H153" s="10">
        <f>AD153+AU153+BL153+CC153+CT153</f>
        <v/>
      </c>
      <c r="I153" s="10">
        <f>AF153+AW153+BN153+CE153+CV153</f>
        <v/>
      </c>
      <c r="J153" s="10">
        <f>AL153+BC153+BT153+CK153+DB153</f>
        <v/>
      </c>
      <c r="K153" s="10">
        <f>AJ153+BA153+BR153+CI153+CZ153</f>
        <v/>
      </c>
      <c r="L153" s="10">
        <f>AN153+BE153+BV153+CM153+DD153</f>
        <v/>
      </c>
      <c r="M153" s="10">
        <f>AP153+BG153+BX153+CO153+DF153</f>
        <v/>
      </c>
      <c r="N153" s="10">
        <f>AH153+AY153+BP153+CG153+CX153</f>
        <v/>
      </c>
      <c r="O153" s="10">
        <f>SUM(G153:N153)</f>
        <v/>
      </c>
      <c r="P153" s="10">
        <f>IFERROR(G153*MIN(1,'01_Нормативы'!$C$4/SUM(G$2:G$429)),0)</f>
        <v/>
      </c>
      <c r="Q153" s="10">
        <f>IFERROR(H153*MIN(1,'01_Нормативы'!$C$5/SUM(H$2:H$429)),0)</f>
        <v/>
      </c>
      <c r="R153" s="10">
        <f>IFERROR(I153*MIN(1,'01_Нормативы'!$C$6/SUM(I$2:I$429)),0)</f>
        <v/>
      </c>
      <c r="S153" s="10">
        <f>IFERROR(J153*MIN(1,'01_Нормативы'!$C$7/SUM(J$2:J$429)),0)</f>
        <v/>
      </c>
      <c r="T153" s="10">
        <f>IFERROR(K153*MIN(1,'01_Нормативы'!$C$8/SUM(K$2:K$429)),0)</f>
        <v/>
      </c>
      <c r="U153" s="10">
        <f>IFERROR(L153*MIN(1,'01_Нормативы'!$C$9/SUM(L$2:L$429)),0)</f>
        <v/>
      </c>
      <c r="V153" s="10">
        <f>IFERROR(M153*MIN(1,'01_Нормативы'!$C$10/SUM(M$2:M$429)),0)</f>
        <v/>
      </c>
      <c r="W153" s="10">
        <f>IFERROR(N153*MIN(1,'01_Нормативы'!$C$11/SUM(N$2:N$429)),0)</f>
        <v/>
      </c>
      <c r="X153" s="10">
        <f>SUM(P153:W153)</f>
        <v/>
      </c>
      <c r="Y153" s="10">
        <f>MAX(0,C153-X153)</f>
        <v/>
      </c>
      <c r="Z153" s="10">
        <f>IF(D153=0,100,X153/D153*100)</f>
        <v/>
      </c>
      <c r="AA153" s="10">
        <f>'02_Данные'!F153+'02_Данные'!G153</f>
        <v/>
      </c>
      <c r="AB153" s="10">
        <f>MIN('02_Данные'!L153,AA153)</f>
        <v/>
      </c>
      <c r="AC153" s="10">
        <f>AA153-AB153</f>
        <v/>
      </c>
      <c r="AD153" s="10">
        <f>MIN('02_Данные'!M153,AC153)</f>
        <v/>
      </c>
      <c r="AE153" s="10">
        <f>AC153-AD153</f>
        <v/>
      </c>
      <c r="AF153" s="10">
        <f>MIN('02_Данные'!N153,AE153)</f>
        <v/>
      </c>
      <c r="AG153" s="10">
        <f>AE153-AF153</f>
        <v/>
      </c>
      <c r="AH153" s="10">
        <f>MIN('02_Данные'!S153,AG153)</f>
        <v/>
      </c>
      <c r="AI153" s="10">
        <f>AG153-AH153</f>
        <v/>
      </c>
      <c r="AJ153" s="10">
        <f>MIN('02_Данные'!P153,AI153)</f>
        <v/>
      </c>
      <c r="AK153" s="10">
        <f>AI153-AJ153</f>
        <v/>
      </c>
      <c r="AL153" s="10">
        <f>MIN('02_Данные'!O153,AK153)</f>
        <v/>
      </c>
      <c r="AM153" s="10">
        <f>AK153-AL153</f>
        <v/>
      </c>
      <c r="AN153" s="10">
        <f>MIN('02_Данные'!Q153,AM153)</f>
        <v/>
      </c>
      <c r="AO153" s="10">
        <f>AM153-AN153</f>
        <v/>
      </c>
      <c r="AP153" s="10">
        <f>MIN('02_Данные'!R153,AO153)</f>
        <v/>
      </c>
      <c r="AQ153" s="10">
        <f>AO153-AP153</f>
        <v/>
      </c>
      <c r="AR153" s="10">
        <f>AQ153+'02_Данные'!H153</f>
        <v/>
      </c>
      <c r="AS153" s="10">
        <f>MIN('02_Данные'!T153,AR153)</f>
        <v/>
      </c>
      <c r="AT153" s="10">
        <f>AR153-AS153</f>
        <v/>
      </c>
      <c r="AU153" s="10">
        <f>MIN('02_Данные'!U153,AT153)</f>
        <v/>
      </c>
      <c r="AV153" s="10">
        <f>AT153-AU153</f>
        <v/>
      </c>
      <c r="AW153" s="10">
        <f>MIN('02_Данные'!V153,AV153)</f>
        <v/>
      </c>
      <c r="AX153" s="10">
        <f>AV153-AW153</f>
        <v/>
      </c>
      <c r="AY153" s="10">
        <f>MIN('02_Данные'!AA153,AX153)</f>
        <v/>
      </c>
      <c r="AZ153" s="10">
        <f>AX153-AY153</f>
        <v/>
      </c>
      <c r="BA153" s="10">
        <f>MIN('02_Данные'!X153,AZ153)</f>
        <v/>
      </c>
      <c r="BB153" s="10">
        <f>AZ153-BA153</f>
        <v/>
      </c>
      <c r="BC153" s="10">
        <f>MIN('02_Данные'!W153,BB153)</f>
        <v/>
      </c>
      <c r="BD153" s="10">
        <f>BB153-BC153</f>
        <v/>
      </c>
      <c r="BE153" s="10">
        <f>MIN('02_Данные'!Y153,BD153)</f>
        <v/>
      </c>
      <c r="BF153" s="10">
        <f>BD153-BE153</f>
        <v/>
      </c>
      <c r="BG153" s="10">
        <f>MIN('02_Данные'!Z153,BF153)</f>
        <v/>
      </c>
      <c r="BH153" s="10">
        <f>BF153-BG153</f>
        <v/>
      </c>
      <c r="BI153" s="10">
        <f>BH153+'02_Данные'!I153</f>
        <v/>
      </c>
      <c r="BJ153" s="10">
        <f>MIN('02_Данные'!AB153,BI153)</f>
        <v/>
      </c>
      <c r="BK153" s="10">
        <f>BI153-BJ153</f>
        <v/>
      </c>
      <c r="BL153" s="10">
        <f>MIN('02_Данные'!AC153,BK153)</f>
        <v/>
      </c>
      <c r="BM153" s="10">
        <f>BK153-BL153</f>
        <v/>
      </c>
      <c r="BN153" s="10">
        <f>MIN('02_Данные'!AD153,BM153)</f>
        <v/>
      </c>
      <c r="BO153" s="10">
        <f>BM153-BN153</f>
        <v/>
      </c>
      <c r="BP153" s="10">
        <f>MIN('02_Данные'!AI153,BO153)</f>
        <v/>
      </c>
      <c r="BQ153" s="10">
        <f>BO153-BP153</f>
        <v/>
      </c>
      <c r="BR153" s="10">
        <f>MIN('02_Данные'!AF153,BQ153)</f>
        <v/>
      </c>
      <c r="BS153" s="10">
        <f>BQ153-BR153</f>
        <v/>
      </c>
      <c r="BT153" s="10">
        <f>MIN('02_Данные'!AE153,BS153)</f>
        <v/>
      </c>
      <c r="BU153" s="10">
        <f>BS153-BT153</f>
        <v/>
      </c>
      <c r="BV153" s="10">
        <f>MIN('02_Данные'!AG153,BU153)</f>
        <v/>
      </c>
      <c r="BW153" s="10">
        <f>BU153-BV153</f>
        <v/>
      </c>
      <c r="BX153" s="10">
        <f>MIN('02_Данные'!AH153,BW153)</f>
        <v/>
      </c>
      <c r="BY153" s="10">
        <f>BW153-BX153</f>
        <v/>
      </c>
      <c r="BZ153" s="10">
        <f>BY153+'02_Данные'!J153</f>
        <v/>
      </c>
      <c r="CA153" s="10">
        <f>MIN('02_Данные'!AJ153,BZ153)</f>
        <v/>
      </c>
      <c r="CB153" s="10">
        <f>BZ153-CA153</f>
        <v/>
      </c>
      <c r="CC153" s="10">
        <f>MIN('02_Данные'!AK153,CB153)</f>
        <v/>
      </c>
      <c r="CD153" s="10">
        <f>CB153-CC153</f>
        <v/>
      </c>
      <c r="CE153" s="10">
        <f>MIN('02_Данные'!AL153,CD153)</f>
        <v/>
      </c>
      <c r="CF153" s="10">
        <f>CD153-CE153</f>
        <v/>
      </c>
      <c r="CG153" s="10">
        <f>MIN('02_Данные'!AQ153,CF153)</f>
        <v/>
      </c>
      <c r="CH153" s="10">
        <f>CF153-CG153</f>
        <v/>
      </c>
      <c r="CI153" s="10">
        <f>MIN('02_Данные'!AN153,CH153)</f>
        <v/>
      </c>
      <c r="CJ153" s="10">
        <f>CH153-CI153</f>
        <v/>
      </c>
      <c r="CK153" s="10">
        <f>MIN('02_Данные'!AM153,CJ153)</f>
        <v/>
      </c>
      <c r="CL153" s="10">
        <f>CJ153-CK153</f>
        <v/>
      </c>
      <c r="CM153" s="10">
        <f>MIN('02_Данные'!AO153,CL153)</f>
        <v/>
      </c>
      <c r="CN153" s="10">
        <f>CL153-CM153</f>
        <v/>
      </c>
      <c r="CO153" s="10">
        <f>MIN('02_Данные'!AP153,CN153)</f>
        <v/>
      </c>
      <c r="CP153" s="10">
        <f>CN153-CO153</f>
        <v/>
      </c>
      <c r="CQ153" s="10">
        <f>CP153+'02_Данные'!K153</f>
        <v/>
      </c>
      <c r="CR153" s="10">
        <f>MIN('02_Данные'!AR153,CQ153)</f>
        <v/>
      </c>
      <c r="CS153" s="10">
        <f>CQ153-CR153</f>
        <v/>
      </c>
      <c r="CT153" s="10">
        <f>MIN('02_Данные'!AS153,CS153)</f>
        <v/>
      </c>
      <c r="CU153" s="10">
        <f>CS153-CT153</f>
        <v/>
      </c>
      <c r="CV153" s="10">
        <f>MIN('02_Данные'!AT153,CU153)</f>
        <v/>
      </c>
      <c r="CW153" s="10">
        <f>CU153-CV153</f>
        <v/>
      </c>
      <c r="CX153" s="10">
        <f>MIN('02_Данные'!AY153,CW153)</f>
        <v/>
      </c>
      <c r="CY153" s="10">
        <f>CW153-CX153</f>
        <v/>
      </c>
      <c r="CZ153" s="10">
        <f>MIN('02_Данные'!AV153,CY153)</f>
        <v/>
      </c>
      <c r="DA153" s="10">
        <f>CY153-CZ153</f>
        <v/>
      </c>
      <c r="DB153" s="10">
        <f>MIN('02_Данные'!AU153,DA153)</f>
        <v/>
      </c>
      <c r="DC153" s="10">
        <f>DA153-DB153</f>
        <v/>
      </c>
      <c r="DD153" s="10">
        <f>MIN('02_Данные'!AW153,DC153)</f>
        <v/>
      </c>
      <c r="DE153" s="10">
        <f>DC153-DD153</f>
        <v/>
      </c>
      <c r="DF153" s="10">
        <f>MIN('02_Данные'!AX153,DE153)</f>
        <v/>
      </c>
      <c r="DG153" s="10">
        <f>DE153-DF153</f>
        <v/>
      </c>
    </row>
    <row r="154">
      <c r="A154" s="9">
        <f>'02_Данные'!B154</f>
        <v/>
      </c>
      <c r="B154" s="9">
        <f>'02_Данные'!E154</f>
        <v/>
      </c>
      <c r="C154" s="10">
        <f>'02_Данные'!F154+'02_Данные'!G154+'02_Данные'!H154+'02_Данные'!I154+'02_Данные'!J154+'02_Данные'!K154</f>
        <v/>
      </c>
      <c r="D154" s="10">
        <f>SUM('02_Данные'!L154:'02_Данные'!AY154)</f>
        <v/>
      </c>
      <c r="E154" s="10">
        <f>MAX(0,D154-C154)</f>
        <v/>
      </c>
      <c r="F154" s="15">
        <f>IF(E154&gt;0.0001,"ДЕФИЦИТ",IF(Y154&gt;0.0001,"ПРОФИЦИТ","БАЛАНС"))</f>
        <v/>
      </c>
      <c r="G154" s="10">
        <f>AB154+AS154+BJ154+CA154+CR154</f>
        <v/>
      </c>
      <c r="H154" s="10">
        <f>AD154+AU154+BL154+CC154+CT154</f>
        <v/>
      </c>
      <c r="I154" s="10">
        <f>AF154+AW154+BN154+CE154+CV154</f>
        <v/>
      </c>
      <c r="J154" s="10">
        <f>AL154+BC154+BT154+CK154+DB154</f>
        <v/>
      </c>
      <c r="K154" s="10">
        <f>AJ154+BA154+BR154+CI154+CZ154</f>
        <v/>
      </c>
      <c r="L154" s="10">
        <f>AN154+BE154+BV154+CM154+DD154</f>
        <v/>
      </c>
      <c r="M154" s="10">
        <f>AP154+BG154+BX154+CO154+DF154</f>
        <v/>
      </c>
      <c r="N154" s="10">
        <f>AH154+AY154+BP154+CG154+CX154</f>
        <v/>
      </c>
      <c r="O154" s="10">
        <f>SUM(G154:N154)</f>
        <v/>
      </c>
      <c r="P154" s="10">
        <f>IFERROR(G154*MIN(1,'01_Нормативы'!$C$4/SUM(G$2:G$429)),0)</f>
        <v/>
      </c>
      <c r="Q154" s="10">
        <f>IFERROR(H154*MIN(1,'01_Нормативы'!$C$5/SUM(H$2:H$429)),0)</f>
        <v/>
      </c>
      <c r="R154" s="10">
        <f>IFERROR(I154*MIN(1,'01_Нормативы'!$C$6/SUM(I$2:I$429)),0)</f>
        <v/>
      </c>
      <c r="S154" s="10">
        <f>IFERROR(J154*MIN(1,'01_Нормативы'!$C$7/SUM(J$2:J$429)),0)</f>
        <v/>
      </c>
      <c r="T154" s="10">
        <f>IFERROR(K154*MIN(1,'01_Нормативы'!$C$8/SUM(K$2:K$429)),0)</f>
        <v/>
      </c>
      <c r="U154" s="10">
        <f>IFERROR(L154*MIN(1,'01_Нормативы'!$C$9/SUM(L$2:L$429)),0)</f>
        <v/>
      </c>
      <c r="V154" s="10">
        <f>IFERROR(M154*MIN(1,'01_Нормативы'!$C$10/SUM(M$2:M$429)),0)</f>
        <v/>
      </c>
      <c r="W154" s="10">
        <f>IFERROR(N154*MIN(1,'01_Нормативы'!$C$11/SUM(N$2:N$429)),0)</f>
        <v/>
      </c>
      <c r="X154" s="10">
        <f>SUM(P154:W154)</f>
        <v/>
      </c>
      <c r="Y154" s="10">
        <f>MAX(0,C154-X154)</f>
        <v/>
      </c>
      <c r="Z154" s="10">
        <f>IF(D154=0,100,X154/D154*100)</f>
        <v/>
      </c>
      <c r="AA154" s="10">
        <f>'02_Данные'!F154+'02_Данные'!G154</f>
        <v/>
      </c>
      <c r="AB154" s="10">
        <f>MIN('02_Данные'!L154,AA154)</f>
        <v/>
      </c>
      <c r="AC154" s="10">
        <f>AA154-AB154</f>
        <v/>
      </c>
      <c r="AD154" s="10">
        <f>MIN('02_Данные'!M154,AC154)</f>
        <v/>
      </c>
      <c r="AE154" s="10">
        <f>AC154-AD154</f>
        <v/>
      </c>
      <c r="AF154" s="10">
        <f>MIN('02_Данные'!N154,AE154)</f>
        <v/>
      </c>
      <c r="AG154" s="10">
        <f>AE154-AF154</f>
        <v/>
      </c>
      <c r="AH154" s="10">
        <f>MIN('02_Данные'!S154,AG154)</f>
        <v/>
      </c>
      <c r="AI154" s="10">
        <f>AG154-AH154</f>
        <v/>
      </c>
      <c r="AJ154" s="10">
        <f>MIN('02_Данные'!P154,AI154)</f>
        <v/>
      </c>
      <c r="AK154" s="10">
        <f>AI154-AJ154</f>
        <v/>
      </c>
      <c r="AL154" s="10">
        <f>MIN('02_Данные'!O154,AK154)</f>
        <v/>
      </c>
      <c r="AM154" s="10">
        <f>AK154-AL154</f>
        <v/>
      </c>
      <c r="AN154" s="10">
        <f>MIN('02_Данные'!Q154,AM154)</f>
        <v/>
      </c>
      <c r="AO154" s="10">
        <f>AM154-AN154</f>
        <v/>
      </c>
      <c r="AP154" s="10">
        <f>MIN('02_Данные'!R154,AO154)</f>
        <v/>
      </c>
      <c r="AQ154" s="10">
        <f>AO154-AP154</f>
        <v/>
      </c>
      <c r="AR154" s="10">
        <f>AQ154+'02_Данные'!H154</f>
        <v/>
      </c>
      <c r="AS154" s="10">
        <f>MIN('02_Данные'!T154,AR154)</f>
        <v/>
      </c>
      <c r="AT154" s="10">
        <f>AR154-AS154</f>
        <v/>
      </c>
      <c r="AU154" s="10">
        <f>MIN('02_Данные'!U154,AT154)</f>
        <v/>
      </c>
      <c r="AV154" s="10">
        <f>AT154-AU154</f>
        <v/>
      </c>
      <c r="AW154" s="10">
        <f>MIN('02_Данные'!V154,AV154)</f>
        <v/>
      </c>
      <c r="AX154" s="10">
        <f>AV154-AW154</f>
        <v/>
      </c>
      <c r="AY154" s="10">
        <f>MIN('02_Данные'!AA154,AX154)</f>
        <v/>
      </c>
      <c r="AZ154" s="10">
        <f>AX154-AY154</f>
        <v/>
      </c>
      <c r="BA154" s="10">
        <f>MIN('02_Данные'!X154,AZ154)</f>
        <v/>
      </c>
      <c r="BB154" s="10">
        <f>AZ154-BA154</f>
        <v/>
      </c>
      <c r="BC154" s="10">
        <f>MIN('02_Данные'!W154,BB154)</f>
        <v/>
      </c>
      <c r="BD154" s="10">
        <f>BB154-BC154</f>
        <v/>
      </c>
      <c r="BE154" s="10">
        <f>MIN('02_Данные'!Y154,BD154)</f>
        <v/>
      </c>
      <c r="BF154" s="10">
        <f>BD154-BE154</f>
        <v/>
      </c>
      <c r="BG154" s="10">
        <f>MIN('02_Данные'!Z154,BF154)</f>
        <v/>
      </c>
      <c r="BH154" s="10">
        <f>BF154-BG154</f>
        <v/>
      </c>
      <c r="BI154" s="10">
        <f>BH154+'02_Данные'!I154</f>
        <v/>
      </c>
      <c r="BJ154" s="10">
        <f>MIN('02_Данные'!AB154,BI154)</f>
        <v/>
      </c>
      <c r="BK154" s="10">
        <f>BI154-BJ154</f>
        <v/>
      </c>
      <c r="BL154" s="10">
        <f>MIN('02_Данные'!AC154,BK154)</f>
        <v/>
      </c>
      <c r="BM154" s="10">
        <f>BK154-BL154</f>
        <v/>
      </c>
      <c r="BN154" s="10">
        <f>MIN('02_Данные'!AD154,BM154)</f>
        <v/>
      </c>
      <c r="BO154" s="10">
        <f>BM154-BN154</f>
        <v/>
      </c>
      <c r="BP154" s="10">
        <f>MIN('02_Данные'!AI154,BO154)</f>
        <v/>
      </c>
      <c r="BQ154" s="10">
        <f>BO154-BP154</f>
        <v/>
      </c>
      <c r="BR154" s="10">
        <f>MIN('02_Данные'!AF154,BQ154)</f>
        <v/>
      </c>
      <c r="BS154" s="10">
        <f>BQ154-BR154</f>
        <v/>
      </c>
      <c r="BT154" s="10">
        <f>MIN('02_Данные'!AE154,BS154)</f>
        <v/>
      </c>
      <c r="BU154" s="10">
        <f>BS154-BT154</f>
        <v/>
      </c>
      <c r="BV154" s="10">
        <f>MIN('02_Данные'!AG154,BU154)</f>
        <v/>
      </c>
      <c r="BW154" s="10">
        <f>BU154-BV154</f>
        <v/>
      </c>
      <c r="BX154" s="10">
        <f>MIN('02_Данные'!AH154,BW154)</f>
        <v/>
      </c>
      <c r="BY154" s="10">
        <f>BW154-BX154</f>
        <v/>
      </c>
      <c r="BZ154" s="10">
        <f>BY154+'02_Данные'!J154</f>
        <v/>
      </c>
      <c r="CA154" s="10">
        <f>MIN('02_Данные'!AJ154,BZ154)</f>
        <v/>
      </c>
      <c r="CB154" s="10">
        <f>BZ154-CA154</f>
        <v/>
      </c>
      <c r="CC154" s="10">
        <f>MIN('02_Данные'!AK154,CB154)</f>
        <v/>
      </c>
      <c r="CD154" s="10">
        <f>CB154-CC154</f>
        <v/>
      </c>
      <c r="CE154" s="10">
        <f>MIN('02_Данные'!AL154,CD154)</f>
        <v/>
      </c>
      <c r="CF154" s="10">
        <f>CD154-CE154</f>
        <v/>
      </c>
      <c r="CG154" s="10">
        <f>MIN('02_Данные'!AQ154,CF154)</f>
        <v/>
      </c>
      <c r="CH154" s="10">
        <f>CF154-CG154</f>
        <v/>
      </c>
      <c r="CI154" s="10">
        <f>MIN('02_Данные'!AN154,CH154)</f>
        <v/>
      </c>
      <c r="CJ154" s="10">
        <f>CH154-CI154</f>
        <v/>
      </c>
      <c r="CK154" s="10">
        <f>MIN('02_Данные'!AM154,CJ154)</f>
        <v/>
      </c>
      <c r="CL154" s="10">
        <f>CJ154-CK154</f>
        <v/>
      </c>
      <c r="CM154" s="10">
        <f>MIN('02_Данные'!AO154,CL154)</f>
        <v/>
      </c>
      <c r="CN154" s="10">
        <f>CL154-CM154</f>
        <v/>
      </c>
      <c r="CO154" s="10">
        <f>MIN('02_Данные'!AP154,CN154)</f>
        <v/>
      </c>
      <c r="CP154" s="10">
        <f>CN154-CO154</f>
        <v/>
      </c>
      <c r="CQ154" s="10">
        <f>CP154+'02_Данные'!K154</f>
        <v/>
      </c>
      <c r="CR154" s="10">
        <f>MIN('02_Данные'!AR154,CQ154)</f>
        <v/>
      </c>
      <c r="CS154" s="10">
        <f>CQ154-CR154</f>
        <v/>
      </c>
      <c r="CT154" s="10">
        <f>MIN('02_Данные'!AS154,CS154)</f>
        <v/>
      </c>
      <c r="CU154" s="10">
        <f>CS154-CT154</f>
        <v/>
      </c>
      <c r="CV154" s="10">
        <f>MIN('02_Данные'!AT154,CU154)</f>
        <v/>
      </c>
      <c r="CW154" s="10">
        <f>CU154-CV154</f>
        <v/>
      </c>
      <c r="CX154" s="10">
        <f>MIN('02_Данные'!AY154,CW154)</f>
        <v/>
      </c>
      <c r="CY154" s="10">
        <f>CW154-CX154</f>
        <v/>
      </c>
      <c r="CZ154" s="10">
        <f>MIN('02_Данные'!AV154,CY154)</f>
        <v/>
      </c>
      <c r="DA154" s="10">
        <f>CY154-CZ154</f>
        <v/>
      </c>
      <c r="DB154" s="10">
        <f>MIN('02_Данные'!AU154,DA154)</f>
        <v/>
      </c>
      <c r="DC154" s="10">
        <f>DA154-DB154</f>
        <v/>
      </c>
      <c r="DD154" s="10">
        <f>MIN('02_Данные'!AW154,DC154)</f>
        <v/>
      </c>
      <c r="DE154" s="10">
        <f>DC154-DD154</f>
        <v/>
      </c>
      <c r="DF154" s="10">
        <f>MIN('02_Данные'!AX154,DE154)</f>
        <v/>
      </c>
      <c r="DG154" s="10">
        <f>DE154-DF154</f>
        <v/>
      </c>
    </row>
    <row r="155">
      <c r="A155" s="9">
        <f>'02_Данные'!B155</f>
        <v/>
      </c>
      <c r="B155" s="9">
        <f>'02_Данные'!E155</f>
        <v/>
      </c>
      <c r="C155" s="10">
        <f>'02_Данные'!F155+'02_Данные'!G155+'02_Данные'!H155+'02_Данные'!I155+'02_Данные'!J155+'02_Данные'!K155</f>
        <v/>
      </c>
      <c r="D155" s="10">
        <f>SUM('02_Данные'!L155:'02_Данные'!AY155)</f>
        <v/>
      </c>
      <c r="E155" s="10">
        <f>MAX(0,D155-C155)</f>
        <v/>
      </c>
      <c r="F155" s="15">
        <f>IF(E155&gt;0.0001,"ДЕФИЦИТ",IF(Y155&gt;0.0001,"ПРОФИЦИТ","БАЛАНС"))</f>
        <v/>
      </c>
      <c r="G155" s="10">
        <f>AB155+AS155+BJ155+CA155+CR155</f>
        <v/>
      </c>
      <c r="H155" s="10">
        <f>AD155+AU155+BL155+CC155+CT155</f>
        <v/>
      </c>
      <c r="I155" s="10">
        <f>AF155+AW155+BN155+CE155+CV155</f>
        <v/>
      </c>
      <c r="J155" s="10">
        <f>AL155+BC155+BT155+CK155+DB155</f>
        <v/>
      </c>
      <c r="K155" s="10">
        <f>AJ155+BA155+BR155+CI155+CZ155</f>
        <v/>
      </c>
      <c r="L155" s="10">
        <f>AN155+BE155+BV155+CM155+DD155</f>
        <v/>
      </c>
      <c r="M155" s="10">
        <f>AP155+BG155+BX155+CO155+DF155</f>
        <v/>
      </c>
      <c r="N155" s="10">
        <f>AH155+AY155+BP155+CG155+CX155</f>
        <v/>
      </c>
      <c r="O155" s="10">
        <f>SUM(G155:N155)</f>
        <v/>
      </c>
      <c r="P155" s="10">
        <f>IFERROR(G155*MIN(1,'01_Нормативы'!$C$4/SUM(G$2:G$429)),0)</f>
        <v/>
      </c>
      <c r="Q155" s="10">
        <f>IFERROR(H155*MIN(1,'01_Нормативы'!$C$5/SUM(H$2:H$429)),0)</f>
        <v/>
      </c>
      <c r="R155" s="10">
        <f>IFERROR(I155*MIN(1,'01_Нормативы'!$C$6/SUM(I$2:I$429)),0)</f>
        <v/>
      </c>
      <c r="S155" s="10">
        <f>IFERROR(J155*MIN(1,'01_Нормативы'!$C$7/SUM(J$2:J$429)),0)</f>
        <v/>
      </c>
      <c r="T155" s="10">
        <f>IFERROR(K155*MIN(1,'01_Нормативы'!$C$8/SUM(K$2:K$429)),0)</f>
        <v/>
      </c>
      <c r="U155" s="10">
        <f>IFERROR(L155*MIN(1,'01_Нормативы'!$C$9/SUM(L$2:L$429)),0)</f>
        <v/>
      </c>
      <c r="V155" s="10">
        <f>IFERROR(M155*MIN(1,'01_Нормативы'!$C$10/SUM(M$2:M$429)),0)</f>
        <v/>
      </c>
      <c r="W155" s="10">
        <f>IFERROR(N155*MIN(1,'01_Нормативы'!$C$11/SUM(N$2:N$429)),0)</f>
        <v/>
      </c>
      <c r="X155" s="10">
        <f>SUM(P155:W155)</f>
        <v/>
      </c>
      <c r="Y155" s="10">
        <f>MAX(0,C155-X155)</f>
        <v/>
      </c>
      <c r="Z155" s="10">
        <f>IF(D155=0,100,X155/D155*100)</f>
        <v/>
      </c>
      <c r="AA155" s="10">
        <f>'02_Данные'!F155+'02_Данные'!G155</f>
        <v/>
      </c>
      <c r="AB155" s="10">
        <f>MIN('02_Данные'!L155,AA155)</f>
        <v/>
      </c>
      <c r="AC155" s="10">
        <f>AA155-AB155</f>
        <v/>
      </c>
      <c r="AD155" s="10">
        <f>MIN('02_Данные'!M155,AC155)</f>
        <v/>
      </c>
      <c r="AE155" s="10">
        <f>AC155-AD155</f>
        <v/>
      </c>
      <c r="AF155" s="10">
        <f>MIN('02_Данные'!N155,AE155)</f>
        <v/>
      </c>
      <c r="AG155" s="10">
        <f>AE155-AF155</f>
        <v/>
      </c>
      <c r="AH155" s="10">
        <f>MIN('02_Данные'!S155,AG155)</f>
        <v/>
      </c>
      <c r="AI155" s="10">
        <f>AG155-AH155</f>
        <v/>
      </c>
      <c r="AJ155" s="10">
        <f>MIN('02_Данные'!P155,AI155)</f>
        <v/>
      </c>
      <c r="AK155" s="10">
        <f>AI155-AJ155</f>
        <v/>
      </c>
      <c r="AL155" s="10">
        <f>MIN('02_Данные'!O155,AK155)</f>
        <v/>
      </c>
      <c r="AM155" s="10">
        <f>AK155-AL155</f>
        <v/>
      </c>
      <c r="AN155" s="10">
        <f>MIN('02_Данные'!Q155,AM155)</f>
        <v/>
      </c>
      <c r="AO155" s="10">
        <f>AM155-AN155</f>
        <v/>
      </c>
      <c r="AP155" s="10">
        <f>MIN('02_Данные'!R155,AO155)</f>
        <v/>
      </c>
      <c r="AQ155" s="10">
        <f>AO155-AP155</f>
        <v/>
      </c>
      <c r="AR155" s="10">
        <f>AQ155+'02_Данные'!H155</f>
        <v/>
      </c>
      <c r="AS155" s="10">
        <f>MIN('02_Данные'!T155,AR155)</f>
        <v/>
      </c>
      <c r="AT155" s="10">
        <f>AR155-AS155</f>
        <v/>
      </c>
      <c r="AU155" s="10">
        <f>MIN('02_Данные'!U155,AT155)</f>
        <v/>
      </c>
      <c r="AV155" s="10">
        <f>AT155-AU155</f>
        <v/>
      </c>
      <c r="AW155" s="10">
        <f>MIN('02_Данные'!V155,AV155)</f>
        <v/>
      </c>
      <c r="AX155" s="10">
        <f>AV155-AW155</f>
        <v/>
      </c>
      <c r="AY155" s="10">
        <f>MIN('02_Данные'!AA155,AX155)</f>
        <v/>
      </c>
      <c r="AZ155" s="10">
        <f>AX155-AY155</f>
        <v/>
      </c>
      <c r="BA155" s="10">
        <f>MIN('02_Данные'!X155,AZ155)</f>
        <v/>
      </c>
      <c r="BB155" s="10">
        <f>AZ155-BA155</f>
        <v/>
      </c>
      <c r="BC155" s="10">
        <f>MIN('02_Данные'!W155,BB155)</f>
        <v/>
      </c>
      <c r="BD155" s="10">
        <f>BB155-BC155</f>
        <v/>
      </c>
      <c r="BE155" s="10">
        <f>MIN('02_Данные'!Y155,BD155)</f>
        <v/>
      </c>
      <c r="BF155" s="10">
        <f>BD155-BE155</f>
        <v/>
      </c>
      <c r="BG155" s="10">
        <f>MIN('02_Данные'!Z155,BF155)</f>
        <v/>
      </c>
      <c r="BH155" s="10">
        <f>BF155-BG155</f>
        <v/>
      </c>
      <c r="BI155" s="10">
        <f>BH155+'02_Данные'!I155</f>
        <v/>
      </c>
      <c r="BJ155" s="10">
        <f>MIN('02_Данные'!AB155,BI155)</f>
        <v/>
      </c>
      <c r="BK155" s="10">
        <f>BI155-BJ155</f>
        <v/>
      </c>
      <c r="BL155" s="10">
        <f>MIN('02_Данные'!AC155,BK155)</f>
        <v/>
      </c>
      <c r="BM155" s="10">
        <f>BK155-BL155</f>
        <v/>
      </c>
      <c r="BN155" s="10">
        <f>MIN('02_Данные'!AD155,BM155)</f>
        <v/>
      </c>
      <c r="BO155" s="10">
        <f>BM155-BN155</f>
        <v/>
      </c>
      <c r="BP155" s="10">
        <f>MIN('02_Данные'!AI155,BO155)</f>
        <v/>
      </c>
      <c r="BQ155" s="10">
        <f>BO155-BP155</f>
        <v/>
      </c>
      <c r="BR155" s="10">
        <f>MIN('02_Данные'!AF155,BQ155)</f>
        <v/>
      </c>
      <c r="BS155" s="10">
        <f>BQ155-BR155</f>
        <v/>
      </c>
      <c r="BT155" s="10">
        <f>MIN('02_Данные'!AE155,BS155)</f>
        <v/>
      </c>
      <c r="BU155" s="10">
        <f>BS155-BT155</f>
        <v/>
      </c>
      <c r="BV155" s="10">
        <f>MIN('02_Данные'!AG155,BU155)</f>
        <v/>
      </c>
      <c r="BW155" s="10">
        <f>BU155-BV155</f>
        <v/>
      </c>
      <c r="BX155" s="10">
        <f>MIN('02_Данные'!AH155,BW155)</f>
        <v/>
      </c>
      <c r="BY155" s="10">
        <f>BW155-BX155</f>
        <v/>
      </c>
      <c r="BZ155" s="10">
        <f>BY155+'02_Данные'!J155</f>
        <v/>
      </c>
      <c r="CA155" s="10">
        <f>MIN('02_Данные'!AJ155,BZ155)</f>
        <v/>
      </c>
      <c r="CB155" s="10">
        <f>BZ155-CA155</f>
        <v/>
      </c>
      <c r="CC155" s="10">
        <f>MIN('02_Данные'!AK155,CB155)</f>
        <v/>
      </c>
      <c r="CD155" s="10">
        <f>CB155-CC155</f>
        <v/>
      </c>
      <c r="CE155" s="10">
        <f>MIN('02_Данные'!AL155,CD155)</f>
        <v/>
      </c>
      <c r="CF155" s="10">
        <f>CD155-CE155</f>
        <v/>
      </c>
      <c r="CG155" s="10">
        <f>MIN('02_Данные'!AQ155,CF155)</f>
        <v/>
      </c>
      <c r="CH155" s="10">
        <f>CF155-CG155</f>
        <v/>
      </c>
      <c r="CI155" s="10">
        <f>MIN('02_Данные'!AN155,CH155)</f>
        <v/>
      </c>
      <c r="CJ155" s="10">
        <f>CH155-CI155</f>
        <v/>
      </c>
      <c r="CK155" s="10">
        <f>MIN('02_Данные'!AM155,CJ155)</f>
        <v/>
      </c>
      <c r="CL155" s="10">
        <f>CJ155-CK155</f>
        <v/>
      </c>
      <c r="CM155" s="10">
        <f>MIN('02_Данные'!AO155,CL155)</f>
        <v/>
      </c>
      <c r="CN155" s="10">
        <f>CL155-CM155</f>
        <v/>
      </c>
      <c r="CO155" s="10">
        <f>MIN('02_Данные'!AP155,CN155)</f>
        <v/>
      </c>
      <c r="CP155" s="10">
        <f>CN155-CO155</f>
        <v/>
      </c>
      <c r="CQ155" s="10">
        <f>CP155+'02_Данные'!K155</f>
        <v/>
      </c>
      <c r="CR155" s="10">
        <f>MIN('02_Данные'!AR155,CQ155)</f>
        <v/>
      </c>
      <c r="CS155" s="10">
        <f>CQ155-CR155</f>
        <v/>
      </c>
      <c r="CT155" s="10">
        <f>MIN('02_Данные'!AS155,CS155)</f>
        <v/>
      </c>
      <c r="CU155" s="10">
        <f>CS155-CT155</f>
        <v/>
      </c>
      <c r="CV155" s="10">
        <f>MIN('02_Данные'!AT155,CU155)</f>
        <v/>
      </c>
      <c r="CW155" s="10">
        <f>CU155-CV155</f>
        <v/>
      </c>
      <c r="CX155" s="10">
        <f>MIN('02_Данные'!AY155,CW155)</f>
        <v/>
      </c>
      <c r="CY155" s="10">
        <f>CW155-CX155</f>
        <v/>
      </c>
      <c r="CZ155" s="10">
        <f>MIN('02_Данные'!AV155,CY155)</f>
        <v/>
      </c>
      <c r="DA155" s="10">
        <f>CY155-CZ155</f>
        <v/>
      </c>
      <c r="DB155" s="10">
        <f>MIN('02_Данные'!AU155,DA155)</f>
        <v/>
      </c>
      <c r="DC155" s="10">
        <f>DA155-DB155</f>
        <v/>
      </c>
      <c r="DD155" s="10">
        <f>MIN('02_Данные'!AW155,DC155)</f>
        <v/>
      </c>
      <c r="DE155" s="10">
        <f>DC155-DD155</f>
        <v/>
      </c>
      <c r="DF155" s="10">
        <f>MIN('02_Данные'!AX155,DE155)</f>
        <v/>
      </c>
      <c r="DG155" s="10">
        <f>DE155-DF155</f>
        <v/>
      </c>
    </row>
    <row r="156">
      <c r="A156" s="9">
        <f>'02_Данные'!B156</f>
        <v/>
      </c>
      <c r="B156" s="9">
        <f>'02_Данные'!E156</f>
        <v/>
      </c>
      <c r="C156" s="10">
        <f>'02_Данные'!F156+'02_Данные'!G156+'02_Данные'!H156+'02_Данные'!I156+'02_Данные'!J156+'02_Данные'!K156</f>
        <v/>
      </c>
      <c r="D156" s="10">
        <f>SUM('02_Данные'!L156:'02_Данные'!AY156)</f>
        <v/>
      </c>
      <c r="E156" s="10">
        <f>MAX(0,D156-C156)</f>
        <v/>
      </c>
      <c r="F156" s="15">
        <f>IF(E156&gt;0.0001,"ДЕФИЦИТ",IF(Y156&gt;0.0001,"ПРОФИЦИТ","БАЛАНС"))</f>
        <v/>
      </c>
      <c r="G156" s="10">
        <f>AB156+AS156+BJ156+CA156+CR156</f>
        <v/>
      </c>
      <c r="H156" s="10">
        <f>AD156+AU156+BL156+CC156+CT156</f>
        <v/>
      </c>
      <c r="I156" s="10">
        <f>AF156+AW156+BN156+CE156+CV156</f>
        <v/>
      </c>
      <c r="J156" s="10">
        <f>AL156+BC156+BT156+CK156+DB156</f>
        <v/>
      </c>
      <c r="K156" s="10">
        <f>AJ156+BA156+BR156+CI156+CZ156</f>
        <v/>
      </c>
      <c r="L156" s="10">
        <f>AN156+BE156+BV156+CM156+DD156</f>
        <v/>
      </c>
      <c r="M156" s="10">
        <f>AP156+BG156+BX156+CO156+DF156</f>
        <v/>
      </c>
      <c r="N156" s="10">
        <f>AH156+AY156+BP156+CG156+CX156</f>
        <v/>
      </c>
      <c r="O156" s="10">
        <f>SUM(G156:N156)</f>
        <v/>
      </c>
      <c r="P156" s="10">
        <f>IFERROR(G156*MIN(1,'01_Нормативы'!$C$4/SUM(G$2:G$429)),0)</f>
        <v/>
      </c>
      <c r="Q156" s="10">
        <f>IFERROR(H156*MIN(1,'01_Нормативы'!$C$5/SUM(H$2:H$429)),0)</f>
        <v/>
      </c>
      <c r="R156" s="10">
        <f>IFERROR(I156*MIN(1,'01_Нормативы'!$C$6/SUM(I$2:I$429)),0)</f>
        <v/>
      </c>
      <c r="S156" s="10">
        <f>IFERROR(J156*MIN(1,'01_Нормативы'!$C$7/SUM(J$2:J$429)),0)</f>
        <v/>
      </c>
      <c r="T156" s="10">
        <f>IFERROR(K156*MIN(1,'01_Нормативы'!$C$8/SUM(K$2:K$429)),0)</f>
        <v/>
      </c>
      <c r="U156" s="10">
        <f>IFERROR(L156*MIN(1,'01_Нормативы'!$C$9/SUM(L$2:L$429)),0)</f>
        <v/>
      </c>
      <c r="V156" s="10">
        <f>IFERROR(M156*MIN(1,'01_Нормативы'!$C$10/SUM(M$2:M$429)),0)</f>
        <v/>
      </c>
      <c r="W156" s="10">
        <f>IFERROR(N156*MIN(1,'01_Нормативы'!$C$11/SUM(N$2:N$429)),0)</f>
        <v/>
      </c>
      <c r="X156" s="10">
        <f>SUM(P156:W156)</f>
        <v/>
      </c>
      <c r="Y156" s="10">
        <f>MAX(0,C156-X156)</f>
        <v/>
      </c>
      <c r="Z156" s="10">
        <f>IF(D156=0,100,X156/D156*100)</f>
        <v/>
      </c>
      <c r="AA156" s="10">
        <f>'02_Данные'!F156+'02_Данные'!G156</f>
        <v/>
      </c>
      <c r="AB156" s="10">
        <f>MIN('02_Данные'!L156,AA156)</f>
        <v/>
      </c>
      <c r="AC156" s="10">
        <f>AA156-AB156</f>
        <v/>
      </c>
      <c r="AD156" s="10">
        <f>MIN('02_Данные'!M156,AC156)</f>
        <v/>
      </c>
      <c r="AE156" s="10">
        <f>AC156-AD156</f>
        <v/>
      </c>
      <c r="AF156" s="10">
        <f>MIN('02_Данные'!N156,AE156)</f>
        <v/>
      </c>
      <c r="AG156" s="10">
        <f>AE156-AF156</f>
        <v/>
      </c>
      <c r="AH156" s="10">
        <f>MIN('02_Данные'!S156,AG156)</f>
        <v/>
      </c>
      <c r="AI156" s="10">
        <f>AG156-AH156</f>
        <v/>
      </c>
      <c r="AJ156" s="10">
        <f>MIN('02_Данные'!P156,AI156)</f>
        <v/>
      </c>
      <c r="AK156" s="10">
        <f>AI156-AJ156</f>
        <v/>
      </c>
      <c r="AL156" s="10">
        <f>MIN('02_Данные'!O156,AK156)</f>
        <v/>
      </c>
      <c r="AM156" s="10">
        <f>AK156-AL156</f>
        <v/>
      </c>
      <c r="AN156" s="10">
        <f>MIN('02_Данные'!Q156,AM156)</f>
        <v/>
      </c>
      <c r="AO156" s="10">
        <f>AM156-AN156</f>
        <v/>
      </c>
      <c r="AP156" s="10">
        <f>MIN('02_Данные'!R156,AO156)</f>
        <v/>
      </c>
      <c r="AQ156" s="10">
        <f>AO156-AP156</f>
        <v/>
      </c>
      <c r="AR156" s="10">
        <f>AQ156+'02_Данные'!H156</f>
        <v/>
      </c>
      <c r="AS156" s="10">
        <f>MIN('02_Данные'!T156,AR156)</f>
        <v/>
      </c>
      <c r="AT156" s="10">
        <f>AR156-AS156</f>
        <v/>
      </c>
      <c r="AU156" s="10">
        <f>MIN('02_Данные'!U156,AT156)</f>
        <v/>
      </c>
      <c r="AV156" s="10">
        <f>AT156-AU156</f>
        <v/>
      </c>
      <c r="AW156" s="10">
        <f>MIN('02_Данные'!V156,AV156)</f>
        <v/>
      </c>
      <c r="AX156" s="10">
        <f>AV156-AW156</f>
        <v/>
      </c>
      <c r="AY156" s="10">
        <f>MIN('02_Данные'!AA156,AX156)</f>
        <v/>
      </c>
      <c r="AZ156" s="10">
        <f>AX156-AY156</f>
        <v/>
      </c>
      <c r="BA156" s="10">
        <f>MIN('02_Данные'!X156,AZ156)</f>
        <v/>
      </c>
      <c r="BB156" s="10">
        <f>AZ156-BA156</f>
        <v/>
      </c>
      <c r="BC156" s="10">
        <f>MIN('02_Данные'!W156,BB156)</f>
        <v/>
      </c>
      <c r="BD156" s="10">
        <f>BB156-BC156</f>
        <v/>
      </c>
      <c r="BE156" s="10">
        <f>MIN('02_Данные'!Y156,BD156)</f>
        <v/>
      </c>
      <c r="BF156" s="10">
        <f>BD156-BE156</f>
        <v/>
      </c>
      <c r="BG156" s="10">
        <f>MIN('02_Данные'!Z156,BF156)</f>
        <v/>
      </c>
      <c r="BH156" s="10">
        <f>BF156-BG156</f>
        <v/>
      </c>
      <c r="BI156" s="10">
        <f>BH156+'02_Данные'!I156</f>
        <v/>
      </c>
      <c r="BJ156" s="10">
        <f>MIN('02_Данные'!AB156,BI156)</f>
        <v/>
      </c>
      <c r="BK156" s="10">
        <f>BI156-BJ156</f>
        <v/>
      </c>
      <c r="BL156" s="10">
        <f>MIN('02_Данные'!AC156,BK156)</f>
        <v/>
      </c>
      <c r="BM156" s="10">
        <f>BK156-BL156</f>
        <v/>
      </c>
      <c r="BN156" s="10">
        <f>MIN('02_Данные'!AD156,BM156)</f>
        <v/>
      </c>
      <c r="BO156" s="10">
        <f>BM156-BN156</f>
        <v/>
      </c>
      <c r="BP156" s="10">
        <f>MIN('02_Данные'!AI156,BO156)</f>
        <v/>
      </c>
      <c r="BQ156" s="10">
        <f>BO156-BP156</f>
        <v/>
      </c>
      <c r="BR156" s="10">
        <f>MIN('02_Данные'!AF156,BQ156)</f>
        <v/>
      </c>
      <c r="BS156" s="10">
        <f>BQ156-BR156</f>
        <v/>
      </c>
      <c r="BT156" s="10">
        <f>MIN('02_Данные'!AE156,BS156)</f>
        <v/>
      </c>
      <c r="BU156" s="10">
        <f>BS156-BT156</f>
        <v/>
      </c>
      <c r="BV156" s="10">
        <f>MIN('02_Данные'!AG156,BU156)</f>
        <v/>
      </c>
      <c r="BW156" s="10">
        <f>BU156-BV156</f>
        <v/>
      </c>
      <c r="BX156" s="10">
        <f>MIN('02_Данные'!AH156,BW156)</f>
        <v/>
      </c>
      <c r="BY156" s="10">
        <f>BW156-BX156</f>
        <v/>
      </c>
      <c r="BZ156" s="10">
        <f>BY156+'02_Данные'!J156</f>
        <v/>
      </c>
      <c r="CA156" s="10">
        <f>MIN('02_Данные'!AJ156,BZ156)</f>
        <v/>
      </c>
      <c r="CB156" s="10">
        <f>BZ156-CA156</f>
        <v/>
      </c>
      <c r="CC156" s="10">
        <f>MIN('02_Данные'!AK156,CB156)</f>
        <v/>
      </c>
      <c r="CD156" s="10">
        <f>CB156-CC156</f>
        <v/>
      </c>
      <c r="CE156" s="10">
        <f>MIN('02_Данные'!AL156,CD156)</f>
        <v/>
      </c>
      <c r="CF156" s="10">
        <f>CD156-CE156</f>
        <v/>
      </c>
      <c r="CG156" s="10">
        <f>MIN('02_Данные'!AQ156,CF156)</f>
        <v/>
      </c>
      <c r="CH156" s="10">
        <f>CF156-CG156</f>
        <v/>
      </c>
      <c r="CI156" s="10">
        <f>MIN('02_Данные'!AN156,CH156)</f>
        <v/>
      </c>
      <c r="CJ156" s="10">
        <f>CH156-CI156</f>
        <v/>
      </c>
      <c r="CK156" s="10">
        <f>MIN('02_Данные'!AM156,CJ156)</f>
        <v/>
      </c>
      <c r="CL156" s="10">
        <f>CJ156-CK156</f>
        <v/>
      </c>
      <c r="CM156" s="10">
        <f>MIN('02_Данные'!AO156,CL156)</f>
        <v/>
      </c>
      <c r="CN156" s="10">
        <f>CL156-CM156</f>
        <v/>
      </c>
      <c r="CO156" s="10">
        <f>MIN('02_Данные'!AP156,CN156)</f>
        <v/>
      </c>
      <c r="CP156" s="10">
        <f>CN156-CO156</f>
        <v/>
      </c>
      <c r="CQ156" s="10">
        <f>CP156+'02_Данные'!K156</f>
        <v/>
      </c>
      <c r="CR156" s="10">
        <f>MIN('02_Данные'!AR156,CQ156)</f>
        <v/>
      </c>
      <c r="CS156" s="10">
        <f>CQ156-CR156</f>
        <v/>
      </c>
      <c r="CT156" s="10">
        <f>MIN('02_Данные'!AS156,CS156)</f>
        <v/>
      </c>
      <c r="CU156" s="10">
        <f>CS156-CT156</f>
        <v/>
      </c>
      <c r="CV156" s="10">
        <f>MIN('02_Данные'!AT156,CU156)</f>
        <v/>
      </c>
      <c r="CW156" s="10">
        <f>CU156-CV156</f>
        <v/>
      </c>
      <c r="CX156" s="10">
        <f>MIN('02_Данные'!AY156,CW156)</f>
        <v/>
      </c>
      <c r="CY156" s="10">
        <f>CW156-CX156</f>
        <v/>
      </c>
      <c r="CZ156" s="10">
        <f>MIN('02_Данные'!AV156,CY156)</f>
        <v/>
      </c>
      <c r="DA156" s="10">
        <f>CY156-CZ156</f>
        <v/>
      </c>
      <c r="DB156" s="10">
        <f>MIN('02_Данные'!AU156,DA156)</f>
        <v/>
      </c>
      <c r="DC156" s="10">
        <f>DA156-DB156</f>
        <v/>
      </c>
      <c r="DD156" s="10">
        <f>MIN('02_Данные'!AW156,DC156)</f>
        <v/>
      </c>
      <c r="DE156" s="10">
        <f>DC156-DD156</f>
        <v/>
      </c>
      <c r="DF156" s="10">
        <f>MIN('02_Данные'!AX156,DE156)</f>
        <v/>
      </c>
      <c r="DG156" s="10">
        <f>DE156-DF156</f>
        <v/>
      </c>
    </row>
    <row r="157">
      <c r="A157" s="9">
        <f>'02_Данные'!B157</f>
        <v/>
      </c>
      <c r="B157" s="9">
        <f>'02_Данные'!E157</f>
        <v/>
      </c>
      <c r="C157" s="10">
        <f>'02_Данные'!F157+'02_Данные'!G157+'02_Данные'!H157+'02_Данные'!I157+'02_Данные'!J157+'02_Данные'!K157</f>
        <v/>
      </c>
      <c r="D157" s="10">
        <f>SUM('02_Данные'!L157:'02_Данные'!AY157)</f>
        <v/>
      </c>
      <c r="E157" s="10">
        <f>MAX(0,D157-C157)</f>
        <v/>
      </c>
      <c r="F157" s="15">
        <f>IF(E157&gt;0.0001,"ДЕФИЦИТ",IF(Y157&gt;0.0001,"ПРОФИЦИТ","БАЛАНС"))</f>
        <v/>
      </c>
      <c r="G157" s="10">
        <f>AB157+AS157+BJ157+CA157+CR157</f>
        <v/>
      </c>
      <c r="H157" s="10">
        <f>AD157+AU157+BL157+CC157+CT157</f>
        <v/>
      </c>
      <c r="I157" s="10">
        <f>AF157+AW157+BN157+CE157+CV157</f>
        <v/>
      </c>
      <c r="J157" s="10">
        <f>AL157+BC157+BT157+CK157+DB157</f>
        <v/>
      </c>
      <c r="K157" s="10">
        <f>AJ157+BA157+BR157+CI157+CZ157</f>
        <v/>
      </c>
      <c r="L157" s="10">
        <f>AN157+BE157+BV157+CM157+DD157</f>
        <v/>
      </c>
      <c r="M157" s="10">
        <f>AP157+BG157+BX157+CO157+DF157</f>
        <v/>
      </c>
      <c r="N157" s="10">
        <f>AH157+AY157+BP157+CG157+CX157</f>
        <v/>
      </c>
      <c r="O157" s="10">
        <f>SUM(G157:N157)</f>
        <v/>
      </c>
      <c r="P157" s="10">
        <f>IFERROR(G157*MIN(1,'01_Нормативы'!$C$4/SUM(G$2:G$429)),0)</f>
        <v/>
      </c>
      <c r="Q157" s="10">
        <f>IFERROR(H157*MIN(1,'01_Нормативы'!$C$5/SUM(H$2:H$429)),0)</f>
        <v/>
      </c>
      <c r="R157" s="10">
        <f>IFERROR(I157*MIN(1,'01_Нормативы'!$C$6/SUM(I$2:I$429)),0)</f>
        <v/>
      </c>
      <c r="S157" s="10">
        <f>IFERROR(J157*MIN(1,'01_Нормативы'!$C$7/SUM(J$2:J$429)),0)</f>
        <v/>
      </c>
      <c r="T157" s="10">
        <f>IFERROR(K157*MIN(1,'01_Нормативы'!$C$8/SUM(K$2:K$429)),0)</f>
        <v/>
      </c>
      <c r="U157" s="10">
        <f>IFERROR(L157*MIN(1,'01_Нормативы'!$C$9/SUM(L$2:L$429)),0)</f>
        <v/>
      </c>
      <c r="V157" s="10">
        <f>IFERROR(M157*MIN(1,'01_Нормативы'!$C$10/SUM(M$2:M$429)),0)</f>
        <v/>
      </c>
      <c r="W157" s="10">
        <f>IFERROR(N157*MIN(1,'01_Нормативы'!$C$11/SUM(N$2:N$429)),0)</f>
        <v/>
      </c>
      <c r="X157" s="10">
        <f>SUM(P157:W157)</f>
        <v/>
      </c>
      <c r="Y157" s="10">
        <f>MAX(0,C157-X157)</f>
        <v/>
      </c>
      <c r="Z157" s="10">
        <f>IF(D157=0,100,X157/D157*100)</f>
        <v/>
      </c>
      <c r="AA157" s="10">
        <f>'02_Данные'!F157+'02_Данные'!G157</f>
        <v/>
      </c>
      <c r="AB157" s="10">
        <f>MIN('02_Данные'!L157,AA157)</f>
        <v/>
      </c>
      <c r="AC157" s="10">
        <f>AA157-AB157</f>
        <v/>
      </c>
      <c r="AD157" s="10">
        <f>MIN('02_Данные'!M157,AC157)</f>
        <v/>
      </c>
      <c r="AE157" s="10">
        <f>AC157-AD157</f>
        <v/>
      </c>
      <c r="AF157" s="10">
        <f>MIN('02_Данные'!N157,AE157)</f>
        <v/>
      </c>
      <c r="AG157" s="10">
        <f>AE157-AF157</f>
        <v/>
      </c>
      <c r="AH157" s="10">
        <f>MIN('02_Данные'!S157,AG157)</f>
        <v/>
      </c>
      <c r="AI157" s="10">
        <f>AG157-AH157</f>
        <v/>
      </c>
      <c r="AJ157" s="10">
        <f>MIN('02_Данные'!P157,AI157)</f>
        <v/>
      </c>
      <c r="AK157" s="10">
        <f>AI157-AJ157</f>
        <v/>
      </c>
      <c r="AL157" s="10">
        <f>MIN('02_Данные'!O157,AK157)</f>
        <v/>
      </c>
      <c r="AM157" s="10">
        <f>AK157-AL157</f>
        <v/>
      </c>
      <c r="AN157" s="10">
        <f>MIN('02_Данные'!Q157,AM157)</f>
        <v/>
      </c>
      <c r="AO157" s="10">
        <f>AM157-AN157</f>
        <v/>
      </c>
      <c r="AP157" s="10">
        <f>MIN('02_Данные'!R157,AO157)</f>
        <v/>
      </c>
      <c r="AQ157" s="10">
        <f>AO157-AP157</f>
        <v/>
      </c>
      <c r="AR157" s="10">
        <f>AQ157+'02_Данные'!H157</f>
        <v/>
      </c>
      <c r="AS157" s="10">
        <f>MIN('02_Данные'!T157,AR157)</f>
        <v/>
      </c>
      <c r="AT157" s="10">
        <f>AR157-AS157</f>
        <v/>
      </c>
      <c r="AU157" s="10">
        <f>MIN('02_Данные'!U157,AT157)</f>
        <v/>
      </c>
      <c r="AV157" s="10">
        <f>AT157-AU157</f>
        <v/>
      </c>
      <c r="AW157" s="10">
        <f>MIN('02_Данные'!V157,AV157)</f>
        <v/>
      </c>
      <c r="AX157" s="10">
        <f>AV157-AW157</f>
        <v/>
      </c>
      <c r="AY157" s="10">
        <f>MIN('02_Данные'!AA157,AX157)</f>
        <v/>
      </c>
      <c r="AZ157" s="10">
        <f>AX157-AY157</f>
        <v/>
      </c>
      <c r="BA157" s="10">
        <f>MIN('02_Данные'!X157,AZ157)</f>
        <v/>
      </c>
      <c r="BB157" s="10">
        <f>AZ157-BA157</f>
        <v/>
      </c>
      <c r="BC157" s="10">
        <f>MIN('02_Данные'!W157,BB157)</f>
        <v/>
      </c>
      <c r="BD157" s="10">
        <f>BB157-BC157</f>
        <v/>
      </c>
      <c r="BE157" s="10">
        <f>MIN('02_Данные'!Y157,BD157)</f>
        <v/>
      </c>
      <c r="BF157" s="10">
        <f>BD157-BE157</f>
        <v/>
      </c>
      <c r="BG157" s="10">
        <f>MIN('02_Данные'!Z157,BF157)</f>
        <v/>
      </c>
      <c r="BH157" s="10">
        <f>BF157-BG157</f>
        <v/>
      </c>
      <c r="BI157" s="10">
        <f>BH157+'02_Данные'!I157</f>
        <v/>
      </c>
      <c r="BJ157" s="10">
        <f>MIN('02_Данные'!AB157,BI157)</f>
        <v/>
      </c>
      <c r="BK157" s="10">
        <f>BI157-BJ157</f>
        <v/>
      </c>
      <c r="BL157" s="10">
        <f>MIN('02_Данные'!AC157,BK157)</f>
        <v/>
      </c>
      <c r="BM157" s="10">
        <f>BK157-BL157</f>
        <v/>
      </c>
      <c r="BN157" s="10">
        <f>MIN('02_Данные'!AD157,BM157)</f>
        <v/>
      </c>
      <c r="BO157" s="10">
        <f>BM157-BN157</f>
        <v/>
      </c>
      <c r="BP157" s="10">
        <f>MIN('02_Данные'!AI157,BO157)</f>
        <v/>
      </c>
      <c r="BQ157" s="10">
        <f>BO157-BP157</f>
        <v/>
      </c>
      <c r="BR157" s="10">
        <f>MIN('02_Данные'!AF157,BQ157)</f>
        <v/>
      </c>
      <c r="BS157" s="10">
        <f>BQ157-BR157</f>
        <v/>
      </c>
      <c r="BT157" s="10">
        <f>MIN('02_Данные'!AE157,BS157)</f>
        <v/>
      </c>
      <c r="BU157" s="10">
        <f>BS157-BT157</f>
        <v/>
      </c>
      <c r="BV157" s="10">
        <f>MIN('02_Данные'!AG157,BU157)</f>
        <v/>
      </c>
      <c r="BW157" s="10">
        <f>BU157-BV157</f>
        <v/>
      </c>
      <c r="BX157" s="10">
        <f>MIN('02_Данные'!AH157,BW157)</f>
        <v/>
      </c>
      <c r="BY157" s="10">
        <f>BW157-BX157</f>
        <v/>
      </c>
      <c r="BZ157" s="10">
        <f>BY157+'02_Данные'!J157</f>
        <v/>
      </c>
      <c r="CA157" s="10">
        <f>MIN('02_Данные'!AJ157,BZ157)</f>
        <v/>
      </c>
      <c r="CB157" s="10">
        <f>BZ157-CA157</f>
        <v/>
      </c>
      <c r="CC157" s="10">
        <f>MIN('02_Данные'!AK157,CB157)</f>
        <v/>
      </c>
      <c r="CD157" s="10">
        <f>CB157-CC157</f>
        <v/>
      </c>
      <c r="CE157" s="10">
        <f>MIN('02_Данные'!AL157,CD157)</f>
        <v/>
      </c>
      <c r="CF157" s="10">
        <f>CD157-CE157</f>
        <v/>
      </c>
      <c r="CG157" s="10">
        <f>MIN('02_Данные'!AQ157,CF157)</f>
        <v/>
      </c>
      <c r="CH157" s="10">
        <f>CF157-CG157</f>
        <v/>
      </c>
      <c r="CI157" s="10">
        <f>MIN('02_Данные'!AN157,CH157)</f>
        <v/>
      </c>
      <c r="CJ157" s="10">
        <f>CH157-CI157</f>
        <v/>
      </c>
      <c r="CK157" s="10">
        <f>MIN('02_Данные'!AM157,CJ157)</f>
        <v/>
      </c>
      <c r="CL157" s="10">
        <f>CJ157-CK157</f>
        <v/>
      </c>
      <c r="CM157" s="10">
        <f>MIN('02_Данные'!AO157,CL157)</f>
        <v/>
      </c>
      <c r="CN157" s="10">
        <f>CL157-CM157</f>
        <v/>
      </c>
      <c r="CO157" s="10">
        <f>MIN('02_Данные'!AP157,CN157)</f>
        <v/>
      </c>
      <c r="CP157" s="10">
        <f>CN157-CO157</f>
        <v/>
      </c>
      <c r="CQ157" s="10">
        <f>CP157+'02_Данные'!K157</f>
        <v/>
      </c>
      <c r="CR157" s="10">
        <f>MIN('02_Данные'!AR157,CQ157)</f>
        <v/>
      </c>
      <c r="CS157" s="10">
        <f>CQ157-CR157</f>
        <v/>
      </c>
      <c r="CT157" s="10">
        <f>MIN('02_Данные'!AS157,CS157)</f>
        <v/>
      </c>
      <c r="CU157" s="10">
        <f>CS157-CT157</f>
        <v/>
      </c>
      <c r="CV157" s="10">
        <f>MIN('02_Данные'!AT157,CU157)</f>
        <v/>
      </c>
      <c r="CW157" s="10">
        <f>CU157-CV157</f>
        <v/>
      </c>
      <c r="CX157" s="10">
        <f>MIN('02_Данные'!AY157,CW157)</f>
        <v/>
      </c>
      <c r="CY157" s="10">
        <f>CW157-CX157</f>
        <v/>
      </c>
      <c r="CZ157" s="10">
        <f>MIN('02_Данные'!AV157,CY157)</f>
        <v/>
      </c>
      <c r="DA157" s="10">
        <f>CY157-CZ157</f>
        <v/>
      </c>
      <c r="DB157" s="10">
        <f>MIN('02_Данные'!AU157,DA157)</f>
        <v/>
      </c>
      <c r="DC157" s="10">
        <f>DA157-DB157</f>
        <v/>
      </c>
      <c r="DD157" s="10">
        <f>MIN('02_Данные'!AW157,DC157)</f>
        <v/>
      </c>
      <c r="DE157" s="10">
        <f>DC157-DD157</f>
        <v/>
      </c>
      <c r="DF157" s="10">
        <f>MIN('02_Данные'!AX157,DE157)</f>
        <v/>
      </c>
      <c r="DG157" s="10">
        <f>DE157-DF157</f>
        <v/>
      </c>
    </row>
    <row r="158">
      <c r="A158" s="9">
        <f>'02_Данные'!B158</f>
        <v/>
      </c>
      <c r="B158" s="9">
        <f>'02_Данные'!E158</f>
        <v/>
      </c>
      <c r="C158" s="10">
        <f>'02_Данные'!F158+'02_Данные'!G158+'02_Данные'!H158+'02_Данные'!I158+'02_Данные'!J158+'02_Данные'!K158</f>
        <v/>
      </c>
      <c r="D158" s="10">
        <f>SUM('02_Данные'!L158:'02_Данные'!AY158)</f>
        <v/>
      </c>
      <c r="E158" s="10">
        <f>MAX(0,D158-C158)</f>
        <v/>
      </c>
      <c r="F158" s="15">
        <f>IF(E158&gt;0.0001,"ДЕФИЦИТ",IF(Y158&gt;0.0001,"ПРОФИЦИТ","БАЛАНС"))</f>
        <v/>
      </c>
      <c r="G158" s="10">
        <f>AB158+AS158+BJ158+CA158+CR158</f>
        <v/>
      </c>
      <c r="H158" s="10">
        <f>AD158+AU158+BL158+CC158+CT158</f>
        <v/>
      </c>
      <c r="I158" s="10">
        <f>AF158+AW158+BN158+CE158+CV158</f>
        <v/>
      </c>
      <c r="J158" s="10">
        <f>AL158+BC158+BT158+CK158+DB158</f>
        <v/>
      </c>
      <c r="K158" s="10">
        <f>AJ158+BA158+BR158+CI158+CZ158</f>
        <v/>
      </c>
      <c r="L158" s="10">
        <f>AN158+BE158+BV158+CM158+DD158</f>
        <v/>
      </c>
      <c r="M158" s="10">
        <f>AP158+BG158+BX158+CO158+DF158</f>
        <v/>
      </c>
      <c r="N158" s="10">
        <f>AH158+AY158+BP158+CG158+CX158</f>
        <v/>
      </c>
      <c r="O158" s="10">
        <f>SUM(G158:N158)</f>
        <v/>
      </c>
      <c r="P158" s="10">
        <f>IFERROR(G158*MIN(1,'01_Нормативы'!$C$4/SUM(G$2:G$429)),0)</f>
        <v/>
      </c>
      <c r="Q158" s="10">
        <f>IFERROR(H158*MIN(1,'01_Нормативы'!$C$5/SUM(H$2:H$429)),0)</f>
        <v/>
      </c>
      <c r="R158" s="10">
        <f>IFERROR(I158*MIN(1,'01_Нормативы'!$C$6/SUM(I$2:I$429)),0)</f>
        <v/>
      </c>
      <c r="S158" s="10">
        <f>IFERROR(J158*MIN(1,'01_Нормативы'!$C$7/SUM(J$2:J$429)),0)</f>
        <v/>
      </c>
      <c r="T158" s="10">
        <f>IFERROR(K158*MIN(1,'01_Нормативы'!$C$8/SUM(K$2:K$429)),0)</f>
        <v/>
      </c>
      <c r="U158" s="10">
        <f>IFERROR(L158*MIN(1,'01_Нормативы'!$C$9/SUM(L$2:L$429)),0)</f>
        <v/>
      </c>
      <c r="V158" s="10">
        <f>IFERROR(M158*MIN(1,'01_Нормативы'!$C$10/SUM(M$2:M$429)),0)</f>
        <v/>
      </c>
      <c r="W158" s="10">
        <f>IFERROR(N158*MIN(1,'01_Нормативы'!$C$11/SUM(N$2:N$429)),0)</f>
        <v/>
      </c>
      <c r="X158" s="10">
        <f>SUM(P158:W158)</f>
        <v/>
      </c>
      <c r="Y158" s="10">
        <f>MAX(0,C158-X158)</f>
        <v/>
      </c>
      <c r="Z158" s="10">
        <f>IF(D158=0,100,X158/D158*100)</f>
        <v/>
      </c>
      <c r="AA158" s="10">
        <f>'02_Данные'!F158+'02_Данные'!G158</f>
        <v/>
      </c>
      <c r="AB158" s="10">
        <f>MIN('02_Данные'!L158,AA158)</f>
        <v/>
      </c>
      <c r="AC158" s="10">
        <f>AA158-AB158</f>
        <v/>
      </c>
      <c r="AD158" s="10">
        <f>MIN('02_Данные'!M158,AC158)</f>
        <v/>
      </c>
      <c r="AE158" s="10">
        <f>AC158-AD158</f>
        <v/>
      </c>
      <c r="AF158" s="10">
        <f>MIN('02_Данные'!N158,AE158)</f>
        <v/>
      </c>
      <c r="AG158" s="10">
        <f>AE158-AF158</f>
        <v/>
      </c>
      <c r="AH158" s="10">
        <f>MIN('02_Данные'!S158,AG158)</f>
        <v/>
      </c>
      <c r="AI158" s="10">
        <f>AG158-AH158</f>
        <v/>
      </c>
      <c r="AJ158" s="10">
        <f>MIN('02_Данные'!P158,AI158)</f>
        <v/>
      </c>
      <c r="AK158" s="10">
        <f>AI158-AJ158</f>
        <v/>
      </c>
      <c r="AL158" s="10">
        <f>MIN('02_Данные'!O158,AK158)</f>
        <v/>
      </c>
      <c r="AM158" s="10">
        <f>AK158-AL158</f>
        <v/>
      </c>
      <c r="AN158" s="10">
        <f>MIN('02_Данные'!Q158,AM158)</f>
        <v/>
      </c>
      <c r="AO158" s="10">
        <f>AM158-AN158</f>
        <v/>
      </c>
      <c r="AP158" s="10">
        <f>MIN('02_Данные'!R158,AO158)</f>
        <v/>
      </c>
      <c r="AQ158" s="10">
        <f>AO158-AP158</f>
        <v/>
      </c>
      <c r="AR158" s="10">
        <f>AQ158+'02_Данные'!H158</f>
        <v/>
      </c>
      <c r="AS158" s="10">
        <f>MIN('02_Данные'!T158,AR158)</f>
        <v/>
      </c>
      <c r="AT158" s="10">
        <f>AR158-AS158</f>
        <v/>
      </c>
      <c r="AU158" s="10">
        <f>MIN('02_Данные'!U158,AT158)</f>
        <v/>
      </c>
      <c r="AV158" s="10">
        <f>AT158-AU158</f>
        <v/>
      </c>
      <c r="AW158" s="10">
        <f>MIN('02_Данные'!V158,AV158)</f>
        <v/>
      </c>
      <c r="AX158" s="10">
        <f>AV158-AW158</f>
        <v/>
      </c>
      <c r="AY158" s="10">
        <f>MIN('02_Данные'!AA158,AX158)</f>
        <v/>
      </c>
      <c r="AZ158" s="10">
        <f>AX158-AY158</f>
        <v/>
      </c>
      <c r="BA158" s="10">
        <f>MIN('02_Данные'!X158,AZ158)</f>
        <v/>
      </c>
      <c r="BB158" s="10">
        <f>AZ158-BA158</f>
        <v/>
      </c>
      <c r="BC158" s="10">
        <f>MIN('02_Данные'!W158,BB158)</f>
        <v/>
      </c>
      <c r="BD158" s="10">
        <f>BB158-BC158</f>
        <v/>
      </c>
      <c r="BE158" s="10">
        <f>MIN('02_Данные'!Y158,BD158)</f>
        <v/>
      </c>
      <c r="BF158" s="10">
        <f>BD158-BE158</f>
        <v/>
      </c>
      <c r="BG158" s="10">
        <f>MIN('02_Данные'!Z158,BF158)</f>
        <v/>
      </c>
      <c r="BH158" s="10">
        <f>BF158-BG158</f>
        <v/>
      </c>
      <c r="BI158" s="10">
        <f>BH158+'02_Данные'!I158</f>
        <v/>
      </c>
      <c r="BJ158" s="10">
        <f>MIN('02_Данные'!AB158,BI158)</f>
        <v/>
      </c>
      <c r="BK158" s="10">
        <f>BI158-BJ158</f>
        <v/>
      </c>
      <c r="BL158" s="10">
        <f>MIN('02_Данные'!AC158,BK158)</f>
        <v/>
      </c>
      <c r="BM158" s="10">
        <f>BK158-BL158</f>
        <v/>
      </c>
      <c r="BN158" s="10">
        <f>MIN('02_Данные'!AD158,BM158)</f>
        <v/>
      </c>
      <c r="BO158" s="10">
        <f>BM158-BN158</f>
        <v/>
      </c>
      <c r="BP158" s="10">
        <f>MIN('02_Данные'!AI158,BO158)</f>
        <v/>
      </c>
      <c r="BQ158" s="10">
        <f>BO158-BP158</f>
        <v/>
      </c>
      <c r="BR158" s="10">
        <f>MIN('02_Данные'!AF158,BQ158)</f>
        <v/>
      </c>
      <c r="BS158" s="10">
        <f>BQ158-BR158</f>
        <v/>
      </c>
      <c r="BT158" s="10">
        <f>MIN('02_Данные'!AE158,BS158)</f>
        <v/>
      </c>
      <c r="BU158" s="10">
        <f>BS158-BT158</f>
        <v/>
      </c>
      <c r="BV158" s="10">
        <f>MIN('02_Данные'!AG158,BU158)</f>
        <v/>
      </c>
      <c r="BW158" s="10">
        <f>BU158-BV158</f>
        <v/>
      </c>
      <c r="BX158" s="10">
        <f>MIN('02_Данные'!AH158,BW158)</f>
        <v/>
      </c>
      <c r="BY158" s="10">
        <f>BW158-BX158</f>
        <v/>
      </c>
      <c r="BZ158" s="10">
        <f>BY158+'02_Данные'!J158</f>
        <v/>
      </c>
      <c r="CA158" s="10">
        <f>MIN('02_Данные'!AJ158,BZ158)</f>
        <v/>
      </c>
      <c r="CB158" s="10">
        <f>BZ158-CA158</f>
        <v/>
      </c>
      <c r="CC158" s="10">
        <f>MIN('02_Данные'!AK158,CB158)</f>
        <v/>
      </c>
      <c r="CD158" s="10">
        <f>CB158-CC158</f>
        <v/>
      </c>
      <c r="CE158" s="10">
        <f>MIN('02_Данные'!AL158,CD158)</f>
        <v/>
      </c>
      <c r="CF158" s="10">
        <f>CD158-CE158</f>
        <v/>
      </c>
      <c r="CG158" s="10">
        <f>MIN('02_Данные'!AQ158,CF158)</f>
        <v/>
      </c>
      <c r="CH158" s="10">
        <f>CF158-CG158</f>
        <v/>
      </c>
      <c r="CI158" s="10">
        <f>MIN('02_Данные'!AN158,CH158)</f>
        <v/>
      </c>
      <c r="CJ158" s="10">
        <f>CH158-CI158</f>
        <v/>
      </c>
      <c r="CK158" s="10">
        <f>MIN('02_Данные'!AM158,CJ158)</f>
        <v/>
      </c>
      <c r="CL158" s="10">
        <f>CJ158-CK158</f>
        <v/>
      </c>
      <c r="CM158" s="10">
        <f>MIN('02_Данные'!AO158,CL158)</f>
        <v/>
      </c>
      <c r="CN158" s="10">
        <f>CL158-CM158</f>
        <v/>
      </c>
      <c r="CO158" s="10">
        <f>MIN('02_Данные'!AP158,CN158)</f>
        <v/>
      </c>
      <c r="CP158" s="10">
        <f>CN158-CO158</f>
        <v/>
      </c>
      <c r="CQ158" s="10">
        <f>CP158+'02_Данные'!K158</f>
        <v/>
      </c>
      <c r="CR158" s="10">
        <f>MIN('02_Данные'!AR158,CQ158)</f>
        <v/>
      </c>
      <c r="CS158" s="10">
        <f>CQ158-CR158</f>
        <v/>
      </c>
      <c r="CT158" s="10">
        <f>MIN('02_Данные'!AS158,CS158)</f>
        <v/>
      </c>
      <c r="CU158" s="10">
        <f>CS158-CT158</f>
        <v/>
      </c>
      <c r="CV158" s="10">
        <f>MIN('02_Данные'!AT158,CU158)</f>
        <v/>
      </c>
      <c r="CW158" s="10">
        <f>CU158-CV158</f>
        <v/>
      </c>
      <c r="CX158" s="10">
        <f>MIN('02_Данные'!AY158,CW158)</f>
        <v/>
      </c>
      <c r="CY158" s="10">
        <f>CW158-CX158</f>
        <v/>
      </c>
      <c r="CZ158" s="10">
        <f>MIN('02_Данные'!AV158,CY158)</f>
        <v/>
      </c>
      <c r="DA158" s="10">
        <f>CY158-CZ158</f>
        <v/>
      </c>
      <c r="DB158" s="10">
        <f>MIN('02_Данные'!AU158,DA158)</f>
        <v/>
      </c>
      <c r="DC158" s="10">
        <f>DA158-DB158</f>
        <v/>
      </c>
      <c r="DD158" s="10">
        <f>MIN('02_Данные'!AW158,DC158)</f>
        <v/>
      </c>
      <c r="DE158" s="10">
        <f>DC158-DD158</f>
        <v/>
      </c>
      <c r="DF158" s="10">
        <f>MIN('02_Данные'!AX158,DE158)</f>
        <v/>
      </c>
      <c r="DG158" s="10">
        <f>DE158-DF158</f>
        <v/>
      </c>
    </row>
    <row r="159">
      <c r="A159" s="9">
        <f>'02_Данные'!B159</f>
        <v/>
      </c>
      <c r="B159" s="9">
        <f>'02_Данные'!E159</f>
        <v/>
      </c>
      <c r="C159" s="10">
        <f>'02_Данные'!F159+'02_Данные'!G159+'02_Данные'!H159+'02_Данные'!I159+'02_Данные'!J159+'02_Данные'!K159</f>
        <v/>
      </c>
      <c r="D159" s="10">
        <f>SUM('02_Данные'!L159:'02_Данные'!AY159)</f>
        <v/>
      </c>
      <c r="E159" s="10">
        <f>MAX(0,D159-C159)</f>
        <v/>
      </c>
      <c r="F159" s="15">
        <f>IF(E159&gt;0.0001,"ДЕФИЦИТ",IF(Y159&gt;0.0001,"ПРОФИЦИТ","БАЛАНС"))</f>
        <v/>
      </c>
      <c r="G159" s="10">
        <f>AB159+AS159+BJ159+CA159+CR159</f>
        <v/>
      </c>
      <c r="H159" s="10">
        <f>AD159+AU159+BL159+CC159+CT159</f>
        <v/>
      </c>
      <c r="I159" s="10">
        <f>AF159+AW159+BN159+CE159+CV159</f>
        <v/>
      </c>
      <c r="J159" s="10">
        <f>AL159+BC159+BT159+CK159+DB159</f>
        <v/>
      </c>
      <c r="K159" s="10">
        <f>AJ159+BA159+BR159+CI159+CZ159</f>
        <v/>
      </c>
      <c r="L159" s="10">
        <f>AN159+BE159+BV159+CM159+DD159</f>
        <v/>
      </c>
      <c r="M159" s="10">
        <f>AP159+BG159+BX159+CO159+DF159</f>
        <v/>
      </c>
      <c r="N159" s="10">
        <f>AH159+AY159+BP159+CG159+CX159</f>
        <v/>
      </c>
      <c r="O159" s="10">
        <f>SUM(G159:N159)</f>
        <v/>
      </c>
      <c r="P159" s="10">
        <f>IFERROR(G159*MIN(1,'01_Нормативы'!$C$4/SUM(G$2:G$429)),0)</f>
        <v/>
      </c>
      <c r="Q159" s="10">
        <f>IFERROR(H159*MIN(1,'01_Нормативы'!$C$5/SUM(H$2:H$429)),0)</f>
        <v/>
      </c>
      <c r="R159" s="10">
        <f>IFERROR(I159*MIN(1,'01_Нормативы'!$C$6/SUM(I$2:I$429)),0)</f>
        <v/>
      </c>
      <c r="S159" s="10">
        <f>IFERROR(J159*MIN(1,'01_Нормативы'!$C$7/SUM(J$2:J$429)),0)</f>
        <v/>
      </c>
      <c r="T159" s="10">
        <f>IFERROR(K159*MIN(1,'01_Нормативы'!$C$8/SUM(K$2:K$429)),0)</f>
        <v/>
      </c>
      <c r="U159" s="10">
        <f>IFERROR(L159*MIN(1,'01_Нормативы'!$C$9/SUM(L$2:L$429)),0)</f>
        <v/>
      </c>
      <c r="V159" s="10">
        <f>IFERROR(M159*MIN(1,'01_Нормативы'!$C$10/SUM(M$2:M$429)),0)</f>
        <v/>
      </c>
      <c r="W159" s="10">
        <f>IFERROR(N159*MIN(1,'01_Нормативы'!$C$11/SUM(N$2:N$429)),0)</f>
        <v/>
      </c>
      <c r="X159" s="10">
        <f>SUM(P159:W159)</f>
        <v/>
      </c>
      <c r="Y159" s="10">
        <f>MAX(0,C159-X159)</f>
        <v/>
      </c>
      <c r="Z159" s="10">
        <f>IF(D159=0,100,X159/D159*100)</f>
        <v/>
      </c>
      <c r="AA159" s="10">
        <f>'02_Данные'!F159+'02_Данные'!G159</f>
        <v/>
      </c>
      <c r="AB159" s="10">
        <f>MIN('02_Данные'!L159,AA159)</f>
        <v/>
      </c>
      <c r="AC159" s="10">
        <f>AA159-AB159</f>
        <v/>
      </c>
      <c r="AD159" s="10">
        <f>MIN('02_Данные'!M159,AC159)</f>
        <v/>
      </c>
      <c r="AE159" s="10">
        <f>AC159-AD159</f>
        <v/>
      </c>
      <c r="AF159" s="10">
        <f>MIN('02_Данные'!N159,AE159)</f>
        <v/>
      </c>
      <c r="AG159" s="10">
        <f>AE159-AF159</f>
        <v/>
      </c>
      <c r="AH159" s="10">
        <f>MIN('02_Данные'!S159,AG159)</f>
        <v/>
      </c>
      <c r="AI159" s="10">
        <f>AG159-AH159</f>
        <v/>
      </c>
      <c r="AJ159" s="10">
        <f>MIN('02_Данные'!P159,AI159)</f>
        <v/>
      </c>
      <c r="AK159" s="10">
        <f>AI159-AJ159</f>
        <v/>
      </c>
      <c r="AL159" s="10">
        <f>MIN('02_Данные'!O159,AK159)</f>
        <v/>
      </c>
      <c r="AM159" s="10">
        <f>AK159-AL159</f>
        <v/>
      </c>
      <c r="AN159" s="10">
        <f>MIN('02_Данные'!Q159,AM159)</f>
        <v/>
      </c>
      <c r="AO159" s="10">
        <f>AM159-AN159</f>
        <v/>
      </c>
      <c r="AP159" s="10">
        <f>MIN('02_Данные'!R159,AO159)</f>
        <v/>
      </c>
      <c r="AQ159" s="10">
        <f>AO159-AP159</f>
        <v/>
      </c>
      <c r="AR159" s="10">
        <f>AQ159+'02_Данные'!H159</f>
        <v/>
      </c>
      <c r="AS159" s="10">
        <f>MIN('02_Данные'!T159,AR159)</f>
        <v/>
      </c>
      <c r="AT159" s="10">
        <f>AR159-AS159</f>
        <v/>
      </c>
      <c r="AU159" s="10">
        <f>MIN('02_Данные'!U159,AT159)</f>
        <v/>
      </c>
      <c r="AV159" s="10">
        <f>AT159-AU159</f>
        <v/>
      </c>
      <c r="AW159" s="10">
        <f>MIN('02_Данные'!V159,AV159)</f>
        <v/>
      </c>
      <c r="AX159" s="10">
        <f>AV159-AW159</f>
        <v/>
      </c>
      <c r="AY159" s="10">
        <f>MIN('02_Данные'!AA159,AX159)</f>
        <v/>
      </c>
      <c r="AZ159" s="10">
        <f>AX159-AY159</f>
        <v/>
      </c>
      <c r="BA159" s="10">
        <f>MIN('02_Данные'!X159,AZ159)</f>
        <v/>
      </c>
      <c r="BB159" s="10">
        <f>AZ159-BA159</f>
        <v/>
      </c>
      <c r="BC159" s="10">
        <f>MIN('02_Данные'!W159,BB159)</f>
        <v/>
      </c>
      <c r="BD159" s="10">
        <f>BB159-BC159</f>
        <v/>
      </c>
      <c r="BE159" s="10">
        <f>MIN('02_Данные'!Y159,BD159)</f>
        <v/>
      </c>
      <c r="BF159" s="10">
        <f>BD159-BE159</f>
        <v/>
      </c>
      <c r="BG159" s="10">
        <f>MIN('02_Данные'!Z159,BF159)</f>
        <v/>
      </c>
      <c r="BH159" s="10">
        <f>BF159-BG159</f>
        <v/>
      </c>
      <c r="BI159" s="10">
        <f>BH159+'02_Данные'!I159</f>
        <v/>
      </c>
      <c r="BJ159" s="10">
        <f>MIN('02_Данные'!AB159,BI159)</f>
        <v/>
      </c>
      <c r="BK159" s="10">
        <f>BI159-BJ159</f>
        <v/>
      </c>
      <c r="BL159" s="10">
        <f>MIN('02_Данные'!AC159,BK159)</f>
        <v/>
      </c>
      <c r="BM159" s="10">
        <f>BK159-BL159</f>
        <v/>
      </c>
      <c r="BN159" s="10">
        <f>MIN('02_Данные'!AD159,BM159)</f>
        <v/>
      </c>
      <c r="BO159" s="10">
        <f>BM159-BN159</f>
        <v/>
      </c>
      <c r="BP159" s="10">
        <f>MIN('02_Данные'!AI159,BO159)</f>
        <v/>
      </c>
      <c r="BQ159" s="10">
        <f>BO159-BP159</f>
        <v/>
      </c>
      <c r="BR159" s="10">
        <f>MIN('02_Данные'!AF159,BQ159)</f>
        <v/>
      </c>
      <c r="BS159" s="10">
        <f>BQ159-BR159</f>
        <v/>
      </c>
      <c r="BT159" s="10">
        <f>MIN('02_Данные'!AE159,BS159)</f>
        <v/>
      </c>
      <c r="BU159" s="10">
        <f>BS159-BT159</f>
        <v/>
      </c>
      <c r="BV159" s="10">
        <f>MIN('02_Данные'!AG159,BU159)</f>
        <v/>
      </c>
      <c r="BW159" s="10">
        <f>BU159-BV159</f>
        <v/>
      </c>
      <c r="BX159" s="10">
        <f>MIN('02_Данные'!AH159,BW159)</f>
        <v/>
      </c>
      <c r="BY159" s="10">
        <f>BW159-BX159</f>
        <v/>
      </c>
      <c r="BZ159" s="10">
        <f>BY159+'02_Данные'!J159</f>
        <v/>
      </c>
      <c r="CA159" s="10">
        <f>MIN('02_Данные'!AJ159,BZ159)</f>
        <v/>
      </c>
      <c r="CB159" s="10">
        <f>BZ159-CA159</f>
        <v/>
      </c>
      <c r="CC159" s="10">
        <f>MIN('02_Данные'!AK159,CB159)</f>
        <v/>
      </c>
      <c r="CD159" s="10">
        <f>CB159-CC159</f>
        <v/>
      </c>
      <c r="CE159" s="10">
        <f>MIN('02_Данные'!AL159,CD159)</f>
        <v/>
      </c>
      <c r="CF159" s="10">
        <f>CD159-CE159</f>
        <v/>
      </c>
      <c r="CG159" s="10">
        <f>MIN('02_Данные'!AQ159,CF159)</f>
        <v/>
      </c>
      <c r="CH159" s="10">
        <f>CF159-CG159</f>
        <v/>
      </c>
      <c r="CI159" s="10">
        <f>MIN('02_Данные'!AN159,CH159)</f>
        <v/>
      </c>
      <c r="CJ159" s="10">
        <f>CH159-CI159</f>
        <v/>
      </c>
      <c r="CK159" s="10">
        <f>MIN('02_Данные'!AM159,CJ159)</f>
        <v/>
      </c>
      <c r="CL159" s="10">
        <f>CJ159-CK159</f>
        <v/>
      </c>
      <c r="CM159" s="10">
        <f>MIN('02_Данные'!AO159,CL159)</f>
        <v/>
      </c>
      <c r="CN159" s="10">
        <f>CL159-CM159</f>
        <v/>
      </c>
      <c r="CO159" s="10">
        <f>MIN('02_Данные'!AP159,CN159)</f>
        <v/>
      </c>
      <c r="CP159" s="10">
        <f>CN159-CO159</f>
        <v/>
      </c>
      <c r="CQ159" s="10">
        <f>CP159+'02_Данные'!K159</f>
        <v/>
      </c>
      <c r="CR159" s="10">
        <f>MIN('02_Данные'!AR159,CQ159)</f>
        <v/>
      </c>
      <c r="CS159" s="10">
        <f>CQ159-CR159</f>
        <v/>
      </c>
      <c r="CT159" s="10">
        <f>MIN('02_Данные'!AS159,CS159)</f>
        <v/>
      </c>
      <c r="CU159" s="10">
        <f>CS159-CT159</f>
        <v/>
      </c>
      <c r="CV159" s="10">
        <f>MIN('02_Данные'!AT159,CU159)</f>
        <v/>
      </c>
      <c r="CW159" s="10">
        <f>CU159-CV159</f>
        <v/>
      </c>
      <c r="CX159" s="10">
        <f>MIN('02_Данные'!AY159,CW159)</f>
        <v/>
      </c>
      <c r="CY159" s="10">
        <f>CW159-CX159</f>
        <v/>
      </c>
      <c r="CZ159" s="10">
        <f>MIN('02_Данные'!AV159,CY159)</f>
        <v/>
      </c>
      <c r="DA159" s="10">
        <f>CY159-CZ159</f>
        <v/>
      </c>
      <c r="DB159" s="10">
        <f>MIN('02_Данные'!AU159,DA159)</f>
        <v/>
      </c>
      <c r="DC159" s="10">
        <f>DA159-DB159</f>
        <v/>
      </c>
      <c r="DD159" s="10">
        <f>MIN('02_Данные'!AW159,DC159)</f>
        <v/>
      </c>
      <c r="DE159" s="10">
        <f>DC159-DD159</f>
        <v/>
      </c>
      <c r="DF159" s="10">
        <f>MIN('02_Данные'!AX159,DE159)</f>
        <v/>
      </c>
      <c r="DG159" s="10">
        <f>DE159-DF159</f>
        <v/>
      </c>
    </row>
    <row r="160">
      <c r="A160" s="9">
        <f>'02_Данные'!B160</f>
        <v/>
      </c>
      <c r="B160" s="9">
        <f>'02_Данные'!E160</f>
        <v/>
      </c>
      <c r="C160" s="10">
        <f>'02_Данные'!F160+'02_Данные'!G160+'02_Данные'!H160+'02_Данные'!I160+'02_Данные'!J160+'02_Данные'!K160</f>
        <v/>
      </c>
      <c r="D160" s="10">
        <f>SUM('02_Данные'!L160:'02_Данные'!AY160)</f>
        <v/>
      </c>
      <c r="E160" s="10">
        <f>MAX(0,D160-C160)</f>
        <v/>
      </c>
      <c r="F160" s="15">
        <f>IF(E160&gt;0.0001,"ДЕФИЦИТ",IF(Y160&gt;0.0001,"ПРОФИЦИТ","БАЛАНС"))</f>
        <v/>
      </c>
      <c r="G160" s="10">
        <f>AB160+AS160+BJ160+CA160+CR160</f>
        <v/>
      </c>
      <c r="H160" s="10">
        <f>AD160+AU160+BL160+CC160+CT160</f>
        <v/>
      </c>
      <c r="I160" s="10">
        <f>AF160+AW160+BN160+CE160+CV160</f>
        <v/>
      </c>
      <c r="J160" s="10">
        <f>AL160+BC160+BT160+CK160+DB160</f>
        <v/>
      </c>
      <c r="K160" s="10">
        <f>AJ160+BA160+BR160+CI160+CZ160</f>
        <v/>
      </c>
      <c r="L160" s="10">
        <f>AN160+BE160+BV160+CM160+DD160</f>
        <v/>
      </c>
      <c r="M160" s="10">
        <f>AP160+BG160+BX160+CO160+DF160</f>
        <v/>
      </c>
      <c r="N160" s="10">
        <f>AH160+AY160+BP160+CG160+CX160</f>
        <v/>
      </c>
      <c r="O160" s="10">
        <f>SUM(G160:N160)</f>
        <v/>
      </c>
      <c r="P160" s="10">
        <f>IFERROR(G160*MIN(1,'01_Нормативы'!$C$4/SUM(G$2:G$429)),0)</f>
        <v/>
      </c>
      <c r="Q160" s="10">
        <f>IFERROR(H160*MIN(1,'01_Нормативы'!$C$5/SUM(H$2:H$429)),0)</f>
        <v/>
      </c>
      <c r="R160" s="10">
        <f>IFERROR(I160*MIN(1,'01_Нормативы'!$C$6/SUM(I$2:I$429)),0)</f>
        <v/>
      </c>
      <c r="S160" s="10">
        <f>IFERROR(J160*MIN(1,'01_Нормативы'!$C$7/SUM(J$2:J$429)),0)</f>
        <v/>
      </c>
      <c r="T160" s="10">
        <f>IFERROR(K160*MIN(1,'01_Нормативы'!$C$8/SUM(K$2:K$429)),0)</f>
        <v/>
      </c>
      <c r="U160" s="10">
        <f>IFERROR(L160*MIN(1,'01_Нормативы'!$C$9/SUM(L$2:L$429)),0)</f>
        <v/>
      </c>
      <c r="V160" s="10">
        <f>IFERROR(M160*MIN(1,'01_Нормативы'!$C$10/SUM(M$2:M$429)),0)</f>
        <v/>
      </c>
      <c r="W160" s="10">
        <f>IFERROR(N160*MIN(1,'01_Нормативы'!$C$11/SUM(N$2:N$429)),0)</f>
        <v/>
      </c>
      <c r="X160" s="10">
        <f>SUM(P160:W160)</f>
        <v/>
      </c>
      <c r="Y160" s="10">
        <f>MAX(0,C160-X160)</f>
        <v/>
      </c>
      <c r="Z160" s="10">
        <f>IF(D160=0,100,X160/D160*100)</f>
        <v/>
      </c>
      <c r="AA160" s="10">
        <f>'02_Данные'!F160+'02_Данные'!G160</f>
        <v/>
      </c>
      <c r="AB160" s="10">
        <f>MIN('02_Данные'!L160,AA160)</f>
        <v/>
      </c>
      <c r="AC160" s="10">
        <f>AA160-AB160</f>
        <v/>
      </c>
      <c r="AD160" s="10">
        <f>MIN('02_Данные'!M160,AC160)</f>
        <v/>
      </c>
      <c r="AE160" s="10">
        <f>AC160-AD160</f>
        <v/>
      </c>
      <c r="AF160" s="10">
        <f>MIN('02_Данные'!N160,AE160)</f>
        <v/>
      </c>
      <c r="AG160" s="10">
        <f>AE160-AF160</f>
        <v/>
      </c>
      <c r="AH160" s="10">
        <f>MIN('02_Данные'!S160,AG160)</f>
        <v/>
      </c>
      <c r="AI160" s="10">
        <f>AG160-AH160</f>
        <v/>
      </c>
      <c r="AJ160" s="10">
        <f>MIN('02_Данные'!P160,AI160)</f>
        <v/>
      </c>
      <c r="AK160" s="10">
        <f>AI160-AJ160</f>
        <v/>
      </c>
      <c r="AL160" s="10">
        <f>MIN('02_Данные'!O160,AK160)</f>
        <v/>
      </c>
      <c r="AM160" s="10">
        <f>AK160-AL160</f>
        <v/>
      </c>
      <c r="AN160" s="10">
        <f>MIN('02_Данные'!Q160,AM160)</f>
        <v/>
      </c>
      <c r="AO160" s="10">
        <f>AM160-AN160</f>
        <v/>
      </c>
      <c r="AP160" s="10">
        <f>MIN('02_Данные'!R160,AO160)</f>
        <v/>
      </c>
      <c r="AQ160" s="10">
        <f>AO160-AP160</f>
        <v/>
      </c>
      <c r="AR160" s="10">
        <f>AQ160+'02_Данные'!H160</f>
        <v/>
      </c>
      <c r="AS160" s="10">
        <f>MIN('02_Данные'!T160,AR160)</f>
        <v/>
      </c>
      <c r="AT160" s="10">
        <f>AR160-AS160</f>
        <v/>
      </c>
      <c r="AU160" s="10">
        <f>MIN('02_Данные'!U160,AT160)</f>
        <v/>
      </c>
      <c r="AV160" s="10">
        <f>AT160-AU160</f>
        <v/>
      </c>
      <c r="AW160" s="10">
        <f>MIN('02_Данные'!V160,AV160)</f>
        <v/>
      </c>
      <c r="AX160" s="10">
        <f>AV160-AW160</f>
        <v/>
      </c>
      <c r="AY160" s="10">
        <f>MIN('02_Данные'!AA160,AX160)</f>
        <v/>
      </c>
      <c r="AZ160" s="10">
        <f>AX160-AY160</f>
        <v/>
      </c>
      <c r="BA160" s="10">
        <f>MIN('02_Данные'!X160,AZ160)</f>
        <v/>
      </c>
      <c r="BB160" s="10">
        <f>AZ160-BA160</f>
        <v/>
      </c>
      <c r="BC160" s="10">
        <f>MIN('02_Данные'!W160,BB160)</f>
        <v/>
      </c>
      <c r="BD160" s="10">
        <f>BB160-BC160</f>
        <v/>
      </c>
      <c r="BE160" s="10">
        <f>MIN('02_Данные'!Y160,BD160)</f>
        <v/>
      </c>
      <c r="BF160" s="10">
        <f>BD160-BE160</f>
        <v/>
      </c>
      <c r="BG160" s="10">
        <f>MIN('02_Данные'!Z160,BF160)</f>
        <v/>
      </c>
      <c r="BH160" s="10">
        <f>BF160-BG160</f>
        <v/>
      </c>
      <c r="BI160" s="10">
        <f>BH160+'02_Данные'!I160</f>
        <v/>
      </c>
      <c r="BJ160" s="10">
        <f>MIN('02_Данные'!AB160,BI160)</f>
        <v/>
      </c>
      <c r="BK160" s="10">
        <f>BI160-BJ160</f>
        <v/>
      </c>
      <c r="BL160" s="10">
        <f>MIN('02_Данные'!AC160,BK160)</f>
        <v/>
      </c>
      <c r="BM160" s="10">
        <f>BK160-BL160</f>
        <v/>
      </c>
      <c r="BN160" s="10">
        <f>MIN('02_Данные'!AD160,BM160)</f>
        <v/>
      </c>
      <c r="BO160" s="10">
        <f>BM160-BN160</f>
        <v/>
      </c>
      <c r="BP160" s="10">
        <f>MIN('02_Данные'!AI160,BO160)</f>
        <v/>
      </c>
      <c r="BQ160" s="10">
        <f>BO160-BP160</f>
        <v/>
      </c>
      <c r="BR160" s="10">
        <f>MIN('02_Данные'!AF160,BQ160)</f>
        <v/>
      </c>
      <c r="BS160" s="10">
        <f>BQ160-BR160</f>
        <v/>
      </c>
      <c r="BT160" s="10">
        <f>MIN('02_Данные'!AE160,BS160)</f>
        <v/>
      </c>
      <c r="BU160" s="10">
        <f>BS160-BT160</f>
        <v/>
      </c>
      <c r="BV160" s="10">
        <f>MIN('02_Данные'!AG160,BU160)</f>
        <v/>
      </c>
      <c r="BW160" s="10">
        <f>BU160-BV160</f>
        <v/>
      </c>
      <c r="BX160" s="10">
        <f>MIN('02_Данные'!AH160,BW160)</f>
        <v/>
      </c>
      <c r="BY160" s="10">
        <f>BW160-BX160</f>
        <v/>
      </c>
      <c r="BZ160" s="10">
        <f>BY160+'02_Данные'!J160</f>
        <v/>
      </c>
      <c r="CA160" s="10">
        <f>MIN('02_Данные'!AJ160,BZ160)</f>
        <v/>
      </c>
      <c r="CB160" s="10">
        <f>BZ160-CA160</f>
        <v/>
      </c>
      <c r="CC160" s="10">
        <f>MIN('02_Данные'!AK160,CB160)</f>
        <v/>
      </c>
      <c r="CD160" s="10">
        <f>CB160-CC160</f>
        <v/>
      </c>
      <c r="CE160" s="10">
        <f>MIN('02_Данные'!AL160,CD160)</f>
        <v/>
      </c>
      <c r="CF160" s="10">
        <f>CD160-CE160</f>
        <v/>
      </c>
      <c r="CG160" s="10">
        <f>MIN('02_Данные'!AQ160,CF160)</f>
        <v/>
      </c>
      <c r="CH160" s="10">
        <f>CF160-CG160</f>
        <v/>
      </c>
      <c r="CI160" s="10">
        <f>MIN('02_Данные'!AN160,CH160)</f>
        <v/>
      </c>
      <c r="CJ160" s="10">
        <f>CH160-CI160</f>
        <v/>
      </c>
      <c r="CK160" s="10">
        <f>MIN('02_Данные'!AM160,CJ160)</f>
        <v/>
      </c>
      <c r="CL160" s="10">
        <f>CJ160-CK160</f>
        <v/>
      </c>
      <c r="CM160" s="10">
        <f>MIN('02_Данные'!AO160,CL160)</f>
        <v/>
      </c>
      <c r="CN160" s="10">
        <f>CL160-CM160</f>
        <v/>
      </c>
      <c r="CO160" s="10">
        <f>MIN('02_Данные'!AP160,CN160)</f>
        <v/>
      </c>
      <c r="CP160" s="10">
        <f>CN160-CO160</f>
        <v/>
      </c>
      <c r="CQ160" s="10">
        <f>CP160+'02_Данные'!K160</f>
        <v/>
      </c>
      <c r="CR160" s="10">
        <f>MIN('02_Данные'!AR160,CQ160)</f>
        <v/>
      </c>
      <c r="CS160" s="10">
        <f>CQ160-CR160</f>
        <v/>
      </c>
      <c r="CT160" s="10">
        <f>MIN('02_Данные'!AS160,CS160)</f>
        <v/>
      </c>
      <c r="CU160" s="10">
        <f>CS160-CT160</f>
        <v/>
      </c>
      <c r="CV160" s="10">
        <f>MIN('02_Данные'!AT160,CU160)</f>
        <v/>
      </c>
      <c r="CW160" s="10">
        <f>CU160-CV160</f>
        <v/>
      </c>
      <c r="CX160" s="10">
        <f>MIN('02_Данные'!AY160,CW160)</f>
        <v/>
      </c>
      <c r="CY160" s="10">
        <f>CW160-CX160</f>
        <v/>
      </c>
      <c r="CZ160" s="10">
        <f>MIN('02_Данные'!AV160,CY160)</f>
        <v/>
      </c>
      <c r="DA160" s="10">
        <f>CY160-CZ160</f>
        <v/>
      </c>
      <c r="DB160" s="10">
        <f>MIN('02_Данные'!AU160,DA160)</f>
        <v/>
      </c>
      <c r="DC160" s="10">
        <f>DA160-DB160</f>
        <v/>
      </c>
      <c r="DD160" s="10">
        <f>MIN('02_Данные'!AW160,DC160)</f>
        <v/>
      </c>
      <c r="DE160" s="10">
        <f>DC160-DD160</f>
        <v/>
      </c>
      <c r="DF160" s="10">
        <f>MIN('02_Данные'!AX160,DE160)</f>
        <v/>
      </c>
      <c r="DG160" s="10">
        <f>DE160-DF160</f>
        <v/>
      </c>
    </row>
    <row r="161">
      <c r="A161" s="9">
        <f>'02_Данные'!B161</f>
        <v/>
      </c>
      <c r="B161" s="9">
        <f>'02_Данные'!E161</f>
        <v/>
      </c>
      <c r="C161" s="10">
        <f>'02_Данные'!F161+'02_Данные'!G161+'02_Данные'!H161+'02_Данные'!I161+'02_Данные'!J161+'02_Данные'!K161</f>
        <v/>
      </c>
      <c r="D161" s="10">
        <f>SUM('02_Данные'!L161:'02_Данные'!AY161)</f>
        <v/>
      </c>
      <c r="E161" s="10">
        <f>MAX(0,D161-C161)</f>
        <v/>
      </c>
      <c r="F161" s="15">
        <f>IF(E161&gt;0.0001,"ДЕФИЦИТ",IF(Y161&gt;0.0001,"ПРОФИЦИТ","БАЛАНС"))</f>
        <v/>
      </c>
      <c r="G161" s="10">
        <f>AB161+AS161+BJ161+CA161+CR161</f>
        <v/>
      </c>
      <c r="H161" s="10">
        <f>AD161+AU161+BL161+CC161+CT161</f>
        <v/>
      </c>
      <c r="I161" s="10">
        <f>AF161+AW161+BN161+CE161+CV161</f>
        <v/>
      </c>
      <c r="J161" s="10">
        <f>AL161+BC161+BT161+CK161+DB161</f>
        <v/>
      </c>
      <c r="K161" s="10">
        <f>AJ161+BA161+BR161+CI161+CZ161</f>
        <v/>
      </c>
      <c r="L161" s="10">
        <f>AN161+BE161+BV161+CM161+DD161</f>
        <v/>
      </c>
      <c r="M161" s="10">
        <f>AP161+BG161+BX161+CO161+DF161</f>
        <v/>
      </c>
      <c r="N161" s="10">
        <f>AH161+AY161+BP161+CG161+CX161</f>
        <v/>
      </c>
      <c r="O161" s="10">
        <f>SUM(G161:N161)</f>
        <v/>
      </c>
      <c r="P161" s="10">
        <f>IFERROR(G161*MIN(1,'01_Нормативы'!$C$4/SUM(G$2:G$429)),0)</f>
        <v/>
      </c>
      <c r="Q161" s="10">
        <f>IFERROR(H161*MIN(1,'01_Нормативы'!$C$5/SUM(H$2:H$429)),0)</f>
        <v/>
      </c>
      <c r="R161" s="10">
        <f>IFERROR(I161*MIN(1,'01_Нормативы'!$C$6/SUM(I$2:I$429)),0)</f>
        <v/>
      </c>
      <c r="S161" s="10">
        <f>IFERROR(J161*MIN(1,'01_Нормативы'!$C$7/SUM(J$2:J$429)),0)</f>
        <v/>
      </c>
      <c r="T161" s="10">
        <f>IFERROR(K161*MIN(1,'01_Нормативы'!$C$8/SUM(K$2:K$429)),0)</f>
        <v/>
      </c>
      <c r="U161" s="10">
        <f>IFERROR(L161*MIN(1,'01_Нормативы'!$C$9/SUM(L$2:L$429)),0)</f>
        <v/>
      </c>
      <c r="V161" s="10">
        <f>IFERROR(M161*MIN(1,'01_Нормативы'!$C$10/SUM(M$2:M$429)),0)</f>
        <v/>
      </c>
      <c r="W161" s="10">
        <f>IFERROR(N161*MIN(1,'01_Нормативы'!$C$11/SUM(N$2:N$429)),0)</f>
        <v/>
      </c>
      <c r="X161" s="10">
        <f>SUM(P161:W161)</f>
        <v/>
      </c>
      <c r="Y161" s="10">
        <f>MAX(0,C161-X161)</f>
        <v/>
      </c>
      <c r="Z161" s="10">
        <f>IF(D161=0,100,X161/D161*100)</f>
        <v/>
      </c>
      <c r="AA161" s="10">
        <f>'02_Данные'!F161+'02_Данные'!G161</f>
        <v/>
      </c>
      <c r="AB161" s="10">
        <f>MIN('02_Данные'!L161,AA161)</f>
        <v/>
      </c>
      <c r="AC161" s="10">
        <f>AA161-AB161</f>
        <v/>
      </c>
      <c r="AD161" s="10">
        <f>MIN('02_Данные'!M161,AC161)</f>
        <v/>
      </c>
      <c r="AE161" s="10">
        <f>AC161-AD161</f>
        <v/>
      </c>
      <c r="AF161" s="10">
        <f>MIN('02_Данные'!N161,AE161)</f>
        <v/>
      </c>
      <c r="AG161" s="10">
        <f>AE161-AF161</f>
        <v/>
      </c>
      <c r="AH161" s="10">
        <f>MIN('02_Данные'!S161,AG161)</f>
        <v/>
      </c>
      <c r="AI161" s="10">
        <f>AG161-AH161</f>
        <v/>
      </c>
      <c r="AJ161" s="10">
        <f>MIN('02_Данные'!P161,AI161)</f>
        <v/>
      </c>
      <c r="AK161" s="10">
        <f>AI161-AJ161</f>
        <v/>
      </c>
      <c r="AL161" s="10">
        <f>MIN('02_Данные'!O161,AK161)</f>
        <v/>
      </c>
      <c r="AM161" s="10">
        <f>AK161-AL161</f>
        <v/>
      </c>
      <c r="AN161" s="10">
        <f>MIN('02_Данные'!Q161,AM161)</f>
        <v/>
      </c>
      <c r="AO161" s="10">
        <f>AM161-AN161</f>
        <v/>
      </c>
      <c r="AP161" s="10">
        <f>MIN('02_Данные'!R161,AO161)</f>
        <v/>
      </c>
      <c r="AQ161" s="10">
        <f>AO161-AP161</f>
        <v/>
      </c>
      <c r="AR161" s="10">
        <f>AQ161+'02_Данные'!H161</f>
        <v/>
      </c>
      <c r="AS161" s="10">
        <f>MIN('02_Данные'!T161,AR161)</f>
        <v/>
      </c>
      <c r="AT161" s="10">
        <f>AR161-AS161</f>
        <v/>
      </c>
      <c r="AU161" s="10">
        <f>MIN('02_Данные'!U161,AT161)</f>
        <v/>
      </c>
      <c r="AV161" s="10">
        <f>AT161-AU161</f>
        <v/>
      </c>
      <c r="AW161" s="10">
        <f>MIN('02_Данные'!V161,AV161)</f>
        <v/>
      </c>
      <c r="AX161" s="10">
        <f>AV161-AW161</f>
        <v/>
      </c>
      <c r="AY161" s="10">
        <f>MIN('02_Данные'!AA161,AX161)</f>
        <v/>
      </c>
      <c r="AZ161" s="10">
        <f>AX161-AY161</f>
        <v/>
      </c>
      <c r="BA161" s="10">
        <f>MIN('02_Данные'!X161,AZ161)</f>
        <v/>
      </c>
      <c r="BB161" s="10">
        <f>AZ161-BA161</f>
        <v/>
      </c>
      <c r="BC161" s="10">
        <f>MIN('02_Данные'!W161,BB161)</f>
        <v/>
      </c>
      <c r="BD161" s="10">
        <f>BB161-BC161</f>
        <v/>
      </c>
      <c r="BE161" s="10">
        <f>MIN('02_Данные'!Y161,BD161)</f>
        <v/>
      </c>
      <c r="BF161" s="10">
        <f>BD161-BE161</f>
        <v/>
      </c>
      <c r="BG161" s="10">
        <f>MIN('02_Данные'!Z161,BF161)</f>
        <v/>
      </c>
      <c r="BH161" s="10">
        <f>BF161-BG161</f>
        <v/>
      </c>
      <c r="BI161" s="10">
        <f>BH161+'02_Данные'!I161</f>
        <v/>
      </c>
      <c r="BJ161" s="10">
        <f>MIN('02_Данные'!AB161,BI161)</f>
        <v/>
      </c>
      <c r="BK161" s="10">
        <f>BI161-BJ161</f>
        <v/>
      </c>
      <c r="BL161" s="10">
        <f>MIN('02_Данные'!AC161,BK161)</f>
        <v/>
      </c>
      <c r="BM161" s="10">
        <f>BK161-BL161</f>
        <v/>
      </c>
      <c r="BN161" s="10">
        <f>MIN('02_Данные'!AD161,BM161)</f>
        <v/>
      </c>
      <c r="BO161" s="10">
        <f>BM161-BN161</f>
        <v/>
      </c>
      <c r="BP161" s="10">
        <f>MIN('02_Данные'!AI161,BO161)</f>
        <v/>
      </c>
      <c r="BQ161" s="10">
        <f>BO161-BP161</f>
        <v/>
      </c>
      <c r="BR161" s="10">
        <f>MIN('02_Данные'!AF161,BQ161)</f>
        <v/>
      </c>
      <c r="BS161" s="10">
        <f>BQ161-BR161</f>
        <v/>
      </c>
      <c r="BT161" s="10">
        <f>MIN('02_Данные'!AE161,BS161)</f>
        <v/>
      </c>
      <c r="BU161" s="10">
        <f>BS161-BT161</f>
        <v/>
      </c>
      <c r="BV161" s="10">
        <f>MIN('02_Данные'!AG161,BU161)</f>
        <v/>
      </c>
      <c r="BW161" s="10">
        <f>BU161-BV161</f>
        <v/>
      </c>
      <c r="BX161" s="10">
        <f>MIN('02_Данные'!AH161,BW161)</f>
        <v/>
      </c>
      <c r="BY161" s="10">
        <f>BW161-BX161</f>
        <v/>
      </c>
      <c r="BZ161" s="10">
        <f>BY161+'02_Данные'!J161</f>
        <v/>
      </c>
      <c r="CA161" s="10">
        <f>MIN('02_Данные'!AJ161,BZ161)</f>
        <v/>
      </c>
      <c r="CB161" s="10">
        <f>BZ161-CA161</f>
        <v/>
      </c>
      <c r="CC161" s="10">
        <f>MIN('02_Данные'!AK161,CB161)</f>
        <v/>
      </c>
      <c r="CD161" s="10">
        <f>CB161-CC161</f>
        <v/>
      </c>
      <c r="CE161" s="10">
        <f>MIN('02_Данные'!AL161,CD161)</f>
        <v/>
      </c>
      <c r="CF161" s="10">
        <f>CD161-CE161</f>
        <v/>
      </c>
      <c r="CG161" s="10">
        <f>MIN('02_Данные'!AQ161,CF161)</f>
        <v/>
      </c>
      <c r="CH161" s="10">
        <f>CF161-CG161</f>
        <v/>
      </c>
      <c r="CI161" s="10">
        <f>MIN('02_Данные'!AN161,CH161)</f>
        <v/>
      </c>
      <c r="CJ161" s="10">
        <f>CH161-CI161</f>
        <v/>
      </c>
      <c r="CK161" s="10">
        <f>MIN('02_Данные'!AM161,CJ161)</f>
        <v/>
      </c>
      <c r="CL161" s="10">
        <f>CJ161-CK161</f>
        <v/>
      </c>
      <c r="CM161" s="10">
        <f>MIN('02_Данные'!AO161,CL161)</f>
        <v/>
      </c>
      <c r="CN161" s="10">
        <f>CL161-CM161</f>
        <v/>
      </c>
      <c r="CO161" s="10">
        <f>MIN('02_Данные'!AP161,CN161)</f>
        <v/>
      </c>
      <c r="CP161" s="10">
        <f>CN161-CO161</f>
        <v/>
      </c>
      <c r="CQ161" s="10">
        <f>CP161+'02_Данные'!K161</f>
        <v/>
      </c>
      <c r="CR161" s="10">
        <f>MIN('02_Данные'!AR161,CQ161)</f>
        <v/>
      </c>
      <c r="CS161" s="10">
        <f>CQ161-CR161</f>
        <v/>
      </c>
      <c r="CT161" s="10">
        <f>MIN('02_Данные'!AS161,CS161)</f>
        <v/>
      </c>
      <c r="CU161" s="10">
        <f>CS161-CT161</f>
        <v/>
      </c>
      <c r="CV161" s="10">
        <f>MIN('02_Данные'!AT161,CU161)</f>
        <v/>
      </c>
      <c r="CW161" s="10">
        <f>CU161-CV161</f>
        <v/>
      </c>
      <c r="CX161" s="10">
        <f>MIN('02_Данные'!AY161,CW161)</f>
        <v/>
      </c>
      <c r="CY161" s="10">
        <f>CW161-CX161</f>
        <v/>
      </c>
      <c r="CZ161" s="10">
        <f>MIN('02_Данные'!AV161,CY161)</f>
        <v/>
      </c>
      <c r="DA161" s="10">
        <f>CY161-CZ161</f>
        <v/>
      </c>
      <c r="DB161" s="10">
        <f>MIN('02_Данные'!AU161,DA161)</f>
        <v/>
      </c>
      <c r="DC161" s="10">
        <f>DA161-DB161</f>
        <v/>
      </c>
      <c r="DD161" s="10">
        <f>MIN('02_Данные'!AW161,DC161)</f>
        <v/>
      </c>
      <c r="DE161" s="10">
        <f>DC161-DD161</f>
        <v/>
      </c>
      <c r="DF161" s="10">
        <f>MIN('02_Данные'!AX161,DE161)</f>
        <v/>
      </c>
      <c r="DG161" s="10">
        <f>DE161-DF161</f>
        <v/>
      </c>
    </row>
    <row r="162">
      <c r="A162" s="9">
        <f>'02_Данные'!B162</f>
        <v/>
      </c>
      <c r="B162" s="9">
        <f>'02_Данные'!E162</f>
        <v/>
      </c>
      <c r="C162" s="10">
        <f>'02_Данные'!F162+'02_Данные'!G162+'02_Данные'!H162+'02_Данные'!I162+'02_Данные'!J162+'02_Данные'!K162</f>
        <v/>
      </c>
      <c r="D162" s="10">
        <f>SUM('02_Данные'!L162:'02_Данные'!AY162)</f>
        <v/>
      </c>
      <c r="E162" s="10">
        <f>MAX(0,D162-C162)</f>
        <v/>
      </c>
      <c r="F162" s="15">
        <f>IF(E162&gt;0.0001,"ДЕФИЦИТ",IF(Y162&gt;0.0001,"ПРОФИЦИТ","БАЛАНС"))</f>
        <v/>
      </c>
      <c r="G162" s="10">
        <f>AB162+AS162+BJ162+CA162+CR162</f>
        <v/>
      </c>
      <c r="H162" s="10">
        <f>AD162+AU162+BL162+CC162+CT162</f>
        <v/>
      </c>
      <c r="I162" s="10">
        <f>AF162+AW162+BN162+CE162+CV162</f>
        <v/>
      </c>
      <c r="J162" s="10">
        <f>AL162+BC162+BT162+CK162+DB162</f>
        <v/>
      </c>
      <c r="K162" s="10">
        <f>AJ162+BA162+BR162+CI162+CZ162</f>
        <v/>
      </c>
      <c r="L162" s="10">
        <f>AN162+BE162+BV162+CM162+DD162</f>
        <v/>
      </c>
      <c r="M162" s="10">
        <f>AP162+BG162+BX162+CO162+DF162</f>
        <v/>
      </c>
      <c r="N162" s="10">
        <f>AH162+AY162+BP162+CG162+CX162</f>
        <v/>
      </c>
      <c r="O162" s="10">
        <f>SUM(G162:N162)</f>
        <v/>
      </c>
      <c r="P162" s="10">
        <f>IFERROR(G162*MIN(1,'01_Нормативы'!$C$4/SUM(G$2:G$429)),0)</f>
        <v/>
      </c>
      <c r="Q162" s="10">
        <f>IFERROR(H162*MIN(1,'01_Нормативы'!$C$5/SUM(H$2:H$429)),0)</f>
        <v/>
      </c>
      <c r="R162" s="10">
        <f>IFERROR(I162*MIN(1,'01_Нормативы'!$C$6/SUM(I$2:I$429)),0)</f>
        <v/>
      </c>
      <c r="S162" s="10">
        <f>IFERROR(J162*MIN(1,'01_Нормативы'!$C$7/SUM(J$2:J$429)),0)</f>
        <v/>
      </c>
      <c r="T162" s="10">
        <f>IFERROR(K162*MIN(1,'01_Нормативы'!$C$8/SUM(K$2:K$429)),0)</f>
        <v/>
      </c>
      <c r="U162" s="10">
        <f>IFERROR(L162*MIN(1,'01_Нормативы'!$C$9/SUM(L$2:L$429)),0)</f>
        <v/>
      </c>
      <c r="V162" s="10">
        <f>IFERROR(M162*MIN(1,'01_Нормативы'!$C$10/SUM(M$2:M$429)),0)</f>
        <v/>
      </c>
      <c r="W162" s="10">
        <f>IFERROR(N162*MIN(1,'01_Нормативы'!$C$11/SUM(N$2:N$429)),0)</f>
        <v/>
      </c>
      <c r="X162" s="10">
        <f>SUM(P162:W162)</f>
        <v/>
      </c>
      <c r="Y162" s="10">
        <f>MAX(0,C162-X162)</f>
        <v/>
      </c>
      <c r="Z162" s="10">
        <f>IF(D162=0,100,X162/D162*100)</f>
        <v/>
      </c>
      <c r="AA162" s="10">
        <f>'02_Данные'!F162+'02_Данные'!G162</f>
        <v/>
      </c>
      <c r="AB162" s="10">
        <f>MIN('02_Данные'!L162,AA162)</f>
        <v/>
      </c>
      <c r="AC162" s="10">
        <f>AA162-AB162</f>
        <v/>
      </c>
      <c r="AD162" s="10">
        <f>MIN('02_Данные'!M162,AC162)</f>
        <v/>
      </c>
      <c r="AE162" s="10">
        <f>AC162-AD162</f>
        <v/>
      </c>
      <c r="AF162" s="10">
        <f>MIN('02_Данные'!N162,AE162)</f>
        <v/>
      </c>
      <c r="AG162" s="10">
        <f>AE162-AF162</f>
        <v/>
      </c>
      <c r="AH162" s="10">
        <f>MIN('02_Данные'!S162,AG162)</f>
        <v/>
      </c>
      <c r="AI162" s="10">
        <f>AG162-AH162</f>
        <v/>
      </c>
      <c r="AJ162" s="10">
        <f>MIN('02_Данные'!P162,AI162)</f>
        <v/>
      </c>
      <c r="AK162" s="10">
        <f>AI162-AJ162</f>
        <v/>
      </c>
      <c r="AL162" s="10">
        <f>MIN('02_Данные'!O162,AK162)</f>
        <v/>
      </c>
      <c r="AM162" s="10">
        <f>AK162-AL162</f>
        <v/>
      </c>
      <c r="AN162" s="10">
        <f>MIN('02_Данные'!Q162,AM162)</f>
        <v/>
      </c>
      <c r="AO162" s="10">
        <f>AM162-AN162</f>
        <v/>
      </c>
      <c r="AP162" s="10">
        <f>MIN('02_Данные'!R162,AO162)</f>
        <v/>
      </c>
      <c r="AQ162" s="10">
        <f>AO162-AP162</f>
        <v/>
      </c>
      <c r="AR162" s="10">
        <f>AQ162+'02_Данные'!H162</f>
        <v/>
      </c>
      <c r="AS162" s="10">
        <f>MIN('02_Данные'!T162,AR162)</f>
        <v/>
      </c>
      <c r="AT162" s="10">
        <f>AR162-AS162</f>
        <v/>
      </c>
      <c r="AU162" s="10">
        <f>MIN('02_Данные'!U162,AT162)</f>
        <v/>
      </c>
      <c r="AV162" s="10">
        <f>AT162-AU162</f>
        <v/>
      </c>
      <c r="AW162" s="10">
        <f>MIN('02_Данные'!V162,AV162)</f>
        <v/>
      </c>
      <c r="AX162" s="10">
        <f>AV162-AW162</f>
        <v/>
      </c>
      <c r="AY162" s="10">
        <f>MIN('02_Данные'!AA162,AX162)</f>
        <v/>
      </c>
      <c r="AZ162" s="10">
        <f>AX162-AY162</f>
        <v/>
      </c>
      <c r="BA162" s="10">
        <f>MIN('02_Данные'!X162,AZ162)</f>
        <v/>
      </c>
      <c r="BB162" s="10">
        <f>AZ162-BA162</f>
        <v/>
      </c>
      <c r="BC162" s="10">
        <f>MIN('02_Данные'!W162,BB162)</f>
        <v/>
      </c>
      <c r="BD162" s="10">
        <f>BB162-BC162</f>
        <v/>
      </c>
      <c r="BE162" s="10">
        <f>MIN('02_Данные'!Y162,BD162)</f>
        <v/>
      </c>
      <c r="BF162" s="10">
        <f>BD162-BE162</f>
        <v/>
      </c>
      <c r="BG162" s="10">
        <f>MIN('02_Данные'!Z162,BF162)</f>
        <v/>
      </c>
      <c r="BH162" s="10">
        <f>BF162-BG162</f>
        <v/>
      </c>
      <c r="BI162" s="10">
        <f>BH162+'02_Данные'!I162</f>
        <v/>
      </c>
      <c r="BJ162" s="10">
        <f>MIN('02_Данные'!AB162,BI162)</f>
        <v/>
      </c>
      <c r="BK162" s="10">
        <f>BI162-BJ162</f>
        <v/>
      </c>
      <c r="BL162" s="10">
        <f>MIN('02_Данные'!AC162,BK162)</f>
        <v/>
      </c>
      <c r="BM162" s="10">
        <f>BK162-BL162</f>
        <v/>
      </c>
      <c r="BN162" s="10">
        <f>MIN('02_Данные'!AD162,BM162)</f>
        <v/>
      </c>
      <c r="BO162" s="10">
        <f>BM162-BN162</f>
        <v/>
      </c>
      <c r="BP162" s="10">
        <f>MIN('02_Данные'!AI162,BO162)</f>
        <v/>
      </c>
      <c r="BQ162" s="10">
        <f>BO162-BP162</f>
        <v/>
      </c>
      <c r="BR162" s="10">
        <f>MIN('02_Данные'!AF162,BQ162)</f>
        <v/>
      </c>
      <c r="BS162" s="10">
        <f>BQ162-BR162</f>
        <v/>
      </c>
      <c r="BT162" s="10">
        <f>MIN('02_Данные'!AE162,BS162)</f>
        <v/>
      </c>
      <c r="BU162" s="10">
        <f>BS162-BT162</f>
        <v/>
      </c>
      <c r="BV162" s="10">
        <f>MIN('02_Данные'!AG162,BU162)</f>
        <v/>
      </c>
      <c r="BW162" s="10">
        <f>BU162-BV162</f>
        <v/>
      </c>
      <c r="BX162" s="10">
        <f>MIN('02_Данные'!AH162,BW162)</f>
        <v/>
      </c>
      <c r="BY162" s="10">
        <f>BW162-BX162</f>
        <v/>
      </c>
      <c r="BZ162" s="10">
        <f>BY162+'02_Данные'!J162</f>
        <v/>
      </c>
      <c r="CA162" s="10">
        <f>MIN('02_Данные'!AJ162,BZ162)</f>
        <v/>
      </c>
      <c r="CB162" s="10">
        <f>BZ162-CA162</f>
        <v/>
      </c>
      <c r="CC162" s="10">
        <f>MIN('02_Данные'!AK162,CB162)</f>
        <v/>
      </c>
      <c r="CD162" s="10">
        <f>CB162-CC162</f>
        <v/>
      </c>
      <c r="CE162" s="10">
        <f>MIN('02_Данные'!AL162,CD162)</f>
        <v/>
      </c>
      <c r="CF162" s="10">
        <f>CD162-CE162</f>
        <v/>
      </c>
      <c r="CG162" s="10">
        <f>MIN('02_Данные'!AQ162,CF162)</f>
        <v/>
      </c>
      <c r="CH162" s="10">
        <f>CF162-CG162</f>
        <v/>
      </c>
      <c r="CI162" s="10">
        <f>MIN('02_Данные'!AN162,CH162)</f>
        <v/>
      </c>
      <c r="CJ162" s="10">
        <f>CH162-CI162</f>
        <v/>
      </c>
      <c r="CK162" s="10">
        <f>MIN('02_Данные'!AM162,CJ162)</f>
        <v/>
      </c>
      <c r="CL162" s="10">
        <f>CJ162-CK162</f>
        <v/>
      </c>
      <c r="CM162" s="10">
        <f>MIN('02_Данные'!AO162,CL162)</f>
        <v/>
      </c>
      <c r="CN162" s="10">
        <f>CL162-CM162</f>
        <v/>
      </c>
      <c r="CO162" s="10">
        <f>MIN('02_Данные'!AP162,CN162)</f>
        <v/>
      </c>
      <c r="CP162" s="10">
        <f>CN162-CO162</f>
        <v/>
      </c>
      <c r="CQ162" s="10">
        <f>CP162+'02_Данные'!K162</f>
        <v/>
      </c>
      <c r="CR162" s="10">
        <f>MIN('02_Данные'!AR162,CQ162)</f>
        <v/>
      </c>
      <c r="CS162" s="10">
        <f>CQ162-CR162</f>
        <v/>
      </c>
      <c r="CT162" s="10">
        <f>MIN('02_Данные'!AS162,CS162)</f>
        <v/>
      </c>
      <c r="CU162" s="10">
        <f>CS162-CT162</f>
        <v/>
      </c>
      <c r="CV162" s="10">
        <f>MIN('02_Данные'!AT162,CU162)</f>
        <v/>
      </c>
      <c r="CW162" s="10">
        <f>CU162-CV162</f>
        <v/>
      </c>
      <c r="CX162" s="10">
        <f>MIN('02_Данные'!AY162,CW162)</f>
        <v/>
      </c>
      <c r="CY162" s="10">
        <f>CW162-CX162</f>
        <v/>
      </c>
      <c r="CZ162" s="10">
        <f>MIN('02_Данные'!AV162,CY162)</f>
        <v/>
      </c>
      <c r="DA162" s="10">
        <f>CY162-CZ162</f>
        <v/>
      </c>
      <c r="DB162" s="10">
        <f>MIN('02_Данные'!AU162,DA162)</f>
        <v/>
      </c>
      <c r="DC162" s="10">
        <f>DA162-DB162</f>
        <v/>
      </c>
      <c r="DD162" s="10">
        <f>MIN('02_Данные'!AW162,DC162)</f>
        <v/>
      </c>
      <c r="DE162" s="10">
        <f>DC162-DD162</f>
        <v/>
      </c>
      <c r="DF162" s="10">
        <f>MIN('02_Данные'!AX162,DE162)</f>
        <v/>
      </c>
      <c r="DG162" s="10">
        <f>DE162-DF162</f>
        <v/>
      </c>
    </row>
    <row r="163">
      <c r="A163" s="9">
        <f>'02_Данные'!B163</f>
        <v/>
      </c>
      <c r="B163" s="9">
        <f>'02_Данные'!E163</f>
        <v/>
      </c>
      <c r="C163" s="10">
        <f>'02_Данные'!F163+'02_Данные'!G163+'02_Данные'!H163+'02_Данные'!I163+'02_Данные'!J163+'02_Данные'!K163</f>
        <v/>
      </c>
      <c r="D163" s="10">
        <f>SUM('02_Данные'!L163:'02_Данные'!AY163)</f>
        <v/>
      </c>
      <c r="E163" s="10">
        <f>MAX(0,D163-C163)</f>
        <v/>
      </c>
      <c r="F163" s="15">
        <f>IF(E163&gt;0.0001,"ДЕФИЦИТ",IF(Y163&gt;0.0001,"ПРОФИЦИТ","БАЛАНС"))</f>
        <v/>
      </c>
      <c r="G163" s="10">
        <f>AB163+AS163+BJ163+CA163+CR163</f>
        <v/>
      </c>
      <c r="H163" s="10">
        <f>AD163+AU163+BL163+CC163+CT163</f>
        <v/>
      </c>
      <c r="I163" s="10">
        <f>AF163+AW163+BN163+CE163+CV163</f>
        <v/>
      </c>
      <c r="J163" s="10">
        <f>AL163+BC163+BT163+CK163+DB163</f>
        <v/>
      </c>
      <c r="K163" s="10">
        <f>AJ163+BA163+BR163+CI163+CZ163</f>
        <v/>
      </c>
      <c r="L163" s="10">
        <f>AN163+BE163+BV163+CM163+DD163</f>
        <v/>
      </c>
      <c r="M163" s="10">
        <f>AP163+BG163+BX163+CO163+DF163</f>
        <v/>
      </c>
      <c r="N163" s="10">
        <f>AH163+AY163+BP163+CG163+CX163</f>
        <v/>
      </c>
      <c r="O163" s="10">
        <f>SUM(G163:N163)</f>
        <v/>
      </c>
      <c r="P163" s="10">
        <f>IFERROR(G163*MIN(1,'01_Нормативы'!$C$4/SUM(G$2:G$429)),0)</f>
        <v/>
      </c>
      <c r="Q163" s="10">
        <f>IFERROR(H163*MIN(1,'01_Нормативы'!$C$5/SUM(H$2:H$429)),0)</f>
        <v/>
      </c>
      <c r="R163" s="10">
        <f>IFERROR(I163*MIN(1,'01_Нормативы'!$C$6/SUM(I$2:I$429)),0)</f>
        <v/>
      </c>
      <c r="S163" s="10">
        <f>IFERROR(J163*MIN(1,'01_Нормативы'!$C$7/SUM(J$2:J$429)),0)</f>
        <v/>
      </c>
      <c r="T163" s="10">
        <f>IFERROR(K163*MIN(1,'01_Нормативы'!$C$8/SUM(K$2:K$429)),0)</f>
        <v/>
      </c>
      <c r="U163" s="10">
        <f>IFERROR(L163*MIN(1,'01_Нормативы'!$C$9/SUM(L$2:L$429)),0)</f>
        <v/>
      </c>
      <c r="V163" s="10">
        <f>IFERROR(M163*MIN(1,'01_Нормативы'!$C$10/SUM(M$2:M$429)),0)</f>
        <v/>
      </c>
      <c r="W163" s="10">
        <f>IFERROR(N163*MIN(1,'01_Нормативы'!$C$11/SUM(N$2:N$429)),0)</f>
        <v/>
      </c>
      <c r="X163" s="10">
        <f>SUM(P163:W163)</f>
        <v/>
      </c>
      <c r="Y163" s="10">
        <f>MAX(0,C163-X163)</f>
        <v/>
      </c>
      <c r="Z163" s="10">
        <f>IF(D163=0,100,X163/D163*100)</f>
        <v/>
      </c>
      <c r="AA163" s="10">
        <f>'02_Данные'!F163+'02_Данные'!G163</f>
        <v/>
      </c>
      <c r="AB163" s="10">
        <f>MIN('02_Данные'!L163,AA163)</f>
        <v/>
      </c>
      <c r="AC163" s="10">
        <f>AA163-AB163</f>
        <v/>
      </c>
      <c r="AD163" s="10">
        <f>MIN('02_Данные'!M163,AC163)</f>
        <v/>
      </c>
      <c r="AE163" s="10">
        <f>AC163-AD163</f>
        <v/>
      </c>
      <c r="AF163" s="10">
        <f>MIN('02_Данные'!N163,AE163)</f>
        <v/>
      </c>
      <c r="AG163" s="10">
        <f>AE163-AF163</f>
        <v/>
      </c>
      <c r="AH163" s="10">
        <f>MIN('02_Данные'!S163,AG163)</f>
        <v/>
      </c>
      <c r="AI163" s="10">
        <f>AG163-AH163</f>
        <v/>
      </c>
      <c r="AJ163" s="10">
        <f>MIN('02_Данные'!P163,AI163)</f>
        <v/>
      </c>
      <c r="AK163" s="10">
        <f>AI163-AJ163</f>
        <v/>
      </c>
      <c r="AL163" s="10">
        <f>MIN('02_Данные'!O163,AK163)</f>
        <v/>
      </c>
      <c r="AM163" s="10">
        <f>AK163-AL163</f>
        <v/>
      </c>
      <c r="AN163" s="10">
        <f>MIN('02_Данные'!Q163,AM163)</f>
        <v/>
      </c>
      <c r="AO163" s="10">
        <f>AM163-AN163</f>
        <v/>
      </c>
      <c r="AP163" s="10">
        <f>MIN('02_Данные'!R163,AO163)</f>
        <v/>
      </c>
      <c r="AQ163" s="10">
        <f>AO163-AP163</f>
        <v/>
      </c>
      <c r="AR163" s="10">
        <f>AQ163+'02_Данные'!H163</f>
        <v/>
      </c>
      <c r="AS163" s="10">
        <f>MIN('02_Данные'!T163,AR163)</f>
        <v/>
      </c>
      <c r="AT163" s="10">
        <f>AR163-AS163</f>
        <v/>
      </c>
      <c r="AU163" s="10">
        <f>MIN('02_Данные'!U163,AT163)</f>
        <v/>
      </c>
      <c r="AV163" s="10">
        <f>AT163-AU163</f>
        <v/>
      </c>
      <c r="AW163" s="10">
        <f>MIN('02_Данные'!V163,AV163)</f>
        <v/>
      </c>
      <c r="AX163" s="10">
        <f>AV163-AW163</f>
        <v/>
      </c>
      <c r="AY163" s="10">
        <f>MIN('02_Данные'!AA163,AX163)</f>
        <v/>
      </c>
      <c r="AZ163" s="10">
        <f>AX163-AY163</f>
        <v/>
      </c>
      <c r="BA163" s="10">
        <f>MIN('02_Данные'!X163,AZ163)</f>
        <v/>
      </c>
      <c r="BB163" s="10">
        <f>AZ163-BA163</f>
        <v/>
      </c>
      <c r="BC163" s="10">
        <f>MIN('02_Данные'!W163,BB163)</f>
        <v/>
      </c>
      <c r="BD163" s="10">
        <f>BB163-BC163</f>
        <v/>
      </c>
      <c r="BE163" s="10">
        <f>MIN('02_Данные'!Y163,BD163)</f>
        <v/>
      </c>
      <c r="BF163" s="10">
        <f>BD163-BE163</f>
        <v/>
      </c>
      <c r="BG163" s="10">
        <f>MIN('02_Данные'!Z163,BF163)</f>
        <v/>
      </c>
      <c r="BH163" s="10">
        <f>BF163-BG163</f>
        <v/>
      </c>
      <c r="BI163" s="10">
        <f>BH163+'02_Данные'!I163</f>
        <v/>
      </c>
      <c r="BJ163" s="10">
        <f>MIN('02_Данные'!AB163,BI163)</f>
        <v/>
      </c>
      <c r="BK163" s="10">
        <f>BI163-BJ163</f>
        <v/>
      </c>
      <c r="BL163" s="10">
        <f>MIN('02_Данные'!AC163,BK163)</f>
        <v/>
      </c>
      <c r="BM163" s="10">
        <f>BK163-BL163</f>
        <v/>
      </c>
      <c r="BN163" s="10">
        <f>MIN('02_Данные'!AD163,BM163)</f>
        <v/>
      </c>
      <c r="BO163" s="10">
        <f>BM163-BN163</f>
        <v/>
      </c>
      <c r="BP163" s="10">
        <f>MIN('02_Данные'!AI163,BO163)</f>
        <v/>
      </c>
      <c r="BQ163" s="10">
        <f>BO163-BP163</f>
        <v/>
      </c>
      <c r="BR163" s="10">
        <f>MIN('02_Данные'!AF163,BQ163)</f>
        <v/>
      </c>
      <c r="BS163" s="10">
        <f>BQ163-BR163</f>
        <v/>
      </c>
      <c r="BT163" s="10">
        <f>MIN('02_Данные'!AE163,BS163)</f>
        <v/>
      </c>
      <c r="BU163" s="10">
        <f>BS163-BT163</f>
        <v/>
      </c>
      <c r="BV163" s="10">
        <f>MIN('02_Данные'!AG163,BU163)</f>
        <v/>
      </c>
      <c r="BW163" s="10">
        <f>BU163-BV163</f>
        <v/>
      </c>
      <c r="BX163" s="10">
        <f>MIN('02_Данные'!AH163,BW163)</f>
        <v/>
      </c>
      <c r="BY163" s="10">
        <f>BW163-BX163</f>
        <v/>
      </c>
      <c r="BZ163" s="10">
        <f>BY163+'02_Данные'!J163</f>
        <v/>
      </c>
      <c r="CA163" s="10">
        <f>MIN('02_Данные'!AJ163,BZ163)</f>
        <v/>
      </c>
      <c r="CB163" s="10">
        <f>BZ163-CA163</f>
        <v/>
      </c>
      <c r="CC163" s="10">
        <f>MIN('02_Данные'!AK163,CB163)</f>
        <v/>
      </c>
      <c r="CD163" s="10">
        <f>CB163-CC163</f>
        <v/>
      </c>
      <c r="CE163" s="10">
        <f>MIN('02_Данные'!AL163,CD163)</f>
        <v/>
      </c>
      <c r="CF163" s="10">
        <f>CD163-CE163</f>
        <v/>
      </c>
      <c r="CG163" s="10">
        <f>MIN('02_Данные'!AQ163,CF163)</f>
        <v/>
      </c>
      <c r="CH163" s="10">
        <f>CF163-CG163</f>
        <v/>
      </c>
      <c r="CI163" s="10">
        <f>MIN('02_Данные'!AN163,CH163)</f>
        <v/>
      </c>
      <c r="CJ163" s="10">
        <f>CH163-CI163</f>
        <v/>
      </c>
      <c r="CK163" s="10">
        <f>MIN('02_Данные'!AM163,CJ163)</f>
        <v/>
      </c>
      <c r="CL163" s="10">
        <f>CJ163-CK163</f>
        <v/>
      </c>
      <c r="CM163" s="10">
        <f>MIN('02_Данные'!AO163,CL163)</f>
        <v/>
      </c>
      <c r="CN163" s="10">
        <f>CL163-CM163</f>
        <v/>
      </c>
      <c r="CO163" s="10">
        <f>MIN('02_Данные'!AP163,CN163)</f>
        <v/>
      </c>
      <c r="CP163" s="10">
        <f>CN163-CO163</f>
        <v/>
      </c>
      <c r="CQ163" s="10">
        <f>CP163+'02_Данные'!K163</f>
        <v/>
      </c>
      <c r="CR163" s="10">
        <f>MIN('02_Данные'!AR163,CQ163)</f>
        <v/>
      </c>
      <c r="CS163" s="10">
        <f>CQ163-CR163</f>
        <v/>
      </c>
      <c r="CT163" s="10">
        <f>MIN('02_Данные'!AS163,CS163)</f>
        <v/>
      </c>
      <c r="CU163" s="10">
        <f>CS163-CT163</f>
        <v/>
      </c>
      <c r="CV163" s="10">
        <f>MIN('02_Данные'!AT163,CU163)</f>
        <v/>
      </c>
      <c r="CW163" s="10">
        <f>CU163-CV163</f>
        <v/>
      </c>
      <c r="CX163" s="10">
        <f>MIN('02_Данные'!AY163,CW163)</f>
        <v/>
      </c>
      <c r="CY163" s="10">
        <f>CW163-CX163</f>
        <v/>
      </c>
      <c r="CZ163" s="10">
        <f>MIN('02_Данные'!AV163,CY163)</f>
        <v/>
      </c>
      <c r="DA163" s="10">
        <f>CY163-CZ163</f>
        <v/>
      </c>
      <c r="DB163" s="10">
        <f>MIN('02_Данные'!AU163,DA163)</f>
        <v/>
      </c>
      <c r="DC163" s="10">
        <f>DA163-DB163</f>
        <v/>
      </c>
      <c r="DD163" s="10">
        <f>MIN('02_Данные'!AW163,DC163)</f>
        <v/>
      </c>
      <c r="DE163" s="10">
        <f>DC163-DD163</f>
        <v/>
      </c>
      <c r="DF163" s="10">
        <f>MIN('02_Данные'!AX163,DE163)</f>
        <v/>
      </c>
      <c r="DG163" s="10">
        <f>DE163-DF163</f>
        <v/>
      </c>
    </row>
    <row r="164">
      <c r="A164" s="9">
        <f>'02_Данные'!B164</f>
        <v/>
      </c>
      <c r="B164" s="9">
        <f>'02_Данные'!E164</f>
        <v/>
      </c>
      <c r="C164" s="10">
        <f>'02_Данные'!F164+'02_Данные'!G164+'02_Данные'!H164+'02_Данные'!I164+'02_Данные'!J164+'02_Данные'!K164</f>
        <v/>
      </c>
      <c r="D164" s="10">
        <f>SUM('02_Данные'!L164:'02_Данные'!AY164)</f>
        <v/>
      </c>
      <c r="E164" s="10">
        <f>MAX(0,D164-C164)</f>
        <v/>
      </c>
      <c r="F164" s="15">
        <f>IF(E164&gt;0.0001,"ДЕФИЦИТ",IF(Y164&gt;0.0001,"ПРОФИЦИТ","БАЛАНС"))</f>
        <v/>
      </c>
      <c r="G164" s="10">
        <f>AB164+AS164+BJ164+CA164+CR164</f>
        <v/>
      </c>
      <c r="H164" s="10">
        <f>AD164+AU164+BL164+CC164+CT164</f>
        <v/>
      </c>
      <c r="I164" s="10">
        <f>AF164+AW164+BN164+CE164+CV164</f>
        <v/>
      </c>
      <c r="J164" s="10">
        <f>AL164+BC164+BT164+CK164+DB164</f>
        <v/>
      </c>
      <c r="K164" s="10">
        <f>AJ164+BA164+BR164+CI164+CZ164</f>
        <v/>
      </c>
      <c r="L164" s="10">
        <f>AN164+BE164+BV164+CM164+DD164</f>
        <v/>
      </c>
      <c r="M164" s="10">
        <f>AP164+BG164+BX164+CO164+DF164</f>
        <v/>
      </c>
      <c r="N164" s="10">
        <f>AH164+AY164+BP164+CG164+CX164</f>
        <v/>
      </c>
      <c r="O164" s="10">
        <f>SUM(G164:N164)</f>
        <v/>
      </c>
      <c r="P164" s="10">
        <f>IFERROR(G164*MIN(1,'01_Нормативы'!$C$4/SUM(G$2:G$429)),0)</f>
        <v/>
      </c>
      <c r="Q164" s="10">
        <f>IFERROR(H164*MIN(1,'01_Нормативы'!$C$5/SUM(H$2:H$429)),0)</f>
        <v/>
      </c>
      <c r="R164" s="10">
        <f>IFERROR(I164*MIN(1,'01_Нормативы'!$C$6/SUM(I$2:I$429)),0)</f>
        <v/>
      </c>
      <c r="S164" s="10">
        <f>IFERROR(J164*MIN(1,'01_Нормативы'!$C$7/SUM(J$2:J$429)),0)</f>
        <v/>
      </c>
      <c r="T164" s="10">
        <f>IFERROR(K164*MIN(1,'01_Нормативы'!$C$8/SUM(K$2:K$429)),0)</f>
        <v/>
      </c>
      <c r="U164" s="10">
        <f>IFERROR(L164*MIN(1,'01_Нормативы'!$C$9/SUM(L$2:L$429)),0)</f>
        <v/>
      </c>
      <c r="V164" s="10">
        <f>IFERROR(M164*MIN(1,'01_Нормативы'!$C$10/SUM(M$2:M$429)),0)</f>
        <v/>
      </c>
      <c r="W164" s="10">
        <f>IFERROR(N164*MIN(1,'01_Нормативы'!$C$11/SUM(N$2:N$429)),0)</f>
        <v/>
      </c>
      <c r="X164" s="10">
        <f>SUM(P164:W164)</f>
        <v/>
      </c>
      <c r="Y164" s="10">
        <f>MAX(0,C164-X164)</f>
        <v/>
      </c>
      <c r="Z164" s="10">
        <f>IF(D164=0,100,X164/D164*100)</f>
        <v/>
      </c>
      <c r="AA164" s="10">
        <f>'02_Данные'!F164+'02_Данные'!G164</f>
        <v/>
      </c>
      <c r="AB164" s="10">
        <f>MIN('02_Данные'!L164,AA164)</f>
        <v/>
      </c>
      <c r="AC164" s="10">
        <f>AA164-AB164</f>
        <v/>
      </c>
      <c r="AD164" s="10">
        <f>MIN('02_Данные'!M164,AC164)</f>
        <v/>
      </c>
      <c r="AE164" s="10">
        <f>AC164-AD164</f>
        <v/>
      </c>
      <c r="AF164" s="10">
        <f>MIN('02_Данные'!N164,AE164)</f>
        <v/>
      </c>
      <c r="AG164" s="10">
        <f>AE164-AF164</f>
        <v/>
      </c>
      <c r="AH164" s="10">
        <f>MIN('02_Данные'!S164,AG164)</f>
        <v/>
      </c>
      <c r="AI164" s="10">
        <f>AG164-AH164</f>
        <v/>
      </c>
      <c r="AJ164" s="10">
        <f>MIN('02_Данные'!P164,AI164)</f>
        <v/>
      </c>
      <c r="AK164" s="10">
        <f>AI164-AJ164</f>
        <v/>
      </c>
      <c r="AL164" s="10">
        <f>MIN('02_Данные'!O164,AK164)</f>
        <v/>
      </c>
      <c r="AM164" s="10">
        <f>AK164-AL164</f>
        <v/>
      </c>
      <c r="AN164" s="10">
        <f>MIN('02_Данные'!Q164,AM164)</f>
        <v/>
      </c>
      <c r="AO164" s="10">
        <f>AM164-AN164</f>
        <v/>
      </c>
      <c r="AP164" s="10">
        <f>MIN('02_Данные'!R164,AO164)</f>
        <v/>
      </c>
      <c r="AQ164" s="10">
        <f>AO164-AP164</f>
        <v/>
      </c>
      <c r="AR164" s="10">
        <f>AQ164+'02_Данные'!H164</f>
        <v/>
      </c>
      <c r="AS164" s="10">
        <f>MIN('02_Данные'!T164,AR164)</f>
        <v/>
      </c>
      <c r="AT164" s="10">
        <f>AR164-AS164</f>
        <v/>
      </c>
      <c r="AU164" s="10">
        <f>MIN('02_Данные'!U164,AT164)</f>
        <v/>
      </c>
      <c r="AV164" s="10">
        <f>AT164-AU164</f>
        <v/>
      </c>
      <c r="AW164" s="10">
        <f>MIN('02_Данные'!V164,AV164)</f>
        <v/>
      </c>
      <c r="AX164" s="10">
        <f>AV164-AW164</f>
        <v/>
      </c>
      <c r="AY164" s="10">
        <f>MIN('02_Данные'!AA164,AX164)</f>
        <v/>
      </c>
      <c r="AZ164" s="10">
        <f>AX164-AY164</f>
        <v/>
      </c>
      <c r="BA164" s="10">
        <f>MIN('02_Данные'!X164,AZ164)</f>
        <v/>
      </c>
      <c r="BB164" s="10">
        <f>AZ164-BA164</f>
        <v/>
      </c>
      <c r="BC164" s="10">
        <f>MIN('02_Данные'!W164,BB164)</f>
        <v/>
      </c>
      <c r="BD164" s="10">
        <f>BB164-BC164</f>
        <v/>
      </c>
      <c r="BE164" s="10">
        <f>MIN('02_Данные'!Y164,BD164)</f>
        <v/>
      </c>
      <c r="BF164" s="10">
        <f>BD164-BE164</f>
        <v/>
      </c>
      <c r="BG164" s="10">
        <f>MIN('02_Данные'!Z164,BF164)</f>
        <v/>
      </c>
      <c r="BH164" s="10">
        <f>BF164-BG164</f>
        <v/>
      </c>
      <c r="BI164" s="10">
        <f>BH164+'02_Данные'!I164</f>
        <v/>
      </c>
      <c r="BJ164" s="10">
        <f>MIN('02_Данные'!AB164,BI164)</f>
        <v/>
      </c>
      <c r="BK164" s="10">
        <f>BI164-BJ164</f>
        <v/>
      </c>
      <c r="BL164" s="10">
        <f>MIN('02_Данные'!AC164,BK164)</f>
        <v/>
      </c>
      <c r="BM164" s="10">
        <f>BK164-BL164</f>
        <v/>
      </c>
      <c r="BN164" s="10">
        <f>MIN('02_Данные'!AD164,BM164)</f>
        <v/>
      </c>
      <c r="BO164" s="10">
        <f>BM164-BN164</f>
        <v/>
      </c>
      <c r="BP164" s="10">
        <f>MIN('02_Данные'!AI164,BO164)</f>
        <v/>
      </c>
      <c r="BQ164" s="10">
        <f>BO164-BP164</f>
        <v/>
      </c>
      <c r="BR164" s="10">
        <f>MIN('02_Данные'!AF164,BQ164)</f>
        <v/>
      </c>
      <c r="BS164" s="10">
        <f>BQ164-BR164</f>
        <v/>
      </c>
      <c r="BT164" s="10">
        <f>MIN('02_Данные'!AE164,BS164)</f>
        <v/>
      </c>
      <c r="BU164" s="10">
        <f>BS164-BT164</f>
        <v/>
      </c>
      <c r="BV164" s="10">
        <f>MIN('02_Данные'!AG164,BU164)</f>
        <v/>
      </c>
      <c r="BW164" s="10">
        <f>BU164-BV164</f>
        <v/>
      </c>
      <c r="BX164" s="10">
        <f>MIN('02_Данные'!AH164,BW164)</f>
        <v/>
      </c>
      <c r="BY164" s="10">
        <f>BW164-BX164</f>
        <v/>
      </c>
      <c r="BZ164" s="10">
        <f>BY164+'02_Данные'!J164</f>
        <v/>
      </c>
      <c r="CA164" s="10">
        <f>MIN('02_Данные'!AJ164,BZ164)</f>
        <v/>
      </c>
      <c r="CB164" s="10">
        <f>BZ164-CA164</f>
        <v/>
      </c>
      <c r="CC164" s="10">
        <f>MIN('02_Данные'!AK164,CB164)</f>
        <v/>
      </c>
      <c r="CD164" s="10">
        <f>CB164-CC164</f>
        <v/>
      </c>
      <c r="CE164" s="10">
        <f>MIN('02_Данные'!AL164,CD164)</f>
        <v/>
      </c>
      <c r="CF164" s="10">
        <f>CD164-CE164</f>
        <v/>
      </c>
      <c r="CG164" s="10">
        <f>MIN('02_Данные'!AQ164,CF164)</f>
        <v/>
      </c>
      <c r="CH164" s="10">
        <f>CF164-CG164</f>
        <v/>
      </c>
      <c r="CI164" s="10">
        <f>MIN('02_Данные'!AN164,CH164)</f>
        <v/>
      </c>
      <c r="CJ164" s="10">
        <f>CH164-CI164</f>
        <v/>
      </c>
      <c r="CK164" s="10">
        <f>MIN('02_Данные'!AM164,CJ164)</f>
        <v/>
      </c>
      <c r="CL164" s="10">
        <f>CJ164-CK164</f>
        <v/>
      </c>
      <c r="CM164" s="10">
        <f>MIN('02_Данные'!AO164,CL164)</f>
        <v/>
      </c>
      <c r="CN164" s="10">
        <f>CL164-CM164</f>
        <v/>
      </c>
      <c r="CO164" s="10">
        <f>MIN('02_Данные'!AP164,CN164)</f>
        <v/>
      </c>
      <c r="CP164" s="10">
        <f>CN164-CO164</f>
        <v/>
      </c>
      <c r="CQ164" s="10">
        <f>CP164+'02_Данные'!K164</f>
        <v/>
      </c>
      <c r="CR164" s="10">
        <f>MIN('02_Данные'!AR164,CQ164)</f>
        <v/>
      </c>
      <c r="CS164" s="10">
        <f>CQ164-CR164</f>
        <v/>
      </c>
      <c r="CT164" s="10">
        <f>MIN('02_Данные'!AS164,CS164)</f>
        <v/>
      </c>
      <c r="CU164" s="10">
        <f>CS164-CT164</f>
        <v/>
      </c>
      <c r="CV164" s="10">
        <f>MIN('02_Данные'!AT164,CU164)</f>
        <v/>
      </c>
      <c r="CW164" s="10">
        <f>CU164-CV164</f>
        <v/>
      </c>
      <c r="CX164" s="10">
        <f>MIN('02_Данные'!AY164,CW164)</f>
        <v/>
      </c>
      <c r="CY164" s="10">
        <f>CW164-CX164</f>
        <v/>
      </c>
      <c r="CZ164" s="10">
        <f>MIN('02_Данные'!AV164,CY164)</f>
        <v/>
      </c>
      <c r="DA164" s="10">
        <f>CY164-CZ164</f>
        <v/>
      </c>
      <c r="DB164" s="10">
        <f>MIN('02_Данные'!AU164,DA164)</f>
        <v/>
      </c>
      <c r="DC164" s="10">
        <f>DA164-DB164</f>
        <v/>
      </c>
      <c r="DD164" s="10">
        <f>MIN('02_Данные'!AW164,DC164)</f>
        <v/>
      </c>
      <c r="DE164" s="10">
        <f>DC164-DD164</f>
        <v/>
      </c>
      <c r="DF164" s="10">
        <f>MIN('02_Данные'!AX164,DE164)</f>
        <v/>
      </c>
      <c r="DG164" s="10">
        <f>DE164-DF164</f>
        <v/>
      </c>
    </row>
    <row r="165">
      <c r="A165" s="9">
        <f>'02_Данные'!B165</f>
        <v/>
      </c>
      <c r="B165" s="9">
        <f>'02_Данные'!E165</f>
        <v/>
      </c>
      <c r="C165" s="10">
        <f>'02_Данные'!F165+'02_Данные'!G165+'02_Данные'!H165+'02_Данные'!I165+'02_Данные'!J165+'02_Данные'!K165</f>
        <v/>
      </c>
      <c r="D165" s="10">
        <f>SUM('02_Данные'!L165:'02_Данные'!AY165)</f>
        <v/>
      </c>
      <c r="E165" s="10">
        <f>MAX(0,D165-C165)</f>
        <v/>
      </c>
      <c r="F165" s="15">
        <f>IF(E165&gt;0.0001,"ДЕФИЦИТ",IF(Y165&gt;0.0001,"ПРОФИЦИТ","БАЛАНС"))</f>
        <v/>
      </c>
      <c r="G165" s="10">
        <f>AB165+AS165+BJ165+CA165+CR165</f>
        <v/>
      </c>
      <c r="H165" s="10">
        <f>AD165+AU165+BL165+CC165+CT165</f>
        <v/>
      </c>
      <c r="I165" s="10">
        <f>AF165+AW165+BN165+CE165+CV165</f>
        <v/>
      </c>
      <c r="J165" s="10">
        <f>AL165+BC165+BT165+CK165+DB165</f>
        <v/>
      </c>
      <c r="K165" s="10">
        <f>AJ165+BA165+BR165+CI165+CZ165</f>
        <v/>
      </c>
      <c r="L165" s="10">
        <f>AN165+BE165+BV165+CM165+DD165</f>
        <v/>
      </c>
      <c r="M165" s="10">
        <f>AP165+BG165+BX165+CO165+DF165</f>
        <v/>
      </c>
      <c r="N165" s="10">
        <f>AH165+AY165+BP165+CG165+CX165</f>
        <v/>
      </c>
      <c r="O165" s="10">
        <f>SUM(G165:N165)</f>
        <v/>
      </c>
      <c r="P165" s="10">
        <f>IFERROR(G165*MIN(1,'01_Нормативы'!$C$4/SUM(G$2:G$429)),0)</f>
        <v/>
      </c>
      <c r="Q165" s="10">
        <f>IFERROR(H165*MIN(1,'01_Нормативы'!$C$5/SUM(H$2:H$429)),0)</f>
        <v/>
      </c>
      <c r="R165" s="10">
        <f>IFERROR(I165*MIN(1,'01_Нормативы'!$C$6/SUM(I$2:I$429)),0)</f>
        <v/>
      </c>
      <c r="S165" s="10">
        <f>IFERROR(J165*MIN(1,'01_Нормативы'!$C$7/SUM(J$2:J$429)),0)</f>
        <v/>
      </c>
      <c r="T165" s="10">
        <f>IFERROR(K165*MIN(1,'01_Нормативы'!$C$8/SUM(K$2:K$429)),0)</f>
        <v/>
      </c>
      <c r="U165" s="10">
        <f>IFERROR(L165*MIN(1,'01_Нормативы'!$C$9/SUM(L$2:L$429)),0)</f>
        <v/>
      </c>
      <c r="V165" s="10">
        <f>IFERROR(M165*MIN(1,'01_Нормативы'!$C$10/SUM(M$2:M$429)),0)</f>
        <v/>
      </c>
      <c r="W165" s="10">
        <f>IFERROR(N165*MIN(1,'01_Нормативы'!$C$11/SUM(N$2:N$429)),0)</f>
        <v/>
      </c>
      <c r="X165" s="10">
        <f>SUM(P165:W165)</f>
        <v/>
      </c>
      <c r="Y165" s="10">
        <f>MAX(0,C165-X165)</f>
        <v/>
      </c>
      <c r="Z165" s="10">
        <f>IF(D165=0,100,X165/D165*100)</f>
        <v/>
      </c>
      <c r="AA165" s="10">
        <f>'02_Данные'!F165+'02_Данные'!G165</f>
        <v/>
      </c>
      <c r="AB165" s="10">
        <f>MIN('02_Данные'!L165,AA165)</f>
        <v/>
      </c>
      <c r="AC165" s="10">
        <f>AA165-AB165</f>
        <v/>
      </c>
      <c r="AD165" s="10">
        <f>MIN('02_Данные'!M165,AC165)</f>
        <v/>
      </c>
      <c r="AE165" s="10">
        <f>AC165-AD165</f>
        <v/>
      </c>
      <c r="AF165" s="10">
        <f>MIN('02_Данные'!N165,AE165)</f>
        <v/>
      </c>
      <c r="AG165" s="10">
        <f>AE165-AF165</f>
        <v/>
      </c>
      <c r="AH165" s="10">
        <f>MIN('02_Данные'!S165,AG165)</f>
        <v/>
      </c>
      <c r="AI165" s="10">
        <f>AG165-AH165</f>
        <v/>
      </c>
      <c r="AJ165" s="10">
        <f>MIN('02_Данные'!P165,AI165)</f>
        <v/>
      </c>
      <c r="AK165" s="10">
        <f>AI165-AJ165</f>
        <v/>
      </c>
      <c r="AL165" s="10">
        <f>MIN('02_Данные'!O165,AK165)</f>
        <v/>
      </c>
      <c r="AM165" s="10">
        <f>AK165-AL165</f>
        <v/>
      </c>
      <c r="AN165" s="10">
        <f>MIN('02_Данные'!Q165,AM165)</f>
        <v/>
      </c>
      <c r="AO165" s="10">
        <f>AM165-AN165</f>
        <v/>
      </c>
      <c r="AP165" s="10">
        <f>MIN('02_Данные'!R165,AO165)</f>
        <v/>
      </c>
      <c r="AQ165" s="10">
        <f>AO165-AP165</f>
        <v/>
      </c>
      <c r="AR165" s="10">
        <f>AQ165+'02_Данные'!H165</f>
        <v/>
      </c>
      <c r="AS165" s="10">
        <f>MIN('02_Данные'!T165,AR165)</f>
        <v/>
      </c>
      <c r="AT165" s="10">
        <f>AR165-AS165</f>
        <v/>
      </c>
      <c r="AU165" s="10">
        <f>MIN('02_Данные'!U165,AT165)</f>
        <v/>
      </c>
      <c r="AV165" s="10">
        <f>AT165-AU165</f>
        <v/>
      </c>
      <c r="AW165" s="10">
        <f>MIN('02_Данные'!V165,AV165)</f>
        <v/>
      </c>
      <c r="AX165" s="10">
        <f>AV165-AW165</f>
        <v/>
      </c>
      <c r="AY165" s="10">
        <f>MIN('02_Данные'!AA165,AX165)</f>
        <v/>
      </c>
      <c r="AZ165" s="10">
        <f>AX165-AY165</f>
        <v/>
      </c>
      <c r="BA165" s="10">
        <f>MIN('02_Данные'!X165,AZ165)</f>
        <v/>
      </c>
      <c r="BB165" s="10">
        <f>AZ165-BA165</f>
        <v/>
      </c>
      <c r="BC165" s="10">
        <f>MIN('02_Данные'!W165,BB165)</f>
        <v/>
      </c>
      <c r="BD165" s="10">
        <f>BB165-BC165</f>
        <v/>
      </c>
      <c r="BE165" s="10">
        <f>MIN('02_Данные'!Y165,BD165)</f>
        <v/>
      </c>
      <c r="BF165" s="10">
        <f>BD165-BE165</f>
        <v/>
      </c>
      <c r="BG165" s="10">
        <f>MIN('02_Данные'!Z165,BF165)</f>
        <v/>
      </c>
      <c r="BH165" s="10">
        <f>BF165-BG165</f>
        <v/>
      </c>
      <c r="BI165" s="10">
        <f>BH165+'02_Данные'!I165</f>
        <v/>
      </c>
      <c r="BJ165" s="10">
        <f>MIN('02_Данные'!AB165,BI165)</f>
        <v/>
      </c>
      <c r="BK165" s="10">
        <f>BI165-BJ165</f>
        <v/>
      </c>
      <c r="BL165" s="10">
        <f>MIN('02_Данные'!AC165,BK165)</f>
        <v/>
      </c>
      <c r="BM165" s="10">
        <f>BK165-BL165</f>
        <v/>
      </c>
      <c r="BN165" s="10">
        <f>MIN('02_Данные'!AD165,BM165)</f>
        <v/>
      </c>
      <c r="BO165" s="10">
        <f>BM165-BN165</f>
        <v/>
      </c>
      <c r="BP165" s="10">
        <f>MIN('02_Данные'!AI165,BO165)</f>
        <v/>
      </c>
      <c r="BQ165" s="10">
        <f>BO165-BP165</f>
        <v/>
      </c>
      <c r="BR165" s="10">
        <f>MIN('02_Данные'!AF165,BQ165)</f>
        <v/>
      </c>
      <c r="BS165" s="10">
        <f>BQ165-BR165</f>
        <v/>
      </c>
      <c r="BT165" s="10">
        <f>MIN('02_Данные'!AE165,BS165)</f>
        <v/>
      </c>
      <c r="BU165" s="10">
        <f>BS165-BT165</f>
        <v/>
      </c>
      <c r="BV165" s="10">
        <f>MIN('02_Данные'!AG165,BU165)</f>
        <v/>
      </c>
      <c r="BW165" s="10">
        <f>BU165-BV165</f>
        <v/>
      </c>
      <c r="BX165" s="10">
        <f>MIN('02_Данные'!AH165,BW165)</f>
        <v/>
      </c>
      <c r="BY165" s="10">
        <f>BW165-BX165</f>
        <v/>
      </c>
      <c r="BZ165" s="10">
        <f>BY165+'02_Данные'!J165</f>
        <v/>
      </c>
      <c r="CA165" s="10">
        <f>MIN('02_Данные'!AJ165,BZ165)</f>
        <v/>
      </c>
      <c r="CB165" s="10">
        <f>BZ165-CA165</f>
        <v/>
      </c>
      <c r="CC165" s="10">
        <f>MIN('02_Данные'!AK165,CB165)</f>
        <v/>
      </c>
      <c r="CD165" s="10">
        <f>CB165-CC165</f>
        <v/>
      </c>
      <c r="CE165" s="10">
        <f>MIN('02_Данные'!AL165,CD165)</f>
        <v/>
      </c>
      <c r="CF165" s="10">
        <f>CD165-CE165</f>
        <v/>
      </c>
      <c r="CG165" s="10">
        <f>MIN('02_Данные'!AQ165,CF165)</f>
        <v/>
      </c>
      <c r="CH165" s="10">
        <f>CF165-CG165</f>
        <v/>
      </c>
      <c r="CI165" s="10">
        <f>MIN('02_Данные'!AN165,CH165)</f>
        <v/>
      </c>
      <c r="CJ165" s="10">
        <f>CH165-CI165</f>
        <v/>
      </c>
      <c r="CK165" s="10">
        <f>MIN('02_Данные'!AM165,CJ165)</f>
        <v/>
      </c>
      <c r="CL165" s="10">
        <f>CJ165-CK165</f>
        <v/>
      </c>
      <c r="CM165" s="10">
        <f>MIN('02_Данные'!AO165,CL165)</f>
        <v/>
      </c>
      <c r="CN165" s="10">
        <f>CL165-CM165</f>
        <v/>
      </c>
      <c r="CO165" s="10">
        <f>MIN('02_Данные'!AP165,CN165)</f>
        <v/>
      </c>
      <c r="CP165" s="10">
        <f>CN165-CO165</f>
        <v/>
      </c>
      <c r="CQ165" s="10">
        <f>CP165+'02_Данные'!K165</f>
        <v/>
      </c>
      <c r="CR165" s="10">
        <f>MIN('02_Данные'!AR165,CQ165)</f>
        <v/>
      </c>
      <c r="CS165" s="10">
        <f>CQ165-CR165</f>
        <v/>
      </c>
      <c r="CT165" s="10">
        <f>MIN('02_Данные'!AS165,CS165)</f>
        <v/>
      </c>
      <c r="CU165" s="10">
        <f>CS165-CT165</f>
        <v/>
      </c>
      <c r="CV165" s="10">
        <f>MIN('02_Данные'!AT165,CU165)</f>
        <v/>
      </c>
      <c r="CW165" s="10">
        <f>CU165-CV165</f>
        <v/>
      </c>
      <c r="CX165" s="10">
        <f>MIN('02_Данные'!AY165,CW165)</f>
        <v/>
      </c>
      <c r="CY165" s="10">
        <f>CW165-CX165</f>
        <v/>
      </c>
      <c r="CZ165" s="10">
        <f>MIN('02_Данные'!AV165,CY165)</f>
        <v/>
      </c>
      <c r="DA165" s="10">
        <f>CY165-CZ165</f>
        <v/>
      </c>
      <c r="DB165" s="10">
        <f>MIN('02_Данные'!AU165,DA165)</f>
        <v/>
      </c>
      <c r="DC165" s="10">
        <f>DA165-DB165</f>
        <v/>
      </c>
      <c r="DD165" s="10">
        <f>MIN('02_Данные'!AW165,DC165)</f>
        <v/>
      </c>
      <c r="DE165" s="10">
        <f>DC165-DD165</f>
        <v/>
      </c>
      <c r="DF165" s="10">
        <f>MIN('02_Данные'!AX165,DE165)</f>
        <v/>
      </c>
      <c r="DG165" s="10">
        <f>DE165-DF165</f>
        <v/>
      </c>
    </row>
    <row r="166">
      <c r="A166" s="9">
        <f>'02_Данные'!B166</f>
        <v/>
      </c>
      <c r="B166" s="9">
        <f>'02_Данные'!E166</f>
        <v/>
      </c>
      <c r="C166" s="10">
        <f>'02_Данные'!F166+'02_Данные'!G166+'02_Данные'!H166+'02_Данные'!I166+'02_Данные'!J166+'02_Данные'!K166</f>
        <v/>
      </c>
      <c r="D166" s="10">
        <f>SUM('02_Данные'!L166:'02_Данные'!AY166)</f>
        <v/>
      </c>
      <c r="E166" s="10">
        <f>MAX(0,D166-C166)</f>
        <v/>
      </c>
      <c r="F166" s="15">
        <f>IF(E166&gt;0.0001,"ДЕФИЦИТ",IF(Y166&gt;0.0001,"ПРОФИЦИТ","БАЛАНС"))</f>
        <v/>
      </c>
      <c r="G166" s="10">
        <f>AB166+AS166+BJ166+CA166+CR166</f>
        <v/>
      </c>
      <c r="H166" s="10">
        <f>AD166+AU166+BL166+CC166+CT166</f>
        <v/>
      </c>
      <c r="I166" s="10">
        <f>AF166+AW166+BN166+CE166+CV166</f>
        <v/>
      </c>
      <c r="J166" s="10">
        <f>AL166+BC166+BT166+CK166+DB166</f>
        <v/>
      </c>
      <c r="K166" s="10">
        <f>AJ166+BA166+BR166+CI166+CZ166</f>
        <v/>
      </c>
      <c r="L166" s="10">
        <f>AN166+BE166+BV166+CM166+DD166</f>
        <v/>
      </c>
      <c r="M166" s="10">
        <f>AP166+BG166+BX166+CO166+DF166</f>
        <v/>
      </c>
      <c r="N166" s="10">
        <f>AH166+AY166+BP166+CG166+CX166</f>
        <v/>
      </c>
      <c r="O166" s="10">
        <f>SUM(G166:N166)</f>
        <v/>
      </c>
      <c r="P166" s="10">
        <f>IFERROR(G166*MIN(1,'01_Нормативы'!$C$4/SUM(G$2:G$429)),0)</f>
        <v/>
      </c>
      <c r="Q166" s="10">
        <f>IFERROR(H166*MIN(1,'01_Нормативы'!$C$5/SUM(H$2:H$429)),0)</f>
        <v/>
      </c>
      <c r="R166" s="10">
        <f>IFERROR(I166*MIN(1,'01_Нормативы'!$C$6/SUM(I$2:I$429)),0)</f>
        <v/>
      </c>
      <c r="S166" s="10">
        <f>IFERROR(J166*MIN(1,'01_Нормативы'!$C$7/SUM(J$2:J$429)),0)</f>
        <v/>
      </c>
      <c r="T166" s="10">
        <f>IFERROR(K166*MIN(1,'01_Нормативы'!$C$8/SUM(K$2:K$429)),0)</f>
        <v/>
      </c>
      <c r="U166" s="10">
        <f>IFERROR(L166*MIN(1,'01_Нормативы'!$C$9/SUM(L$2:L$429)),0)</f>
        <v/>
      </c>
      <c r="V166" s="10">
        <f>IFERROR(M166*MIN(1,'01_Нормативы'!$C$10/SUM(M$2:M$429)),0)</f>
        <v/>
      </c>
      <c r="W166" s="10">
        <f>IFERROR(N166*MIN(1,'01_Нормативы'!$C$11/SUM(N$2:N$429)),0)</f>
        <v/>
      </c>
      <c r="X166" s="10">
        <f>SUM(P166:W166)</f>
        <v/>
      </c>
      <c r="Y166" s="10">
        <f>MAX(0,C166-X166)</f>
        <v/>
      </c>
      <c r="Z166" s="10">
        <f>IF(D166=0,100,X166/D166*100)</f>
        <v/>
      </c>
      <c r="AA166" s="10">
        <f>'02_Данные'!F166+'02_Данные'!G166</f>
        <v/>
      </c>
      <c r="AB166" s="10">
        <f>MIN('02_Данные'!L166,AA166)</f>
        <v/>
      </c>
      <c r="AC166" s="10">
        <f>AA166-AB166</f>
        <v/>
      </c>
      <c r="AD166" s="10">
        <f>MIN('02_Данные'!M166,AC166)</f>
        <v/>
      </c>
      <c r="AE166" s="10">
        <f>AC166-AD166</f>
        <v/>
      </c>
      <c r="AF166" s="10">
        <f>MIN('02_Данные'!N166,AE166)</f>
        <v/>
      </c>
      <c r="AG166" s="10">
        <f>AE166-AF166</f>
        <v/>
      </c>
      <c r="AH166" s="10">
        <f>MIN('02_Данные'!S166,AG166)</f>
        <v/>
      </c>
      <c r="AI166" s="10">
        <f>AG166-AH166</f>
        <v/>
      </c>
      <c r="AJ166" s="10">
        <f>MIN('02_Данные'!P166,AI166)</f>
        <v/>
      </c>
      <c r="AK166" s="10">
        <f>AI166-AJ166</f>
        <v/>
      </c>
      <c r="AL166" s="10">
        <f>MIN('02_Данные'!O166,AK166)</f>
        <v/>
      </c>
      <c r="AM166" s="10">
        <f>AK166-AL166</f>
        <v/>
      </c>
      <c r="AN166" s="10">
        <f>MIN('02_Данные'!Q166,AM166)</f>
        <v/>
      </c>
      <c r="AO166" s="10">
        <f>AM166-AN166</f>
        <v/>
      </c>
      <c r="AP166" s="10">
        <f>MIN('02_Данные'!R166,AO166)</f>
        <v/>
      </c>
      <c r="AQ166" s="10">
        <f>AO166-AP166</f>
        <v/>
      </c>
      <c r="AR166" s="10">
        <f>AQ166+'02_Данные'!H166</f>
        <v/>
      </c>
      <c r="AS166" s="10">
        <f>MIN('02_Данные'!T166,AR166)</f>
        <v/>
      </c>
      <c r="AT166" s="10">
        <f>AR166-AS166</f>
        <v/>
      </c>
      <c r="AU166" s="10">
        <f>MIN('02_Данные'!U166,AT166)</f>
        <v/>
      </c>
      <c r="AV166" s="10">
        <f>AT166-AU166</f>
        <v/>
      </c>
      <c r="AW166" s="10">
        <f>MIN('02_Данные'!V166,AV166)</f>
        <v/>
      </c>
      <c r="AX166" s="10">
        <f>AV166-AW166</f>
        <v/>
      </c>
      <c r="AY166" s="10">
        <f>MIN('02_Данные'!AA166,AX166)</f>
        <v/>
      </c>
      <c r="AZ166" s="10">
        <f>AX166-AY166</f>
        <v/>
      </c>
      <c r="BA166" s="10">
        <f>MIN('02_Данные'!X166,AZ166)</f>
        <v/>
      </c>
      <c r="BB166" s="10">
        <f>AZ166-BA166</f>
        <v/>
      </c>
      <c r="BC166" s="10">
        <f>MIN('02_Данные'!W166,BB166)</f>
        <v/>
      </c>
      <c r="BD166" s="10">
        <f>BB166-BC166</f>
        <v/>
      </c>
      <c r="BE166" s="10">
        <f>MIN('02_Данные'!Y166,BD166)</f>
        <v/>
      </c>
      <c r="BF166" s="10">
        <f>BD166-BE166</f>
        <v/>
      </c>
      <c r="BG166" s="10">
        <f>MIN('02_Данные'!Z166,BF166)</f>
        <v/>
      </c>
      <c r="BH166" s="10">
        <f>BF166-BG166</f>
        <v/>
      </c>
      <c r="BI166" s="10">
        <f>BH166+'02_Данные'!I166</f>
        <v/>
      </c>
      <c r="BJ166" s="10">
        <f>MIN('02_Данные'!AB166,BI166)</f>
        <v/>
      </c>
      <c r="BK166" s="10">
        <f>BI166-BJ166</f>
        <v/>
      </c>
      <c r="BL166" s="10">
        <f>MIN('02_Данные'!AC166,BK166)</f>
        <v/>
      </c>
      <c r="BM166" s="10">
        <f>BK166-BL166</f>
        <v/>
      </c>
      <c r="BN166" s="10">
        <f>MIN('02_Данные'!AD166,BM166)</f>
        <v/>
      </c>
      <c r="BO166" s="10">
        <f>BM166-BN166</f>
        <v/>
      </c>
      <c r="BP166" s="10">
        <f>MIN('02_Данные'!AI166,BO166)</f>
        <v/>
      </c>
      <c r="BQ166" s="10">
        <f>BO166-BP166</f>
        <v/>
      </c>
      <c r="BR166" s="10">
        <f>MIN('02_Данные'!AF166,BQ166)</f>
        <v/>
      </c>
      <c r="BS166" s="10">
        <f>BQ166-BR166</f>
        <v/>
      </c>
      <c r="BT166" s="10">
        <f>MIN('02_Данные'!AE166,BS166)</f>
        <v/>
      </c>
      <c r="BU166" s="10">
        <f>BS166-BT166</f>
        <v/>
      </c>
      <c r="BV166" s="10">
        <f>MIN('02_Данные'!AG166,BU166)</f>
        <v/>
      </c>
      <c r="BW166" s="10">
        <f>BU166-BV166</f>
        <v/>
      </c>
      <c r="BX166" s="10">
        <f>MIN('02_Данные'!AH166,BW166)</f>
        <v/>
      </c>
      <c r="BY166" s="10">
        <f>BW166-BX166</f>
        <v/>
      </c>
      <c r="BZ166" s="10">
        <f>BY166+'02_Данные'!J166</f>
        <v/>
      </c>
      <c r="CA166" s="10">
        <f>MIN('02_Данные'!AJ166,BZ166)</f>
        <v/>
      </c>
      <c r="CB166" s="10">
        <f>BZ166-CA166</f>
        <v/>
      </c>
      <c r="CC166" s="10">
        <f>MIN('02_Данные'!AK166,CB166)</f>
        <v/>
      </c>
      <c r="CD166" s="10">
        <f>CB166-CC166</f>
        <v/>
      </c>
      <c r="CE166" s="10">
        <f>MIN('02_Данные'!AL166,CD166)</f>
        <v/>
      </c>
      <c r="CF166" s="10">
        <f>CD166-CE166</f>
        <v/>
      </c>
      <c r="CG166" s="10">
        <f>MIN('02_Данные'!AQ166,CF166)</f>
        <v/>
      </c>
      <c r="CH166" s="10">
        <f>CF166-CG166</f>
        <v/>
      </c>
      <c r="CI166" s="10">
        <f>MIN('02_Данные'!AN166,CH166)</f>
        <v/>
      </c>
      <c r="CJ166" s="10">
        <f>CH166-CI166</f>
        <v/>
      </c>
      <c r="CK166" s="10">
        <f>MIN('02_Данные'!AM166,CJ166)</f>
        <v/>
      </c>
      <c r="CL166" s="10">
        <f>CJ166-CK166</f>
        <v/>
      </c>
      <c r="CM166" s="10">
        <f>MIN('02_Данные'!AO166,CL166)</f>
        <v/>
      </c>
      <c r="CN166" s="10">
        <f>CL166-CM166</f>
        <v/>
      </c>
      <c r="CO166" s="10">
        <f>MIN('02_Данные'!AP166,CN166)</f>
        <v/>
      </c>
      <c r="CP166" s="10">
        <f>CN166-CO166</f>
        <v/>
      </c>
      <c r="CQ166" s="10">
        <f>CP166+'02_Данные'!K166</f>
        <v/>
      </c>
      <c r="CR166" s="10">
        <f>MIN('02_Данные'!AR166,CQ166)</f>
        <v/>
      </c>
      <c r="CS166" s="10">
        <f>CQ166-CR166</f>
        <v/>
      </c>
      <c r="CT166" s="10">
        <f>MIN('02_Данные'!AS166,CS166)</f>
        <v/>
      </c>
      <c r="CU166" s="10">
        <f>CS166-CT166</f>
        <v/>
      </c>
      <c r="CV166" s="10">
        <f>MIN('02_Данные'!AT166,CU166)</f>
        <v/>
      </c>
      <c r="CW166" s="10">
        <f>CU166-CV166</f>
        <v/>
      </c>
      <c r="CX166" s="10">
        <f>MIN('02_Данные'!AY166,CW166)</f>
        <v/>
      </c>
      <c r="CY166" s="10">
        <f>CW166-CX166</f>
        <v/>
      </c>
      <c r="CZ166" s="10">
        <f>MIN('02_Данные'!AV166,CY166)</f>
        <v/>
      </c>
      <c r="DA166" s="10">
        <f>CY166-CZ166</f>
        <v/>
      </c>
      <c r="DB166" s="10">
        <f>MIN('02_Данные'!AU166,DA166)</f>
        <v/>
      </c>
      <c r="DC166" s="10">
        <f>DA166-DB166</f>
        <v/>
      </c>
      <c r="DD166" s="10">
        <f>MIN('02_Данные'!AW166,DC166)</f>
        <v/>
      </c>
      <c r="DE166" s="10">
        <f>DC166-DD166</f>
        <v/>
      </c>
      <c r="DF166" s="10">
        <f>MIN('02_Данные'!AX166,DE166)</f>
        <v/>
      </c>
      <c r="DG166" s="10">
        <f>DE166-DF166</f>
        <v/>
      </c>
    </row>
    <row r="167">
      <c r="A167" s="9">
        <f>'02_Данные'!B167</f>
        <v/>
      </c>
      <c r="B167" s="9">
        <f>'02_Данные'!E167</f>
        <v/>
      </c>
      <c r="C167" s="10">
        <f>'02_Данные'!F167+'02_Данные'!G167+'02_Данные'!H167+'02_Данные'!I167+'02_Данные'!J167+'02_Данные'!K167</f>
        <v/>
      </c>
      <c r="D167" s="10">
        <f>SUM('02_Данные'!L167:'02_Данные'!AY167)</f>
        <v/>
      </c>
      <c r="E167" s="10">
        <f>MAX(0,D167-C167)</f>
        <v/>
      </c>
      <c r="F167" s="15">
        <f>IF(E167&gt;0.0001,"ДЕФИЦИТ",IF(Y167&gt;0.0001,"ПРОФИЦИТ","БАЛАНС"))</f>
        <v/>
      </c>
      <c r="G167" s="10">
        <f>AB167+AS167+BJ167+CA167+CR167</f>
        <v/>
      </c>
      <c r="H167" s="10">
        <f>AD167+AU167+BL167+CC167+CT167</f>
        <v/>
      </c>
      <c r="I167" s="10">
        <f>AF167+AW167+BN167+CE167+CV167</f>
        <v/>
      </c>
      <c r="J167" s="10">
        <f>AL167+BC167+BT167+CK167+DB167</f>
        <v/>
      </c>
      <c r="K167" s="10">
        <f>AJ167+BA167+BR167+CI167+CZ167</f>
        <v/>
      </c>
      <c r="L167" s="10">
        <f>AN167+BE167+BV167+CM167+DD167</f>
        <v/>
      </c>
      <c r="M167" s="10">
        <f>AP167+BG167+BX167+CO167+DF167</f>
        <v/>
      </c>
      <c r="N167" s="10">
        <f>AH167+AY167+BP167+CG167+CX167</f>
        <v/>
      </c>
      <c r="O167" s="10">
        <f>SUM(G167:N167)</f>
        <v/>
      </c>
      <c r="P167" s="10">
        <f>IFERROR(G167*MIN(1,'01_Нормативы'!$C$4/SUM(G$2:G$429)),0)</f>
        <v/>
      </c>
      <c r="Q167" s="10">
        <f>IFERROR(H167*MIN(1,'01_Нормативы'!$C$5/SUM(H$2:H$429)),0)</f>
        <v/>
      </c>
      <c r="R167" s="10">
        <f>IFERROR(I167*MIN(1,'01_Нормативы'!$C$6/SUM(I$2:I$429)),0)</f>
        <v/>
      </c>
      <c r="S167" s="10">
        <f>IFERROR(J167*MIN(1,'01_Нормативы'!$C$7/SUM(J$2:J$429)),0)</f>
        <v/>
      </c>
      <c r="T167" s="10">
        <f>IFERROR(K167*MIN(1,'01_Нормативы'!$C$8/SUM(K$2:K$429)),0)</f>
        <v/>
      </c>
      <c r="U167" s="10">
        <f>IFERROR(L167*MIN(1,'01_Нормативы'!$C$9/SUM(L$2:L$429)),0)</f>
        <v/>
      </c>
      <c r="V167" s="10">
        <f>IFERROR(M167*MIN(1,'01_Нормативы'!$C$10/SUM(M$2:M$429)),0)</f>
        <v/>
      </c>
      <c r="W167" s="10">
        <f>IFERROR(N167*MIN(1,'01_Нормативы'!$C$11/SUM(N$2:N$429)),0)</f>
        <v/>
      </c>
      <c r="X167" s="10">
        <f>SUM(P167:W167)</f>
        <v/>
      </c>
      <c r="Y167" s="10">
        <f>MAX(0,C167-X167)</f>
        <v/>
      </c>
      <c r="Z167" s="10">
        <f>IF(D167=0,100,X167/D167*100)</f>
        <v/>
      </c>
      <c r="AA167" s="10">
        <f>'02_Данные'!F167+'02_Данные'!G167</f>
        <v/>
      </c>
      <c r="AB167" s="10">
        <f>MIN('02_Данные'!L167,AA167)</f>
        <v/>
      </c>
      <c r="AC167" s="10">
        <f>AA167-AB167</f>
        <v/>
      </c>
      <c r="AD167" s="10">
        <f>MIN('02_Данные'!M167,AC167)</f>
        <v/>
      </c>
      <c r="AE167" s="10">
        <f>AC167-AD167</f>
        <v/>
      </c>
      <c r="AF167" s="10">
        <f>MIN('02_Данные'!N167,AE167)</f>
        <v/>
      </c>
      <c r="AG167" s="10">
        <f>AE167-AF167</f>
        <v/>
      </c>
      <c r="AH167" s="10">
        <f>MIN('02_Данные'!S167,AG167)</f>
        <v/>
      </c>
      <c r="AI167" s="10">
        <f>AG167-AH167</f>
        <v/>
      </c>
      <c r="AJ167" s="10">
        <f>MIN('02_Данные'!P167,AI167)</f>
        <v/>
      </c>
      <c r="AK167" s="10">
        <f>AI167-AJ167</f>
        <v/>
      </c>
      <c r="AL167" s="10">
        <f>MIN('02_Данные'!O167,AK167)</f>
        <v/>
      </c>
      <c r="AM167" s="10">
        <f>AK167-AL167</f>
        <v/>
      </c>
      <c r="AN167" s="10">
        <f>MIN('02_Данные'!Q167,AM167)</f>
        <v/>
      </c>
      <c r="AO167" s="10">
        <f>AM167-AN167</f>
        <v/>
      </c>
      <c r="AP167" s="10">
        <f>MIN('02_Данные'!R167,AO167)</f>
        <v/>
      </c>
      <c r="AQ167" s="10">
        <f>AO167-AP167</f>
        <v/>
      </c>
      <c r="AR167" s="10">
        <f>AQ167+'02_Данные'!H167</f>
        <v/>
      </c>
      <c r="AS167" s="10">
        <f>MIN('02_Данные'!T167,AR167)</f>
        <v/>
      </c>
      <c r="AT167" s="10">
        <f>AR167-AS167</f>
        <v/>
      </c>
      <c r="AU167" s="10">
        <f>MIN('02_Данные'!U167,AT167)</f>
        <v/>
      </c>
      <c r="AV167" s="10">
        <f>AT167-AU167</f>
        <v/>
      </c>
      <c r="AW167" s="10">
        <f>MIN('02_Данные'!V167,AV167)</f>
        <v/>
      </c>
      <c r="AX167" s="10">
        <f>AV167-AW167</f>
        <v/>
      </c>
      <c r="AY167" s="10">
        <f>MIN('02_Данные'!AA167,AX167)</f>
        <v/>
      </c>
      <c r="AZ167" s="10">
        <f>AX167-AY167</f>
        <v/>
      </c>
      <c r="BA167" s="10">
        <f>MIN('02_Данные'!X167,AZ167)</f>
        <v/>
      </c>
      <c r="BB167" s="10">
        <f>AZ167-BA167</f>
        <v/>
      </c>
      <c r="BC167" s="10">
        <f>MIN('02_Данные'!W167,BB167)</f>
        <v/>
      </c>
      <c r="BD167" s="10">
        <f>BB167-BC167</f>
        <v/>
      </c>
      <c r="BE167" s="10">
        <f>MIN('02_Данные'!Y167,BD167)</f>
        <v/>
      </c>
      <c r="BF167" s="10">
        <f>BD167-BE167</f>
        <v/>
      </c>
      <c r="BG167" s="10">
        <f>MIN('02_Данные'!Z167,BF167)</f>
        <v/>
      </c>
      <c r="BH167" s="10">
        <f>BF167-BG167</f>
        <v/>
      </c>
      <c r="BI167" s="10">
        <f>BH167+'02_Данные'!I167</f>
        <v/>
      </c>
      <c r="BJ167" s="10">
        <f>MIN('02_Данные'!AB167,BI167)</f>
        <v/>
      </c>
      <c r="BK167" s="10">
        <f>BI167-BJ167</f>
        <v/>
      </c>
      <c r="BL167" s="10">
        <f>MIN('02_Данные'!AC167,BK167)</f>
        <v/>
      </c>
      <c r="BM167" s="10">
        <f>BK167-BL167</f>
        <v/>
      </c>
      <c r="BN167" s="10">
        <f>MIN('02_Данные'!AD167,BM167)</f>
        <v/>
      </c>
      <c r="BO167" s="10">
        <f>BM167-BN167</f>
        <v/>
      </c>
      <c r="BP167" s="10">
        <f>MIN('02_Данные'!AI167,BO167)</f>
        <v/>
      </c>
      <c r="BQ167" s="10">
        <f>BO167-BP167</f>
        <v/>
      </c>
      <c r="BR167" s="10">
        <f>MIN('02_Данные'!AF167,BQ167)</f>
        <v/>
      </c>
      <c r="BS167" s="10">
        <f>BQ167-BR167</f>
        <v/>
      </c>
      <c r="BT167" s="10">
        <f>MIN('02_Данные'!AE167,BS167)</f>
        <v/>
      </c>
      <c r="BU167" s="10">
        <f>BS167-BT167</f>
        <v/>
      </c>
      <c r="BV167" s="10">
        <f>MIN('02_Данные'!AG167,BU167)</f>
        <v/>
      </c>
      <c r="BW167" s="10">
        <f>BU167-BV167</f>
        <v/>
      </c>
      <c r="BX167" s="10">
        <f>MIN('02_Данные'!AH167,BW167)</f>
        <v/>
      </c>
      <c r="BY167" s="10">
        <f>BW167-BX167</f>
        <v/>
      </c>
      <c r="BZ167" s="10">
        <f>BY167+'02_Данные'!J167</f>
        <v/>
      </c>
      <c r="CA167" s="10">
        <f>MIN('02_Данные'!AJ167,BZ167)</f>
        <v/>
      </c>
      <c r="CB167" s="10">
        <f>BZ167-CA167</f>
        <v/>
      </c>
      <c r="CC167" s="10">
        <f>MIN('02_Данные'!AK167,CB167)</f>
        <v/>
      </c>
      <c r="CD167" s="10">
        <f>CB167-CC167</f>
        <v/>
      </c>
      <c r="CE167" s="10">
        <f>MIN('02_Данные'!AL167,CD167)</f>
        <v/>
      </c>
      <c r="CF167" s="10">
        <f>CD167-CE167</f>
        <v/>
      </c>
      <c r="CG167" s="10">
        <f>MIN('02_Данные'!AQ167,CF167)</f>
        <v/>
      </c>
      <c r="CH167" s="10">
        <f>CF167-CG167</f>
        <v/>
      </c>
      <c r="CI167" s="10">
        <f>MIN('02_Данные'!AN167,CH167)</f>
        <v/>
      </c>
      <c r="CJ167" s="10">
        <f>CH167-CI167</f>
        <v/>
      </c>
      <c r="CK167" s="10">
        <f>MIN('02_Данные'!AM167,CJ167)</f>
        <v/>
      </c>
      <c r="CL167" s="10">
        <f>CJ167-CK167</f>
        <v/>
      </c>
      <c r="CM167" s="10">
        <f>MIN('02_Данные'!AO167,CL167)</f>
        <v/>
      </c>
      <c r="CN167" s="10">
        <f>CL167-CM167</f>
        <v/>
      </c>
      <c r="CO167" s="10">
        <f>MIN('02_Данные'!AP167,CN167)</f>
        <v/>
      </c>
      <c r="CP167" s="10">
        <f>CN167-CO167</f>
        <v/>
      </c>
      <c r="CQ167" s="10">
        <f>CP167+'02_Данные'!K167</f>
        <v/>
      </c>
      <c r="CR167" s="10">
        <f>MIN('02_Данные'!AR167,CQ167)</f>
        <v/>
      </c>
      <c r="CS167" s="10">
        <f>CQ167-CR167</f>
        <v/>
      </c>
      <c r="CT167" s="10">
        <f>MIN('02_Данные'!AS167,CS167)</f>
        <v/>
      </c>
      <c r="CU167" s="10">
        <f>CS167-CT167</f>
        <v/>
      </c>
      <c r="CV167" s="10">
        <f>MIN('02_Данные'!AT167,CU167)</f>
        <v/>
      </c>
      <c r="CW167" s="10">
        <f>CU167-CV167</f>
        <v/>
      </c>
      <c r="CX167" s="10">
        <f>MIN('02_Данные'!AY167,CW167)</f>
        <v/>
      </c>
      <c r="CY167" s="10">
        <f>CW167-CX167</f>
        <v/>
      </c>
      <c r="CZ167" s="10">
        <f>MIN('02_Данные'!AV167,CY167)</f>
        <v/>
      </c>
      <c r="DA167" s="10">
        <f>CY167-CZ167</f>
        <v/>
      </c>
      <c r="DB167" s="10">
        <f>MIN('02_Данные'!AU167,DA167)</f>
        <v/>
      </c>
      <c r="DC167" s="10">
        <f>DA167-DB167</f>
        <v/>
      </c>
      <c r="DD167" s="10">
        <f>MIN('02_Данные'!AW167,DC167)</f>
        <v/>
      </c>
      <c r="DE167" s="10">
        <f>DC167-DD167</f>
        <v/>
      </c>
      <c r="DF167" s="10">
        <f>MIN('02_Данные'!AX167,DE167)</f>
        <v/>
      </c>
      <c r="DG167" s="10">
        <f>DE167-DF167</f>
        <v/>
      </c>
    </row>
    <row r="168">
      <c r="A168" s="9">
        <f>'02_Данные'!B168</f>
        <v/>
      </c>
      <c r="B168" s="9">
        <f>'02_Данные'!E168</f>
        <v/>
      </c>
      <c r="C168" s="10">
        <f>'02_Данные'!F168+'02_Данные'!G168+'02_Данные'!H168+'02_Данные'!I168+'02_Данные'!J168+'02_Данные'!K168</f>
        <v/>
      </c>
      <c r="D168" s="10">
        <f>SUM('02_Данные'!L168:'02_Данные'!AY168)</f>
        <v/>
      </c>
      <c r="E168" s="10">
        <f>MAX(0,D168-C168)</f>
        <v/>
      </c>
      <c r="F168" s="15">
        <f>IF(E168&gt;0.0001,"ДЕФИЦИТ",IF(Y168&gt;0.0001,"ПРОФИЦИТ","БАЛАНС"))</f>
        <v/>
      </c>
      <c r="G168" s="10">
        <f>AB168+AS168+BJ168+CA168+CR168</f>
        <v/>
      </c>
      <c r="H168" s="10">
        <f>AD168+AU168+BL168+CC168+CT168</f>
        <v/>
      </c>
      <c r="I168" s="10">
        <f>AF168+AW168+BN168+CE168+CV168</f>
        <v/>
      </c>
      <c r="J168" s="10">
        <f>AL168+BC168+BT168+CK168+DB168</f>
        <v/>
      </c>
      <c r="K168" s="10">
        <f>AJ168+BA168+BR168+CI168+CZ168</f>
        <v/>
      </c>
      <c r="L168" s="10">
        <f>AN168+BE168+BV168+CM168+DD168</f>
        <v/>
      </c>
      <c r="M168" s="10">
        <f>AP168+BG168+BX168+CO168+DF168</f>
        <v/>
      </c>
      <c r="N168" s="10">
        <f>AH168+AY168+BP168+CG168+CX168</f>
        <v/>
      </c>
      <c r="O168" s="10">
        <f>SUM(G168:N168)</f>
        <v/>
      </c>
      <c r="P168" s="10">
        <f>IFERROR(G168*MIN(1,'01_Нормативы'!$C$4/SUM(G$2:G$429)),0)</f>
        <v/>
      </c>
      <c r="Q168" s="10">
        <f>IFERROR(H168*MIN(1,'01_Нормативы'!$C$5/SUM(H$2:H$429)),0)</f>
        <v/>
      </c>
      <c r="R168" s="10">
        <f>IFERROR(I168*MIN(1,'01_Нормативы'!$C$6/SUM(I$2:I$429)),0)</f>
        <v/>
      </c>
      <c r="S168" s="10">
        <f>IFERROR(J168*MIN(1,'01_Нормативы'!$C$7/SUM(J$2:J$429)),0)</f>
        <v/>
      </c>
      <c r="T168" s="10">
        <f>IFERROR(K168*MIN(1,'01_Нормативы'!$C$8/SUM(K$2:K$429)),0)</f>
        <v/>
      </c>
      <c r="U168" s="10">
        <f>IFERROR(L168*MIN(1,'01_Нормативы'!$C$9/SUM(L$2:L$429)),0)</f>
        <v/>
      </c>
      <c r="V168" s="10">
        <f>IFERROR(M168*MIN(1,'01_Нормативы'!$C$10/SUM(M$2:M$429)),0)</f>
        <v/>
      </c>
      <c r="W168" s="10">
        <f>IFERROR(N168*MIN(1,'01_Нормативы'!$C$11/SUM(N$2:N$429)),0)</f>
        <v/>
      </c>
      <c r="X168" s="10">
        <f>SUM(P168:W168)</f>
        <v/>
      </c>
      <c r="Y168" s="10">
        <f>MAX(0,C168-X168)</f>
        <v/>
      </c>
      <c r="Z168" s="10">
        <f>IF(D168=0,100,X168/D168*100)</f>
        <v/>
      </c>
      <c r="AA168" s="10">
        <f>'02_Данные'!F168+'02_Данные'!G168</f>
        <v/>
      </c>
      <c r="AB168" s="10">
        <f>MIN('02_Данные'!L168,AA168)</f>
        <v/>
      </c>
      <c r="AC168" s="10">
        <f>AA168-AB168</f>
        <v/>
      </c>
      <c r="AD168" s="10">
        <f>MIN('02_Данные'!M168,AC168)</f>
        <v/>
      </c>
      <c r="AE168" s="10">
        <f>AC168-AD168</f>
        <v/>
      </c>
      <c r="AF168" s="10">
        <f>MIN('02_Данные'!N168,AE168)</f>
        <v/>
      </c>
      <c r="AG168" s="10">
        <f>AE168-AF168</f>
        <v/>
      </c>
      <c r="AH168" s="10">
        <f>MIN('02_Данные'!S168,AG168)</f>
        <v/>
      </c>
      <c r="AI168" s="10">
        <f>AG168-AH168</f>
        <v/>
      </c>
      <c r="AJ168" s="10">
        <f>MIN('02_Данные'!P168,AI168)</f>
        <v/>
      </c>
      <c r="AK168" s="10">
        <f>AI168-AJ168</f>
        <v/>
      </c>
      <c r="AL168" s="10">
        <f>MIN('02_Данные'!O168,AK168)</f>
        <v/>
      </c>
      <c r="AM168" s="10">
        <f>AK168-AL168</f>
        <v/>
      </c>
      <c r="AN168" s="10">
        <f>MIN('02_Данные'!Q168,AM168)</f>
        <v/>
      </c>
      <c r="AO168" s="10">
        <f>AM168-AN168</f>
        <v/>
      </c>
      <c r="AP168" s="10">
        <f>MIN('02_Данные'!R168,AO168)</f>
        <v/>
      </c>
      <c r="AQ168" s="10">
        <f>AO168-AP168</f>
        <v/>
      </c>
      <c r="AR168" s="10">
        <f>AQ168+'02_Данные'!H168</f>
        <v/>
      </c>
      <c r="AS168" s="10">
        <f>MIN('02_Данные'!T168,AR168)</f>
        <v/>
      </c>
      <c r="AT168" s="10">
        <f>AR168-AS168</f>
        <v/>
      </c>
      <c r="AU168" s="10">
        <f>MIN('02_Данные'!U168,AT168)</f>
        <v/>
      </c>
      <c r="AV168" s="10">
        <f>AT168-AU168</f>
        <v/>
      </c>
      <c r="AW168" s="10">
        <f>MIN('02_Данные'!V168,AV168)</f>
        <v/>
      </c>
      <c r="AX168" s="10">
        <f>AV168-AW168</f>
        <v/>
      </c>
      <c r="AY168" s="10">
        <f>MIN('02_Данные'!AA168,AX168)</f>
        <v/>
      </c>
      <c r="AZ168" s="10">
        <f>AX168-AY168</f>
        <v/>
      </c>
      <c r="BA168" s="10">
        <f>MIN('02_Данные'!X168,AZ168)</f>
        <v/>
      </c>
      <c r="BB168" s="10">
        <f>AZ168-BA168</f>
        <v/>
      </c>
      <c r="BC168" s="10">
        <f>MIN('02_Данные'!W168,BB168)</f>
        <v/>
      </c>
      <c r="BD168" s="10">
        <f>BB168-BC168</f>
        <v/>
      </c>
      <c r="BE168" s="10">
        <f>MIN('02_Данные'!Y168,BD168)</f>
        <v/>
      </c>
      <c r="BF168" s="10">
        <f>BD168-BE168</f>
        <v/>
      </c>
      <c r="BG168" s="10">
        <f>MIN('02_Данные'!Z168,BF168)</f>
        <v/>
      </c>
      <c r="BH168" s="10">
        <f>BF168-BG168</f>
        <v/>
      </c>
      <c r="BI168" s="10">
        <f>BH168+'02_Данные'!I168</f>
        <v/>
      </c>
      <c r="BJ168" s="10">
        <f>MIN('02_Данные'!AB168,BI168)</f>
        <v/>
      </c>
      <c r="BK168" s="10">
        <f>BI168-BJ168</f>
        <v/>
      </c>
      <c r="BL168" s="10">
        <f>MIN('02_Данные'!AC168,BK168)</f>
        <v/>
      </c>
      <c r="BM168" s="10">
        <f>BK168-BL168</f>
        <v/>
      </c>
      <c r="BN168" s="10">
        <f>MIN('02_Данные'!AD168,BM168)</f>
        <v/>
      </c>
      <c r="BO168" s="10">
        <f>BM168-BN168</f>
        <v/>
      </c>
      <c r="BP168" s="10">
        <f>MIN('02_Данные'!AI168,BO168)</f>
        <v/>
      </c>
      <c r="BQ168" s="10">
        <f>BO168-BP168</f>
        <v/>
      </c>
      <c r="BR168" s="10">
        <f>MIN('02_Данные'!AF168,BQ168)</f>
        <v/>
      </c>
      <c r="BS168" s="10">
        <f>BQ168-BR168</f>
        <v/>
      </c>
      <c r="BT168" s="10">
        <f>MIN('02_Данные'!AE168,BS168)</f>
        <v/>
      </c>
      <c r="BU168" s="10">
        <f>BS168-BT168</f>
        <v/>
      </c>
      <c r="BV168" s="10">
        <f>MIN('02_Данные'!AG168,BU168)</f>
        <v/>
      </c>
      <c r="BW168" s="10">
        <f>BU168-BV168</f>
        <v/>
      </c>
      <c r="BX168" s="10">
        <f>MIN('02_Данные'!AH168,BW168)</f>
        <v/>
      </c>
      <c r="BY168" s="10">
        <f>BW168-BX168</f>
        <v/>
      </c>
      <c r="BZ168" s="10">
        <f>BY168+'02_Данные'!J168</f>
        <v/>
      </c>
      <c r="CA168" s="10">
        <f>MIN('02_Данные'!AJ168,BZ168)</f>
        <v/>
      </c>
      <c r="CB168" s="10">
        <f>BZ168-CA168</f>
        <v/>
      </c>
      <c r="CC168" s="10">
        <f>MIN('02_Данные'!AK168,CB168)</f>
        <v/>
      </c>
      <c r="CD168" s="10">
        <f>CB168-CC168</f>
        <v/>
      </c>
      <c r="CE168" s="10">
        <f>MIN('02_Данные'!AL168,CD168)</f>
        <v/>
      </c>
      <c r="CF168" s="10">
        <f>CD168-CE168</f>
        <v/>
      </c>
      <c r="CG168" s="10">
        <f>MIN('02_Данные'!AQ168,CF168)</f>
        <v/>
      </c>
      <c r="CH168" s="10">
        <f>CF168-CG168</f>
        <v/>
      </c>
      <c r="CI168" s="10">
        <f>MIN('02_Данные'!AN168,CH168)</f>
        <v/>
      </c>
      <c r="CJ168" s="10">
        <f>CH168-CI168</f>
        <v/>
      </c>
      <c r="CK168" s="10">
        <f>MIN('02_Данные'!AM168,CJ168)</f>
        <v/>
      </c>
      <c r="CL168" s="10">
        <f>CJ168-CK168</f>
        <v/>
      </c>
      <c r="CM168" s="10">
        <f>MIN('02_Данные'!AO168,CL168)</f>
        <v/>
      </c>
      <c r="CN168" s="10">
        <f>CL168-CM168</f>
        <v/>
      </c>
      <c r="CO168" s="10">
        <f>MIN('02_Данные'!AP168,CN168)</f>
        <v/>
      </c>
      <c r="CP168" s="10">
        <f>CN168-CO168</f>
        <v/>
      </c>
      <c r="CQ168" s="10">
        <f>CP168+'02_Данные'!K168</f>
        <v/>
      </c>
      <c r="CR168" s="10">
        <f>MIN('02_Данные'!AR168,CQ168)</f>
        <v/>
      </c>
      <c r="CS168" s="10">
        <f>CQ168-CR168</f>
        <v/>
      </c>
      <c r="CT168" s="10">
        <f>MIN('02_Данные'!AS168,CS168)</f>
        <v/>
      </c>
      <c r="CU168" s="10">
        <f>CS168-CT168</f>
        <v/>
      </c>
      <c r="CV168" s="10">
        <f>MIN('02_Данные'!AT168,CU168)</f>
        <v/>
      </c>
      <c r="CW168" s="10">
        <f>CU168-CV168</f>
        <v/>
      </c>
      <c r="CX168" s="10">
        <f>MIN('02_Данные'!AY168,CW168)</f>
        <v/>
      </c>
      <c r="CY168" s="10">
        <f>CW168-CX168</f>
        <v/>
      </c>
      <c r="CZ168" s="10">
        <f>MIN('02_Данные'!AV168,CY168)</f>
        <v/>
      </c>
      <c r="DA168" s="10">
        <f>CY168-CZ168</f>
        <v/>
      </c>
      <c r="DB168" s="10">
        <f>MIN('02_Данные'!AU168,DA168)</f>
        <v/>
      </c>
      <c r="DC168" s="10">
        <f>DA168-DB168</f>
        <v/>
      </c>
      <c r="DD168" s="10">
        <f>MIN('02_Данные'!AW168,DC168)</f>
        <v/>
      </c>
      <c r="DE168" s="10">
        <f>DC168-DD168</f>
        <v/>
      </c>
      <c r="DF168" s="10">
        <f>MIN('02_Данные'!AX168,DE168)</f>
        <v/>
      </c>
      <c r="DG168" s="10">
        <f>DE168-DF168</f>
        <v/>
      </c>
    </row>
    <row r="169">
      <c r="A169" s="9">
        <f>'02_Данные'!B169</f>
        <v/>
      </c>
      <c r="B169" s="9">
        <f>'02_Данные'!E169</f>
        <v/>
      </c>
      <c r="C169" s="10">
        <f>'02_Данные'!F169+'02_Данные'!G169+'02_Данные'!H169+'02_Данные'!I169+'02_Данные'!J169+'02_Данные'!K169</f>
        <v/>
      </c>
      <c r="D169" s="10">
        <f>SUM('02_Данные'!L169:'02_Данные'!AY169)</f>
        <v/>
      </c>
      <c r="E169" s="10">
        <f>MAX(0,D169-C169)</f>
        <v/>
      </c>
      <c r="F169" s="15">
        <f>IF(E169&gt;0.0001,"ДЕФИЦИТ",IF(Y169&gt;0.0001,"ПРОФИЦИТ","БАЛАНС"))</f>
        <v/>
      </c>
      <c r="G169" s="10">
        <f>AB169+AS169+BJ169+CA169+CR169</f>
        <v/>
      </c>
      <c r="H169" s="10">
        <f>AD169+AU169+BL169+CC169+CT169</f>
        <v/>
      </c>
      <c r="I169" s="10">
        <f>AF169+AW169+BN169+CE169+CV169</f>
        <v/>
      </c>
      <c r="J169" s="10">
        <f>AL169+BC169+BT169+CK169+DB169</f>
        <v/>
      </c>
      <c r="K169" s="10">
        <f>AJ169+BA169+BR169+CI169+CZ169</f>
        <v/>
      </c>
      <c r="L169" s="10">
        <f>AN169+BE169+BV169+CM169+DD169</f>
        <v/>
      </c>
      <c r="M169" s="10">
        <f>AP169+BG169+BX169+CO169+DF169</f>
        <v/>
      </c>
      <c r="N169" s="10">
        <f>AH169+AY169+BP169+CG169+CX169</f>
        <v/>
      </c>
      <c r="O169" s="10">
        <f>SUM(G169:N169)</f>
        <v/>
      </c>
      <c r="P169" s="10">
        <f>IFERROR(G169*MIN(1,'01_Нормативы'!$C$4/SUM(G$2:G$429)),0)</f>
        <v/>
      </c>
      <c r="Q169" s="10">
        <f>IFERROR(H169*MIN(1,'01_Нормативы'!$C$5/SUM(H$2:H$429)),0)</f>
        <v/>
      </c>
      <c r="R169" s="10">
        <f>IFERROR(I169*MIN(1,'01_Нормативы'!$C$6/SUM(I$2:I$429)),0)</f>
        <v/>
      </c>
      <c r="S169" s="10">
        <f>IFERROR(J169*MIN(1,'01_Нормативы'!$C$7/SUM(J$2:J$429)),0)</f>
        <v/>
      </c>
      <c r="T169" s="10">
        <f>IFERROR(K169*MIN(1,'01_Нормативы'!$C$8/SUM(K$2:K$429)),0)</f>
        <v/>
      </c>
      <c r="U169" s="10">
        <f>IFERROR(L169*MIN(1,'01_Нормативы'!$C$9/SUM(L$2:L$429)),0)</f>
        <v/>
      </c>
      <c r="V169" s="10">
        <f>IFERROR(M169*MIN(1,'01_Нормативы'!$C$10/SUM(M$2:M$429)),0)</f>
        <v/>
      </c>
      <c r="W169" s="10">
        <f>IFERROR(N169*MIN(1,'01_Нормативы'!$C$11/SUM(N$2:N$429)),0)</f>
        <v/>
      </c>
      <c r="X169" s="10">
        <f>SUM(P169:W169)</f>
        <v/>
      </c>
      <c r="Y169" s="10">
        <f>MAX(0,C169-X169)</f>
        <v/>
      </c>
      <c r="Z169" s="10">
        <f>IF(D169=0,100,X169/D169*100)</f>
        <v/>
      </c>
      <c r="AA169" s="10">
        <f>'02_Данные'!F169+'02_Данные'!G169</f>
        <v/>
      </c>
      <c r="AB169" s="10">
        <f>MIN('02_Данные'!L169,AA169)</f>
        <v/>
      </c>
      <c r="AC169" s="10">
        <f>AA169-AB169</f>
        <v/>
      </c>
      <c r="AD169" s="10">
        <f>MIN('02_Данные'!M169,AC169)</f>
        <v/>
      </c>
      <c r="AE169" s="10">
        <f>AC169-AD169</f>
        <v/>
      </c>
      <c r="AF169" s="10">
        <f>MIN('02_Данные'!N169,AE169)</f>
        <v/>
      </c>
      <c r="AG169" s="10">
        <f>AE169-AF169</f>
        <v/>
      </c>
      <c r="AH169" s="10">
        <f>MIN('02_Данные'!S169,AG169)</f>
        <v/>
      </c>
      <c r="AI169" s="10">
        <f>AG169-AH169</f>
        <v/>
      </c>
      <c r="AJ169" s="10">
        <f>MIN('02_Данные'!P169,AI169)</f>
        <v/>
      </c>
      <c r="AK169" s="10">
        <f>AI169-AJ169</f>
        <v/>
      </c>
      <c r="AL169" s="10">
        <f>MIN('02_Данные'!O169,AK169)</f>
        <v/>
      </c>
      <c r="AM169" s="10">
        <f>AK169-AL169</f>
        <v/>
      </c>
      <c r="AN169" s="10">
        <f>MIN('02_Данные'!Q169,AM169)</f>
        <v/>
      </c>
      <c r="AO169" s="10">
        <f>AM169-AN169</f>
        <v/>
      </c>
      <c r="AP169" s="10">
        <f>MIN('02_Данные'!R169,AO169)</f>
        <v/>
      </c>
      <c r="AQ169" s="10">
        <f>AO169-AP169</f>
        <v/>
      </c>
      <c r="AR169" s="10">
        <f>AQ169+'02_Данные'!H169</f>
        <v/>
      </c>
      <c r="AS169" s="10">
        <f>MIN('02_Данные'!T169,AR169)</f>
        <v/>
      </c>
      <c r="AT169" s="10">
        <f>AR169-AS169</f>
        <v/>
      </c>
      <c r="AU169" s="10">
        <f>MIN('02_Данные'!U169,AT169)</f>
        <v/>
      </c>
      <c r="AV169" s="10">
        <f>AT169-AU169</f>
        <v/>
      </c>
      <c r="AW169" s="10">
        <f>MIN('02_Данные'!V169,AV169)</f>
        <v/>
      </c>
      <c r="AX169" s="10">
        <f>AV169-AW169</f>
        <v/>
      </c>
      <c r="AY169" s="10">
        <f>MIN('02_Данные'!AA169,AX169)</f>
        <v/>
      </c>
      <c r="AZ169" s="10">
        <f>AX169-AY169</f>
        <v/>
      </c>
      <c r="BA169" s="10">
        <f>MIN('02_Данные'!X169,AZ169)</f>
        <v/>
      </c>
      <c r="BB169" s="10">
        <f>AZ169-BA169</f>
        <v/>
      </c>
      <c r="BC169" s="10">
        <f>MIN('02_Данные'!W169,BB169)</f>
        <v/>
      </c>
      <c r="BD169" s="10">
        <f>BB169-BC169</f>
        <v/>
      </c>
      <c r="BE169" s="10">
        <f>MIN('02_Данные'!Y169,BD169)</f>
        <v/>
      </c>
      <c r="BF169" s="10">
        <f>BD169-BE169</f>
        <v/>
      </c>
      <c r="BG169" s="10">
        <f>MIN('02_Данные'!Z169,BF169)</f>
        <v/>
      </c>
      <c r="BH169" s="10">
        <f>BF169-BG169</f>
        <v/>
      </c>
      <c r="BI169" s="10">
        <f>BH169+'02_Данные'!I169</f>
        <v/>
      </c>
      <c r="BJ169" s="10">
        <f>MIN('02_Данные'!AB169,BI169)</f>
        <v/>
      </c>
      <c r="BK169" s="10">
        <f>BI169-BJ169</f>
        <v/>
      </c>
      <c r="BL169" s="10">
        <f>MIN('02_Данные'!AC169,BK169)</f>
        <v/>
      </c>
      <c r="BM169" s="10">
        <f>BK169-BL169</f>
        <v/>
      </c>
      <c r="BN169" s="10">
        <f>MIN('02_Данные'!AD169,BM169)</f>
        <v/>
      </c>
      <c r="BO169" s="10">
        <f>BM169-BN169</f>
        <v/>
      </c>
      <c r="BP169" s="10">
        <f>MIN('02_Данные'!AI169,BO169)</f>
        <v/>
      </c>
      <c r="BQ169" s="10">
        <f>BO169-BP169</f>
        <v/>
      </c>
      <c r="BR169" s="10">
        <f>MIN('02_Данные'!AF169,BQ169)</f>
        <v/>
      </c>
      <c r="BS169" s="10">
        <f>BQ169-BR169</f>
        <v/>
      </c>
      <c r="BT169" s="10">
        <f>MIN('02_Данные'!AE169,BS169)</f>
        <v/>
      </c>
      <c r="BU169" s="10">
        <f>BS169-BT169</f>
        <v/>
      </c>
      <c r="BV169" s="10">
        <f>MIN('02_Данные'!AG169,BU169)</f>
        <v/>
      </c>
      <c r="BW169" s="10">
        <f>BU169-BV169</f>
        <v/>
      </c>
      <c r="BX169" s="10">
        <f>MIN('02_Данные'!AH169,BW169)</f>
        <v/>
      </c>
      <c r="BY169" s="10">
        <f>BW169-BX169</f>
        <v/>
      </c>
      <c r="BZ169" s="10">
        <f>BY169+'02_Данные'!J169</f>
        <v/>
      </c>
      <c r="CA169" s="10">
        <f>MIN('02_Данные'!AJ169,BZ169)</f>
        <v/>
      </c>
      <c r="CB169" s="10">
        <f>BZ169-CA169</f>
        <v/>
      </c>
      <c r="CC169" s="10">
        <f>MIN('02_Данные'!AK169,CB169)</f>
        <v/>
      </c>
      <c r="CD169" s="10">
        <f>CB169-CC169</f>
        <v/>
      </c>
      <c r="CE169" s="10">
        <f>MIN('02_Данные'!AL169,CD169)</f>
        <v/>
      </c>
      <c r="CF169" s="10">
        <f>CD169-CE169</f>
        <v/>
      </c>
      <c r="CG169" s="10">
        <f>MIN('02_Данные'!AQ169,CF169)</f>
        <v/>
      </c>
      <c r="CH169" s="10">
        <f>CF169-CG169</f>
        <v/>
      </c>
      <c r="CI169" s="10">
        <f>MIN('02_Данные'!AN169,CH169)</f>
        <v/>
      </c>
      <c r="CJ169" s="10">
        <f>CH169-CI169</f>
        <v/>
      </c>
      <c r="CK169" s="10">
        <f>MIN('02_Данные'!AM169,CJ169)</f>
        <v/>
      </c>
      <c r="CL169" s="10">
        <f>CJ169-CK169</f>
        <v/>
      </c>
      <c r="CM169" s="10">
        <f>MIN('02_Данные'!AO169,CL169)</f>
        <v/>
      </c>
      <c r="CN169" s="10">
        <f>CL169-CM169</f>
        <v/>
      </c>
      <c r="CO169" s="10">
        <f>MIN('02_Данные'!AP169,CN169)</f>
        <v/>
      </c>
      <c r="CP169" s="10">
        <f>CN169-CO169</f>
        <v/>
      </c>
      <c r="CQ169" s="10">
        <f>CP169+'02_Данные'!K169</f>
        <v/>
      </c>
      <c r="CR169" s="10">
        <f>MIN('02_Данные'!AR169,CQ169)</f>
        <v/>
      </c>
      <c r="CS169" s="10">
        <f>CQ169-CR169</f>
        <v/>
      </c>
      <c r="CT169" s="10">
        <f>MIN('02_Данные'!AS169,CS169)</f>
        <v/>
      </c>
      <c r="CU169" s="10">
        <f>CS169-CT169</f>
        <v/>
      </c>
      <c r="CV169" s="10">
        <f>MIN('02_Данные'!AT169,CU169)</f>
        <v/>
      </c>
      <c r="CW169" s="10">
        <f>CU169-CV169</f>
        <v/>
      </c>
      <c r="CX169" s="10">
        <f>MIN('02_Данные'!AY169,CW169)</f>
        <v/>
      </c>
      <c r="CY169" s="10">
        <f>CW169-CX169</f>
        <v/>
      </c>
      <c r="CZ169" s="10">
        <f>MIN('02_Данные'!AV169,CY169)</f>
        <v/>
      </c>
      <c r="DA169" s="10">
        <f>CY169-CZ169</f>
        <v/>
      </c>
      <c r="DB169" s="10">
        <f>MIN('02_Данные'!AU169,DA169)</f>
        <v/>
      </c>
      <c r="DC169" s="10">
        <f>DA169-DB169</f>
        <v/>
      </c>
      <c r="DD169" s="10">
        <f>MIN('02_Данные'!AW169,DC169)</f>
        <v/>
      </c>
      <c r="DE169" s="10">
        <f>DC169-DD169</f>
        <v/>
      </c>
      <c r="DF169" s="10">
        <f>MIN('02_Данные'!AX169,DE169)</f>
        <v/>
      </c>
      <c r="DG169" s="10">
        <f>DE169-DF169</f>
        <v/>
      </c>
    </row>
    <row r="170">
      <c r="A170" s="9">
        <f>'02_Данные'!B170</f>
        <v/>
      </c>
      <c r="B170" s="9">
        <f>'02_Данные'!E170</f>
        <v/>
      </c>
      <c r="C170" s="10">
        <f>'02_Данные'!F170+'02_Данные'!G170+'02_Данные'!H170+'02_Данные'!I170+'02_Данные'!J170+'02_Данные'!K170</f>
        <v/>
      </c>
      <c r="D170" s="10">
        <f>SUM('02_Данные'!L170:'02_Данные'!AY170)</f>
        <v/>
      </c>
      <c r="E170" s="10">
        <f>MAX(0,D170-C170)</f>
        <v/>
      </c>
      <c r="F170" s="15">
        <f>IF(E170&gt;0.0001,"ДЕФИЦИТ",IF(Y170&gt;0.0001,"ПРОФИЦИТ","БАЛАНС"))</f>
        <v/>
      </c>
      <c r="G170" s="10">
        <f>AB170+AS170+BJ170+CA170+CR170</f>
        <v/>
      </c>
      <c r="H170" s="10">
        <f>AD170+AU170+BL170+CC170+CT170</f>
        <v/>
      </c>
      <c r="I170" s="10">
        <f>AF170+AW170+BN170+CE170+CV170</f>
        <v/>
      </c>
      <c r="J170" s="10">
        <f>AL170+BC170+BT170+CK170+DB170</f>
        <v/>
      </c>
      <c r="K170" s="10">
        <f>AJ170+BA170+BR170+CI170+CZ170</f>
        <v/>
      </c>
      <c r="L170" s="10">
        <f>AN170+BE170+BV170+CM170+DD170</f>
        <v/>
      </c>
      <c r="M170" s="10">
        <f>AP170+BG170+BX170+CO170+DF170</f>
        <v/>
      </c>
      <c r="N170" s="10">
        <f>AH170+AY170+BP170+CG170+CX170</f>
        <v/>
      </c>
      <c r="O170" s="10">
        <f>SUM(G170:N170)</f>
        <v/>
      </c>
      <c r="P170" s="10">
        <f>IFERROR(G170*MIN(1,'01_Нормативы'!$C$4/SUM(G$2:G$429)),0)</f>
        <v/>
      </c>
      <c r="Q170" s="10">
        <f>IFERROR(H170*MIN(1,'01_Нормативы'!$C$5/SUM(H$2:H$429)),0)</f>
        <v/>
      </c>
      <c r="R170" s="10">
        <f>IFERROR(I170*MIN(1,'01_Нормативы'!$C$6/SUM(I$2:I$429)),0)</f>
        <v/>
      </c>
      <c r="S170" s="10">
        <f>IFERROR(J170*MIN(1,'01_Нормативы'!$C$7/SUM(J$2:J$429)),0)</f>
        <v/>
      </c>
      <c r="T170" s="10">
        <f>IFERROR(K170*MIN(1,'01_Нормативы'!$C$8/SUM(K$2:K$429)),0)</f>
        <v/>
      </c>
      <c r="U170" s="10">
        <f>IFERROR(L170*MIN(1,'01_Нормативы'!$C$9/SUM(L$2:L$429)),0)</f>
        <v/>
      </c>
      <c r="V170" s="10">
        <f>IFERROR(M170*MIN(1,'01_Нормативы'!$C$10/SUM(M$2:M$429)),0)</f>
        <v/>
      </c>
      <c r="W170" s="10">
        <f>IFERROR(N170*MIN(1,'01_Нормативы'!$C$11/SUM(N$2:N$429)),0)</f>
        <v/>
      </c>
      <c r="X170" s="10">
        <f>SUM(P170:W170)</f>
        <v/>
      </c>
      <c r="Y170" s="10">
        <f>MAX(0,C170-X170)</f>
        <v/>
      </c>
      <c r="Z170" s="10">
        <f>IF(D170=0,100,X170/D170*100)</f>
        <v/>
      </c>
      <c r="AA170" s="10">
        <f>'02_Данные'!F170+'02_Данные'!G170</f>
        <v/>
      </c>
      <c r="AB170" s="10">
        <f>MIN('02_Данные'!L170,AA170)</f>
        <v/>
      </c>
      <c r="AC170" s="10">
        <f>AA170-AB170</f>
        <v/>
      </c>
      <c r="AD170" s="10">
        <f>MIN('02_Данные'!M170,AC170)</f>
        <v/>
      </c>
      <c r="AE170" s="10">
        <f>AC170-AD170</f>
        <v/>
      </c>
      <c r="AF170" s="10">
        <f>MIN('02_Данные'!N170,AE170)</f>
        <v/>
      </c>
      <c r="AG170" s="10">
        <f>AE170-AF170</f>
        <v/>
      </c>
      <c r="AH170" s="10">
        <f>MIN('02_Данные'!S170,AG170)</f>
        <v/>
      </c>
      <c r="AI170" s="10">
        <f>AG170-AH170</f>
        <v/>
      </c>
      <c r="AJ170" s="10">
        <f>MIN('02_Данные'!P170,AI170)</f>
        <v/>
      </c>
      <c r="AK170" s="10">
        <f>AI170-AJ170</f>
        <v/>
      </c>
      <c r="AL170" s="10">
        <f>MIN('02_Данные'!O170,AK170)</f>
        <v/>
      </c>
      <c r="AM170" s="10">
        <f>AK170-AL170</f>
        <v/>
      </c>
      <c r="AN170" s="10">
        <f>MIN('02_Данные'!Q170,AM170)</f>
        <v/>
      </c>
      <c r="AO170" s="10">
        <f>AM170-AN170</f>
        <v/>
      </c>
      <c r="AP170" s="10">
        <f>MIN('02_Данные'!R170,AO170)</f>
        <v/>
      </c>
      <c r="AQ170" s="10">
        <f>AO170-AP170</f>
        <v/>
      </c>
      <c r="AR170" s="10">
        <f>AQ170+'02_Данные'!H170</f>
        <v/>
      </c>
      <c r="AS170" s="10">
        <f>MIN('02_Данные'!T170,AR170)</f>
        <v/>
      </c>
      <c r="AT170" s="10">
        <f>AR170-AS170</f>
        <v/>
      </c>
      <c r="AU170" s="10">
        <f>MIN('02_Данные'!U170,AT170)</f>
        <v/>
      </c>
      <c r="AV170" s="10">
        <f>AT170-AU170</f>
        <v/>
      </c>
      <c r="AW170" s="10">
        <f>MIN('02_Данные'!V170,AV170)</f>
        <v/>
      </c>
      <c r="AX170" s="10">
        <f>AV170-AW170</f>
        <v/>
      </c>
      <c r="AY170" s="10">
        <f>MIN('02_Данные'!AA170,AX170)</f>
        <v/>
      </c>
      <c r="AZ170" s="10">
        <f>AX170-AY170</f>
        <v/>
      </c>
      <c r="BA170" s="10">
        <f>MIN('02_Данные'!X170,AZ170)</f>
        <v/>
      </c>
      <c r="BB170" s="10">
        <f>AZ170-BA170</f>
        <v/>
      </c>
      <c r="BC170" s="10">
        <f>MIN('02_Данные'!W170,BB170)</f>
        <v/>
      </c>
      <c r="BD170" s="10">
        <f>BB170-BC170</f>
        <v/>
      </c>
      <c r="BE170" s="10">
        <f>MIN('02_Данные'!Y170,BD170)</f>
        <v/>
      </c>
      <c r="BF170" s="10">
        <f>BD170-BE170</f>
        <v/>
      </c>
      <c r="BG170" s="10">
        <f>MIN('02_Данные'!Z170,BF170)</f>
        <v/>
      </c>
      <c r="BH170" s="10">
        <f>BF170-BG170</f>
        <v/>
      </c>
      <c r="BI170" s="10">
        <f>BH170+'02_Данные'!I170</f>
        <v/>
      </c>
      <c r="BJ170" s="10">
        <f>MIN('02_Данные'!AB170,BI170)</f>
        <v/>
      </c>
      <c r="BK170" s="10">
        <f>BI170-BJ170</f>
        <v/>
      </c>
      <c r="BL170" s="10">
        <f>MIN('02_Данные'!AC170,BK170)</f>
        <v/>
      </c>
      <c r="BM170" s="10">
        <f>BK170-BL170</f>
        <v/>
      </c>
      <c r="BN170" s="10">
        <f>MIN('02_Данные'!AD170,BM170)</f>
        <v/>
      </c>
      <c r="BO170" s="10">
        <f>BM170-BN170</f>
        <v/>
      </c>
      <c r="BP170" s="10">
        <f>MIN('02_Данные'!AI170,BO170)</f>
        <v/>
      </c>
      <c r="BQ170" s="10">
        <f>BO170-BP170</f>
        <v/>
      </c>
      <c r="BR170" s="10">
        <f>MIN('02_Данные'!AF170,BQ170)</f>
        <v/>
      </c>
      <c r="BS170" s="10">
        <f>BQ170-BR170</f>
        <v/>
      </c>
      <c r="BT170" s="10">
        <f>MIN('02_Данные'!AE170,BS170)</f>
        <v/>
      </c>
      <c r="BU170" s="10">
        <f>BS170-BT170</f>
        <v/>
      </c>
      <c r="BV170" s="10">
        <f>MIN('02_Данные'!AG170,BU170)</f>
        <v/>
      </c>
      <c r="BW170" s="10">
        <f>BU170-BV170</f>
        <v/>
      </c>
      <c r="BX170" s="10">
        <f>MIN('02_Данные'!AH170,BW170)</f>
        <v/>
      </c>
      <c r="BY170" s="10">
        <f>BW170-BX170</f>
        <v/>
      </c>
      <c r="BZ170" s="10">
        <f>BY170+'02_Данные'!J170</f>
        <v/>
      </c>
      <c r="CA170" s="10">
        <f>MIN('02_Данные'!AJ170,BZ170)</f>
        <v/>
      </c>
      <c r="CB170" s="10">
        <f>BZ170-CA170</f>
        <v/>
      </c>
      <c r="CC170" s="10">
        <f>MIN('02_Данные'!AK170,CB170)</f>
        <v/>
      </c>
      <c r="CD170" s="10">
        <f>CB170-CC170</f>
        <v/>
      </c>
      <c r="CE170" s="10">
        <f>MIN('02_Данные'!AL170,CD170)</f>
        <v/>
      </c>
      <c r="CF170" s="10">
        <f>CD170-CE170</f>
        <v/>
      </c>
      <c r="CG170" s="10">
        <f>MIN('02_Данные'!AQ170,CF170)</f>
        <v/>
      </c>
      <c r="CH170" s="10">
        <f>CF170-CG170</f>
        <v/>
      </c>
      <c r="CI170" s="10">
        <f>MIN('02_Данные'!AN170,CH170)</f>
        <v/>
      </c>
      <c r="CJ170" s="10">
        <f>CH170-CI170</f>
        <v/>
      </c>
      <c r="CK170" s="10">
        <f>MIN('02_Данные'!AM170,CJ170)</f>
        <v/>
      </c>
      <c r="CL170" s="10">
        <f>CJ170-CK170</f>
        <v/>
      </c>
      <c r="CM170" s="10">
        <f>MIN('02_Данные'!AO170,CL170)</f>
        <v/>
      </c>
      <c r="CN170" s="10">
        <f>CL170-CM170</f>
        <v/>
      </c>
      <c r="CO170" s="10">
        <f>MIN('02_Данные'!AP170,CN170)</f>
        <v/>
      </c>
      <c r="CP170" s="10">
        <f>CN170-CO170</f>
        <v/>
      </c>
      <c r="CQ170" s="10">
        <f>CP170+'02_Данные'!K170</f>
        <v/>
      </c>
      <c r="CR170" s="10">
        <f>MIN('02_Данные'!AR170,CQ170)</f>
        <v/>
      </c>
      <c r="CS170" s="10">
        <f>CQ170-CR170</f>
        <v/>
      </c>
      <c r="CT170" s="10">
        <f>MIN('02_Данные'!AS170,CS170)</f>
        <v/>
      </c>
      <c r="CU170" s="10">
        <f>CS170-CT170</f>
        <v/>
      </c>
      <c r="CV170" s="10">
        <f>MIN('02_Данные'!AT170,CU170)</f>
        <v/>
      </c>
      <c r="CW170" s="10">
        <f>CU170-CV170</f>
        <v/>
      </c>
      <c r="CX170" s="10">
        <f>MIN('02_Данные'!AY170,CW170)</f>
        <v/>
      </c>
      <c r="CY170" s="10">
        <f>CW170-CX170</f>
        <v/>
      </c>
      <c r="CZ170" s="10">
        <f>MIN('02_Данные'!AV170,CY170)</f>
        <v/>
      </c>
      <c r="DA170" s="10">
        <f>CY170-CZ170</f>
        <v/>
      </c>
      <c r="DB170" s="10">
        <f>MIN('02_Данные'!AU170,DA170)</f>
        <v/>
      </c>
      <c r="DC170" s="10">
        <f>DA170-DB170</f>
        <v/>
      </c>
      <c r="DD170" s="10">
        <f>MIN('02_Данные'!AW170,DC170)</f>
        <v/>
      </c>
      <c r="DE170" s="10">
        <f>DC170-DD170</f>
        <v/>
      </c>
      <c r="DF170" s="10">
        <f>MIN('02_Данные'!AX170,DE170)</f>
        <v/>
      </c>
      <c r="DG170" s="10">
        <f>DE170-DF170</f>
        <v/>
      </c>
    </row>
    <row r="171">
      <c r="A171" s="9">
        <f>'02_Данные'!B171</f>
        <v/>
      </c>
      <c r="B171" s="9">
        <f>'02_Данные'!E171</f>
        <v/>
      </c>
      <c r="C171" s="10">
        <f>'02_Данные'!F171+'02_Данные'!G171+'02_Данные'!H171+'02_Данные'!I171+'02_Данные'!J171+'02_Данные'!K171</f>
        <v/>
      </c>
      <c r="D171" s="10">
        <f>SUM('02_Данные'!L171:'02_Данные'!AY171)</f>
        <v/>
      </c>
      <c r="E171" s="10">
        <f>MAX(0,D171-C171)</f>
        <v/>
      </c>
      <c r="F171" s="15">
        <f>IF(E171&gt;0.0001,"ДЕФИЦИТ",IF(Y171&gt;0.0001,"ПРОФИЦИТ","БАЛАНС"))</f>
        <v/>
      </c>
      <c r="G171" s="10">
        <f>AB171+AS171+BJ171+CA171+CR171</f>
        <v/>
      </c>
      <c r="H171" s="10">
        <f>AD171+AU171+BL171+CC171+CT171</f>
        <v/>
      </c>
      <c r="I171" s="10">
        <f>AF171+AW171+BN171+CE171+CV171</f>
        <v/>
      </c>
      <c r="J171" s="10">
        <f>AL171+BC171+BT171+CK171+DB171</f>
        <v/>
      </c>
      <c r="K171" s="10">
        <f>AJ171+BA171+BR171+CI171+CZ171</f>
        <v/>
      </c>
      <c r="L171" s="10">
        <f>AN171+BE171+BV171+CM171+DD171</f>
        <v/>
      </c>
      <c r="M171" s="10">
        <f>AP171+BG171+BX171+CO171+DF171</f>
        <v/>
      </c>
      <c r="N171" s="10">
        <f>AH171+AY171+BP171+CG171+CX171</f>
        <v/>
      </c>
      <c r="O171" s="10">
        <f>SUM(G171:N171)</f>
        <v/>
      </c>
      <c r="P171" s="10">
        <f>IFERROR(G171*MIN(1,'01_Нормативы'!$C$4/SUM(G$2:G$429)),0)</f>
        <v/>
      </c>
      <c r="Q171" s="10">
        <f>IFERROR(H171*MIN(1,'01_Нормативы'!$C$5/SUM(H$2:H$429)),0)</f>
        <v/>
      </c>
      <c r="R171" s="10">
        <f>IFERROR(I171*MIN(1,'01_Нормативы'!$C$6/SUM(I$2:I$429)),0)</f>
        <v/>
      </c>
      <c r="S171" s="10">
        <f>IFERROR(J171*MIN(1,'01_Нормативы'!$C$7/SUM(J$2:J$429)),0)</f>
        <v/>
      </c>
      <c r="T171" s="10">
        <f>IFERROR(K171*MIN(1,'01_Нормативы'!$C$8/SUM(K$2:K$429)),0)</f>
        <v/>
      </c>
      <c r="U171" s="10">
        <f>IFERROR(L171*MIN(1,'01_Нормативы'!$C$9/SUM(L$2:L$429)),0)</f>
        <v/>
      </c>
      <c r="V171" s="10">
        <f>IFERROR(M171*MIN(1,'01_Нормативы'!$C$10/SUM(M$2:M$429)),0)</f>
        <v/>
      </c>
      <c r="W171" s="10">
        <f>IFERROR(N171*MIN(1,'01_Нормативы'!$C$11/SUM(N$2:N$429)),0)</f>
        <v/>
      </c>
      <c r="X171" s="10">
        <f>SUM(P171:W171)</f>
        <v/>
      </c>
      <c r="Y171" s="10">
        <f>MAX(0,C171-X171)</f>
        <v/>
      </c>
      <c r="Z171" s="10">
        <f>IF(D171=0,100,X171/D171*100)</f>
        <v/>
      </c>
      <c r="AA171" s="10">
        <f>'02_Данные'!F171+'02_Данные'!G171</f>
        <v/>
      </c>
      <c r="AB171" s="10">
        <f>MIN('02_Данные'!L171,AA171)</f>
        <v/>
      </c>
      <c r="AC171" s="10">
        <f>AA171-AB171</f>
        <v/>
      </c>
      <c r="AD171" s="10">
        <f>MIN('02_Данные'!M171,AC171)</f>
        <v/>
      </c>
      <c r="AE171" s="10">
        <f>AC171-AD171</f>
        <v/>
      </c>
      <c r="AF171" s="10">
        <f>MIN('02_Данные'!N171,AE171)</f>
        <v/>
      </c>
      <c r="AG171" s="10">
        <f>AE171-AF171</f>
        <v/>
      </c>
      <c r="AH171" s="10">
        <f>MIN('02_Данные'!S171,AG171)</f>
        <v/>
      </c>
      <c r="AI171" s="10">
        <f>AG171-AH171</f>
        <v/>
      </c>
      <c r="AJ171" s="10">
        <f>MIN('02_Данные'!P171,AI171)</f>
        <v/>
      </c>
      <c r="AK171" s="10">
        <f>AI171-AJ171</f>
        <v/>
      </c>
      <c r="AL171" s="10">
        <f>MIN('02_Данные'!O171,AK171)</f>
        <v/>
      </c>
      <c r="AM171" s="10">
        <f>AK171-AL171</f>
        <v/>
      </c>
      <c r="AN171" s="10">
        <f>MIN('02_Данные'!Q171,AM171)</f>
        <v/>
      </c>
      <c r="AO171" s="10">
        <f>AM171-AN171</f>
        <v/>
      </c>
      <c r="AP171" s="10">
        <f>MIN('02_Данные'!R171,AO171)</f>
        <v/>
      </c>
      <c r="AQ171" s="10">
        <f>AO171-AP171</f>
        <v/>
      </c>
      <c r="AR171" s="10">
        <f>AQ171+'02_Данные'!H171</f>
        <v/>
      </c>
      <c r="AS171" s="10">
        <f>MIN('02_Данные'!T171,AR171)</f>
        <v/>
      </c>
      <c r="AT171" s="10">
        <f>AR171-AS171</f>
        <v/>
      </c>
      <c r="AU171" s="10">
        <f>MIN('02_Данные'!U171,AT171)</f>
        <v/>
      </c>
      <c r="AV171" s="10">
        <f>AT171-AU171</f>
        <v/>
      </c>
      <c r="AW171" s="10">
        <f>MIN('02_Данные'!V171,AV171)</f>
        <v/>
      </c>
      <c r="AX171" s="10">
        <f>AV171-AW171</f>
        <v/>
      </c>
      <c r="AY171" s="10">
        <f>MIN('02_Данные'!AA171,AX171)</f>
        <v/>
      </c>
      <c r="AZ171" s="10">
        <f>AX171-AY171</f>
        <v/>
      </c>
      <c r="BA171" s="10">
        <f>MIN('02_Данные'!X171,AZ171)</f>
        <v/>
      </c>
      <c r="BB171" s="10">
        <f>AZ171-BA171</f>
        <v/>
      </c>
      <c r="BC171" s="10">
        <f>MIN('02_Данные'!W171,BB171)</f>
        <v/>
      </c>
      <c r="BD171" s="10">
        <f>BB171-BC171</f>
        <v/>
      </c>
      <c r="BE171" s="10">
        <f>MIN('02_Данные'!Y171,BD171)</f>
        <v/>
      </c>
      <c r="BF171" s="10">
        <f>BD171-BE171</f>
        <v/>
      </c>
      <c r="BG171" s="10">
        <f>MIN('02_Данные'!Z171,BF171)</f>
        <v/>
      </c>
      <c r="BH171" s="10">
        <f>BF171-BG171</f>
        <v/>
      </c>
      <c r="BI171" s="10">
        <f>BH171+'02_Данные'!I171</f>
        <v/>
      </c>
      <c r="BJ171" s="10">
        <f>MIN('02_Данные'!AB171,BI171)</f>
        <v/>
      </c>
      <c r="BK171" s="10">
        <f>BI171-BJ171</f>
        <v/>
      </c>
      <c r="BL171" s="10">
        <f>MIN('02_Данные'!AC171,BK171)</f>
        <v/>
      </c>
      <c r="BM171" s="10">
        <f>BK171-BL171</f>
        <v/>
      </c>
      <c r="BN171" s="10">
        <f>MIN('02_Данные'!AD171,BM171)</f>
        <v/>
      </c>
      <c r="BO171" s="10">
        <f>BM171-BN171</f>
        <v/>
      </c>
      <c r="BP171" s="10">
        <f>MIN('02_Данные'!AI171,BO171)</f>
        <v/>
      </c>
      <c r="BQ171" s="10">
        <f>BO171-BP171</f>
        <v/>
      </c>
      <c r="BR171" s="10">
        <f>MIN('02_Данные'!AF171,BQ171)</f>
        <v/>
      </c>
      <c r="BS171" s="10">
        <f>BQ171-BR171</f>
        <v/>
      </c>
      <c r="BT171" s="10">
        <f>MIN('02_Данные'!AE171,BS171)</f>
        <v/>
      </c>
      <c r="BU171" s="10">
        <f>BS171-BT171</f>
        <v/>
      </c>
      <c r="BV171" s="10">
        <f>MIN('02_Данные'!AG171,BU171)</f>
        <v/>
      </c>
      <c r="BW171" s="10">
        <f>BU171-BV171</f>
        <v/>
      </c>
      <c r="BX171" s="10">
        <f>MIN('02_Данные'!AH171,BW171)</f>
        <v/>
      </c>
      <c r="BY171" s="10">
        <f>BW171-BX171</f>
        <v/>
      </c>
      <c r="BZ171" s="10">
        <f>BY171+'02_Данные'!J171</f>
        <v/>
      </c>
      <c r="CA171" s="10">
        <f>MIN('02_Данные'!AJ171,BZ171)</f>
        <v/>
      </c>
      <c r="CB171" s="10">
        <f>BZ171-CA171</f>
        <v/>
      </c>
      <c r="CC171" s="10">
        <f>MIN('02_Данные'!AK171,CB171)</f>
        <v/>
      </c>
      <c r="CD171" s="10">
        <f>CB171-CC171</f>
        <v/>
      </c>
      <c r="CE171" s="10">
        <f>MIN('02_Данные'!AL171,CD171)</f>
        <v/>
      </c>
      <c r="CF171" s="10">
        <f>CD171-CE171</f>
        <v/>
      </c>
      <c r="CG171" s="10">
        <f>MIN('02_Данные'!AQ171,CF171)</f>
        <v/>
      </c>
      <c r="CH171" s="10">
        <f>CF171-CG171</f>
        <v/>
      </c>
      <c r="CI171" s="10">
        <f>MIN('02_Данные'!AN171,CH171)</f>
        <v/>
      </c>
      <c r="CJ171" s="10">
        <f>CH171-CI171</f>
        <v/>
      </c>
      <c r="CK171" s="10">
        <f>MIN('02_Данные'!AM171,CJ171)</f>
        <v/>
      </c>
      <c r="CL171" s="10">
        <f>CJ171-CK171</f>
        <v/>
      </c>
      <c r="CM171" s="10">
        <f>MIN('02_Данные'!AO171,CL171)</f>
        <v/>
      </c>
      <c r="CN171" s="10">
        <f>CL171-CM171</f>
        <v/>
      </c>
      <c r="CO171" s="10">
        <f>MIN('02_Данные'!AP171,CN171)</f>
        <v/>
      </c>
      <c r="CP171" s="10">
        <f>CN171-CO171</f>
        <v/>
      </c>
      <c r="CQ171" s="10">
        <f>CP171+'02_Данные'!K171</f>
        <v/>
      </c>
      <c r="CR171" s="10">
        <f>MIN('02_Данные'!AR171,CQ171)</f>
        <v/>
      </c>
      <c r="CS171" s="10">
        <f>CQ171-CR171</f>
        <v/>
      </c>
      <c r="CT171" s="10">
        <f>MIN('02_Данные'!AS171,CS171)</f>
        <v/>
      </c>
      <c r="CU171" s="10">
        <f>CS171-CT171</f>
        <v/>
      </c>
      <c r="CV171" s="10">
        <f>MIN('02_Данные'!AT171,CU171)</f>
        <v/>
      </c>
      <c r="CW171" s="10">
        <f>CU171-CV171</f>
        <v/>
      </c>
      <c r="CX171" s="10">
        <f>MIN('02_Данные'!AY171,CW171)</f>
        <v/>
      </c>
      <c r="CY171" s="10">
        <f>CW171-CX171</f>
        <v/>
      </c>
      <c r="CZ171" s="10">
        <f>MIN('02_Данные'!AV171,CY171)</f>
        <v/>
      </c>
      <c r="DA171" s="10">
        <f>CY171-CZ171</f>
        <v/>
      </c>
      <c r="DB171" s="10">
        <f>MIN('02_Данные'!AU171,DA171)</f>
        <v/>
      </c>
      <c r="DC171" s="10">
        <f>DA171-DB171</f>
        <v/>
      </c>
      <c r="DD171" s="10">
        <f>MIN('02_Данные'!AW171,DC171)</f>
        <v/>
      </c>
      <c r="DE171" s="10">
        <f>DC171-DD171</f>
        <v/>
      </c>
      <c r="DF171" s="10">
        <f>MIN('02_Данные'!AX171,DE171)</f>
        <v/>
      </c>
      <c r="DG171" s="10">
        <f>DE171-DF171</f>
        <v/>
      </c>
    </row>
    <row r="172">
      <c r="A172" s="9">
        <f>'02_Данные'!B172</f>
        <v/>
      </c>
      <c r="B172" s="9">
        <f>'02_Данные'!E172</f>
        <v/>
      </c>
      <c r="C172" s="10">
        <f>'02_Данные'!F172+'02_Данные'!G172+'02_Данные'!H172+'02_Данные'!I172+'02_Данные'!J172+'02_Данные'!K172</f>
        <v/>
      </c>
      <c r="D172" s="10">
        <f>SUM('02_Данные'!L172:'02_Данные'!AY172)</f>
        <v/>
      </c>
      <c r="E172" s="10">
        <f>MAX(0,D172-C172)</f>
        <v/>
      </c>
      <c r="F172" s="15">
        <f>IF(E172&gt;0.0001,"ДЕФИЦИТ",IF(Y172&gt;0.0001,"ПРОФИЦИТ","БАЛАНС"))</f>
        <v/>
      </c>
      <c r="G172" s="10">
        <f>AB172+AS172+BJ172+CA172+CR172</f>
        <v/>
      </c>
      <c r="H172" s="10">
        <f>AD172+AU172+BL172+CC172+CT172</f>
        <v/>
      </c>
      <c r="I172" s="10">
        <f>AF172+AW172+BN172+CE172+CV172</f>
        <v/>
      </c>
      <c r="J172" s="10">
        <f>AL172+BC172+BT172+CK172+DB172</f>
        <v/>
      </c>
      <c r="K172" s="10">
        <f>AJ172+BA172+BR172+CI172+CZ172</f>
        <v/>
      </c>
      <c r="L172" s="10">
        <f>AN172+BE172+BV172+CM172+DD172</f>
        <v/>
      </c>
      <c r="M172" s="10">
        <f>AP172+BG172+BX172+CO172+DF172</f>
        <v/>
      </c>
      <c r="N172" s="10">
        <f>AH172+AY172+BP172+CG172+CX172</f>
        <v/>
      </c>
      <c r="O172" s="10">
        <f>SUM(G172:N172)</f>
        <v/>
      </c>
      <c r="P172" s="10">
        <f>IFERROR(G172*MIN(1,'01_Нормативы'!$C$4/SUM(G$2:G$429)),0)</f>
        <v/>
      </c>
      <c r="Q172" s="10">
        <f>IFERROR(H172*MIN(1,'01_Нормативы'!$C$5/SUM(H$2:H$429)),0)</f>
        <v/>
      </c>
      <c r="R172" s="10">
        <f>IFERROR(I172*MIN(1,'01_Нормативы'!$C$6/SUM(I$2:I$429)),0)</f>
        <v/>
      </c>
      <c r="S172" s="10">
        <f>IFERROR(J172*MIN(1,'01_Нормативы'!$C$7/SUM(J$2:J$429)),0)</f>
        <v/>
      </c>
      <c r="T172" s="10">
        <f>IFERROR(K172*MIN(1,'01_Нормативы'!$C$8/SUM(K$2:K$429)),0)</f>
        <v/>
      </c>
      <c r="U172" s="10">
        <f>IFERROR(L172*MIN(1,'01_Нормативы'!$C$9/SUM(L$2:L$429)),0)</f>
        <v/>
      </c>
      <c r="V172" s="10">
        <f>IFERROR(M172*MIN(1,'01_Нормативы'!$C$10/SUM(M$2:M$429)),0)</f>
        <v/>
      </c>
      <c r="W172" s="10">
        <f>IFERROR(N172*MIN(1,'01_Нормативы'!$C$11/SUM(N$2:N$429)),0)</f>
        <v/>
      </c>
      <c r="X172" s="10">
        <f>SUM(P172:W172)</f>
        <v/>
      </c>
      <c r="Y172" s="10">
        <f>MAX(0,C172-X172)</f>
        <v/>
      </c>
      <c r="Z172" s="10">
        <f>IF(D172=0,100,X172/D172*100)</f>
        <v/>
      </c>
      <c r="AA172" s="10">
        <f>'02_Данные'!F172+'02_Данные'!G172</f>
        <v/>
      </c>
      <c r="AB172" s="10">
        <f>MIN('02_Данные'!L172,AA172)</f>
        <v/>
      </c>
      <c r="AC172" s="10">
        <f>AA172-AB172</f>
        <v/>
      </c>
      <c r="AD172" s="10">
        <f>MIN('02_Данные'!M172,AC172)</f>
        <v/>
      </c>
      <c r="AE172" s="10">
        <f>AC172-AD172</f>
        <v/>
      </c>
      <c r="AF172" s="10">
        <f>MIN('02_Данные'!N172,AE172)</f>
        <v/>
      </c>
      <c r="AG172" s="10">
        <f>AE172-AF172</f>
        <v/>
      </c>
      <c r="AH172" s="10">
        <f>MIN('02_Данные'!S172,AG172)</f>
        <v/>
      </c>
      <c r="AI172" s="10">
        <f>AG172-AH172</f>
        <v/>
      </c>
      <c r="AJ172" s="10">
        <f>MIN('02_Данные'!P172,AI172)</f>
        <v/>
      </c>
      <c r="AK172" s="10">
        <f>AI172-AJ172</f>
        <v/>
      </c>
      <c r="AL172" s="10">
        <f>MIN('02_Данные'!O172,AK172)</f>
        <v/>
      </c>
      <c r="AM172" s="10">
        <f>AK172-AL172</f>
        <v/>
      </c>
      <c r="AN172" s="10">
        <f>MIN('02_Данные'!Q172,AM172)</f>
        <v/>
      </c>
      <c r="AO172" s="10">
        <f>AM172-AN172</f>
        <v/>
      </c>
      <c r="AP172" s="10">
        <f>MIN('02_Данные'!R172,AO172)</f>
        <v/>
      </c>
      <c r="AQ172" s="10">
        <f>AO172-AP172</f>
        <v/>
      </c>
      <c r="AR172" s="10">
        <f>AQ172+'02_Данные'!H172</f>
        <v/>
      </c>
      <c r="AS172" s="10">
        <f>MIN('02_Данные'!T172,AR172)</f>
        <v/>
      </c>
      <c r="AT172" s="10">
        <f>AR172-AS172</f>
        <v/>
      </c>
      <c r="AU172" s="10">
        <f>MIN('02_Данные'!U172,AT172)</f>
        <v/>
      </c>
      <c r="AV172" s="10">
        <f>AT172-AU172</f>
        <v/>
      </c>
      <c r="AW172" s="10">
        <f>MIN('02_Данные'!V172,AV172)</f>
        <v/>
      </c>
      <c r="AX172" s="10">
        <f>AV172-AW172</f>
        <v/>
      </c>
      <c r="AY172" s="10">
        <f>MIN('02_Данные'!AA172,AX172)</f>
        <v/>
      </c>
      <c r="AZ172" s="10">
        <f>AX172-AY172</f>
        <v/>
      </c>
      <c r="BA172" s="10">
        <f>MIN('02_Данные'!X172,AZ172)</f>
        <v/>
      </c>
      <c r="BB172" s="10">
        <f>AZ172-BA172</f>
        <v/>
      </c>
      <c r="BC172" s="10">
        <f>MIN('02_Данные'!W172,BB172)</f>
        <v/>
      </c>
      <c r="BD172" s="10">
        <f>BB172-BC172</f>
        <v/>
      </c>
      <c r="BE172" s="10">
        <f>MIN('02_Данные'!Y172,BD172)</f>
        <v/>
      </c>
      <c r="BF172" s="10">
        <f>BD172-BE172</f>
        <v/>
      </c>
      <c r="BG172" s="10">
        <f>MIN('02_Данные'!Z172,BF172)</f>
        <v/>
      </c>
      <c r="BH172" s="10">
        <f>BF172-BG172</f>
        <v/>
      </c>
      <c r="BI172" s="10">
        <f>BH172+'02_Данные'!I172</f>
        <v/>
      </c>
      <c r="BJ172" s="10">
        <f>MIN('02_Данные'!AB172,BI172)</f>
        <v/>
      </c>
      <c r="BK172" s="10">
        <f>BI172-BJ172</f>
        <v/>
      </c>
      <c r="BL172" s="10">
        <f>MIN('02_Данные'!AC172,BK172)</f>
        <v/>
      </c>
      <c r="BM172" s="10">
        <f>BK172-BL172</f>
        <v/>
      </c>
      <c r="BN172" s="10">
        <f>MIN('02_Данные'!AD172,BM172)</f>
        <v/>
      </c>
      <c r="BO172" s="10">
        <f>BM172-BN172</f>
        <v/>
      </c>
      <c r="BP172" s="10">
        <f>MIN('02_Данные'!AI172,BO172)</f>
        <v/>
      </c>
      <c r="BQ172" s="10">
        <f>BO172-BP172</f>
        <v/>
      </c>
      <c r="BR172" s="10">
        <f>MIN('02_Данные'!AF172,BQ172)</f>
        <v/>
      </c>
      <c r="BS172" s="10">
        <f>BQ172-BR172</f>
        <v/>
      </c>
      <c r="BT172" s="10">
        <f>MIN('02_Данные'!AE172,BS172)</f>
        <v/>
      </c>
      <c r="BU172" s="10">
        <f>BS172-BT172</f>
        <v/>
      </c>
      <c r="BV172" s="10">
        <f>MIN('02_Данные'!AG172,BU172)</f>
        <v/>
      </c>
      <c r="BW172" s="10">
        <f>BU172-BV172</f>
        <v/>
      </c>
      <c r="BX172" s="10">
        <f>MIN('02_Данные'!AH172,BW172)</f>
        <v/>
      </c>
      <c r="BY172" s="10">
        <f>BW172-BX172</f>
        <v/>
      </c>
      <c r="BZ172" s="10">
        <f>BY172+'02_Данные'!J172</f>
        <v/>
      </c>
      <c r="CA172" s="10">
        <f>MIN('02_Данные'!AJ172,BZ172)</f>
        <v/>
      </c>
      <c r="CB172" s="10">
        <f>BZ172-CA172</f>
        <v/>
      </c>
      <c r="CC172" s="10">
        <f>MIN('02_Данные'!AK172,CB172)</f>
        <v/>
      </c>
      <c r="CD172" s="10">
        <f>CB172-CC172</f>
        <v/>
      </c>
      <c r="CE172" s="10">
        <f>MIN('02_Данные'!AL172,CD172)</f>
        <v/>
      </c>
      <c r="CF172" s="10">
        <f>CD172-CE172</f>
        <v/>
      </c>
      <c r="CG172" s="10">
        <f>MIN('02_Данные'!AQ172,CF172)</f>
        <v/>
      </c>
      <c r="CH172" s="10">
        <f>CF172-CG172</f>
        <v/>
      </c>
      <c r="CI172" s="10">
        <f>MIN('02_Данные'!AN172,CH172)</f>
        <v/>
      </c>
      <c r="CJ172" s="10">
        <f>CH172-CI172</f>
        <v/>
      </c>
      <c r="CK172" s="10">
        <f>MIN('02_Данные'!AM172,CJ172)</f>
        <v/>
      </c>
      <c r="CL172" s="10">
        <f>CJ172-CK172</f>
        <v/>
      </c>
      <c r="CM172" s="10">
        <f>MIN('02_Данные'!AO172,CL172)</f>
        <v/>
      </c>
      <c r="CN172" s="10">
        <f>CL172-CM172</f>
        <v/>
      </c>
      <c r="CO172" s="10">
        <f>MIN('02_Данные'!AP172,CN172)</f>
        <v/>
      </c>
      <c r="CP172" s="10">
        <f>CN172-CO172</f>
        <v/>
      </c>
      <c r="CQ172" s="10">
        <f>CP172+'02_Данные'!K172</f>
        <v/>
      </c>
      <c r="CR172" s="10">
        <f>MIN('02_Данные'!AR172,CQ172)</f>
        <v/>
      </c>
      <c r="CS172" s="10">
        <f>CQ172-CR172</f>
        <v/>
      </c>
      <c r="CT172" s="10">
        <f>MIN('02_Данные'!AS172,CS172)</f>
        <v/>
      </c>
      <c r="CU172" s="10">
        <f>CS172-CT172</f>
        <v/>
      </c>
      <c r="CV172" s="10">
        <f>MIN('02_Данные'!AT172,CU172)</f>
        <v/>
      </c>
      <c r="CW172" s="10">
        <f>CU172-CV172</f>
        <v/>
      </c>
      <c r="CX172" s="10">
        <f>MIN('02_Данные'!AY172,CW172)</f>
        <v/>
      </c>
      <c r="CY172" s="10">
        <f>CW172-CX172</f>
        <v/>
      </c>
      <c r="CZ172" s="10">
        <f>MIN('02_Данные'!AV172,CY172)</f>
        <v/>
      </c>
      <c r="DA172" s="10">
        <f>CY172-CZ172</f>
        <v/>
      </c>
      <c r="DB172" s="10">
        <f>MIN('02_Данные'!AU172,DA172)</f>
        <v/>
      </c>
      <c r="DC172" s="10">
        <f>DA172-DB172</f>
        <v/>
      </c>
      <c r="DD172" s="10">
        <f>MIN('02_Данные'!AW172,DC172)</f>
        <v/>
      </c>
      <c r="DE172" s="10">
        <f>DC172-DD172</f>
        <v/>
      </c>
      <c r="DF172" s="10">
        <f>MIN('02_Данные'!AX172,DE172)</f>
        <v/>
      </c>
      <c r="DG172" s="10">
        <f>DE172-DF172</f>
        <v/>
      </c>
    </row>
    <row r="173">
      <c r="A173" s="9">
        <f>'02_Данные'!B173</f>
        <v/>
      </c>
      <c r="B173" s="9">
        <f>'02_Данные'!E173</f>
        <v/>
      </c>
      <c r="C173" s="10">
        <f>'02_Данные'!F173+'02_Данные'!G173+'02_Данные'!H173+'02_Данные'!I173+'02_Данные'!J173+'02_Данные'!K173</f>
        <v/>
      </c>
      <c r="D173" s="10">
        <f>SUM('02_Данные'!L173:'02_Данные'!AY173)</f>
        <v/>
      </c>
      <c r="E173" s="10">
        <f>MAX(0,D173-C173)</f>
        <v/>
      </c>
      <c r="F173" s="15">
        <f>IF(E173&gt;0.0001,"ДЕФИЦИТ",IF(Y173&gt;0.0001,"ПРОФИЦИТ","БАЛАНС"))</f>
        <v/>
      </c>
      <c r="G173" s="10">
        <f>AB173+AS173+BJ173+CA173+CR173</f>
        <v/>
      </c>
      <c r="H173" s="10">
        <f>AD173+AU173+BL173+CC173+CT173</f>
        <v/>
      </c>
      <c r="I173" s="10">
        <f>AF173+AW173+BN173+CE173+CV173</f>
        <v/>
      </c>
      <c r="J173" s="10">
        <f>AL173+BC173+BT173+CK173+DB173</f>
        <v/>
      </c>
      <c r="K173" s="10">
        <f>AJ173+BA173+BR173+CI173+CZ173</f>
        <v/>
      </c>
      <c r="L173" s="10">
        <f>AN173+BE173+BV173+CM173+DD173</f>
        <v/>
      </c>
      <c r="M173" s="10">
        <f>AP173+BG173+BX173+CO173+DF173</f>
        <v/>
      </c>
      <c r="N173" s="10">
        <f>AH173+AY173+BP173+CG173+CX173</f>
        <v/>
      </c>
      <c r="O173" s="10">
        <f>SUM(G173:N173)</f>
        <v/>
      </c>
      <c r="P173" s="10">
        <f>IFERROR(G173*MIN(1,'01_Нормативы'!$C$4/SUM(G$2:G$429)),0)</f>
        <v/>
      </c>
      <c r="Q173" s="10">
        <f>IFERROR(H173*MIN(1,'01_Нормативы'!$C$5/SUM(H$2:H$429)),0)</f>
        <v/>
      </c>
      <c r="R173" s="10">
        <f>IFERROR(I173*MIN(1,'01_Нормативы'!$C$6/SUM(I$2:I$429)),0)</f>
        <v/>
      </c>
      <c r="S173" s="10">
        <f>IFERROR(J173*MIN(1,'01_Нормативы'!$C$7/SUM(J$2:J$429)),0)</f>
        <v/>
      </c>
      <c r="T173" s="10">
        <f>IFERROR(K173*MIN(1,'01_Нормативы'!$C$8/SUM(K$2:K$429)),0)</f>
        <v/>
      </c>
      <c r="U173" s="10">
        <f>IFERROR(L173*MIN(1,'01_Нормативы'!$C$9/SUM(L$2:L$429)),0)</f>
        <v/>
      </c>
      <c r="V173" s="10">
        <f>IFERROR(M173*MIN(1,'01_Нормативы'!$C$10/SUM(M$2:M$429)),0)</f>
        <v/>
      </c>
      <c r="W173" s="10">
        <f>IFERROR(N173*MIN(1,'01_Нормативы'!$C$11/SUM(N$2:N$429)),0)</f>
        <v/>
      </c>
      <c r="X173" s="10">
        <f>SUM(P173:W173)</f>
        <v/>
      </c>
      <c r="Y173" s="10">
        <f>MAX(0,C173-X173)</f>
        <v/>
      </c>
      <c r="Z173" s="10">
        <f>IF(D173=0,100,X173/D173*100)</f>
        <v/>
      </c>
      <c r="AA173" s="10">
        <f>'02_Данные'!F173+'02_Данные'!G173</f>
        <v/>
      </c>
      <c r="AB173" s="10">
        <f>MIN('02_Данные'!L173,AA173)</f>
        <v/>
      </c>
      <c r="AC173" s="10">
        <f>AA173-AB173</f>
        <v/>
      </c>
      <c r="AD173" s="10">
        <f>MIN('02_Данные'!M173,AC173)</f>
        <v/>
      </c>
      <c r="AE173" s="10">
        <f>AC173-AD173</f>
        <v/>
      </c>
      <c r="AF173" s="10">
        <f>MIN('02_Данные'!N173,AE173)</f>
        <v/>
      </c>
      <c r="AG173" s="10">
        <f>AE173-AF173</f>
        <v/>
      </c>
      <c r="AH173" s="10">
        <f>MIN('02_Данные'!S173,AG173)</f>
        <v/>
      </c>
      <c r="AI173" s="10">
        <f>AG173-AH173</f>
        <v/>
      </c>
      <c r="AJ173" s="10">
        <f>MIN('02_Данные'!P173,AI173)</f>
        <v/>
      </c>
      <c r="AK173" s="10">
        <f>AI173-AJ173</f>
        <v/>
      </c>
      <c r="AL173" s="10">
        <f>MIN('02_Данные'!O173,AK173)</f>
        <v/>
      </c>
      <c r="AM173" s="10">
        <f>AK173-AL173</f>
        <v/>
      </c>
      <c r="AN173" s="10">
        <f>MIN('02_Данные'!Q173,AM173)</f>
        <v/>
      </c>
      <c r="AO173" s="10">
        <f>AM173-AN173</f>
        <v/>
      </c>
      <c r="AP173" s="10">
        <f>MIN('02_Данные'!R173,AO173)</f>
        <v/>
      </c>
      <c r="AQ173" s="10">
        <f>AO173-AP173</f>
        <v/>
      </c>
      <c r="AR173" s="10">
        <f>AQ173+'02_Данные'!H173</f>
        <v/>
      </c>
      <c r="AS173" s="10">
        <f>MIN('02_Данные'!T173,AR173)</f>
        <v/>
      </c>
      <c r="AT173" s="10">
        <f>AR173-AS173</f>
        <v/>
      </c>
      <c r="AU173" s="10">
        <f>MIN('02_Данные'!U173,AT173)</f>
        <v/>
      </c>
      <c r="AV173" s="10">
        <f>AT173-AU173</f>
        <v/>
      </c>
      <c r="AW173" s="10">
        <f>MIN('02_Данные'!V173,AV173)</f>
        <v/>
      </c>
      <c r="AX173" s="10">
        <f>AV173-AW173</f>
        <v/>
      </c>
      <c r="AY173" s="10">
        <f>MIN('02_Данные'!AA173,AX173)</f>
        <v/>
      </c>
      <c r="AZ173" s="10">
        <f>AX173-AY173</f>
        <v/>
      </c>
      <c r="BA173" s="10">
        <f>MIN('02_Данные'!X173,AZ173)</f>
        <v/>
      </c>
      <c r="BB173" s="10">
        <f>AZ173-BA173</f>
        <v/>
      </c>
      <c r="BC173" s="10">
        <f>MIN('02_Данные'!W173,BB173)</f>
        <v/>
      </c>
      <c r="BD173" s="10">
        <f>BB173-BC173</f>
        <v/>
      </c>
      <c r="BE173" s="10">
        <f>MIN('02_Данные'!Y173,BD173)</f>
        <v/>
      </c>
      <c r="BF173" s="10">
        <f>BD173-BE173</f>
        <v/>
      </c>
      <c r="BG173" s="10">
        <f>MIN('02_Данные'!Z173,BF173)</f>
        <v/>
      </c>
      <c r="BH173" s="10">
        <f>BF173-BG173</f>
        <v/>
      </c>
      <c r="BI173" s="10">
        <f>BH173+'02_Данные'!I173</f>
        <v/>
      </c>
      <c r="BJ173" s="10">
        <f>MIN('02_Данные'!AB173,BI173)</f>
        <v/>
      </c>
      <c r="BK173" s="10">
        <f>BI173-BJ173</f>
        <v/>
      </c>
      <c r="BL173" s="10">
        <f>MIN('02_Данные'!AC173,BK173)</f>
        <v/>
      </c>
      <c r="BM173" s="10">
        <f>BK173-BL173</f>
        <v/>
      </c>
      <c r="BN173" s="10">
        <f>MIN('02_Данные'!AD173,BM173)</f>
        <v/>
      </c>
      <c r="BO173" s="10">
        <f>BM173-BN173</f>
        <v/>
      </c>
      <c r="BP173" s="10">
        <f>MIN('02_Данные'!AI173,BO173)</f>
        <v/>
      </c>
      <c r="BQ173" s="10">
        <f>BO173-BP173</f>
        <v/>
      </c>
      <c r="BR173" s="10">
        <f>MIN('02_Данные'!AF173,BQ173)</f>
        <v/>
      </c>
      <c r="BS173" s="10">
        <f>BQ173-BR173</f>
        <v/>
      </c>
      <c r="BT173" s="10">
        <f>MIN('02_Данные'!AE173,BS173)</f>
        <v/>
      </c>
      <c r="BU173" s="10">
        <f>BS173-BT173</f>
        <v/>
      </c>
      <c r="BV173" s="10">
        <f>MIN('02_Данные'!AG173,BU173)</f>
        <v/>
      </c>
      <c r="BW173" s="10">
        <f>BU173-BV173</f>
        <v/>
      </c>
      <c r="BX173" s="10">
        <f>MIN('02_Данные'!AH173,BW173)</f>
        <v/>
      </c>
      <c r="BY173" s="10">
        <f>BW173-BX173</f>
        <v/>
      </c>
      <c r="BZ173" s="10">
        <f>BY173+'02_Данные'!J173</f>
        <v/>
      </c>
      <c r="CA173" s="10">
        <f>MIN('02_Данные'!AJ173,BZ173)</f>
        <v/>
      </c>
      <c r="CB173" s="10">
        <f>BZ173-CA173</f>
        <v/>
      </c>
      <c r="CC173" s="10">
        <f>MIN('02_Данные'!AK173,CB173)</f>
        <v/>
      </c>
      <c r="CD173" s="10">
        <f>CB173-CC173</f>
        <v/>
      </c>
      <c r="CE173" s="10">
        <f>MIN('02_Данные'!AL173,CD173)</f>
        <v/>
      </c>
      <c r="CF173" s="10">
        <f>CD173-CE173</f>
        <v/>
      </c>
      <c r="CG173" s="10">
        <f>MIN('02_Данные'!AQ173,CF173)</f>
        <v/>
      </c>
      <c r="CH173" s="10">
        <f>CF173-CG173</f>
        <v/>
      </c>
      <c r="CI173" s="10">
        <f>MIN('02_Данные'!AN173,CH173)</f>
        <v/>
      </c>
      <c r="CJ173" s="10">
        <f>CH173-CI173</f>
        <v/>
      </c>
      <c r="CK173" s="10">
        <f>MIN('02_Данные'!AM173,CJ173)</f>
        <v/>
      </c>
      <c r="CL173" s="10">
        <f>CJ173-CK173</f>
        <v/>
      </c>
      <c r="CM173" s="10">
        <f>MIN('02_Данные'!AO173,CL173)</f>
        <v/>
      </c>
      <c r="CN173" s="10">
        <f>CL173-CM173</f>
        <v/>
      </c>
      <c r="CO173" s="10">
        <f>MIN('02_Данные'!AP173,CN173)</f>
        <v/>
      </c>
      <c r="CP173" s="10">
        <f>CN173-CO173</f>
        <v/>
      </c>
      <c r="CQ173" s="10">
        <f>CP173+'02_Данные'!K173</f>
        <v/>
      </c>
      <c r="CR173" s="10">
        <f>MIN('02_Данные'!AR173,CQ173)</f>
        <v/>
      </c>
      <c r="CS173" s="10">
        <f>CQ173-CR173</f>
        <v/>
      </c>
      <c r="CT173" s="10">
        <f>MIN('02_Данные'!AS173,CS173)</f>
        <v/>
      </c>
      <c r="CU173" s="10">
        <f>CS173-CT173</f>
        <v/>
      </c>
      <c r="CV173" s="10">
        <f>MIN('02_Данные'!AT173,CU173)</f>
        <v/>
      </c>
      <c r="CW173" s="10">
        <f>CU173-CV173</f>
        <v/>
      </c>
      <c r="CX173" s="10">
        <f>MIN('02_Данные'!AY173,CW173)</f>
        <v/>
      </c>
      <c r="CY173" s="10">
        <f>CW173-CX173</f>
        <v/>
      </c>
      <c r="CZ173" s="10">
        <f>MIN('02_Данные'!AV173,CY173)</f>
        <v/>
      </c>
      <c r="DA173" s="10">
        <f>CY173-CZ173</f>
        <v/>
      </c>
      <c r="DB173" s="10">
        <f>MIN('02_Данные'!AU173,DA173)</f>
        <v/>
      </c>
      <c r="DC173" s="10">
        <f>DA173-DB173</f>
        <v/>
      </c>
      <c r="DD173" s="10">
        <f>MIN('02_Данные'!AW173,DC173)</f>
        <v/>
      </c>
      <c r="DE173" s="10">
        <f>DC173-DD173</f>
        <v/>
      </c>
      <c r="DF173" s="10">
        <f>MIN('02_Данные'!AX173,DE173)</f>
        <v/>
      </c>
      <c r="DG173" s="10">
        <f>DE173-DF173</f>
        <v/>
      </c>
    </row>
    <row r="174">
      <c r="A174" s="9">
        <f>'02_Данные'!B174</f>
        <v/>
      </c>
      <c r="B174" s="9">
        <f>'02_Данные'!E174</f>
        <v/>
      </c>
      <c r="C174" s="10">
        <f>'02_Данные'!F174+'02_Данные'!G174+'02_Данные'!H174+'02_Данные'!I174+'02_Данные'!J174+'02_Данные'!K174</f>
        <v/>
      </c>
      <c r="D174" s="10">
        <f>SUM('02_Данные'!L174:'02_Данные'!AY174)</f>
        <v/>
      </c>
      <c r="E174" s="10">
        <f>MAX(0,D174-C174)</f>
        <v/>
      </c>
      <c r="F174" s="15">
        <f>IF(E174&gt;0.0001,"ДЕФИЦИТ",IF(Y174&gt;0.0001,"ПРОФИЦИТ","БАЛАНС"))</f>
        <v/>
      </c>
      <c r="G174" s="10">
        <f>AB174+AS174+BJ174+CA174+CR174</f>
        <v/>
      </c>
      <c r="H174" s="10">
        <f>AD174+AU174+BL174+CC174+CT174</f>
        <v/>
      </c>
      <c r="I174" s="10">
        <f>AF174+AW174+BN174+CE174+CV174</f>
        <v/>
      </c>
      <c r="J174" s="10">
        <f>AL174+BC174+BT174+CK174+DB174</f>
        <v/>
      </c>
      <c r="K174" s="10">
        <f>AJ174+BA174+BR174+CI174+CZ174</f>
        <v/>
      </c>
      <c r="L174" s="10">
        <f>AN174+BE174+BV174+CM174+DD174</f>
        <v/>
      </c>
      <c r="M174" s="10">
        <f>AP174+BG174+BX174+CO174+DF174</f>
        <v/>
      </c>
      <c r="N174" s="10">
        <f>AH174+AY174+BP174+CG174+CX174</f>
        <v/>
      </c>
      <c r="O174" s="10">
        <f>SUM(G174:N174)</f>
        <v/>
      </c>
      <c r="P174" s="10">
        <f>IFERROR(G174*MIN(1,'01_Нормативы'!$C$4/SUM(G$2:G$429)),0)</f>
        <v/>
      </c>
      <c r="Q174" s="10">
        <f>IFERROR(H174*MIN(1,'01_Нормативы'!$C$5/SUM(H$2:H$429)),0)</f>
        <v/>
      </c>
      <c r="R174" s="10">
        <f>IFERROR(I174*MIN(1,'01_Нормативы'!$C$6/SUM(I$2:I$429)),0)</f>
        <v/>
      </c>
      <c r="S174" s="10">
        <f>IFERROR(J174*MIN(1,'01_Нормативы'!$C$7/SUM(J$2:J$429)),0)</f>
        <v/>
      </c>
      <c r="T174" s="10">
        <f>IFERROR(K174*MIN(1,'01_Нормативы'!$C$8/SUM(K$2:K$429)),0)</f>
        <v/>
      </c>
      <c r="U174" s="10">
        <f>IFERROR(L174*MIN(1,'01_Нормативы'!$C$9/SUM(L$2:L$429)),0)</f>
        <v/>
      </c>
      <c r="V174" s="10">
        <f>IFERROR(M174*MIN(1,'01_Нормативы'!$C$10/SUM(M$2:M$429)),0)</f>
        <v/>
      </c>
      <c r="W174" s="10">
        <f>IFERROR(N174*MIN(1,'01_Нормативы'!$C$11/SUM(N$2:N$429)),0)</f>
        <v/>
      </c>
      <c r="X174" s="10">
        <f>SUM(P174:W174)</f>
        <v/>
      </c>
      <c r="Y174" s="10">
        <f>MAX(0,C174-X174)</f>
        <v/>
      </c>
      <c r="Z174" s="10">
        <f>IF(D174=0,100,X174/D174*100)</f>
        <v/>
      </c>
      <c r="AA174" s="10">
        <f>'02_Данные'!F174+'02_Данные'!G174</f>
        <v/>
      </c>
      <c r="AB174" s="10">
        <f>MIN('02_Данные'!L174,AA174)</f>
        <v/>
      </c>
      <c r="AC174" s="10">
        <f>AA174-AB174</f>
        <v/>
      </c>
      <c r="AD174" s="10">
        <f>MIN('02_Данные'!M174,AC174)</f>
        <v/>
      </c>
      <c r="AE174" s="10">
        <f>AC174-AD174</f>
        <v/>
      </c>
      <c r="AF174" s="10">
        <f>MIN('02_Данные'!N174,AE174)</f>
        <v/>
      </c>
      <c r="AG174" s="10">
        <f>AE174-AF174</f>
        <v/>
      </c>
      <c r="AH174" s="10">
        <f>MIN('02_Данные'!S174,AG174)</f>
        <v/>
      </c>
      <c r="AI174" s="10">
        <f>AG174-AH174</f>
        <v/>
      </c>
      <c r="AJ174" s="10">
        <f>MIN('02_Данные'!P174,AI174)</f>
        <v/>
      </c>
      <c r="AK174" s="10">
        <f>AI174-AJ174</f>
        <v/>
      </c>
      <c r="AL174" s="10">
        <f>MIN('02_Данные'!O174,AK174)</f>
        <v/>
      </c>
      <c r="AM174" s="10">
        <f>AK174-AL174</f>
        <v/>
      </c>
      <c r="AN174" s="10">
        <f>MIN('02_Данные'!Q174,AM174)</f>
        <v/>
      </c>
      <c r="AO174" s="10">
        <f>AM174-AN174</f>
        <v/>
      </c>
      <c r="AP174" s="10">
        <f>MIN('02_Данные'!R174,AO174)</f>
        <v/>
      </c>
      <c r="AQ174" s="10">
        <f>AO174-AP174</f>
        <v/>
      </c>
      <c r="AR174" s="10">
        <f>AQ174+'02_Данные'!H174</f>
        <v/>
      </c>
      <c r="AS174" s="10">
        <f>MIN('02_Данные'!T174,AR174)</f>
        <v/>
      </c>
      <c r="AT174" s="10">
        <f>AR174-AS174</f>
        <v/>
      </c>
      <c r="AU174" s="10">
        <f>MIN('02_Данные'!U174,AT174)</f>
        <v/>
      </c>
      <c r="AV174" s="10">
        <f>AT174-AU174</f>
        <v/>
      </c>
      <c r="AW174" s="10">
        <f>MIN('02_Данные'!V174,AV174)</f>
        <v/>
      </c>
      <c r="AX174" s="10">
        <f>AV174-AW174</f>
        <v/>
      </c>
      <c r="AY174" s="10">
        <f>MIN('02_Данные'!AA174,AX174)</f>
        <v/>
      </c>
      <c r="AZ174" s="10">
        <f>AX174-AY174</f>
        <v/>
      </c>
      <c r="BA174" s="10">
        <f>MIN('02_Данные'!X174,AZ174)</f>
        <v/>
      </c>
      <c r="BB174" s="10">
        <f>AZ174-BA174</f>
        <v/>
      </c>
      <c r="BC174" s="10">
        <f>MIN('02_Данные'!W174,BB174)</f>
        <v/>
      </c>
      <c r="BD174" s="10">
        <f>BB174-BC174</f>
        <v/>
      </c>
      <c r="BE174" s="10">
        <f>MIN('02_Данные'!Y174,BD174)</f>
        <v/>
      </c>
      <c r="BF174" s="10">
        <f>BD174-BE174</f>
        <v/>
      </c>
      <c r="BG174" s="10">
        <f>MIN('02_Данные'!Z174,BF174)</f>
        <v/>
      </c>
      <c r="BH174" s="10">
        <f>BF174-BG174</f>
        <v/>
      </c>
      <c r="BI174" s="10">
        <f>BH174+'02_Данные'!I174</f>
        <v/>
      </c>
      <c r="BJ174" s="10">
        <f>MIN('02_Данные'!AB174,BI174)</f>
        <v/>
      </c>
      <c r="BK174" s="10">
        <f>BI174-BJ174</f>
        <v/>
      </c>
      <c r="BL174" s="10">
        <f>MIN('02_Данные'!AC174,BK174)</f>
        <v/>
      </c>
      <c r="BM174" s="10">
        <f>BK174-BL174</f>
        <v/>
      </c>
      <c r="BN174" s="10">
        <f>MIN('02_Данные'!AD174,BM174)</f>
        <v/>
      </c>
      <c r="BO174" s="10">
        <f>BM174-BN174</f>
        <v/>
      </c>
      <c r="BP174" s="10">
        <f>MIN('02_Данные'!AI174,BO174)</f>
        <v/>
      </c>
      <c r="BQ174" s="10">
        <f>BO174-BP174</f>
        <v/>
      </c>
      <c r="BR174" s="10">
        <f>MIN('02_Данные'!AF174,BQ174)</f>
        <v/>
      </c>
      <c r="BS174" s="10">
        <f>BQ174-BR174</f>
        <v/>
      </c>
      <c r="BT174" s="10">
        <f>MIN('02_Данные'!AE174,BS174)</f>
        <v/>
      </c>
      <c r="BU174" s="10">
        <f>BS174-BT174</f>
        <v/>
      </c>
      <c r="BV174" s="10">
        <f>MIN('02_Данные'!AG174,BU174)</f>
        <v/>
      </c>
      <c r="BW174" s="10">
        <f>BU174-BV174</f>
        <v/>
      </c>
      <c r="BX174" s="10">
        <f>MIN('02_Данные'!AH174,BW174)</f>
        <v/>
      </c>
      <c r="BY174" s="10">
        <f>BW174-BX174</f>
        <v/>
      </c>
      <c r="BZ174" s="10">
        <f>BY174+'02_Данные'!J174</f>
        <v/>
      </c>
      <c r="CA174" s="10">
        <f>MIN('02_Данные'!AJ174,BZ174)</f>
        <v/>
      </c>
      <c r="CB174" s="10">
        <f>BZ174-CA174</f>
        <v/>
      </c>
      <c r="CC174" s="10">
        <f>MIN('02_Данные'!AK174,CB174)</f>
        <v/>
      </c>
      <c r="CD174" s="10">
        <f>CB174-CC174</f>
        <v/>
      </c>
      <c r="CE174" s="10">
        <f>MIN('02_Данные'!AL174,CD174)</f>
        <v/>
      </c>
      <c r="CF174" s="10">
        <f>CD174-CE174</f>
        <v/>
      </c>
      <c r="CG174" s="10">
        <f>MIN('02_Данные'!AQ174,CF174)</f>
        <v/>
      </c>
      <c r="CH174" s="10">
        <f>CF174-CG174</f>
        <v/>
      </c>
      <c r="CI174" s="10">
        <f>MIN('02_Данные'!AN174,CH174)</f>
        <v/>
      </c>
      <c r="CJ174" s="10">
        <f>CH174-CI174</f>
        <v/>
      </c>
      <c r="CK174" s="10">
        <f>MIN('02_Данные'!AM174,CJ174)</f>
        <v/>
      </c>
      <c r="CL174" s="10">
        <f>CJ174-CK174</f>
        <v/>
      </c>
      <c r="CM174" s="10">
        <f>MIN('02_Данные'!AO174,CL174)</f>
        <v/>
      </c>
      <c r="CN174" s="10">
        <f>CL174-CM174</f>
        <v/>
      </c>
      <c r="CO174" s="10">
        <f>MIN('02_Данные'!AP174,CN174)</f>
        <v/>
      </c>
      <c r="CP174" s="10">
        <f>CN174-CO174</f>
        <v/>
      </c>
      <c r="CQ174" s="10">
        <f>CP174+'02_Данные'!K174</f>
        <v/>
      </c>
      <c r="CR174" s="10">
        <f>MIN('02_Данные'!AR174,CQ174)</f>
        <v/>
      </c>
      <c r="CS174" s="10">
        <f>CQ174-CR174</f>
        <v/>
      </c>
      <c r="CT174" s="10">
        <f>MIN('02_Данные'!AS174,CS174)</f>
        <v/>
      </c>
      <c r="CU174" s="10">
        <f>CS174-CT174</f>
        <v/>
      </c>
      <c r="CV174" s="10">
        <f>MIN('02_Данные'!AT174,CU174)</f>
        <v/>
      </c>
      <c r="CW174" s="10">
        <f>CU174-CV174</f>
        <v/>
      </c>
      <c r="CX174" s="10">
        <f>MIN('02_Данные'!AY174,CW174)</f>
        <v/>
      </c>
      <c r="CY174" s="10">
        <f>CW174-CX174</f>
        <v/>
      </c>
      <c r="CZ174" s="10">
        <f>MIN('02_Данные'!AV174,CY174)</f>
        <v/>
      </c>
      <c r="DA174" s="10">
        <f>CY174-CZ174</f>
        <v/>
      </c>
      <c r="DB174" s="10">
        <f>MIN('02_Данные'!AU174,DA174)</f>
        <v/>
      </c>
      <c r="DC174" s="10">
        <f>DA174-DB174</f>
        <v/>
      </c>
      <c r="DD174" s="10">
        <f>MIN('02_Данные'!AW174,DC174)</f>
        <v/>
      </c>
      <c r="DE174" s="10">
        <f>DC174-DD174</f>
        <v/>
      </c>
      <c r="DF174" s="10">
        <f>MIN('02_Данные'!AX174,DE174)</f>
        <v/>
      </c>
      <c r="DG174" s="10">
        <f>DE174-DF174</f>
        <v/>
      </c>
    </row>
    <row r="175">
      <c r="A175" s="9">
        <f>'02_Данные'!B175</f>
        <v/>
      </c>
      <c r="B175" s="9">
        <f>'02_Данные'!E175</f>
        <v/>
      </c>
      <c r="C175" s="10">
        <f>'02_Данные'!F175+'02_Данные'!G175+'02_Данные'!H175+'02_Данные'!I175+'02_Данные'!J175+'02_Данные'!K175</f>
        <v/>
      </c>
      <c r="D175" s="10">
        <f>SUM('02_Данные'!L175:'02_Данные'!AY175)</f>
        <v/>
      </c>
      <c r="E175" s="10">
        <f>MAX(0,D175-C175)</f>
        <v/>
      </c>
      <c r="F175" s="15">
        <f>IF(E175&gt;0.0001,"ДЕФИЦИТ",IF(Y175&gt;0.0001,"ПРОФИЦИТ","БАЛАНС"))</f>
        <v/>
      </c>
      <c r="G175" s="10">
        <f>AB175+AS175+BJ175+CA175+CR175</f>
        <v/>
      </c>
      <c r="H175" s="10">
        <f>AD175+AU175+BL175+CC175+CT175</f>
        <v/>
      </c>
      <c r="I175" s="10">
        <f>AF175+AW175+BN175+CE175+CV175</f>
        <v/>
      </c>
      <c r="J175" s="10">
        <f>AL175+BC175+BT175+CK175+DB175</f>
        <v/>
      </c>
      <c r="K175" s="10">
        <f>AJ175+BA175+BR175+CI175+CZ175</f>
        <v/>
      </c>
      <c r="L175" s="10">
        <f>AN175+BE175+BV175+CM175+DD175</f>
        <v/>
      </c>
      <c r="M175" s="10">
        <f>AP175+BG175+BX175+CO175+DF175</f>
        <v/>
      </c>
      <c r="N175" s="10">
        <f>AH175+AY175+BP175+CG175+CX175</f>
        <v/>
      </c>
      <c r="O175" s="10">
        <f>SUM(G175:N175)</f>
        <v/>
      </c>
      <c r="P175" s="10">
        <f>IFERROR(G175*MIN(1,'01_Нормативы'!$C$4/SUM(G$2:G$429)),0)</f>
        <v/>
      </c>
      <c r="Q175" s="10">
        <f>IFERROR(H175*MIN(1,'01_Нормативы'!$C$5/SUM(H$2:H$429)),0)</f>
        <v/>
      </c>
      <c r="R175" s="10">
        <f>IFERROR(I175*MIN(1,'01_Нормативы'!$C$6/SUM(I$2:I$429)),0)</f>
        <v/>
      </c>
      <c r="S175" s="10">
        <f>IFERROR(J175*MIN(1,'01_Нормативы'!$C$7/SUM(J$2:J$429)),0)</f>
        <v/>
      </c>
      <c r="T175" s="10">
        <f>IFERROR(K175*MIN(1,'01_Нормативы'!$C$8/SUM(K$2:K$429)),0)</f>
        <v/>
      </c>
      <c r="U175" s="10">
        <f>IFERROR(L175*MIN(1,'01_Нормативы'!$C$9/SUM(L$2:L$429)),0)</f>
        <v/>
      </c>
      <c r="V175" s="10">
        <f>IFERROR(M175*MIN(1,'01_Нормативы'!$C$10/SUM(M$2:M$429)),0)</f>
        <v/>
      </c>
      <c r="W175" s="10">
        <f>IFERROR(N175*MIN(1,'01_Нормативы'!$C$11/SUM(N$2:N$429)),0)</f>
        <v/>
      </c>
      <c r="X175" s="10">
        <f>SUM(P175:W175)</f>
        <v/>
      </c>
      <c r="Y175" s="10">
        <f>MAX(0,C175-X175)</f>
        <v/>
      </c>
      <c r="Z175" s="10">
        <f>IF(D175=0,100,X175/D175*100)</f>
        <v/>
      </c>
      <c r="AA175" s="10">
        <f>'02_Данные'!F175+'02_Данные'!G175</f>
        <v/>
      </c>
      <c r="AB175" s="10">
        <f>MIN('02_Данные'!L175,AA175)</f>
        <v/>
      </c>
      <c r="AC175" s="10">
        <f>AA175-AB175</f>
        <v/>
      </c>
      <c r="AD175" s="10">
        <f>MIN('02_Данные'!M175,AC175)</f>
        <v/>
      </c>
      <c r="AE175" s="10">
        <f>AC175-AD175</f>
        <v/>
      </c>
      <c r="AF175" s="10">
        <f>MIN('02_Данные'!N175,AE175)</f>
        <v/>
      </c>
      <c r="AG175" s="10">
        <f>AE175-AF175</f>
        <v/>
      </c>
      <c r="AH175" s="10">
        <f>MIN('02_Данные'!S175,AG175)</f>
        <v/>
      </c>
      <c r="AI175" s="10">
        <f>AG175-AH175</f>
        <v/>
      </c>
      <c r="AJ175" s="10">
        <f>MIN('02_Данные'!P175,AI175)</f>
        <v/>
      </c>
      <c r="AK175" s="10">
        <f>AI175-AJ175</f>
        <v/>
      </c>
      <c r="AL175" s="10">
        <f>MIN('02_Данные'!O175,AK175)</f>
        <v/>
      </c>
      <c r="AM175" s="10">
        <f>AK175-AL175</f>
        <v/>
      </c>
      <c r="AN175" s="10">
        <f>MIN('02_Данные'!Q175,AM175)</f>
        <v/>
      </c>
      <c r="AO175" s="10">
        <f>AM175-AN175</f>
        <v/>
      </c>
      <c r="AP175" s="10">
        <f>MIN('02_Данные'!R175,AO175)</f>
        <v/>
      </c>
      <c r="AQ175" s="10">
        <f>AO175-AP175</f>
        <v/>
      </c>
      <c r="AR175" s="10">
        <f>AQ175+'02_Данные'!H175</f>
        <v/>
      </c>
      <c r="AS175" s="10">
        <f>MIN('02_Данные'!T175,AR175)</f>
        <v/>
      </c>
      <c r="AT175" s="10">
        <f>AR175-AS175</f>
        <v/>
      </c>
      <c r="AU175" s="10">
        <f>MIN('02_Данные'!U175,AT175)</f>
        <v/>
      </c>
      <c r="AV175" s="10">
        <f>AT175-AU175</f>
        <v/>
      </c>
      <c r="AW175" s="10">
        <f>MIN('02_Данные'!V175,AV175)</f>
        <v/>
      </c>
      <c r="AX175" s="10">
        <f>AV175-AW175</f>
        <v/>
      </c>
      <c r="AY175" s="10">
        <f>MIN('02_Данные'!AA175,AX175)</f>
        <v/>
      </c>
      <c r="AZ175" s="10">
        <f>AX175-AY175</f>
        <v/>
      </c>
      <c r="BA175" s="10">
        <f>MIN('02_Данные'!X175,AZ175)</f>
        <v/>
      </c>
      <c r="BB175" s="10">
        <f>AZ175-BA175</f>
        <v/>
      </c>
      <c r="BC175" s="10">
        <f>MIN('02_Данные'!W175,BB175)</f>
        <v/>
      </c>
      <c r="BD175" s="10">
        <f>BB175-BC175</f>
        <v/>
      </c>
      <c r="BE175" s="10">
        <f>MIN('02_Данные'!Y175,BD175)</f>
        <v/>
      </c>
      <c r="BF175" s="10">
        <f>BD175-BE175</f>
        <v/>
      </c>
      <c r="BG175" s="10">
        <f>MIN('02_Данные'!Z175,BF175)</f>
        <v/>
      </c>
      <c r="BH175" s="10">
        <f>BF175-BG175</f>
        <v/>
      </c>
      <c r="BI175" s="10">
        <f>BH175+'02_Данные'!I175</f>
        <v/>
      </c>
      <c r="BJ175" s="10">
        <f>MIN('02_Данные'!AB175,BI175)</f>
        <v/>
      </c>
      <c r="BK175" s="10">
        <f>BI175-BJ175</f>
        <v/>
      </c>
      <c r="BL175" s="10">
        <f>MIN('02_Данные'!AC175,BK175)</f>
        <v/>
      </c>
      <c r="BM175" s="10">
        <f>BK175-BL175</f>
        <v/>
      </c>
      <c r="BN175" s="10">
        <f>MIN('02_Данные'!AD175,BM175)</f>
        <v/>
      </c>
      <c r="BO175" s="10">
        <f>BM175-BN175</f>
        <v/>
      </c>
      <c r="BP175" s="10">
        <f>MIN('02_Данные'!AI175,BO175)</f>
        <v/>
      </c>
      <c r="BQ175" s="10">
        <f>BO175-BP175</f>
        <v/>
      </c>
      <c r="BR175" s="10">
        <f>MIN('02_Данные'!AF175,BQ175)</f>
        <v/>
      </c>
      <c r="BS175" s="10">
        <f>BQ175-BR175</f>
        <v/>
      </c>
      <c r="BT175" s="10">
        <f>MIN('02_Данные'!AE175,BS175)</f>
        <v/>
      </c>
      <c r="BU175" s="10">
        <f>BS175-BT175</f>
        <v/>
      </c>
      <c r="BV175" s="10">
        <f>MIN('02_Данные'!AG175,BU175)</f>
        <v/>
      </c>
      <c r="BW175" s="10">
        <f>BU175-BV175</f>
        <v/>
      </c>
      <c r="BX175" s="10">
        <f>MIN('02_Данные'!AH175,BW175)</f>
        <v/>
      </c>
      <c r="BY175" s="10">
        <f>BW175-BX175</f>
        <v/>
      </c>
      <c r="BZ175" s="10">
        <f>BY175+'02_Данные'!J175</f>
        <v/>
      </c>
      <c r="CA175" s="10">
        <f>MIN('02_Данные'!AJ175,BZ175)</f>
        <v/>
      </c>
      <c r="CB175" s="10">
        <f>BZ175-CA175</f>
        <v/>
      </c>
      <c r="CC175" s="10">
        <f>MIN('02_Данные'!AK175,CB175)</f>
        <v/>
      </c>
      <c r="CD175" s="10">
        <f>CB175-CC175</f>
        <v/>
      </c>
      <c r="CE175" s="10">
        <f>MIN('02_Данные'!AL175,CD175)</f>
        <v/>
      </c>
      <c r="CF175" s="10">
        <f>CD175-CE175</f>
        <v/>
      </c>
      <c r="CG175" s="10">
        <f>MIN('02_Данные'!AQ175,CF175)</f>
        <v/>
      </c>
      <c r="CH175" s="10">
        <f>CF175-CG175</f>
        <v/>
      </c>
      <c r="CI175" s="10">
        <f>MIN('02_Данные'!AN175,CH175)</f>
        <v/>
      </c>
      <c r="CJ175" s="10">
        <f>CH175-CI175</f>
        <v/>
      </c>
      <c r="CK175" s="10">
        <f>MIN('02_Данные'!AM175,CJ175)</f>
        <v/>
      </c>
      <c r="CL175" s="10">
        <f>CJ175-CK175</f>
        <v/>
      </c>
      <c r="CM175" s="10">
        <f>MIN('02_Данные'!AO175,CL175)</f>
        <v/>
      </c>
      <c r="CN175" s="10">
        <f>CL175-CM175</f>
        <v/>
      </c>
      <c r="CO175" s="10">
        <f>MIN('02_Данные'!AP175,CN175)</f>
        <v/>
      </c>
      <c r="CP175" s="10">
        <f>CN175-CO175</f>
        <v/>
      </c>
      <c r="CQ175" s="10">
        <f>CP175+'02_Данные'!K175</f>
        <v/>
      </c>
      <c r="CR175" s="10">
        <f>MIN('02_Данные'!AR175,CQ175)</f>
        <v/>
      </c>
      <c r="CS175" s="10">
        <f>CQ175-CR175</f>
        <v/>
      </c>
      <c r="CT175" s="10">
        <f>MIN('02_Данные'!AS175,CS175)</f>
        <v/>
      </c>
      <c r="CU175" s="10">
        <f>CS175-CT175</f>
        <v/>
      </c>
      <c r="CV175" s="10">
        <f>MIN('02_Данные'!AT175,CU175)</f>
        <v/>
      </c>
      <c r="CW175" s="10">
        <f>CU175-CV175</f>
        <v/>
      </c>
      <c r="CX175" s="10">
        <f>MIN('02_Данные'!AY175,CW175)</f>
        <v/>
      </c>
      <c r="CY175" s="10">
        <f>CW175-CX175</f>
        <v/>
      </c>
      <c r="CZ175" s="10">
        <f>MIN('02_Данные'!AV175,CY175)</f>
        <v/>
      </c>
      <c r="DA175" s="10">
        <f>CY175-CZ175</f>
        <v/>
      </c>
      <c r="DB175" s="10">
        <f>MIN('02_Данные'!AU175,DA175)</f>
        <v/>
      </c>
      <c r="DC175" s="10">
        <f>DA175-DB175</f>
        <v/>
      </c>
      <c r="DD175" s="10">
        <f>MIN('02_Данные'!AW175,DC175)</f>
        <v/>
      </c>
      <c r="DE175" s="10">
        <f>DC175-DD175</f>
        <v/>
      </c>
      <c r="DF175" s="10">
        <f>MIN('02_Данные'!AX175,DE175)</f>
        <v/>
      </c>
      <c r="DG175" s="10">
        <f>DE175-DF175</f>
        <v/>
      </c>
    </row>
    <row r="176">
      <c r="A176" s="9">
        <f>'02_Данные'!B176</f>
        <v/>
      </c>
      <c r="B176" s="9">
        <f>'02_Данные'!E176</f>
        <v/>
      </c>
      <c r="C176" s="10">
        <f>'02_Данные'!F176+'02_Данные'!G176+'02_Данные'!H176+'02_Данные'!I176+'02_Данные'!J176+'02_Данные'!K176</f>
        <v/>
      </c>
      <c r="D176" s="10">
        <f>SUM('02_Данные'!L176:'02_Данные'!AY176)</f>
        <v/>
      </c>
      <c r="E176" s="10">
        <f>MAX(0,D176-C176)</f>
        <v/>
      </c>
      <c r="F176" s="15">
        <f>IF(E176&gt;0.0001,"ДЕФИЦИТ",IF(Y176&gt;0.0001,"ПРОФИЦИТ","БАЛАНС"))</f>
        <v/>
      </c>
      <c r="G176" s="10">
        <f>AB176+AS176+BJ176+CA176+CR176</f>
        <v/>
      </c>
      <c r="H176" s="10">
        <f>AD176+AU176+BL176+CC176+CT176</f>
        <v/>
      </c>
      <c r="I176" s="10">
        <f>AF176+AW176+BN176+CE176+CV176</f>
        <v/>
      </c>
      <c r="J176" s="10">
        <f>AL176+BC176+BT176+CK176+DB176</f>
        <v/>
      </c>
      <c r="K176" s="10">
        <f>AJ176+BA176+BR176+CI176+CZ176</f>
        <v/>
      </c>
      <c r="L176" s="10">
        <f>AN176+BE176+BV176+CM176+DD176</f>
        <v/>
      </c>
      <c r="M176" s="10">
        <f>AP176+BG176+BX176+CO176+DF176</f>
        <v/>
      </c>
      <c r="N176" s="10">
        <f>AH176+AY176+BP176+CG176+CX176</f>
        <v/>
      </c>
      <c r="O176" s="10">
        <f>SUM(G176:N176)</f>
        <v/>
      </c>
      <c r="P176" s="10">
        <f>IFERROR(G176*MIN(1,'01_Нормативы'!$C$4/SUM(G$2:G$429)),0)</f>
        <v/>
      </c>
      <c r="Q176" s="10">
        <f>IFERROR(H176*MIN(1,'01_Нормативы'!$C$5/SUM(H$2:H$429)),0)</f>
        <v/>
      </c>
      <c r="R176" s="10">
        <f>IFERROR(I176*MIN(1,'01_Нормативы'!$C$6/SUM(I$2:I$429)),0)</f>
        <v/>
      </c>
      <c r="S176" s="10">
        <f>IFERROR(J176*MIN(1,'01_Нормативы'!$C$7/SUM(J$2:J$429)),0)</f>
        <v/>
      </c>
      <c r="T176" s="10">
        <f>IFERROR(K176*MIN(1,'01_Нормативы'!$C$8/SUM(K$2:K$429)),0)</f>
        <v/>
      </c>
      <c r="U176" s="10">
        <f>IFERROR(L176*MIN(1,'01_Нормативы'!$C$9/SUM(L$2:L$429)),0)</f>
        <v/>
      </c>
      <c r="V176" s="10">
        <f>IFERROR(M176*MIN(1,'01_Нормативы'!$C$10/SUM(M$2:M$429)),0)</f>
        <v/>
      </c>
      <c r="W176" s="10">
        <f>IFERROR(N176*MIN(1,'01_Нормативы'!$C$11/SUM(N$2:N$429)),0)</f>
        <v/>
      </c>
      <c r="X176" s="10">
        <f>SUM(P176:W176)</f>
        <v/>
      </c>
      <c r="Y176" s="10">
        <f>MAX(0,C176-X176)</f>
        <v/>
      </c>
      <c r="Z176" s="10">
        <f>IF(D176=0,100,X176/D176*100)</f>
        <v/>
      </c>
      <c r="AA176" s="10">
        <f>'02_Данные'!F176+'02_Данные'!G176</f>
        <v/>
      </c>
      <c r="AB176" s="10">
        <f>MIN('02_Данные'!L176,AA176)</f>
        <v/>
      </c>
      <c r="AC176" s="10">
        <f>AA176-AB176</f>
        <v/>
      </c>
      <c r="AD176" s="10">
        <f>MIN('02_Данные'!M176,AC176)</f>
        <v/>
      </c>
      <c r="AE176" s="10">
        <f>AC176-AD176</f>
        <v/>
      </c>
      <c r="AF176" s="10">
        <f>MIN('02_Данные'!N176,AE176)</f>
        <v/>
      </c>
      <c r="AG176" s="10">
        <f>AE176-AF176</f>
        <v/>
      </c>
      <c r="AH176" s="10">
        <f>MIN('02_Данные'!S176,AG176)</f>
        <v/>
      </c>
      <c r="AI176" s="10">
        <f>AG176-AH176</f>
        <v/>
      </c>
      <c r="AJ176" s="10">
        <f>MIN('02_Данные'!P176,AI176)</f>
        <v/>
      </c>
      <c r="AK176" s="10">
        <f>AI176-AJ176</f>
        <v/>
      </c>
      <c r="AL176" s="10">
        <f>MIN('02_Данные'!O176,AK176)</f>
        <v/>
      </c>
      <c r="AM176" s="10">
        <f>AK176-AL176</f>
        <v/>
      </c>
      <c r="AN176" s="10">
        <f>MIN('02_Данные'!Q176,AM176)</f>
        <v/>
      </c>
      <c r="AO176" s="10">
        <f>AM176-AN176</f>
        <v/>
      </c>
      <c r="AP176" s="10">
        <f>MIN('02_Данные'!R176,AO176)</f>
        <v/>
      </c>
      <c r="AQ176" s="10">
        <f>AO176-AP176</f>
        <v/>
      </c>
      <c r="AR176" s="10">
        <f>AQ176+'02_Данные'!H176</f>
        <v/>
      </c>
      <c r="AS176" s="10">
        <f>MIN('02_Данные'!T176,AR176)</f>
        <v/>
      </c>
      <c r="AT176" s="10">
        <f>AR176-AS176</f>
        <v/>
      </c>
      <c r="AU176" s="10">
        <f>MIN('02_Данные'!U176,AT176)</f>
        <v/>
      </c>
      <c r="AV176" s="10">
        <f>AT176-AU176</f>
        <v/>
      </c>
      <c r="AW176" s="10">
        <f>MIN('02_Данные'!V176,AV176)</f>
        <v/>
      </c>
      <c r="AX176" s="10">
        <f>AV176-AW176</f>
        <v/>
      </c>
      <c r="AY176" s="10">
        <f>MIN('02_Данные'!AA176,AX176)</f>
        <v/>
      </c>
      <c r="AZ176" s="10">
        <f>AX176-AY176</f>
        <v/>
      </c>
      <c r="BA176" s="10">
        <f>MIN('02_Данные'!X176,AZ176)</f>
        <v/>
      </c>
      <c r="BB176" s="10">
        <f>AZ176-BA176</f>
        <v/>
      </c>
      <c r="BC176" s="10">
        <f>MIN('02_Данные'!W176,BB176)</f>
        <v/>
      </c>
      <c r="BD176" s="10">
        <f>BB176-BC176</f>
        <v/>
      </c>
      <c r="BE176" s="10">
        <f>MIN('02_Данные'!Y176,BD176)</f>
        <v/>
      </c>
      <c r="BF176" s="10">
        <f>BD176-BE176</f>
        <v/>
      </c>
      <c r="BG176" s="10">
        <f>MIN('02_Данные'!Z176,BF176)</f>
        <v/>
      </c>
      <c r="BH176" s="10">
        <f>BF176-BG176</f>
        <v/>
      </c>
      <c r="BI176" s="10">
        <f>BH176+'02_Данные'!I176</f>
        <v/>
      </c>
      <c r="BJ176" s="10">
        <f>MIN('02_Данные'!AB176,BI176)</f>
        <v/>
      </c>
      <c r="BK176" s="10">
        <f>BI176-BJ176</f>
        <v/>
      </c>
      <c r="BL176" s="10">
        <f>MIN('02_Данные'!AC176,BK176)</f>
        <v/>
      </c>
      <c r="BM176" s="10">
        <f>BK176-BL176</f>
        <v/>
      </c>
      <c r="BN176" s="10">
        <f>MIN('02_Данные'!AD176,BM176)</f>
        <v/>
      </c>
      <c r="BO176" s="10">
        <f>BM176-BN176</f>
        <v/>
      </c>
      <c r="BP176" s="10">
        <f>MIN('02_Данные'!AI176,BO176)</f>
        <v/>
      </c>
      <c r="BQ176" s="10">
        <f>BO176-BP176</f>
        <v/>
      </c>
      <c r="BR176" s="10">
        <f>MIN('02_Данные'!AF176,BQ176)</f>
        <v/>
      </c>
      <c r="BS176" s="10">
        <f>BQ176-BR176</f>
        <v/>
      </c>
      <c r="BT176" s="10">
        <f>MIN('02_Данные'!AE176,BS176)</f>
        <v/>
      </c>
      <c r="BU176" s="10">
        <f>BS176-BT176</f>
        <v/>
      </c>
      <c r="BV176" s="10">
        <f>MIN('02_Данные'!AG176,BU176)</f>
        <v/>
      </c>
      <c r="BW176" s="10">
        <f>BU176-BV176</f>
        <v/>
      </c>
      <c r="BX176" s="10">
        <f>MIN('02_Данные'!AH176,BW176)</f>
        <v/>
      </c>
      <c r="BY176" s="10">
        <f>BW176-BX176</f>
        <v/>
      </c>
      <c r="BZ176" s="10">
        <f>BY176+'02_Данные'!J176</f>
        <v/>
      </c>
      <c r="CA176" s="10">
        <f>MIN('02_Данные'!AJ176,BZ176)</f>
        <v/>
      </c>
      <c r="CB176" s="10">
        <f>BZ176-CA176</f>
        <v/>
      </c>
      <c r="CC176" s="10">
        <f>MIN('02_Данные'!AK176,CB176)</f>
        <v/>
      </c>
      <c r="CD176" s="10">
        <f>CB176-CC176</f>
        <v/>
      </c>
      <c r="CE176" s="10">
        <f>MIN('02_Данные'!AL176,CD176)</f>
        <v/>
      </c>
      <c r="CF176" s="10">
        <f>CD176-CE176</f>
        <v/>
      </c>
      <c r="CG176" s="10">
        <f>MIN('02_Данные'!AQ176,CF176)</f>
        <v/>
      </c>
      <c r="CH176" s="10">
        <f>CF176-CG176</f>
        <v/>
      </c>
      <c r="CI176" s="10">
        <f>MIN('02_Данные'!AN176,CH176)</f>
        <v/>
      </c>
      <c r="CJ176" s="10">
        <f>CH176-CI176</f>
        <v/>
      </c>
      <c r="CK176" s="10">
        <f>MIN('02_Данные'!AM176,CJ176)</f>
        <v/>
      </c>
      <c r="CL176" s="10">
        <f>CJ176-CK176</f>
        <v/>
      </c>
      <c r="CM176" s="10">
        <f>MIN('02_Данные'!AO176,CL176)</f>
        <v/>
      </c>
      <c r="CN176" s="10">
        <f>CL176-CM176</f>
        <v/>
      </c>
      <c r="CO176" s="10">
        <f>MIN('02_Данные'!AP176,CN176)</f>
        <v/>
      </c>
      <c r="CP176" s="10">
        <f>CN176-CO176</f>
        <v/>
      </c>
      <c r="CQ176" s="10">
        <f>CP176+'02_Данные'!K176</f>
        <v/>
      </c>
      <c r="CR176" s="10">
        <f>MIN('02_Данные'!AR176,CQ176)</f>
        <v/>
      </c>
      <c r="CS176" s="10">
        <f>CQ176-CR176</f>
        <v/>
      </c>
      <c r="CT176" s="10">
        <f>MIN('02_Данные'!AS176,CS176)</f>
        <v/>
      </c>
      <c r="CU176" s="10">
        <f>CS176-CT176</f>
        <v/>
      </c>
      <c r="CV176" s="10">
        <f>MIN('02_Данные'!AT176,CU176)</f>
        <v/>
      </c>
      <c r="CW176" s="10">
        <f>CU176-CV176</f>
        <v/>
      </c>
      <c r="CX176" s="10">
        <f>MIN('02_Данные'!AY176,CW176)</f>
        <v/>
      </c>
      <c r="CY176" s="10">
        <f>CW176-CX176</f>
        <v/>
      </c>
      <c r="CZ176" s="10">
        <f>MIN('02_Данные'!AV176,CY176)</f>
        <v/>
      </c>
      <c r="DA176" s="10">
        <f>CY176-CZ176</f>
        <v/>
      </c>
      <c r="DB176" s="10">
        <f>MIN('02_Данные'!AU176,DA176)</f>
        <v/>
      </c>
      <c r="DC176" s="10">
        <f>DA176-DB176</f>
        <v/>
      </c>
      <c r="DD176" s="10">
        <f>MIN('02_Данные'!AW176,DC176)</f>
        <v/>
      </c>
      <c r="DE176" s="10">
        <f>DC176-DD176</f>
        <v/>
      </c>
      <c r="DF176" s="10">
        <f>MIN('02_Данные'!AX176,DE176)</f>
        <v/>
      </c>
      <c r="DG176" s="10">
        <f>DE176-DF176</f>
        <v/>
      </c>
    </row>
    <row r="177">
      <c r="A177" s="9">
        <f>'02_Данные'!B177</f>
        <v/>
      </c>
      <c r="B177" s="9">
        <f>'02_Данные'!E177</f>
        <v/>
      </c>
      <c r="C177" s="10">
        <f>'02_Данные'!F177+'02_Данные'!G177+'02_Данные'!H177+'02_Данные'!I177+'02_Данные'!J177+'02_Данные'!K177</f>
        <v/>
      </c>
      <c r="D177" s="10">
        <f>SUM('02_Данные'!L177:'02_Данные'!AY177)</f>
        <v/>
      </c>
      <c r="E177" s="10">
        <f>MAX(0,D177-C177)</f>
        <v/>
      </c>
      <c r="F177" s="15">
        <f>IF(E177&gt;0.0001,"ДЕФИЦИТ",IF(Y177&gt;0.0001,"ПРОФИЦИТ","БАЛАНС"))</f>
        <v/>
      </c>
      <c r="G177" s="10">
        <f>AB177+AS177+BJ177+CA177+CR177</f>
        <v/>
      </c>
      <c r="H177" s="10">
        <f>AD177+AU177+BL177+CC177+CT177</f>
        <v/>
      </c>
      <c r="I177" s="10">
        <f>AF177+AW177+BN177+CE177+CV177</f>
        <v/>
      </c>
      <c r="J177" s="10">
        <f>AL177+BC177+BT177+CK177+DB177</f>
        <v/>
      </c>
      <c r="K177" s="10">
        <f>AJ177+BA177+BR177+CI177+CZ177</f>
        <v/>
      </c>
      <c r="L177" s="10">
        <f>AN177+BE177+BV177+CM177+DD177</f>
        <v/>
      </c>
      <c r="M177" s="10">
        <f>AP177+BG177+BX177+CO177+DF177</f>
        <v/>
      </c>
      <c r="N177" s="10">
        <f>AH177+AY177+BP177+CG177+CX177</f>
        <v/>
      </c>
      <c r="O177" s="10">
        <f>SUM(G177:N177)</f>
        <v/>
      </c>
      <c r="P177" s="10">
        <f>IFERROR(G177*MIN(1,'01_Нормативы'!$C$4/SUM(G$2:G$429)),0)</f>
        <v/>
      </c>
      <c r="Q177" s="10">
        <f>IFERROR(H177*MIN(1,'01_Нормативы'!$C$5/SUM(H$2:H$429)),0)</f>
        <v/>
      </c>
      <c r="R177" s="10">
        <f>IFERROR(I177*MIN(1,'01_Нормативы'!$C$6/SUM(I$2:I$429)),0)</f>
        <v/>
      </c>
      <c r="S177" s="10">
        <f>IFERROR(J177*MIN(1,'01_Нормативы'!$C$7/SUM(J$2:J$429)),0)</f>
        <v/>
      </c>
      <c r="T177" s="10">
        <f>IFERROR(K177*MIN(1,'01_Нормативы'!$C$8/SUM(K$2:K$429)),0)</f>
        <v/>
      </c>
      <c r="U177" s="10">
        <f>IFERROR(L177*MIN(1,'01_Нормативы'!$C$9/SUM(L$2:L$429)),0)</f>
        <v/>
      </c>
      <c r="V177" s="10">
        <f>IFERROR(M177*MIN(1,'01_Нормативы'!$C$10/SUM(M$2:M$429)),0)</f>
        <v/>
      </c>
      <c r="W177" s="10">
        <f>IFERROR(N177*MIN(1,'01_Нормативы'!$C$11/SUM(N$2:N$429)),0)</f>
        <v/>
      </c>
      <c r="X177" s="10">
        <f>SUM(P177:W177)</f>
        <v/>
      </c>
      <c r="Y177" s="10">
        <f>MAX(0,C177-X177)</f>
        <v/>
      </c>
      <c r="Z177" s="10">
        <f>IF(D177=0,100,X177/D177*100)</f>
        <v/>
      </c>
      <c r="AA177" s="10">
        <f>'02_Данные'!F177+'02_Данные'!G177</f>
        <v/>
      </c>
      <c r="AB177" s="10">
        <f>MIN('02_Данные'!L177,AA177)</f>
        <v/>
      </c>
      <c r="AC177" s="10">
        <f>AA177-AB177</f>
        <v/>
      </c>
      <c r="AD177" s="10">
        <f>MIN('02_Данные'!M177,AC177)</f>
        <v/>
      </c>
      <c r="AE177" s="10">
        <f>AC177-AD177</f>
        <v/>
      </c>
      <c r="AF177" s="10">
        <f>MIN('02_Данные'!N177,AE177)</f>
        <v/>
      </c>
      <c r="AG177" s="10">
        <f>AE177-AF177</f>
        <v/>
      </c>
      <c r="AH177" s="10">
        <f>MIN('02_Данные'!S177,AG177)</f>
        <v/>
      </c>
      <c r="AI177" s="10">
        <f>AG177-AH177</f>
        <v/>
      </c>
      <c r="AJ177" s="10">
        <f>MIN('02_Данные'!P177,AI177)</f>
        <v/>
      </c>
      <c r="AK177" s="10">
        <f>AI177-AJ177</f>
        <v/>
      </c>
      <c r="AL177" s="10">
        <f>MIN('02_Данные'!O177,AK177)</f>
        <v/>
      </c>
      <c r="AM177" s="10">
        <f>AK177-AL177</f>
        <v/>
      </c>
      <c r="AN177" s="10">
        <f>MIN('02_Данные'!Q177,AM177)</f>
        <v/>
      </c>
      <c r="AO177" s="10">
        <f>AM177-AN177</f>
        <v/>
      </c>
      <c r="AP177" s="10">
        <f>MIN('02_Данные'!R177,AO177)</f>
        <v/>
      </c>
      <c r="AQ177" s="10">
        <f>AO177-AP177</f>
        <v/>
      </c>
      <c r="AR177" s="10">
        <f>AQ177+'02_Данные'!H177</f>
        <v/>
      </c>
      <c r="AS177" s="10">
        <f>MIN('02_Данные'!T177,AR177)</f>
        <v/>
      </c>
      <c r="AT177" s="10">
        <f>AR177-AS177</f>
        <v/>
      </c>
      <c r="AU177" s="10">
        <f>MIN('02_Данные'!U177,AT177)</f>
        <v/>
      </c>
      <c r="AV177" s="10">
        <f>AT177-AU177</f>
        <v/>
      </c>
      <c r="AW177" s="10">
        <f>MIN('02_Данные'!V177,AV177)</f>
        <v/>
      </c>
      <c r="AX177" s="10">
        <f>AV177-AW177</f>
        <v/>
      </c>
      <c r="AY177" s="10">
        <f>MIN('02_Данные'!AA177,AX177)</f>
        <v/>
      </c>
      <c r="AZ177" s="10">
        <f>AX177-AY177</f>
        <v/>
      </c>
      <c r="BA177" s="10">
        <f>MIN('02_Данные'!X177,AZ177)</f>
        <v/>
      </c>
      <c r="BB177" s="10">
        <f>AZ177-BA177</f>
        <v/>
      </c>
      <c r="BC177" s="10">
        <f>MIN('02_Данные'!W177,BB177)</f>
        <v/>
      </c>
      <c r="BD177" s="10">
        <f>BB177-BC177</f>
        <v/>
      </c>
      <c r="BE177" s="10">
        <f>MIN('02_Данные'!Y177,BD177)</f>
        <v/>
      </c>
      <c r="BF177" s="10">
        <f>BD177-BE177</f>
        <v/>
      </c>
      <c r="BG177" s="10">
        <f>MIN('02_Данные'!Z177,BF177)</f>
        <v/>
      </c>
      <c r="BH177" s="10">
        <f>BF177-BG177</f>
        <v/>
      </c>
      <c r="BI177" s="10">
        <f>BH177+'02_Данные'!I177</f>
        <v/>
      </c>
      <c r="BJ177" s="10">
        <f>MIN('02_Данные'!AB177,BI177)</f>
        <v/>
      </c>
      <c r="BK177" s="10">
        <f>BI177-BJ177</f>
        <v/>
      </c>
      <c r="BL177" s="10">
        <f>MIN('02_Данные'!AC177,BK177)</f>
        <v/>
      </c>
      <c r="BM177" s="10">
        <f>BK177-BL177</f>
        <v/>
      </c>
      <c r="BN177" s="10">
        <f>MIN('02_Данные'!AD177,BM177)</f>
        <v/>
      </c>
      <c r="BO177" s="10">
        <f>BM177-BN177</f>
        <v/>
      </c>
      <c r="BP177" s="10">
        <f>MIN('02_Данные'!AI177,BO177)</f>
        <v/>
      </c>
      <c r="BQ177" s="10">
        <f>BO177-BP177</f>
        <v/>
      </c>
      <c r="BR177" s="10">
        <f>MIN('02_Данные'!AF177,BQ177)</f>
        <v/>
      </c>
      <c r="BS177" s="10">
        <f>BQ177-BR177</f>
        <v/>
      </c>
      <c r="BT177" s="10">
        <f>MIN('02_Данные'!AE177,BS177)</f>
        <v/>
      </c>
      <c r="BU177" s="10">
        <f>BS177-BT177</f>
        <v/>
      </c>
      <c r="BV177" s="10">
        <f>MIN('02_Данные'!AG177,BU177)</f>
        <v/>
      </c>
      <c r="BW177" s="10">
        <f>BU177-BV177</f>
        <v/>
      </c>
      <c r="BX177" s="10">
        <f>MIN('02_Данные'!AH177,BW177)</f>
        <v/>
      </c>
      <c r="BY177" s="10">
        <f>BW177-BX177</f>
        <v/>
      </c>
      <c r="BZ177" s="10">
        <f>BY177+'02_Данные'!J177</f>
        <v/>
      </c>
      <c r="CA177" s="10">
        <f>MIN('02_Данные'!AJ177,BZ177)</f>
        <v/>
      </c>
      <c r="CB177" s="10">
        <f>BZ177-CA177</f>
        <v/>
      </c>
      <c r="CC177" s="10">
        <f>MIN('02_Данные'!AK177,CB177)</f>
        <v/>
      </c>
      <c r="CD177" s="10">
        <f>CB177-CC177</f>
        <v/>
      </c>
      <c r="CE177" s="10">
        <f>MIN('02_Данные'!AL177,CD177)</f>
        <v/>
      </c>
      <c r="CF177" s="10">
        <f>CD177-CE177</f>
        <v/>
      </c>
      <c r="CG177" s="10">
        <f>MIN('02_Данные'!AQ177,CF177)</f>
        <v/>
      </c>
      <c r="CH177" s="10">
        <f>CF177-CG177</f>
        <v/>
      </c>
      <c r="CI177" s="10">
        <f>MIN('02_Данные'!AN177,CH177)</f>
        <v/>
      </c>
      <c r="CJ177" s="10">
        <f>CH177-CI177</f>
        <v/>
      </c>
      <c r="CK177" s="10">
        <f>MIN('02_Данные'!AM177,CJ177)</f>
        <v/>
      </c>
      <c r="CL177" s="10">
        <f>CJ177-CK177</f>
        <v/>
      </c>
      <c r="CM177" s="10">
        <f>MIN('02_Данные'!AO177,CL177)</f>
        <v/>
      </c>
      <c r="CN177" s="10">
        <f>CL177-CM177</f>
        <v/>
      </c>
      <c r="CO177" s="10">
        <f>MIN('02_Данные'!AP177,CN177)</f>
        <v/>
      </c>
      <c r="CP177" s="10">
        <f>CN177-CO177</f>
        <v/>
      </c>
      <c r="CQ177" s="10">
        <f>CP177+'02_Данные'!K177</f>
        <v/>
      </c>
      <c r="CR177" s="10">
        <f>MIN('02_Данные'!AR177,CQ177)</f>
        <v/>
      </c>
      <c r="CS177" s="10">
        <f>CQ177-CR177</f>
        <v/>
      </c>
      <c r="CT177" s="10">
        <f>MIN('02_Данные'!AS177,CS177)</f>
        <v/>
      </c>
      <c r="CU177" s="10">
        <f>CS177-CT177</f>
        <v/>
      </c>
      <c r="CV177" s="10">
        <f>MIN('02_Данные'!AT177,CU177)</f>
        <v/>
      </c>
      <c r="CW177" s="10">
        <f>CU177-CV177</f>
        <v/>
      </c>
      <c r="CX177" s="10">
        <f>MIN('02_Данные'!AY177,CW177)</f>
        <v/>
      </c>
      <c r="CY177" s="10">
        <f>CW177-CX177</f>
        <v/>
      </c>
      <c r="CZ177" s="10">
        <f>MIN('02_Данные'!AV177,CY177)</f>
        <v/>
      </c>
      <c r="DA177" s="10">
        <f>CY177-CZ177</f>
        <v/>
      </c>
      <c r="DB177" s="10">
        <f>MIN('02_Данные'!AU177,DA177)</f>
        <v/>
      </c>
      <c r="DC177" s="10">
        <f>DA177-DB177</f>
        <v/>
      </c>
      <c r="DD177" s="10">
        <f>MIN('02_Данные'!AW177,DC177)</f>
        <v/>
      </c>
      <c r="DE177" s="10">
        <f>DC177-DD177</f>
        <v/>
      </c>
      <c r="DF177" s="10">
        <f>MIN('02_Данные'!AX177,DE177)</f>
        <v/>
      </c>
      <c r="DG177" s="10">
        <f>DE177-DF177</f>
        <v/>
      </c>
    </row>
    <row r="178">
      <c r="A178" s="9">
        <f>'02_Данные'!B178</f>
        <v/>
      </c>
      <c r="B178" s="9">
        <f>'02_Данные'!E178</f>
        <v/>
      </c>
      <c r="C178" s="10">
        <f>'02_Данные'!F178+'02_Данные'!G178+'02_Данные'!H178+'02_Данные'!I178+'02_Данные'!J178+'02_Данные'!K178</f>
        <v/>
      </c>
      <c r="D178" s="10">
        <f>SUM('02_Данные'!L178:'02_Данные'!AY178)</f>
        <v/>
      </c>
      <c r="E178" s="10">
        <f>MAX(0,D178-C178)</f>
        <v/>
      </c>
      <c r="F178" s="15">
        <f>IF(E178&gt;0.0001,"ДЕФИЦИТ",IF(Y178&gt;0.0001,"ПРОФИЦИТ","БАЛАНС"))</f>
        <v/>
      </c>
      <c r="G178" s="10">
        <f>AB178+AS178+BJ178+CA178+CR178</f>
        <v/>
      </c>
      <c r="H178" s="10">
        <f>AD178+AU178+BL178+CC178+CT178</f>
        <v/>
      </c>
      <c r="I178" s="10">
        <f>AF178+AW178+BN178+CE178+CV178</f>
        <v/>
      </c>
      <c r="J178" s="10">
        <f>AL178+BC178+BT178+CK178+DB178</f>
        <v/>
      </c>
      <c r="K178" s="10">
        <f>AJ178+BA178+BR178+CI178+CZ178</f>
        <v/>
      </c>
      <c r="L178" s="10">
        <f>AN178+BE178+BV178+CM178+DD178</f>
        <v/>
      </c>
      <c r="M178" s="10">
        <f>AP178+BG178+BX178+CO178+DF178</f>
        <v/>
      </c>
      <c r="N178" s="10">
        <f>AH178+AY178+BP178+CG178+CX178</f>
        <v/>
      </c>
      <c r="O178" s="10">
        <f>SUM(G178:N178)</f>
        <v/>
      </c>
      <c r="P178" s="10">
        <f>IFERROR(G178*MIN(1,'01_Нормативы'!$C$4/SUM(G$2:G$429)),0)</f>
        <v/>
      </c>
      <c r="Q178" s="10">
        <f>IFERROR(H178*MIN(1,'01_Нормативы'!$C$5/SUM(H$2:H$429)),0)</f>
        <v/>
      </c>
      <c r="R178" s="10">
        <f>IFERROR(I178*MIN(1,'01_Нормативы'!$C$6/SUM(I$2:I$429)),0)</f>
        <v/>
      </c>
      <c r="S178" s="10">
        <f>IFERROR(J178*MIN(1,'01_Нормативы'!$C$7/SUM(J$2:J$429)),0)</f>
        <v/>
      </c>
      <c r="T178" s="10">
        <f>IFERROR(K178*MIN(1,'01_Нормативы'!$C$8/SUM(K$2:K$429)),0)</f>
        <v/>
      </c>
      <c r="U178" s="10">
        <f>IFERROR(L178*MIN(1,'01_Нормативы'!$C$9/SUM(L$2:L$429)),0)</f>
        <v/>
      </c>
      <c r="V178" s="10">
        <f>IFERROR(M178*MIN(1,'01_Нормативы'!$C$10/SUM(M$2:M$429)),0)</f>
        <v/>
      </c>
      <c r="W178" s="10">
        <f>IFERROR(N178*MIN(1,'01_Нормативы'!$C$11/SUM(N$2:N$429)),0)</f>
        <v/>
      </c>
      <c r="X178" s="10">
        <f>SUM(P178:W178)</f>
        <v/>
      </c>
      <c r="Y178" s="10">
        <f>MAX(0,C178-X178)</f>
        <v/>
      </c>
      <c r="Z178" s="10">
        <f>IF(D178=0,100,X178/D178*100)</f>
        <v/>
      </c>
      <c r="AA178" s="10">
        <f>'02_Данные'!F178+'02_Данные'!G178</f>
        <v/>
      </c>
      <c r="AB178" s="10">
        <f>MIN('02_Данные'!L178,AA178)</f>
        <v/>
      </c>
      <c r="AC178" s="10">
        <f>AA178-AB178</f>
        <v/>
      </c>
      <c r="AD178" s="10">
        <f>MIN('02_Данные'!M178,AC178)</f>
        <v/>
      </c>
      <c r="AE178" s="10">
        <f>AC178-AD178</f>
        <v/>
      </c>
      <c r="AF178" s="10">
        <f>MIN('02_Данные'!N178,AE178)</f>
        <v/>
      </c>
      <c r="AG178" s="10">
        <f>AE178-AF178</f>
        <v/>
      </c>
      <c r="AH178" s="10">
        <f>MIN('02_Данные'!S178,AG178)</f>
        <v/>
      </c>
      <c r="AI178" s="10">
        <f>AG178-AH178</f>
        <v/>
      </c>
      <c r="AJ178" s="10">
        <f>MIN('02_Данные'!P178,AI178)</f>
        <v/>
      </c>
      <c r="AK178" s="10">
        <f>AI178-AJ178</f>
        <v/>
      </c>
      <c r="AL178" s="10">
        <f>MIN('02_Данные'!O178,AK178)</f>
        <v/>
      </c>
      <c r="AM178" s="10">
        <f>AK178-AL178</f>
        <v/>
      </c>
      <c r="AN178" s="10">
        <f>MIN('02_Данные'!Q178,AM178)</f>
        <v/>
      </c>
      <c r="AO178" s="10">
        <f>AM178-AN178</f>
        <v/>
      </c>
      <c r="AP178" s="10">
        <f>MIN('02_Данные'!R178,AO178)</f>
        <v/>
      </c>
      <c r="AQ178" s="10">
        <f>AO178-AP178</f>
        <v/>
      </c>
      <c r="AR178" s="10">
        <f>AQ178+'02_Данные'!H178</f>
        <v/>
      </c>
      <c r="AS178" s="10">
        <f>MIN('02_Данные'!T178,AR178)</f>
        <v/>
      </c>
      <c r="AT178" s="10">
        <f>AR178-AS178</f>
        <v/>
      </c>
      <c r="AU178" s="10">
        <f>MIN('02_Данные'!U178,AT178)</f>
        <v/>
      </c>
      <c r="AV178" s="10">
        <f>AT178-AU178</f>
        <v/>
      </c>
      <c r="AW178" s="10">
        <f>MIN('02_Данные'!V178,AV178)</f>
        <v/>
      </c>
      <c r="AX178" s="10">
        <f>AV178-AW178</f>
        <v/>
      </c>
      <c r="AY178" s="10">
        <f>MIN('02_Данные'!AA178,AX178)</f>
        <v/>
      </c>
      <c r="AZ178" s="10">
        <f>AX178-AY178</f>
        <v/>
      </c>
      <c r="BA178" s="10">
        <f>MIN('02_Данные'!X178,AZ178)</f>
        <v/>
      </c>
      <c r="BB178" s="10">
        <f>AZ178-BA178</f>
        <v/>
      </c>
      <c r="BC178" s="10">
        <f>MIN('02_Данные'!W178,BB178)</f>
        <v/>
      </c>
      <c r="BD178" s="10">
        <f>BB178-BC178</f>
        <v/>
      </c>
      <c r="BE178" s="10">
        <f>MIN('02_Данные'!Y178,BD178)</f>
        <v/>
      </c>
      <c r="BF178" s="10">
        <f>BD178-BE178</f>
        <v/>
      </c>
      <c r="BG178" s="10">
        <f>MIN('02_Данные'!Z178,BF178)</f>
        <v/>
      </c>
      <c r="BH178" s="10">
        <f>BF178-BG178</f>
        <v/>
      </c>
      <c r="BI178" s="10">
        <f>BH178+'02_Данные'!I178</f>
        <v/>
      </c>
      <c r="BJ178" s="10">
        <f>MIN('02_Данные'!AB178,BI178)</f>
        <v/>
      </c>
      <c r="BK178" s="10">
        <f>BI178-BJ178</f>
        <v/>
      </c>
      <c r="BL178" s="10">
        <f>MIN('02_Данные'!AC178,BK178)</f>
        <v/>
      </c>
      <c r="BM178" s="10">
        <f>BK178-BL178</f>
        <v/>
      </c>
      <c r="BN178" s="10">
        <f>MIN('02_Данные'!AD178,BM178)</f>
        <v/>
      </c>
      <c r="BO178" s="10">
        <f>BM178-BN178</f>
        <v/>
      </c>
      <c r="BP178" s="10">
        <f>MIN('02_Данные'!AI178,BO178)</f>
        <v/>
      </c>
      <c r="BQ178" s="10">
        <f>BO178-BP178</f>
        <v/>
      </c>
      <c r="BR178" s="10">
        <f>MIN('02_Данные'!AF178,BQ178)</f>
        <v/>
      </c>
      <c r="BS178" s="10">
        <f>BQ178-BR178</f>
        <v/>
      </c>
      <c r="BT178" s="10">
        <f>MIN('02_Данные'!AE178,BS178)</f>
        <v/>
      </c>
      <c r="BU178" s="10">
        <f>BS178-BT178</f>
        <v/>
      </c>
      <c r="BV178" s="10">
        <f>MIN('02_Данные'!AG178,BU178)</f>
        <v/>
      </c>
      <c r="BW178" s="10">
        <f>BU178-BV178</f>
        <v/>
      </c>
      <c r="BX178" s="10">
        <f>MIN('02_Данные'!AH178,BW178)</f>
        <v/>
      </c>
      <c r="BY178" s="10">
        <f>BW178-BX178</f>
        <v/>
      </c>
      <c r="BZ178" s="10">
        <f>BY178+'02_Данные'!J178</f>
        <v/>
      </c>
      <c r="CA178" s="10">
        <f>MIN('02_Данные'!AJ178,BZ178)</f>
        <v/>
      </c>
      <c r="CB178" s="10">
        <f>BZ178-CA178</f>
        <v/>
      </c>
      <c r="CC178" s="10">
        <f>MIN('02_Данные'!AK178,CB178)</f>
        <v/>
      </c>
      <c r="CD178" s="10">
        <f>CB178-CC178</f>
        <v/>
      </c>
      <c r="CE178" s="10">
        <f>MIN('02_Данные'!AL178,CD178)</f>
        <v/>
      </c>
      <c r="CF178" s="10">
        <f>CD178-CE178</f>
        <v/>
      </c>
      <c r="CG178" s="10">
        <f>MIN('02_Данные'!AQ178,CF178)</f>
        <v/>
      </c>
      <c r="CH178" s="10">
        <f>CF178-CG178</f>
        <v/>
      </c>
      <c r="CI178" s="10">
        <f>MIN('02_Данные'!AN178,CH178)</f>
        <v/>
      </c>
      <c r="CJ178" s="10">
        <f>CH178-CI178</f>
        <v/>
      </c>
      <c r="CK178" s="10">
        <f>MIN('02_Данные'!AM178,CJ178)</f>
        <v/>
      </c>
      <c r="CL178" s="10">
        <f>CJ178-CK178</f>
        <v/>
      </c>
      <c r="CM178" s="10">
        <f>MIN('02_Данные'!AO178,CL178)</f>
        <v/>
      </c>
      <c r="CN178" s="10">
        <f>CL178-CM178</f>
        <v/>
      </c>
      <c r="CO178" s="10">
        <f>MIN('02_Данные'!AP178,CN178)</f>
        <v/>
      </c>
      <c r="CP178" s="10">
        <f>CN178-CO178</f>
        <v/>
      </c>
      <c r="CQ178" s="10">
        <f>CP178+'02_Данные'!K178</f>
        <v/>
      </c>
      <c r="CR178" s="10">
        <f>MIN('02_Данные'!AR178,CQ178)</f>
        <v/>
      </c>
      <c r="CS178" s="10">
        <f>CQ178-CR178</f>
        <v/>
      </c>
      <c r="CT178" s="10">
        <f>MIN('02_Данные'!AS178,CS178)</f>
        <v/>
      </c>
      <c r="CU178" s="10">
        <f>CS178-CT178</f>
        <v/>
      </c>
      <c r="CV178" s="10">
        <f>MIN('02_Данные'!AT178,CU178)</f>
        <v/>
      </c>
      <c r="CW178" s="10">
        <f>CU178-CV178</f>
        <v/>
      </c>
      <c r="CX178" s="10">
        <f>MIN('02_Данные'!AY178,CW178)</f>
        <v/>
      </c>
      <c r="CY178" s="10">
        <f>CW178-CX178</f>
        <v/>
      </c>
      <c r="CZ178" s="10">
        <f>MIN('02_Данные'!AV178,CY178)</f>
        <v/>
      </c>
      <c r="DA178" s="10">
        <f>CY178-CZ178</f>
        <v/>
      </c>
      <c r="DB178" s="10">
        <f>MIN('02_Данные'!AU178,DA178)</f>
        <v/>
      </c>
      <c r="DC178" s="10">
        <f>DA178-DB178</f>
        <v/>
      </c>
      <c r="DD178" s="10">
        <f>MIN('02_Данные'!AW178,DC178)</f>
        <v/>
      </c>
      <c r="DE178" s="10">
        <f>DC178-DD178</f>
        <v/>
      </c>
      <c r="DF178" s="10">
        <f>MIN('02_Данные'!AX178,DE178)</f>
        <v/>
      </c>
      <c r="DG178" s="10">
        <f>DE178-DF178</f>
        <v/>
      </c>
    </row>
    <row r="179">
      <c r="A179" s="9">
        <f>'02_Данные'!B179</f>
        <v/>
      </c>
      <c r="B179" s="9">
        <f>'02_Данные'!E179</f>
        <v/>
      </c>
      <c r="C179" s="10">
        <f>'02_Данные'!F179+'02_Данные'!G179+'02_Данные'!H179+'02_Данные'!I179+'02_Данные'!J179+'02_Данные'!K179</f>
        <v/>
      </c>
      <c r="D179" s="10">
        <f>SUM('02_Данные'!L179:'02_Данные'!AY179)</f>
        <v/>
      </c>
      <c r="E179" s="10">
        <f>MAX(0,D179-C179)</f>
        <v/>
      </c>
      <c r="F179" s="15">
        <f>IF(E179&gt;0.0001,"ДЕФИЦИТ",IF(Y179&gt;0.0001,"ПРОФИЦИТ","БАЛАНС"))</f>
        <v/>
      </c>
      <c r="G179" s="10">
        <f>AB179+AS179+BJ179+CA179+CR179</f>
        <v/>
      </c>
      <c r="H179" s="10">
        <f>AD179+AU179+BL179+CC179+CT179</f>
        <v/>
      </c>
      <c r="I179" s="10">
        <f>AF179+AW179+BN179+CE179+CV179</f>
        <v/>
      </c>
      <c r="J179" s="10">
        <f>AL179+BC179+BT179+CK179+DB179</f>
        <v/>
      </c>
      <c r="K179" s="10">
        <f>AJ179+BA179+BR179+CI179+CZ179</f>
        <v/>
      </c>
      <c r="L179" s="10">
        <f>AN179+BE179+BV179+CM179+DD179</f>
        <v/>
      </c>
      <c r="M179" s="10">
        <f>AP179+BG179+BX179+CO179+DF179</f>
        <v/>
      </c>
      <c r="N179" s="10">
        <f>AH179+AY179+BP179+CG179+CX179</f>
        <v/>
      </c>
      <c r="O179" s="10">
        <f>SUM(G179:N179)</f>
        <v/>
      </c>
      <c r="P179" s="10">
        <f>IFERROR(G179*MIN(1,'01_Нормативы'!$C$4/SUM(G$2:G$429)),0)</f>
        <v/>
      </c>
      <c r="Q179" s="10">
        <f>IFERROR(H179*MIN(1,'01_Нормативы'!$C$5/SUM(H$2:H$429)),0)</f>
        <v/>
      </c>
      <c r="R179" s="10">
        <f>IFERROR(I179*MIN(1,'01_Нормативы'!$C$6/SUM(I$2:I$429)),0)</f>
        <v/>
      </c>
      <c r="S179" s="10">
        <f>IFERROR(J179*MIN(1,'01_Нормативы'!$C$7/SUM(J$2:J$429)),0)</f>
        <v/>
      </c>
      <c r="T179" s="10">
        <f>IFERROR(K179*MIN(1,'01_Нормативы'!$C$8/SUM(K$2:K$429)),0)</f>
        <v/>
      </c>
      <c r="U179" s="10">
        <f>IFERROR(L179*MIN(1,'01_Нормативы'!$C$9/SUM(L$2:L$429)),0)</f>
        <v/>
      </c>
      <c r="V179" s="10">
        <f>IFERROR(M179*MIN(1,'01_Нормативы'!$C$10/SUM(M$2:M$429)),0)</f>
        <v/>
      </c>
      <c r="W179" s="10">
        <f>IFERROR(N179*MIN(1,'01_Нормативы'!$C$11/SUM(N$2:N$429)),0)</f>
        <v/>
      </c>
      <c r="X179" s="10">
        <f>SUM(P179:W179)</f>
        <v/>
      </c>
      <c r="Y179" s="10">
        <f>MAX(0,C179-X179)</f>
        <v/>
      </c>
      <c r="Z179" s="10">
        <f>IF(D179=0,100,X179/D179*100)</f>
        <v/>
      </c>
      <c r="AA179" s="10">
        <f>'02_Данные'!F179+'02_Данные'!G179</f>
        <v/>
      </c>
      <c r="AB179" s="10">
        <f>MIN('02_Данные'!L179,AA179)</f>
        <v/>
      </c>
      <c r="AC179" s="10">
        <f>AA179-AB179</f>
        <v/>
      </c>
      <c r="AD179" s="10">
        <f>MIN('02_Данные'!M179,AC179)</f>
        <v/>
      </c>
      <c r="AE179" s="10">
        <f>AC179-AD179</f>
        <v/>
      </c>
      <c r="AF179" s="10">
        <f>MIN('02_Данные'!N179,AE179)</f>
        <v/>
      </c>
      <c r="AG179" s="10">
        <f>AE179-AF179</f>
        <v/>
      </c>
      <c r="AH179" s="10">
        <f>MIN('02_Данные'!S179,AG179)</f>
        <v/>
      </c>
      <c r="AI179" s="10">
        <f>AG179-AH179</f>
        <v/>
      </c>
      <c r="AJ179" s="10">
        <f>MIN('02_Данные'!P179,AI179)</f>
        <v/>
      </c>
      <c r="AK179" s="10">
        <f>AI179-AJ179</f>
        <v/>
      </c>
      <c r="AL179" s="10">
        <f>MIN('02_Данные'!O179,AK179)</f>
        <v/>
      </c>
      <c r="AM179" s="10">
        <f>AK179-AL179</f>
        <v/>
      </c>
      <c r="AN179" s="10">
        <f>MIN('02_Данные'!Q179,AM179)</f>
        <v/>
      </c>
      <c r="AO179" s="10">
        <f>AM179-AN179</f>
        <v/>
      </c>
      <c r="AP179" s="10">
        <f>MIN('02_Данные'!R179,AO179)</f>
        <v/>
      </c>
      <c r="AQ179" s="10">
        <f>AO179-AP179</f>
        <v/>
      </c>
      <c r="AR179" s="10">
        <f>AQ179+'02_Данные'!H179</f>
        <v/>
      </c>
      <c r="AS179" s="10">
        <f>MIN('02_Данные'!T179,AR179)</f>
        <v/>
      </c>
      <c r="AT179" s="10">
        <f>AR179-AS179</f>
        <v/>
      </c>
      <c r="AU179" s="10">
        <f>MIN('02_Данные'!U179,AT179)</f>
        <v/>
      </c>
      <c r="AV179" s="10">
        <f>AT179-AU179</f>
        <v/>
      </c>
      <c r="AW179" s="10">
        <f>MIN('02_Данные'!V179,AV179)</f>
        <v/>
      </c>
      <c r="AX179" s="10">
        <f>AV179-AW179</f>
        <v/>
      </c>
      <c r="AY179" s="10">
        <f>MIN('02_Данные'!AA179,AX179)</f>
        <v/>
      </c>
      <c r="AZ179" s="10">
        <f>AX179-AY179</f>
        <v/>
      </c>
      <c r="BA179" s="10">
        <f>MIN('02_Данные'!X179,AZ179)</f>
        <v/>
      </c>
      <c r="BB179" s="10">
        <f>AZ179-BA179</f>
        <v/>
      </c>
      <c r="BC179" s="10">
        <f>MIN('02_Данные'!W179,BB179)</f>
        <v/>
      </c>
      <c r="BD179" s="10">
        <f>BB179-BC179</f>
        <v/>
      </c>
      <c r="BE179" s="10">
        <f>MIN('02_Данные'!Y179,BD179)</f>
        <v/>
      </c>
      <c r="BF179" s="10">
        <f>BD179-BE179</f>
        <v/>
      </c>
      <c r="BG179" s="10">
        <f>MIN('02_Данные'!Z179,BF179)</f>
        <v/>
      </c>
      <c r="BH179" s="10">
        <f>BF179-BG179</f>
        <v/>
      </c>
      <c r="BI179" s="10">
        <f>BH179+'02_Данные'!I179</f>
        <v/>
      </c>
      <c r="BJ179" s="10">
        <f>MIN('02_Данные'!AB179,BI179)</f>
        <v/>
      </c>
      <c r="BK179" s="10">
        <f>BI179-BJ179</f>
        <v/>
      </c>
      <c r="BL179" s="10">
        <f>MIN('02_Данные'!AC179,BK179)</f>
        <v/>
      </c>
      <c r="BM179" s="10">
        <f>BK179-BL179</f>
        <v/>
      </c>
      <c r="BN179" s="10">
        <f>MIN('02_Данные'!AD179,BM179)</f>
        <v/>
      </c>
      <c r="BO179" s="10">
        <f>BM179-BN179</f>
        <v/>
      </c>
      <c r="BP179" s="10">
        <f>MIN('02_Данные'!AI179,BO179)</f>
        <v/>
      </c>
      <c r="BQ179" s="10">
        <f>BO179-BP179</f>
        <v/>
      </c>
      <c r="BR179" s="10">
        <f>MIN('02_Данные'!AF179,BQ179)</f>
        <v/>
      </c>
      <c r="BS179" s="10">
        <f>BQ179-BR179</f>
        <v/>
      </c>
      <c r="BT179" s="10">
        <f>MIN('02_Данные'!AE179,BS179)</f>
        <v/>
      </c>
      <c r="BU179" s="10">
        <f>BS179-BT179</f>
        <v/>
      </c>
      <c r="BV179" s="10">
        <f>MIN('02_Данные'!AG179,BU179)</f>
        <v/>
      </c>
      <c r="BW179" s="10">
        <f>BU179-BV179</f>
        <v/>
      </c>
      <c r="BX179" s="10">
        <f>MIN('02_Данные'!AH179,BW179)</f>
        <v/>
      </c>
      <c r="BY179" s="10">
        <f>BW179-BX179</f>
        <v/>
      </c>
      <c r="BZ179" s="10">
        <f>BY179+'02_Данные'!J179</f>
        <v/>
      </c>
      <c r="CA179" s="10">
        <f>MIN('02_Данные'!AJ179,BZ179)</f>
        <v/>
      </c>
      <c r="CB179" s="10">
        <f>BZ179-CA179</f>
        <v/>
      </c>
      <c r="CC179" s="10">
        <f>MIN('02_Данные'!AK179,CB179)</f>
        <v/>
      </c>
      <c r="CD179" s="10">
        <f>CB179-CC179</f>
        <v/>
      </c>
      <c r="CE179" s="10">
        <f>MIN('02_Данные'!AL179,CD179)</f>
        <v/>
      </c>
      <c r="CF179" s="10">
        <f>CD179-CE179</f>
        <v/>
      </c>
      <c r="CG179" s="10">
        <f>MIN('02_Данные'!AQ179,CF179)</f>
        <v/>
      </c>
      <c r="CH179" s="10">
        <f>CF179-CG179</f>
        <v/>
      </c>
      <c r="CI179" s="10">
        <f>MIN('02_Данные'!AN179,CH179)</f>
        <v/>
      </c>
      <c r="CJ179" s="10">
        <f>CH179-CI179</f>
        <v/>
      </c>
      <c r="CK179" s="10">
        <f>MIN('02_Данные'!AM179,CJ179)</f>
        <v/>
      </c>
      <c r="CL179" s="10">
        <f>CJ179-CK179</f>
        <v/>
      </c>
      <c r="CM179" s="10">
        <f>MIN('02_Данные'!AO179,CL179)</f>
        <v/>
      </c>
      <c r="CN179" s="10">
        <f>CL179-CM179</f>
        <v/>
      </c>
      <c r="CO179" s="10">
        <f>MIN('02_Данные'!AP179,CN179)</f>
        <v/>
      </c>
      <c r="CP179" s="10">
        <f>CN179-CO179</f>
        <v/>
      </c>
      <c r="CQ179" s="10">
        <f>CP179+'02_Данные'!K179</f>
        <v/>
      </c>
      <c r="CR179" s="10">
        <f>MIN('02_Данные'!AR179,CQ179)</f>
        <v/>
      </c>
      <c r="CS179" s="10">
        <f>CQ179-CR179</f>
        <v/>
      </c>
      <c r="CT179" s="10">
        <f>MIN('02_Данные'!AS179,CS179)</f>
        <v/>
      </c>
      <c r="CU179" s="10">
        <f>CS179-CT179</f>
        <v/>
      </c>
      <c r="CV179" s="10">
        <f>MIN('02_Данные'!AT179,CU179)</f>
        <v/>
      </c>
      <c r="CW179" s="10">
        <f>CU179-CV179</f>
        <v/>
      </c>
      <c r="CX179" s="10">
        <f>MIN('02_Данные'!AY179,CW179)</f>
        <v/>
      </c>
      <c r="CY179" s="10">
        <f>CW179-CX179</f>
        <v/>
      </c>
      <c r="CZ179" s="10">
        <f>MIN('02_Данные'!AV179,CY179)</f>
        <v/>
      </c>
      <c r="DA179" s="10">
        <f>CY179-CZ179</f>
        <v/>
      </c>
      <c r="DB179" s="10">
        <f>MIN('02_Данные'!AU179,DA179)</f>
        <v/>
      </c>
      <c r="DC179" s="10">
        <f>DA179-DB179</f>
        <v/>
      </c>
      <c r="DD179" s="10">
        <f>MIN('02_Данные'!AW179,DC179)</f>
        <v/>
      </c>
      <c r="DE179" s="10">
        <f>DC179-DD179</f>
        <v/>
      </c>
      <c r="DF179" s="10">
        <f>MIN('02_Данные'!AX179,DE179)</f>
        <v/>
      </c>
      <c r="DG179" s="10">
        <f>DE179-DF179</f>
        <v/>
      </c>
    </row>
    <row r="180">
      <c r="A180" s="9">
        <f>'02_Данные'!B180</f>
        <v/>
      </c>
      <c r="B180" s="9">
        <f>'02_Данные'!E180</f>
        <v/>
      </c>
      <c r="C180" s="10">
        <f>'02_Данные'!F180+'02_Данные'!G180+'02_Данные'!H180+'02_Данные'!I180+'02_Данные'!J180+'02_Данные'!K180</f>
        <v/>
      </c>
      <c r="D180" s="10">
        <f>SUM('02_Данные'!L180:'02_Данные'!AY180)</f>
        <v/>
      </c>
      <c r="E180" s="10">
        <f>MAX(0,D180-C180)</f>
        <v/>
      </c>
      <c r="F180" s="15">
        <f>IF(E180&gt;0.0001,"ДЕФИЦИТ",IF(Y180&gt;0.0001,"ПРОФИЦИТ","БАЛАНС"))</f>
        <v/>
      </c>
      <c r="G180" s="10">
        <f>AB180+AS180+BJ180+CA180+CR180</f>
        <v/>
      </c>
      <c r="H180" s="10">
        <f>AD180+AU180+BL180+CC180+CT180</f>
        <v/>
      </c>
      <c r="I180" s="10">
        <f>AF180+AW180+BN180+CE180+CV180</f>
        <v/>
      </c>
      <c r="J180" s="10">
        <f>AL180+BC180+BT180+CK180+DB180</f>
        <v/>
      </c>
      <c r="K180" s="10">
        <f>AJ180+BA180+BR180+CI180+CZ180</f>
        <v/>
      </c>
      <c r="L180" s="10">
        <f>AN180+BE180+BV180+CM180+DD180</f>
        <v/>
      </c>
      <c r="M180" s="10">
        <f>AP180+BG180+BX180+CO180+DF180</f>
        <v/>
      </c>
      <c r="N180" s="10">
        <f>AH180+AY180+BP180+CG180+CX180</f>
        <v/>
      </c>
      <c r="O180" s="10">
        <f>SUM(G180:N180)</f>
        <v/>
      </c>
      <c r="P180" s="10">
        <f>IFERROR(G180*MIN(1,'01_Нормативы'!$C$4/SUM(G$2:G$429)),0)</f>
        <v/>
      </c>
      <c r="Q180" s="10">
        <f>IFERROR(H180*MIN(1,'01_Нормативы'!$C$5/SUM(H$2:H$429)),0)</f>
        <v/>
      </c>
      <c r="R180" s="10">
        <f>IFERROR(I180*MIN(1,'01_Нормативы'!$C$6/SUM(I$2:I$429)),0)</f>
        <v/>
      </c>
      <c r="S180" s="10">
        <f>IFERROR(J180*MIN(1,'01_Нормативы'!$C$7/SUM(J$2:J$429)),0)</f>
        <v/>
      </c>
      <c r="T180" s="10">
        <f>IFERROR(K180*MIN(1,'01_Нормативы'!$C$8/SUM(K$2:K$429)),0)</f>
        <v/>
      </c>
      <c r="U180" s="10">
        <f>IFERROR(L180*MIN(1,'01_Нормативы'!$C$9/SUM(L$2:L$429)),0)</f>
        <v/>
      </c>
      <c r="V180" s="10">
        <f>IFERROR(M180*MIN(1,'01_Нормативы'!$C$10/SUM(M$2:M$429)),0)</f>
        <v/>
      </c>
      <c r="W180" s="10">
        <f>IFERROR(N180*MIN(1,'01_Нормативы'!$C$11/SUM(N$2:N$429)),0)</f>
        <v/>
      </c>
      <c r="X180" s="10">
        <f>SUM(P180:W180)</f>
        <v/>
      </c>
      <c r="Y180" s="10">
        <f>MAX(0,C180-X180)</f>
        <v/>
      </c>
      <c r="Z180" s="10">
        <f>IF(D180=0,100,X180/D180*100)</f>
        <v/>
      </c>
      <c r="AA180" s="10">
        <f>'02_Данные'!F180+'02_Данные'!G180</f>
        <v/>
      </c>
      <c r="AB180" s="10">
        <f>MIN('02_Данные'!L180,AA180)</f>
        <v/>
      </c>
      <c r="AC180" s="10">
        <f>AA180-AB180</f>
        <v/>
      </c>
      <c r="AD180" s="10">
        <f>MIN('02_Данные'!M180,AC180)</f>
        <v/>
      </c>
      <c r="AE180" s="10">
        <f>AC180-AD180</f>
        <v/>
      </c>
      <c r="AF180" s="10">
        <f>MIN('02_Данные'!N180,AE180)</f>
        <v/>
      </c>
      <c r="AG180" s="10">
        <f>AE180-AF180</f>
        <v/>
      </c>
      <c r="AH180" s="10">
        <f>MIN('02_Данные'!S180,AG180)</f>
        <v/>
      </c>
      <c r="AI180" s="10">
        <f>AG180-AH180</f>
        <v/>
      </c>
      <c r="AJ180" s="10">
        <f>MIN('02_Данные'!P180,AI180)</f>
        <v/>
      </c>
      <c r="AK180" s="10">
        <f>AI180-AJ180</f>
        <v/>
      </c>
      <c r="AL180" s="10">
        <f>MIN('02_Данные'!O180,AK180)</f>
        <v/>
      </c>
      <c r="AM180" s="10">
        <f>AK180-AL180</f>
        <v/>
      </c>
      <c r="AN180" s="10">
        <f>MIN('02_Данные'!Q180,AM180)</f>
        <v/>
      </c>
      <c r="AO180" s="10">
        <f>AM180-AN180</f>
        <v/>
      </c>
      <c r="AP180" s="10">
        <f>MIN('02_Данные'!R180,AO180)</f>
        <v/>
      </c>
      <c r="AQ180" s="10">
        <f>AO180-AP180</f>
        <v/>
      </c>
      <c r="AR180" s="10">
        <f>AQ180+'02_Данные'!H180</f>
        <v/>
      </c>
      <c r="AS180" s="10">
        <f>MIN('02_Данные'!T180,AR180)</f>
        <v/>
      </c>
      <c r="AT180" s="10">
        <f>AR180-AS180</f>
        <v/>
      </c>
      <c r="AU180" s="10">
        <f>MIN('02_Данные'!U180,AT180)</f>
        <v/>
      </c>
      <c r="AV180" s="10">
        <f>AT180-AU180</f>
        <v/>
      </c>
      <c r="AW180" s="10">
        <f>MIN('02_Данные'!V180,AV180)</f>
        <v/>
      </c>
      <c r="AX180" s="10">
        <f>AV180-AW180</f>
        <v/>
      </c>
      <c r="AY180" s="10">
        <f>MIN('02_Данные'!AA180,AX180)</f>
        <v/>
      </c>
      <c r="AZ180" s="10">
        <f>AX180-AY180</f>
        <v/>
      </c>
      <c r="BA180" s="10">
        <f>MIN('02_Данные'!X180,AZ180)</f>
        <v/>
      </c>
      <c r="BB180" s="10">
        <f>AZ180-BA180</f>
        <v/>
      </c>
      <c r="BC180" s="10">
        <f>MIN('02_Данные'!W180,BB180)</f>
        <v/>
      </c>
      <c r="BD180" s="10">
        <f>BB180-BC180</f>
        <v/>
      </c>
      <c r="BE180" s="10">
        <f>MIN('02_Данные'!Y180,BD180)</f>
        <v/>
      </c>
      <c r="BF180" s="10">
        <f>BD180-BE180</f>
        <v/>
      </c>
      <c r="BG180" s="10">
        <f>MIN('02_Данные'!Z180,BF180)</f>
        <v/>
      </c>
      <c r="BH180" s="10">
        <f>BF180-BG180</f>
        <v/>
      </c>
      <c r="BI180" s="10">
        <f>BH180+'02_Данные'!I180</f>
        <v/>
      </c>
      <c r="BJ180" s="10">
        <f>MIN('02_Данные'!AB180,BI180)</f>
        <v/>
      </c>
      <c r="BK180" s="10">
        <f>BI180-BJ180</f>
        <v/>
      </c>
      <c r="BL180" s="10">
        <f>MIN('02_Данные'!AC180,BK180)</f>
        <v/>
      </c>
      <c r="BM180" s="10">
        <f>BK180-BL180</f>
        <v/>
      </c>
      <c r="BN180" s="10">
        <f>MIN('02_Данные'!AD180,BM180)</f>
        <v/>
      </c>
      <c r="BO180" s="10">
        <f>BM180-BN180</f>
        <v/>
      </c>
      <c r="BP180" s="10">
        <f>MIN('02_Данные'!AI180,BO180)</f>
        <v/>
      </c>
      <c r="BQ180" s="10">
        <f>BO180-BP180</f>
        <v/>
      </c>
      <c r="BR180" s="10">
        <f>MIN('02_Данные'!AF180,BQ180)</f>
        <v/>
      </c>
      <c r="BS180" s="10">
        <f>BQ180-BR180</f>
        <v/>
      </c>
      <c r="BT180" s="10">
        <f>MIN('02_Данные'!AE180,BS180)</f>
        <v/>
      </c>
      <c r="BU180" s="10">
        <f>BS180-BT180</f>
        <v/>
      </c>
      <c r="BV180" s="10">
        <f>MIN('02_Данные'!AG180,BU180)</f>
        <v/>
      </c>
      <c r="BW180" s="10">
        <f>BU180-BV180</f>
        <v/>
      </c>
      <c r="BX180" s="10">
        <f>MIN('02_Данные'!AH180,BW180)</f>
        <v/>
      </c>
      <c r="BY180" s="10">
        <f>BW180-BX180</f>
        <v/>
      </c>
      <c r="BZ180" s="10">
        <f>BY180+'02_Данные'!J180</f>
        <v/>
      </c>
      <c r="CA180" s="10">
        <f>MIN('02_Данные'!AJ180,BZ180)</f>
        <v/>
      </c>
      <c r="CB180" s="10">
        <f>BZ180-CA180</f>
        <v/>
      </c>
      <c r="CC180" s="10">
        <f>MIN('02_Данные'!AK180,CB180)</f>
        <v/>
      </c>
      <c r="CD180" s="10">
        <f>CB180-CC180</f>
        <v/>
      </c>
      <c r="CE180" s="10">
        <f>MIN('02_Данные'!AL180,CD180)</f>
        <v/>
      </c>
      <c r="CF180" s="10">
        <f>CD180-CE180</f>
        <v/>
      </c>
      <c r="CG180" s="10">
        <f>MIN('02_Данные'!AQ180,CF180)</f>
        <v/>
      </c>
      <c r="CH180" s="10">
        <f>CF180-CG180</f>
        <v/>
      </c>
      <c r="CI180" s="10">
        <f>MIN('02_Данные'!AN180,CH180)</f>
        <v/>
      </c>
      <c r="CJ180" s="10">
        <f>CH180-CI180</f>
        <v/>
      </c>
      <c r="CK180" s="10">
        <f>MIN('02_Данные'!AM180,CJ180)</f>
        <v/>
      </c>
      <c r="CL180" s="10">
        <f>CJ180-CK180</f>
        <v/>
      </c>
      <c r="CM180" s="10">
        <f>MIN('02_Данные'!AO180,CL180)</f>
        <v/>
      </c>
      <c r="CN180" s="10">
        <f>CL180-CM180</f>
        <v/>
      </c>
      <c r="CO180" s="10">
        <f>MIN('02_Данные'!AP180,CN180)</f>
        <v/>
      </c>
      <c r="CP180" s="10">
        <f>CN180-CO180</f>
        <v/>
      </c>
      <c r="CQ180" s="10">
        <f>CP180+'02_Данные'!K180</f>
        <v/>
      </c>
      <c r="CR180" s="10">
        <f>MIN('02_Данные'!AR180,CQ180)</f>
        <v/>
      </c>
      <c r="CS180" s="10">
        <f>CQ180-CR180</f>
        <v/>
      </c>
      <c r="CT180" s="10">
        <f>MIN('02_Данные'!AS180,CS180)</f>
        <v/>
      </c>
      <c r="CU180" s="10">
        <f>CS180-CT180</f>
        <v/>
      </c>
      <c r="CV180" s="10">
        <f>MIN('02_Данные'!AT180,CU180)</f>
        <v/>
      </c>
      <c r="CW180" s="10">
        <f>CU180-CV180</f>
        <v/>
      </c>
      <c r="CX180" s="10">
        <f>MIN('02_Данные'!AY180,CW180)</f>
        <v/>
      </c>
      <c r="CY180" s="10">
        <f>CW180-CX180</f>
        <v/>
      </c>
      <c r="CZ180" s="10">
        <f>MIN('02_Данные'!AV180,CY180)</f>
        <v/>
      </c>
      <c r="DA180" s="10">
        <f>CY180-CZ180</f>
        <v/>
      </c>
      <c r="DB180" s="10">
        <f>MIN('02_Данные'!AU180,DA180)</f>
        <v/>
      </c>
      <c r="DC180" s="10">
        <f>DA180-DB180</f>
        <v/>
      </c>
      <c r="DD180" s="10">
        <f>MIN('02_Данные'!AW180,DC180)</f>
        <v/>
      </c>
      <c r="DE180" s="10">
        <f>DC180-DD180</f>
        <v/>
      </c>
      <c r="DF180" s="10">
        <f>MIN('02_Данные'!AX180,DE180)</f>
        <v/>
      </c>
      <c r="DG180" s="10">
        <f>DE180-DF180</f>
        <v/>
      </c>
    </row>
    <row r="181">
      <c r="A181" s="9">
        <f>'02_Данные'!B181</f>
        <v/>
      </c>
      <c r="B181" s="9">
        <f>'02_Данные'!E181</f>
        <v/>
      </c>
      <c r="C181" s="10">
        <f>'02_Данные'!F181+'02_Данные'!G181+'02_Данные'!H181+'02_Данные'!I181+'02_Данные'!J181+'02_Данные'!K181</f>
        <v/>
      </c>
      <c r="D181" s="10">
        <f>SUM('02_Данные'!L181:'02_Данные'!AY181)</f>
        <v/>
      </c>
      <c r="E181" s="10">
        <f>MAX(0,D181-C181)</f>
        <v/>
      </c>
      <c r="F181" s="15">
        <f>IF(E181&gt;0.0001,"ДЕФИЦИТ",IF(Y181&gt;0.0001,"ПРОФИЦИТ","БАЛАНС"))</f>
        <v/>
      </c>
      <c r="G181" s="10">
        <f>AB181+AS181+BJ181+CA181+CR181</f>
        <v/>
      </c>
      <c r="H181" s="10">
        <f>AD181+AU181+BL181+CC181+CT181</f>
        <v/>
      </c>
      <c r="I181" s="10">
        <f>AF181+AW181+BN181+CE181+CV181</f>
        <v/>
      </c>
      <c r="J181" s="10">
        <f>AL181+BC181+BT181+CK181+DB181</f>
        <v/>
      </c>
      <c r="K181" s="10">
        <f>AJ181+BA181+BR181+CI181+CZ181</f>
        <v/>
      </c>
      <c r="L181" s="10">
        <f>AN181+BE181+BV181+CM181+DD181</f>
        <v/>
      </c>
      <c r="M181" s="10">
        <f>AP181+BG181+BX181+CO181+DF181</f>
        <v/>
      </c>
      <c r="N181" s="10">
        <f>AH181+AY181+BP181+CG181+CX181</f>
        <v/>
      </c>
      <c r="O181" s="10">
        <f>SUM(G181:N181)</f>
        <v/>
      </c>
      <c r="P181" s="10">
        <f>IFERROR(G181*MIN(1,'01_Нормативы'!$C$4/SUM(G$2:G$429)),0)</f>
        <v/>
      </c>
      <c r="Q181" s="10">
        <f>IFERROR(H181*MIN(1,'01_Нормативы'!$C$5/SUM(H$2:H$429)),0)</f>
        <v/>
      </c>
      <c r="R181" s="10">
        <f>IFERROR(I181*MIN(1,'01_Нормативы'!$C$6/SUM(I$2:I$429)),0)</f>
        <v/>
      </c>
      <c r="S181" s="10">
        <f>IFERROR(J181*MIN(1,'01_Нормативы'!$C$7/SUM(J$2:J$429)),0)</f>
        <v/>
      </c>
      <c r="T181" s="10">
        <f>IFERROR(K181*MIN(1,'01_Нормативы'!$C$8/SUM(K$2:K$429)),0)</f>
        <v/>
      </c>
      <c r="U181" s="10">
        <f>IFERROR(L181*MIN(1,'01_Нормативы'!$C$9/SUM(L$2:L$429)),0)</f>
        <v/>
      </c>
      <c r="V181" s="10">
        <f>IFERROR(M181*MIN(1,'01_Нормативы'!$C$10/SUM(M$2:M$429)),0)</f>
        <v/>
      </c>
      <c r="W181" s="10">
        <f>IFERROR(N181*MIN(1,'01_Нормативы'!$C$11/SUM(N$2:N$429)),0)</f>
        <v/>
      </c>
      <c r="X181" s="10">
        <f>SUM(P181:W181)</f>
        <v/>
      </c>
      <c r="Y181" s="10">
        <f>MAX(0,C181-X181)</f>
        <v/>
      </c>
      <c r="Z181" s="10">
        <f>IF(D181=0,100,X181/D181*100)</f>
        <v/>
      </c>
      <c r="AA181" s="10">
        <f>'02_Данные'!F181+'02_Данные'!G181</f>
        <v/>
      </c>
      <c r="AB181" s="10">
        <f>MIN('02_Данные'!L181,AA181)</f>
        <v/>
      </c>
      <c r="AC181" s="10">
        <f>AA181-AB181</f>
        <v/>
      </c>
      <c r="AD181" s="10">
        <f>MIN('02_Данные'!M181,AC181)</f>
        <v/>
      </c>
      <c r="AE181" s="10">
        <f>AC181-AD181</f>
        <v/>
      </c>
      <c r="AF181" s="10">
        <f>MIN('02_Данные'!N181,AE181)</f>
        <v/>
      </c>
      <c r="AG181" s="10">
        <f>AE181-AF181</f>
        <v/>
      </c>
      <c r="AH181" s="10">
        <f>MIN('02_Данные'!S181,AG181)</f>
        <v/>
      </c>
      <c r="AI181" s="10">
        <f>AG181-AH181</f>
        <v/>
      </c>
      <c r="AJ181" s="10">
        <f>MIN('02_Данные'!P181,AI181)</f>
        <v/>
      </c>
      <c r="AK181" s="10">
        <f>AI181-AJ181</f>
        <v/>
      </c>
      <c r="AL181" s="10">
        <f>MIN('02_Данные'!O181,AK181)</f>
        <v/>
      </c>
      <c r="AM181" s="10">
        <f>AK181-AL181</f>
        <v/>
      </c>
      <c r="AN181" s="10">
        <f>MIN('02_Данные'!Q181,AM181)</f>
        <v/>
      </c>
      <c r="AO181" s="10">
        <f>AM181-AN181</f>
        <v/>
      </c>
      <c r="AP181" s="10">
        <f>MIN('02_Данные'!R181,AO181)</f>
        <v/>
      </c>
      <c r="AQ181" s="10">
        <f>AO181-AP181</f>
        <v/>
      </c>
      <c r="AR181" s="10">
        <f>AQ181+'02_Данные'!H181</f>
        <v/>
      </c>
      <c r="AS181" s="10">
        <f>MIN('02_Данные'!T181,AR181)</f>
        <v/>
      </c>
      <c r="AT181" s="10">
        <f>AR181-AS181</f>
        <v/>
      </c>
      <c r="AU181" s="10">
        <f>MIN('02_Данные'!U181,AT181)</f>
        <v/>
      </c>
      <c r="AV181" s="10">
        <f>AT181-AU181</f>
        <v/>
      </c>
      <c r="AW181" s="10">
        <f>MIN('02_Данные'!V181,AV181)</f>
        <v/>
      </c>
      <c r="AX181" s="10">
        <f>AV181-AW181</f>
        <v/>
      </c>
      <c r="AY181" s="10">
        <f>MIN('02_Данные'!AA181,AX181)</f>
        <v/>
      </c>
      <c r="AZ181" s="10">
        <f>AX181-AY181</f>
        <v/>
      </c>
      <c r="BA181" s="10">
        <f>MIN('02_Данные'!X181,AZ181)</f>
        <v/>
      </c>
      <c r="BB181" s="10">
        <f>AZ181-BA181</f>
        <v/>
      </c>
      <c r="BC181" s="10">
        <f>MIN('02_Данные'!W181,BB181)</f>
        <v/>
      </c>
      <c r="BD181" s="10">
        <f>BB181-BC181</f>
        <v/>
      </c>
      <c r="BE181" s="10">
        <f>MIN('02_Данные'!Y181,BD181)</f>
        <v/>
      </c>
      <c r="BF181" s="10">
        <f>BD181-BE181</f>
        <v/>
      </c>
      <c r="BG181" s="10">
        <f>MIN('02_Данные'!Z181,BF181)</f>
        <v/>
      </c>
      <c r="BH181" s="10">
        <f>BF181-BG181</f>
        <v/>
      </c>
      <c r="BI181" s="10">
        <f>BH181+'02_Данные'!I181</f>
        <v/>
      </c>
      <c r="BJ181" s="10">
        <f>MIN('02_Данные'!AB181,BI181)</f>
        <v/>
      </c>
      <c r="BK181" s="10">
        <f>BI181-BJ181</f>
        <v/>
      </c>
      <c r="BL181" s="10">
        <f>MIN('02_Данные'!AC181,BK181)</f>
        <v/>
      </c>
      <c r="BM181" s="10">
        <f>BK181-BL181</f>
        <v/>
      </c>
      <c r="BN181" s="10">
        <f>MIN('02_Данные'!AD181,BM181)</f>
        <v/>
      </c>
      <c r="BO181" s="10">
        <f>BM181-BN181</f>
        <v/>
      </c>
      <c r="BP181" s="10">
        <f>MIN('02_Данные'!AI181,BO181)</f>
        <v/>
      </c>
      <c r="BQ181" s="10">
        <f>BO181-BP181</f>
        <v/>
      </c>
      <c r="BR181" s="10">
        <f>MIN('02_Данные'!AF181,BQ181)</f>
        <v/>
      </c>
      <c r="BS181" s="10">
        <f>BQ181-BR181</f>
        <v/>
      </c>
      <c r="BT181" s="10">
        <f>MIN('02_Данные'!AE181,BS181)</f>
        <v/>
      </c>
      <c r="BU181" s="10">
        <f>BS181-BT181</f>
        <v/>
      </c>
      <c r="BV181" s="10">
        <f>MIN('02_Данные'!AG181,BU181)</f>
        <v/>
      </c>
      <c r="BW181" s="10">
        <f>BU181-BV181</f>
        <v/>
      </c>
      <c r="BX181" s="10">
        <f>MIN('02_Данные'!AH181,BW181)</f>
        <v/>
      </c>
      <c r="BY181" s="10">
        <f>BW181-BX181</f>
        <v/>
      </c>
      <c r="BZ181" s="10">
        <f>BY181+'02_Данные'!J181</f>
        <v/>
      </c>
      <c r="CA181" s="10">
        <f>MIN('02_Данные'!AJ181,BZ181)</f>
        <v/>
      </c>
      <c r="CB181" s="10">
        <f>BZ181-CA181</f>
        <v/>
      </c>
      <c r="CC181" s="10">
        <f>MIN('02_Данные'!AK181,CB181)</f>
        <v/>
      </c>
      <c r="CD181" s="10">
        <f>CB181-CC181</f>
        <v/>
      </c>
      <c r="CE181" s="10">
        <f>MIN('02_Данные'!AL181,CD181)</f>
        <v/>
      </c>
      <c r="CF181" s="10">
        <f>CD181-CE181</f>
        <v/>
      </c>
      <c r="CG181" s="10">
        <f>MIN('02_Данные'!AQ181,CF181)</f>
        <v/>
      </c>
      <c r="CH181" s="10">
        <f>CF181-CG181</f>
        <v/>
      </c>
      <c r="CI181" s="10">
        <f>MIN('02_Данные'!AN181,CH181)</f>
        <v/>
      </c>
      <c r="CJ181" s="10">
        <f>CH181-CI181</f>
        <v/>
      </c>
      <c r="CK181" s="10">
        <f>MIN('02_Данные'!AM181,CJ181)</f>
        <v/>
      </c>
      <c r="CL181" s="10">
        <f>CJ181-CK181</f>
        <v/>
      </c>
      <c r="CM181" s="10">
        <f>MIN('02_Данные'!AO181,CL181)</f>
        <v/>
      </c>
      <c r="CN181" s="10">
        <f>CL181-CM181</f>
        <v/>
      </c>
      <c r="CO181" s="10">
        <f>MIN('02_Данные'!AP181,CN181)</f>
        <v/>
      </c>
      <c r="CP181" s="10">
        <f>CN181-CO181</f>
        <v/>
      </c>
      <c r="CQ181" s="10">
        <f>CP181+'02_Данные'!K181</f>
        <v/>
      </c>
      <c r="CR181" s="10">
        <f>MIN('02_Данные'!AR181,CQ181)</f>
        <v/>
      </c>
      <c r="CS181" s="10">
        <f>CQ181-CR181</f>
        <v/>
      </c>
      <c r="CT181" s="10">
        <f>MIN('02_Данные'!AS181,CS181)</f>
        <v/>
      </c>
      <c r="CU181" s="10">
        <f>CS181-CT181</f>
        <v/>
      </c>
      <c r="CV181" s="10">
        <f>MIN('02_Данные'!AT181,CU181)</f>
        <v/>
      </c>
      <c r="CW181" s="10">
        <f>CU181-CV181</f>
        <v/>
      </c>
      <c r="CX181" s="10">
        <f>MIN('02_Данные'!AY181,CW181)</f>
        <v/>
      </c>
      <c r="CY181" s="10">
        <f>CW181-CX181</f>
        <v/>
      </c>
      <c r="CZ181" s="10">
        <f>MIN('02_Данные'!AV181,CY181)</f>
        <v/>
      </c>
      <c r="DA181" s="10">
        <f>CY181-CZ181</f>
        <v/>
      </c>
      <c r="DB181" s="10">
        <f>MIN('02_Данные'!AU181,DA181)</f>
        <v/>
      </c>
      <c r="DC181" s="10">
        <f>DA181-DB181</f>
        <v/>
      </c>
      <c r="DD181" s="10">
        <f>MIN('02_Данные'!AW181,DC181)</f>
        <v/>
      </c>
      <c r="DE181" s="10">
        <f>DC181-DD181</f>
        <v/>
      </c>
      <c r="DF181" s="10">
        <f>MIN('02_Данные'!AX181,DE181)</f>
        <v/>
      </c>
      <c r="DG181" s="10">
        <f>DE181-DF181</f>
        <v/>
      </c>
    </row>
    <row r="182">
      <c r="A182" s="9">
        <f>'02_Данные'!B182</f>
        <v/>
      </c>
      <c r="B182" s="9">
        <f>'02_Данные'!E182</f>
        <v/>
      </c>
      <c r="C182" s="10">
        <f>'02_Данные'!F182+'02_Данные'!G182+'02_Данные'!H182+'02_Данные'!I182+'02_Данные'!J182+'02_Данные'!K182</f>
        <v/>
      </c>
      <c r="D182" s="10">
        <f>SUM('02_Данные'!L182:'02_Данные'!AY182)</f>
        <v/>
      </c>
      <c r="E182" s="10">
        <f>MAX(0,D182-C182)</f>
        <v/>
      </c>
      <c r="F182" s="15">
        <f>IF(E182&gt;0.0001,"ДЕФИЦИТ",IF(Y182&gt;0.0001,"ПРОФИЦИТ","БАЛАНС"))</f>
        <v/>
      </c>
      <c r="G182" s="10">
        <f>AB182+AS182+BJ182+CA182+CR182</f>
        <v/>
      </c>
      <c r="H182" s="10">
        <f>AD182+AU182+BL182+CC182+CT182</f>
        <v/>
      </c>
      <c r="I182" s="10">
        <f>AF182+AW182+BN182+CE182+CV182</f>
        <v/>
      </c>
      <c r="J182" s="10">
        <f>AL182+BC182+BT182+CK182+DB182</f>
        <v/>
      </c>
      <c r="K182" s="10">
        <f>AJ182+BA182+BR182+CI182+CZ182</f>
        <v/>
      </c>
      <c r="L182" s="10">
        <f>AN182+BE182+BV182+CM182+DD182</f>
        <v/>
      </c>
      <c r="M182" s="10">
        <f>AP182+BG182+BX182+CO182+DF182</f>
        <v/>
      </c>
      <c r="N182" s="10">
        <f>AH182+AY182+BP182+CG182+CX182</f>
        <v/>
      </c>
      <c r="O182" s="10">
        <f>SUM(G182:N182)</f>
        <v/>
      </c>
      <c r="P182" s="10">
        <f>IFERROR(G182*MIN(1,'01_Нормативы'!$C$4/SUM(G$2:G$429)),0)</f>
        <v/>
      </c>
      <c r="Q182" s="10">
        <f>IFERROR(H182*MIN(1,'01_Нормативы'!$C$5/SUM(H$2:H$429)),0)</f>
        <v/>
      </c>
      <c r="R182" s="10">
        <f>IFERROR(I182*MIN(1,'01_Нормативы'!$C$6/SUM(I$2:I$429)),0)</f>
        <v/>
      </c>
      <c r="S182" s="10">
        <f>IFERROR(J182*MIN(1,'01_Нормативы'!$C$7/SUM(J$2:J$429)),0)</f>
        <v/>
      </c>
      <c r="T182" s="10">
        <f>IFERROR(K182*MIN(1,'01_Нормативы'!$C$8/SUM(K$2:K$429)),0)</f>
        <v/>
      </c>
      <c r="U182" s="10">
        <f>IFERROR(L182*MIN(1,'01_Нормативы'!$C$9/SUM(L$2:L$429)),0)</f>
        <v/>
      </c>
      <c r="V182" s="10">
        <f>IFERROR(M182*MIN(1,'01_Нормативы'!$C$10/SUM(M$2:M$429)),0)</f>
        <v/>
      </c>
      <c r="W182" s="10">
        <f>IFERROR(N182*MIN(1,'01_Нормативы'!$C$11/SUM(N$2:N$429)),0)</f>
        <v/>
      </c>
      <c r="X182" s="10">
        <f>SUM(P182:W182)</f>
        <v/>
      </c>
      <c r="Y182" s="10">
        <f>MAX(0,C182-X182)</f>
        <v/>
      </c>
      <c r="Z182" s="10">
        <f>IF(D182=0,100,X182/D182*100)</f>
        <v/>
      </c>
      <c r="AA182" s="10">
        <f>'02_Данные'!F182+'02_Данные'!G182</f>
        <v/>
      </c>
      <c r="AB182" s="10">
        <f>MIN('02_Данные'!L182,AA182)</f>
        <v/>
      </c>
      <c r="AC182" s="10">
        <f>AA182-AB182</f>
        <v/>
      </c>
      <c r="AD182" s="10">
        <f>MIN('02_Данные'!M182,AC182)</f>
        <v/>
      </c>
      <c r="AE182" s="10">
        <f>AC182-AD182</f>
        <v/>
      </c>
      <c r="AF182" s="10">
        <f>MIN('02_Данные'!N182,AE182)</f>
        <v/>
      </c>
      <c r="AG182" s="10">
        <f>AE182-AF182</f>
        <v/>
      </c>
      <c r="AH182" s="10">
        <f>MIN('02_Данные'!S182,AG182)</f>
        <v/>
      </c>
      <c r="AI182" s="10">
        <f>AG182-AH182</f>
        <v/>
      </c>
      <c r="AJ182" s="10">
        <f>MIN('02_Данные'!P182,AI182)</f>
        <v/>
      </c>
      <c r="AK182" s="10">
        <f>AI182-AJ182</f>
        <v/>
      </c>
      <c r="AL182" s="10">
        <f>MIN('02_Данные'!O182,AK182)</f>
        <v/>
      </c>
      <c r="AM182" s="10">
        <f>AK182-AL182</f>
        <v/>
      </c>
      <c r="AN182" s="10">
        <f>MIN('02_Данные'!Q182,AM182)</f>
        <v/>
      </c>
      <c r="AO182" s="10">
        <f>AM182-AN182</f>
        <v/>
      </c>
      <c r="AP182" s="10">
        <f>MIN('02_Данные'!R182,AO182)</f>
        <v/>
      </c>
      <c r="AQ182" s="10">
        <f>AO182-AP182</f>
        <v/>
      </c>
      <c r="AR182" s="10">
        <f>AQ182+'02_Данные'!H182</f>
        <v/>
      </c>
      <c r="AS182" s="10">
        <f>MIN('02_Данные'!T182,AR182)</f>
        <v/>
      </c>
      <c r="AT182" s="10">
        <f>AR182-AS182</f>
        <v/>
      </c>
      <c r="AU182" s="10">
        <f>MIN('02_Данные'!U182,AT182)</f>
        <v/>
      </c>
      <c r="AV182" s="10">
        <f>AT182-AU182</f>
        <v/>
      </c>
      <c r="AW182" s="10">
        <f>MIN('02_Данные'!V182,AV182)</f>
        <v/>
      </c>
      <c r="AX182" s="10">
        <f>AV182-AW182</f>
        <v/>
      </c>
      <c r="AY182" s="10">
        <f>MIN('02_Данные'!AA182,AX182)</f>
        <v/>
      </c>
      <c r="AZ182" s="10">
        <f>AX182-AY182</f>
        <v/>
      </c>
      <c r="BA182" s="10">
        <f>MIN('02_Данные'!X182,AZ182)</f>
        <v/>
      </c>
      <c r="BB182" s="10">
        <f>AZ182-BA182</f>
        <v/>
      </c>
      <c r="BC182" s="10">
        <f>MIN('02_Данные'!W182,BB182)</f>
        <v/>
      </c>
      <c r="BD182" s="10">
        <f>BB182-BC182</f>
        <v/>
      </c>
      <c r="BE182" s="10">
        <f>MIN('02_Данные'!Y182,BD182)</f>
        <v/>
      </c>
      <c r="BF182" s="10">
        <f>BD182-BE182</f>
        <v/>
      </c>
      <c r="BG182" s="10">
        <f>MIN('02_Данные'!Z182,BF182)</f>
        <v/>
      </c>
      <c r="BH182" s="10">
        <f>BF182-BG182</f>
        <v/>
      </c>
      <c r="BI182" s="10">
        <f>BH182+'02_Данные'!I182</f>
        <v/>
      </c>
      <c r="BJ182" s="10">
        <f>MIN('02_Данные'!AB182,BI182)</f>
        <v/>
      </c>
      <c r="BK182" s="10">
        <f>BI182-BJ182</f>
        <v/>
      </c>
      <c r="BL182" s="10">
        <f>MIN('02_Данные'!AC182,BK182)</f>
        <v/>
      </c>
      <c r="BM182" s="10">
        <f>BK182-BL182</f>
        <v/>
      </c>
      <c r="BN182" s="10">
        <f>MIN('02_Данные'!AD182,BM182)</f>
        <v/>
      </c>
      <c r="BO182" s="10">
        <f>BM182-BN182</f>
        <v/>
      </c>
      <c r="BP182" s="10">
        <f>MIN('02_Данные'!AI182,BO182)</f>
        <v/>
      </c>
      <c r="BQ182" s="10">
        <f>BO182-BP182</f>
        <v/>
      </c>
      <c r="BR182" s="10">
        <f>MIN('02_Данные'!AF182,BQ182)</f>
        <v/>
      </c>
      <c r="BS182" s="10">
        <f>BQ182-BR182</f>
        <v/>
      </c>
      <c r="BT182" s="10">
        <f>MIN('02_Данные'!AE182,BS182)</f>
        <v/>
      </c>
      <c r="BU182" s="10">
        <f>BS182-BT182</f>
        <v/>
      </c>
      <c r="BV182" s="10">
        <f>MIN('02_Данные'!AG182,BU182)</f>
        <v/>
      </c>
      <c r="BW182" s="10">
        <f>BU182-BV182</f>
        <v/>
      </c>
      <c r="BX182" s="10">
        <f>MIN('02_Данные'!AH182,BW182)</f>
        <v/>
      </c>
      <c r="BY182" s="10">
        <f>BW182-BX182</f>
        <v/>
      </c>
      <c r="BZ182" s="10">
        <f>BY182+'02_Данные'!J182</f>
        <v/>
      </c>
      <c r="CA182" s="10">
        <f>MIN('02_Данные'!AJ182,BZ182)</f>
        <v/>
      </c>
      <c r="CB182" s="10">
        <f>BZ182-CA182</f>
        <v/>
      </c>
      <c r="CC182" s="10">
        <f>MIN('02_Данные'!AK182,CB182)</f>
        <v/>
      </c>
      <c r="CD182" s="10">
        <f>CB182-CC182</f>
        <v/>
      </c>
      <c r="CE182" s="10">
        <f>MIN('02_Данные'!AL182,CD182)</f>
        <v/>
      </c>
      <c r="CF182" s="10">
        <f>CD182-CE182</f>
        <v/>
      </c>
      <c r="CG182" s="10">
        <f>MIN('02_Данные'!AQ182,CF182)</f>
        <v/>
      </c>
      <c r="CH182" s="10">
        <f>CF182-CG182</f>
        <v/>
      </c>
      <c r="CI182" s="10">
        <f>MIN('02_Данные'!AN182,CH182)</f>
        <v/>
      </c>
      <c r="CJ182" s="10">
        <f>CH182-CI182</f>
        <v/>
      </c>
      <c r="CK182" s="10">
        <f>MIN('02_Данные'!AM182,CJ182)</f>
        <v/>
      </c>
      <c r="CL182" s="10">
        <f>CJ182-CK182</f>
        <v/>
      </c>
      <c r="CM182" s="10">
        <f>MIN('02_Данные'!AO182,CL182)</f>
        <v/>
      </c>
      <c r="CN182" s="10">
        <f>CL182-CM182</f>
        <v/>
      </c>
      <c r="CO182" s="10">
        <f>MIN('02_Данные'!AP182,CN182)</f>
        <v/>
      </c>
      <c r="CP182" s="10">
        <f>CN182-CO182</f>
        <v/>
      </c>
      <c r="CQ182" s="10">
        <f>CP182+'02_Данные'!K182</f>
        <v/>
      </c>
      <c r="CR182" s="10">
        <f>MIN('02_Данные'!AR182,CQ182)</f>
        <v/>
      </c>
      <c r="CS182" s="10">
        <f>CQ182-CR182</f>
        <v/>
      </c>
      <c r="CT182" s="10">
        <f>MIN('02_Данные'!AS182,CS182)</f>
        <v/>
      </c>
      <c r="CU182" s="10">
        <f>CS182-CT182</f>
        <v/>
      </c>
      <c r="CV182" s="10">
        <f>MIN('02_Данные'!AT182,CU182)</f>
        <v/>
      </c>
      <c r="CW182" s="10">
        <f>CU182-CV182</f>
        <v/>
      </c>
      <c r="CX182" s="10">
        <f>MIN('02_Данные'!AY182,CW182)</f>
        <v/>
      </c>
      <c r="CY182" s="10">
        <f>CW182-CX182</f>
        <v/>
      </c>
      <c r="CZ182" s="10">
        <f>MIN('02_Данные'!AV182,CY182)</f>
        <v/>
      </c>
      <c r="DA182" s="10">
        <f>CY182-CZ182</f>
        <v/>
      </c>
      <c r="DB182" s="10">
        <f>MIN('02_Данные'!AU182,DA182)</f>
        <v/>
      </c>
      <c r="DC182" s="10">
        <f>DA182-DB182</f>
        <v/>
      </c>
      <c r="DD182" s="10">
        <f>MIN('02_Данные'!AW182,DC182)</f>
        <v/>
      </c>
      <c r="DE182" s="10">
        <f>DC182-DD182</f>
        <v/>
      </c>
      <c r="DF182" s="10">
        <f>MIN('02_Данные'!AX182,DE182)</f>
        <v/>
      </c>
      <c r="DG182" s="10">
        <f>DE182-DF182</f>
        <v/>
      </c>
    </row>
    <row r="183">
      <c r="A183" s="9">
        <f>'02_Данные'!B183</f>
        <v/>
      </c>
      <c r="B183" s="9">
        <f>'02_Данные'!E183</f>
        <v/>
      </c>
      <c r="C183" s="10">
        <f>'02_Данные'!F183+'02_Данные'!G183+'02_Данные'!H183+'02_Данные'!I183+'02_Данные'!J183+'02_Данные'!K183</f>
        <v/>
      </c>
      <c r="D183" s="10">
        <f>SUM('02_Данные'!L183:'02_Данные'!AY183)</f>
        <v/>
      </c>
      <c r="E183" s="10">
        <f>MAX(0,D183-C183)</f>
        <v/>
      </c>
      <c r="F183" s="15">
        <f>IF(E183&gt;0.0001,"ДЕФИЦИТ",IF(Y183&gt;0.0001,"ПРОФИЦИТ","БАЛАНС"))</f>
        <v/>
      </c>
      <c r="G183" s="10">
        <f>AB183+AS183+BJ183+CA183+CR183</f>
        <v/>
      </c>
      <c r="H183" s="10">
        <f>AD183+AU183+BL183+CC183+CT183</f>
        <v/>
      </c>
      <c r="I183" s="10">
        <f>AF183+AW183+BN183+CE183+CV183</f>
        <v/>
      </c>
      <c r="J183" s="10">
        <f>AL183+BC183+BT183+CK183+DB183</f>
        <v/>
      </c>
      <c r="K183" s="10">
        <f>AJ183+BA183+BR183+CI183+CZ183</f>
        <v/>
      </c>
      <c r="L183" s="10">
        <f>AN183+BE183+BV183+CM183+DD183</f>
        <v/>
      </c>
      <c r="M183" s="10">
        <f>AP183+BG183+BX183+CO183+DF183</f>
        <v/>
      </c>
      <c r="N183" s="10">
        <f>AH183+AY183+BP183+CG183+CX183</f>
        <v/>
      </c>
      <c r="O183" s="10">
        <f>SUM(G183:N183)</f>
        <v/>
      </c>
      <c r="P183" s="10">
        <f>IFERROR(G183*MIN(1,'01_Нормативы'!$C$4/SUM(G$2:G$429)),0)</f>
        <v/>
      </c>
      <c r="Q183" s="10">
        <f>IFERROR(H183*MIN(1,'01_Нормативы'!$C$5/SUM(H$2:H$429)),0)</f>
        <v/>
      </c>
      <c r="R183" s="10">
        <f>IFERROR(I183*MIN(1,'01_Нормативы'!$C$6/SUM(I$2:I$429)),0)</f>
        <v/>
      </c>
      <c r="S183" s="10">
        <f>IFERROR(J183*MIN(1,'01_Нормативы'!$C$7/SUM(J$2:J$429)),0)</f>
        <v/>
      </c>
      <c r="T183" s="10">
        <f>IFERROR(K183*MIN(1,'01_Нормативы'!$C$8/SUM(K$2:K$429)),0)</f>
        <v/>
      </c>
      <c r="U183" s="10">
        <f>IFERROR(L183*MIN(1,'01_Нормативы'!$C$9/SUM(L$2:L$429)),0)</f>
        <v/>
      </c>
      <c r="V183" s="10">
        <f>IFERROR(M183*MIN(1,'01_Нормативы'!$C$10/SUM(M$2:M$429)),0)</f>
        <v/>
      </c>
      <c r="W183" s="10">
        <f>IFERROR(N183*MIN(1,'01_Нормативы'!$C$11/SUM(N$2:N$429)),0)</f>
        <v/>
      </c>
      <c r="X183" s="10">
        <f>SUM(P183:W183)</f>
        <v/>
      </c>
      <c r="Y183" s="10">
        <f>MAX(0,C183-X183)</f>
        <v/>
      </c>
      <c r="Z183" s="10">
        <f>IF(D183=0,100,X183/D183*100)</f>
        <v/>
      </c>
      <c r="AA183" s="10">
        <f>'02_Данные'!F183+'02_Данные'!G183</f>
        <v/>
      </c>
      <c r="AB183" s="10">
        <f>MIN('02_Данные'!L183,AA183)</f>
        <v/>
      </c>
      <c r="AC183" s="10">
        <f>AA183-AB183</f>
        <v/>
      </c>
      <c r="AD183" s="10">
        <f>MIN('02_Данные'!M183,AC183)</f>
        <v/>
      </c>
      <c r="AE183" s="10">
        <f>AC183-AD183</f>
        <v/>
      </c>
      <c r="AF183" s="10">
        <f>MIN('02_Данные'!N183,AE183)</f>
        <v/>
      </c>
      <c r="AG183" s="10">
        <f>AE183-AF183</f>
        <v/>
      </c>
      <c r="AH183" s="10">
        <f>MIN('02_Данные'!S183,AG183)</f>
        <v/>
      </c>
      <c r="AI183" s="10">
        <f>AG183-AH183</f>
        <v/>
      </c>
      <c r="AJ183" s="10">
        <f>MIN('02_Данные'!P183,AI183)</f>
        <v/>
      </c>
      <c r="AK183" s="10">
        <f>AI183-AJ183</f>
        <v/>
      </c>
      <c r="AL183" s="10">
        <f>MIN('02_Данные'!O183,AK183)</f>
        <v/>
      </c>
      <c r="AM183" s="10">
        <f>AK183-AL183</f>
        <v/>
      </c>
      <c r="AN183" s="10">
        <f>MIN('02_Данные'!Q183,AM183)</f>
        <v/>
      </c>
      <c r="AO183" s="10">
        <f>AM183-AN183</f>
        <v/>
      </c>
      <c r="AP183" s="10">
        <f>MIN('02_Данные'!R183,AO183)</f>
        <v/>
      </c>
      <c r="AQ183" s="10">
        <f>AO183-AP183</f>
        <v/>
      </c>
      <c r="AR183" s="10">
        <f>AQ183+'02_Данные'!H183</f>
        <v/>
      </c>
      <c r="AS183" s="10">
        <f>MIN('02_Данные'!T183,AR183)</f>
        <v/>
      </c>
      <c r="AT183" s="10">
        <f>AR183-AS183</f>
        <v/>
      </c>
      <c r="AU183" s="10">
        <f>MIN('02_Данные'!U183,AT183)</f>
        <v/>
      </c>
      <c r="AV183" s="10">
        <f>AT183-AU183</f>
        <v/>
      </c>
      <c r="AW183" s="10">
        <f>MIN('02_Данные'!V183,AV183)</f>
        <v/>
      </c>
      <c r="AX183" s="10">
        <f>AV183-AW183</f>
        <v/>
      </c>
      <c r="AY183" s="10">
        <f>MIN('02_Данные'!AA183,AX183)</f>
        <v/>
      </c>
      <c r="AZ183" s="10">
        <f>AX183-AY183</f>
        <v/>
      </c>
      <c r="BA183" s="10">
        <f>MIN('02_Данные'!X183,AZ183)</f>
        <v/>
      </c>
      <c r="BB183" s="10">
        <f>AZ183-BA183</f>
        <v/>
      </c>
      <c r="BC183" s="10">
        <f>MIN('02_Данные'!W183,BB183)</f>
        <v/>
      </c>
      <c r="BD183" s="10">
        <f>BB183-BC183</f>
        <v/>
      </c>
      <c r="BE183" s="10">
        <f>MIN('02_Данные'!Y183,BD183)</f>
        <v/>
      </c>
      <c r="BF183" s="10">
        <f>BD183-BE183</f>
        <v/>
      </c>
      <c r="BG183" s="10">
        <f>MIN('02_Данные'!Z183,BF183)</f>
        <v/>
      </c>
      <c r="BH183" s="10">
        <f>BF183-BG183</f>
        <v/>
      </c>
      <c r="BI183" s="10">
        <f>BH183+'02_Данные'!I183</f>
        <v/>
      </c>
      <c r="BJ183" s="10">
        <f>MIN('02_Данные'!AB183,BI183)</f>
        <v/>
      </c>
      <c r="BK183" s="10">
        <f>BI183-BJ183</f>
        <v/>
      </c>
      <c r="BL183" s="10">
        <f>MIN('02_Данные'!AC183,BK183)</f>
        <v/>
      </c>
      <c r="BM183" s="10">
        <f>BK183-BL183</f>
        <v/>
      </c>
      <c r="BN183" s="10">
        <f>MIN('02_Данные'!AD183,BM183)</f>
        <v/>
      </c>
      <c r="BO183" s="10">
        <f>BM183-BN183</f>
        <v/>
      </c>
      <c r="BP183" s="10">
        <f>MIN('02_Данные'!AI183,BO183)</f>
        <v/>
      </c>
      <c r="BQ183" s="10">
        <f>BO183-BP183</f>
        <v/>
      </c>
      <c r="BR183" s="10">
        <f>MIN('02_Данные'!AF183,BQ183)</f>
        <v/>
      </c>
      <c r="BS183" s="10">
        <f>BQ183-BR183</f>
        <v/>
      </c>
      <c r="BT183" s="10">
        <f>MIN('02_Данные'!AE183,BS183)</f>
        <v/>
      </c>
      <c r="BU183" s="10">
        <f>BS183-BT183</f>
        <v/>
      </c>
      <c r="BV183" s="10">
        <f>MIN('02_Данные'!AG183,BU183)</f>
        <v/>
      </c>
      <c r="BW183" s="10">
        <f>BU183-BV183</f>
        <v/>
      </c>
      <c r="BX183" s="10">
        <f>MIN('02_Данные'!AH183,BW183)</f>
        <v/>
      </c>
      <c r="BY183" s="10">
        <f>BW183-BX183</f>
        <v/>
      </c>
      <c r="BZ183" s="10">
        <f>BY183+'02_Данные'!J183</f>
        <v/>
      </c>
      <c r="CA183" s="10">
        <f>MIN('02_Данные'!AJ183,BZ183)</f>
        <v/>
      </c>
      <c r="CB183" s="10">
        <f>BZ183-CA183</f>
        <v/>
      </c>
      <c r="CC183" s="10">
        <f>MIN('02_Данные'!AK183,CB183)</f>
        <v/>
      </c>
      <c r="CD183" s="10">
        <f>CB183-CC183</f>
        <v/>
      </c>
      <c r="CE183" s="10">
        <f>MIN('02_Данные'!AL183,CD183)</f>
        <v/>
      </c>
      <c r="CF183" s="10">
        <f>CD183-CE183</f>
        <v/>
      </c>
      <c r="CG183" s="10">
        <f>MIN('02_Данные'!AQ183,CF183)</f>
        <v/>
      </c>
      <c r="CH183" s="10">
        <f>CF183-CG183</f>
        <v/>
      </c>
      <c r="CI183" s="10">
        <f>MIN('02_Данные'!AN183,CH183)</f>
        <v/>
      </c>
      <c r="CJ183" s="10">
        <f>CH183-CI183</f>
        <v/>
      </c>
      <c r="CK183" s="10">
        <f>MIN('02_Данные'!AM183,CJ183)</f>
        <v/>
      </c>
      <c r="CL183" s="10">
        <f>CJ183-CK183</f>
        <v/>
      </c>
      <c r="CM183" s="10">
        <f>MIN('02_Данные'!AO183,CL183)</f>
        <v/>
      </c>
      <c r="CN183" s="10">
        <f>CL183-CM183</f>
        <v/>
      </c>
      <c r="CO183" s="10">
        <f>MIN('02_Данные'!AP183,CN183)</f>
        <v/>
      </c>
      <c r="CP183" s="10">
        <f>CN183-CO183</f>
        <v/>
      </c>
      <c r="CQ183" s="10">
        <f>CP183+'02_Данные'!K183</f>
        <v/>
      </c>
      <c r="CR183" s="10">
        <f>MIN('02_Данные'!AR183,CQ183)</f>
        <v/>
      </c>
      <c r="CS183" s="10">
        <f>CQ183-CR183</f>
        <v/>
      </c>
      <c r="CT183" s="10">
        <f>MIN('02_Данные'!AS183,CS183)</f>
        <v/>
      </c>
      <c r="CU183" s="10">
        <f>CS183-CT183</f>
        <v/>
      </c>
      <c r="CV183" s="10">
        <f>MIN('02_Данные'!AT183,CU183)</f>
        <v/>
      </c>
      <c r="CW183" s="10">
        <f>CU183-CV183</f>
        <v/>
      </c>
      <c r="CX183" s="10">
        <f>MIN('02_Данные'!AY183,CW183)</f>
        <v/>
      </c>
      <c r="CY183" s="10">
        <f>CW183-CX183</f>
        <v/>
      </c>
      <c r="CZ183" s="10">
        <f>MIN('02_Данные'!AV183,CY183)</f>
        <v/>
      </c>
      <c r="DA183" s="10">
        <f>CY183-CZ183</f>
        <v/>
      </c>
      <c r="DB183" s="10">
        <f>MIN('02_Данные'!AU183,DA183)</f>
        <v/>
      </c>
      <c r="DC183" s="10">
        <f>DA183-DB183</f>
        <v/>
      </c>
      <c r="DD183" s="10">
        <f>MIN('02_Данные'!AW183,DC183)</f>
        <v/>
      </c>
      <c r="DE183" s="10">
        <f>DC183-DD183</f>
        <v/>
      </c>
      <c r="DF183" s="10">
        <f>MIN('02_Данные'!AX183,DE183)</f>
        <v/>
      </c>
      <c r="DG183" s="10">
        <f>DE183-DF183</f>
        <v/>
      </c>
    </row>
    <row r="184">
      <c r="A184" s="9">
        <f>'02_Данные'!B184</f>
        <v/>
      </c>
      <c r="B184" s="9">
        <f>'02_Данные'!E184</f>
        <v/>
      </c>
      <c r="C184" s="10">
        <f>'02_Данные'!F184+'02_Данные'!G184+'02_Данные'!H184+'02_Данные'!I184+'02_Данные'!J184+'02_Данные'!K184</f>
        <v/>
      </c>
      <c r="D184" s="10">
        <f>SUM('02_Данные'!L184:'02_Данные'!AY184)</f>
        <v/>
      </c>
      <c r="E184" s="10">
        <f>MAX(0,D184-C184)</f>
        <v/>
      </c>
      <c r="F184" s="15">
        <f>IF(E184&gt;0.0001,"ДЕФИЦИТ",IF(Y184&gt;0.0001,"ПРОФИЦИТ","БАЛАНС"))</f>
        <v/>
      </c>
      <c r="G184" s="10">
        <f>AB184+AS184+BJ184+CA184+CR184</f>
        <v/>
      </c>
      <c r="H184" s="10">
        <f>AD184+AU184+BL184+CC184+CT184</f>
        <v/>
      </c>
      <c r="I184" s="10">
        <f>AF184+AW184+BN184+CE184+CV184</f>
        <v/>
      </c>
      <c r="J184" s="10">
        <f>AL184+BC184+BT184+CK184+DB184</f>
        <v/>
      </c>
      <c r="K184" s="10">
        <f>AJ184+BA184+BR184+CI184+CZ184</f>
        <v/>
      </c>
      <c r="L184" s="10">
        <f>AN184+BE184+BV184+CM184+DD184</f>
        <v/>
      </c>
      <c r="M184" s="10">
        <f>AP184+BG184+BX184+CO184+DF184</f>
        <v/>
      </c>
      <c r="N184" s="10">
        <f>AH184+AY184+BP184+CG184+CX184</f>
        <v/>
      </c>
      <c r="O184" s="10">
        <f>SUM(G184:N184)</f>
        <v/>
      </c>
      <c r="P184" s="10">
        <f>IFERROR(G184*MIN(1,'01_Нормативы'!$C$4/SUM(G$2:G$429)),0)</f>
        <v/>
      </c>
      <c r="Q184" s="10">
        <f>IFERROR(H184*MIN(1,'01_Нормативы'!$C$5/SUM(H$2:H$429)),0)</f>
        <v/>
      </c>
      <c r="R184" s="10">
        <f>IFERROR(I184*MIN(1,'01_Нормативы'!$C$6/SUM(I$2:I$429)),0)</f>
        <v/>
      </c>
      <c r="S184" s="10">
        <f>IFERROR(J184*MIN(1,'01_Нормативы'!$C$7/SUM(J$2:J$429)),0)</f>
        <v/>
      </c>
      <c r="T184" s="10">
        <f>IFERROR(K184*MIN(1,'01_Нормативы'!$C$8/SUM(K$2:K$429)),0)</f>
        <v/>
      </c>
      <c r="U184" s="10">
        <f>IFERROR(L184*MIN(1,'01_Нормативы'!$C$9/SUM(L$2:L$429)),0)</f>
        <v/>
      </c>
      <c r="V184" s="10">
        <f>IFERROR(M184*MIN(1,'01_Нормативы'!$C$10/SUM(M$2:M$429)),0)</f>
        <v/>
      </c>
      <c r="W184" s="10">
        <f>IFERROR(N184*MIN(1,'01_Нормативы'!$C$11/SUM(N$2:N$429)),0)</f>
        <v/>
      </c>
      <c r="X184" s="10">
        <f>SUM(P184:W184)</f>
        <v/>
      </c>
      <c r="Y184" s="10">
        <f>MAX(0,C184-X184)</f>
        <v/>
      </c>
      <c r="Z184" s="10">
        <f>IF(D184=0,100,X184/D184*100)</f>
        <v/>
      </c>
      <c r="AA184" s="10">
        <f>'02_Данные'!F184+'02_Данные'!G184</f>
        <v/>
      </c>
      <c r="AB184" s="10">
        <f>MIN('02_Данные'!L184,AA184)</f>
        <v/>
      </c>
      <c r="AC184" s="10">
        <f>AA184-AB184</f>
        <v/>
      </c>
      <c r="AD184" s="10">
        <f>MIN('02_Данные'!M184,AC184)</f>
        <v/>
      </c>
      <c r="AE184" s="10">
        <f>AC184-AD184</f>
        <v/>
      </c>
      <c r="AF184" s="10">
        <f>MIN('02_Данные'!N184,AE184)</f>
        <v/>
      </c>
      <c r="AG184" s="10">
        <f>AE184-AF184</f>
        <v/>
      </c>
      <c r="AH184" s="10">
        <f>MIN('02_Данные'!S184,AG184)</f>
        <v/>
      </c>
      <c r="AI184" s="10">
        <f>AG184-AH184</f>
        <v/>
      </c>
      <c r="AJ184" s="10">
        <f>MIN('02_Данные'!P184,AI184)</f>
        <v/>
      </c>
      <c r="AK184" s="10">
        <f>AI184-AJ184</f>
        <v/>
      </c>
      <c r="AL184" s="10">
        <f>MIN('02_Данные'!O184,AK184)</f>
        <v/>
      </c>
      <c r="AM184" s="10">
        <f>AK184-AL184</f>
        <v/>
      </c>
      <c r="AN184" s="10">
        <f>MIN('02_Данные'!Q184,AM184)</f>
        <v/>
      </c>
      <c r="AO184" s="10">
        <f>AM184-AN184</f>
        <v/>
      </c>
      <c r="AP184" s="10">
        <f>MIN('02_Данные'!R184,AO184)</f>
        <v/>
      </c>
      <c r="AQ184" s="10">
        <f>AO184-AP184</f>
        <v/>
      </c>
      <c r="AR184" s="10">
        <f>AQ184+'02_Данные'!H184</f>
        <v/>
      </c>
      <c r="AS184" s="10">
        <f>MIN('02_Данные'!T184,AR184)</f>
        <v/>
      </c>
      <c r="AT184" s="10">
        <f>AR184-AS184</f>
        <v/>
      </c>
      <c r="AU184" s="10">
        <f>MIN('02_Данные'!U184,AT184)</f>
        <v/>
      </c>
      <c r="AV184" s="10">
        <f>AT184-AU184</f>
        <v/>
      </c>
      <c r="AW184" s="10">
        <f>MIN('02_Данные'!V184,AV184)</f>
        <v/>
      </c>
      <c r="AX184" s="10">
        <f>AV184-AW184</f>
        <v/>
      </c>
      <c r="AY184" s="10">
        <f>MIN('02_Данные'!AA184,AX184)</f>
        <v/>
      </c>
      <c r="AZ184" s="10">
        <f>AX184-AY184</f>
        <v/>
      </c>
      <c r="BA184" s="10">
        <f>MIN('02_Данные'!X184,AZ184)</f>
        <v/>
      </c>
      <c r="BB184" s="10">
        <f>AZ184-BA184</f>
        <v/>
      </c>
      <c r="BC184" s="10">
        <f>MIN('02_Данные'!W184,BB184)</f>
        <v/>
      </c>
      <c r="BD184" s="10">
        <f>BB184-BC184</f>
        <v/>
      </c>
      <c r="BE184" s="10">
        <f>MIN('02_Данные'!Y184,BD184)</f>
        <v/>
      </c>
      <c r="BF184" s="10">
        <f>BD184-BE184</f>
        <v/>
      </c>
      <c r="BG184" s="10">
        <f>MIN('02_Данные'!Z184,BF184)</f>
        <v/>
      </c>
      <c r="BH184" s="10">
        <f>BF184-BG184</f>
        <v/>
      </c>
      <c r="BI184" s="10">
        <f>BH184+'02_Данные'!I184</f>
        <v/>
      </c>
      <c r="BJ184" s="10">
        <f>MIN('02_Данные'!AB184,BI184)</f>
        <v/>
      </c>
      <c r="BK184" s="10">
        <f>BI184-BJ184</f>
        <v/>
      </c>
      <c r="BL184" s="10">
        <f>MIN('02_Данные'!AC184,BK184)</f>
        <v/>
      </c>
      <c r="BM184" s="10">
        <f>BK184-BL184</f>
        <v/>
      </c>
      <c r="BN184" s="10">
        <f>MIN('02_Данные'!AD184,BM184)</f>
        <v/>
      </c>
      <c r="BO184" s="10">
        <f>BM184-BN184</f>
        <v/>
      </c>
      <c r="BP184" s="10">
        <f>MIN('02_Данные'!AI184,BO184)</f>
        <v/>
      </c>
      <c r="BQ184" s="10">
        <f>BO184-BP184</f>
        <v/>
      </c>
      <c r="BR184" s="10">
        <f>MIN('02_Данные'!AF184,BQ184)</f>
        <v/>
      </c>
      <c r="BS184" s="10">
        <f>BQ184-BR184</f>
        <v/>
      </c>
      <c r="BT184" s="10">
        <f>MIN('02_Данные'!AE184,BS184)</f>
        <v/>
      </c>
      <c r="BU184" s="10">
        <f>BS184-BT184</f>
        <v/>
      </c>
      <c r="BV184" s="10">
        <f>MIN('02_Данные'!AG184,BU184)</f>
        <v/>
      </c>
      <c r="BW184" s="10">
        <f>BU184-BV184</f>
        <v/>
      </c>
      <c r="BX184" s="10">
        <f>MIN('02_Данные'!AH184,BW184)</f>
        <v/>
      </c>
      <c r="BY184" s="10">
        <f>BW184-BX184</f>
        <v/>
      </c>
      <c r="BZ184" s="10">
        <f>BY184+'02_Данные'!J184</f>
        <v/>
      </c>
      <c r="CA184" s="10">
        <f>MIN('02_Данные'!AJ184,BZ184)</f>
        <v/>
      </c>
      <c r="CB184" s="10">
        <f>BZ184-CA184</f>
        <v/>
      </c>
      <c r="CC184" s="10">
        <f>MIN('02_Данные'!AK184,CB184)</f>
        <v/>
      </c>
      <c r="CD184" s="10">
        <f>CB184-CC184</f>
        <v/>
      </c>
      <c r="CE184" s="10">
        <f>MIN('02_Данные'!AL184,CD184)</f>
        <v/>
      </c>
      <c r="CF184" s="10">
        <f>CD184-CE184</f>
        <v/>
      </c>
      <c r="CG184" s="10">
        <f>MIN('02_Данные'!AQ184,CF184)</f>
        <v/>
      </c>
      <c r="CH184" s="10">
        <f>CF184-CG184</f>
        <v/>
      </c>
      <c r="CI184" s="10">
        <f>MIN('02_Данные'!AN184,CH184)</f>
        <v/>
      </c>
      <c r="CJ184" s="10">
        <f>CH184-CI184</f>
        <v/>
      </c>
      <c r="CK184" s="10">
        <f>MIN('02_Данные'!AM184,CJ184)</f>
        <v/>
      </c>
      <c r="CL184" s="10">
        <f>CJ184-CK184</f>
        <v/>
      </c>
      <c r="CM184" s="10">
        <f>MIN('02_Данные'!AO184,CL184)</f>
        <v/>
      </c>
      <c r="CN184" s="10">
        <f>CL184-CM184</f>
        <v/>
      </c>
      <c r="CO184" s="10">
        <f>MIN('02_Данные'!AP184,CN184)</f>
        <v/>
      </c>
      <c r="CP184" s="10">
        <f>CN184-CO184</f>
        <v/>
      </c>
      <c r="CQ184" s="10">
        <f>CP184+'02_Данные'!K184</f>
        <v/>
      </c>
      <c r="CR184" s="10">
        <f>MIN('02_Данные'!AR184,CQ184)</f>
        <v/>
      </c>
      <c r="CS184" s="10">
        <f>CQ184-CR184</f>
        <v/>
      </c>
      <c r="CT184" s="10">
        <f>MIN('02_Данные'!AS184,CS184)</f>
        <v/>
      </c>
      <c r="CU184" s="10">
        <f>CS184-CT184</f>
        <v/>
      </c>
      <c r="CV184" s="10">
        <f>MIN('02_Данные'!AT184,CU184)</f>
        <v/>
      </c>
      <c r="CW184" s="10">
        <f>CU184-CV184</f>
        <v/>
      </c>
      <c r="CX184" s="10">
        <f>MIN('02_Данные'!AY184,CW184)</f>
        <v/>
      </c>
      <c r="CY184" s="10">
        <f>CW184-CX184</f>
        <v/>
      </c>
      <c r="CZ184" s="10">
        <f>MIN('02_Данные'!AV184,CY184)</f>
        <v/>
      </c>
      <c r="DA184" s="10">
        <f>CY184-CZ184</f>
        <v/>
      </c>
      <c r="DB184" s="10">
        <f>MIN('02_Данные'!AU184,DA184)</f>
        <v/>
      </c>
      <c r="DC184" s="10">
        <f>DA184-DB184</f>
        <v/>
      </c>
      <c r="DD184" s="10">
        <f>MIN('02_Данные'!AW184,DC184)</f>
        <v/>
      </c>
      <c r="DE184" s="10">
        <f>DC184-DD184</f>
        <v/>
      </c>
      <c r="DF184" s="10">
        <f>MIN('02_Данные'!AX184,DE184)</f>
        <v/>
      </c>
      <c r="DG184" s="10">
        <f>DE184-DF184</f>
        <v/>
      </c>
    </row>
    <row r="185">
      <c r="A185" s="9">
        <f>'02_Данные'!B185</f>
        <v/>
      </c>
      <c r="B185" s="9">
        <f>'02_Данные'!E185</f>
        <v/>
      </c>
      <c r="C185" s="10">
        <f>'02_Данные'!F185+'02_Данные'!G185+'02_Данные'!H185+'02_Данные'!I185+'02_Данные'!J185+'02_Данные'!K185</f>
        <v/>
      </c>
      <c r="D185" s="10">
        <f>SUM('02_Данные'!L185:'02_Данные'!AY185)</f>
        <v/>
      </c>
      <c r="E185" s="10">
        <f>MAX(0,D185-C185)</f>
        <v/>
      </c>
      <c r="F185" s="15">
        <f>IF(E185&gt;0.0001,"ДЕФИЦИТ",IF(Y185&gt;0.0001,"ПРОФИЦИТ","БАЛАНС"))</f>
        <v/>
      </c>
      <c r="G185" s="10">
        <f>AB185+AS185+BJ185+CA185+CR185</f>
        <v/>
      </c>
      <c r="H185" s="10">
        <f>AD185+AU185+BL185+CC185+CT185</f>
        <v/>
      </c>
      <c r="I185" s="10">
        <f>AF185+AW185+BN185+CE185+CV185</f>
        <v/>
      </c>
      <c r="J185" s="10">
        <f>AL185+BC185+BT185+CK185+DB185</f>
        <v/>
      </c>
      <c r="K185" s="10">
        <f>AJ185+BA185+BR185+CI185+CZ185</f>
        <v/>
      </c>
      <c r="L185" s="10">
        <f>AN185+BE185+BV185+CM185+DD185</f>
        <v/>
      </c>
      <c r="M185" s="10">
        <f>AP185+BG185+BX185+CO185+DF185</f>
        <v/>
      </c>
      <c r="N185" s="10">
        <f>AH185+AY185+BP185+CG185+CX185</f>
        <v/>
      </c>
      <c r="O185" s="10">
        <f>SUM(G185:N185)</f>
        <v/>
      </c>
      <c r="P185" s="10">
        <f>IFERROR(G185*MIN(1,'01_Нормативы'!$C$4/SUM(G$2:G$429)),0)</f>
        <v/>
      </c>
      <c r="Q185" s="10">
        <f>IFERROR(H185*MIN(1,'01_Нормативы'!$C$5/SUM(H$2:H$429)),0)</f>
        <v/>
      </c>
      <c r="R185" s="10">
        <f>IFERROR(I185*MIN(1,'01_Нормативы'!$C$6/SUM(I$2:I$429)),0)</f>
        <v/>
      </c>
      <c r="S185" s="10">
        <f>IFERROR(J185*MIN(1,'01_Нормативы'!$C$7/SUM(J$2:J$429)),0)</f>
        <v/>
      </c>
      <c r="T185" s="10">
        <f>IFERROR(K185*MIN(1,'01_Нормативы'!$C$8/SUM(K$2:K$429)),0)</f>
        <v/>
      </c>
      <c r="U185" s="10">
        <f>IFERROR(L185*MIN(1,'01_Нормативы'!$C$9/SUM(L$2:L$429)),0)</f>
        <v/>
      </c>
      <c r="V185" s="10">
        <f>IFERROR(M185*MIN(1,'01_Нормативы'!$C$10/SUM(M$2:M$429)),0)</f>
        <v/>
      </c>
      <c r="W185" s="10">
        <f>IFERROR(N185*MIN(1,'01_Нормативы'!$C$11/SUM(N$2:N$429)),0)</f>
        <v/>
      </c>
      <c r="X185" s="10">
        <f>SUM(P185:W185)</f>
        <v/>
      </c>
      <c r="Y185" s="10">
        <f>MAX(0,C185-X185)</f>
        <v/>
      </c>
      <c r="Z185" s="10">
        <f>IF(D185=0,100,X185/D185*100)</f>
        <v/>
      </c>
      <c r="AA185" s="10">
        <f>'02_Данные'!F185+'02_Данные'!G185</f>
        <v/>
      </c>
      <c r="AB185" s="10">
        <f>MIN('02_Данные'!L185,AA185)</f>
        <v/>
      </c>
      <c r="AC185" s="10">
        <f>AA185-AB185</f>
        <v/>
      </c>
      <c r="AD185" s="10">
        <f>MIN('02_Данные'!M185,AC185)</f>
        <v/>
      </c>
      <c r="AE185" s="10">
        <f>AC185-AD185</f>
        <v/>
      </c>
      <c r="AF185" s="10">
        <f>MIN('02_Данные'!N185,AE185)</f>
        <v/>
      </c>
      <c r="AG185" s="10">
        <f>AE185-AF185</f>
        <v/>
      </c>
      <c r="AH185" s="10">
        <f>MIN('02_Данные'!S185,AG185)</f>
        <v/>
      </c>
      <c r="AI185" s="10">
        <f>AG185-AH185</f>
        <v/>
      </c>
      <c r="AJ185" s="10">
        <f>MIN('02_Данные'!P185,AI185)</f>
        <v/>
      </c>
      <c r="AK185" s="10">
        <f>AI185-AJ185</f>
        <v/>
      </c>
      <c r="AL185" s="10">
        <f>MIN('02_Данные'!O185,AK185)</f>
        <v/>
      </c>
      <c r="AM185" s="10">
        <f>AK185-AL185</f>
        <v/>
      </c>
      <c r="AN185" s="10">
        <f>MIN('02_Данные'!Q185,AM185)</f>
        <v/>
      </c>
      <c r="AO185" s="10">
        <f>AM185-AN185</f>
        <v/>
      </c>
      <c r="AP185" s="10">
        <f>MIN('02_Данные'!R185,AO185)</f>
        <v/>
      </c>
      <c r="AQ185" s="10">
        <f>AO185-AP185</f>
        <v/>
      </c>
      <c r="AR185" s="10">
        <f>AQ185+'02_Данные'!H185</f>
        <v/>
      </c>
      <c r="AS185" s="10">
        <f>MIN('02_Данные'!T185,AR185)</f>
        <v/>
      </c>
      <c r="AT185" s="10">
        <f>AR185-AS185</f>
        <v/>
      </c>
      <c r="AU185" s="10">
        <f>MIN('02_Данные'!U185,AT185)</f>
        <v/>
      </c>
      <c r="AV185" s="10">
        <f>AT185-AU185</f>
        <v/>
      </c>
      <c r="AW185" s="10">
        <f>MIN('02_Данные'!V185,AV185)</f>
        <v/>
      </c>
      <c r="AX185" s="10">
        <f>AV185-AW185</f>
        <v/>
      </c>
      <c r="AY185" s="10">
        <f>MIN('02_Данные'!AA185,AX185)</f>
        <v/>
      </c>
      <c r="AZ185" s="10">
        <f>AX185-AY185</f>
        <v/>
      </c>
      <c r="BA185" s="10">
        <f>MIN('02_Данные'!X185,AZ185)</f>
        <v/>
      </c>
      <c r="BB185" s="10">
        <f>AZ185-BA185</f>
        <v/>
      </c>
      <c r="BC185" s="10">
        <f>MIN('02_Данные'!W185,BB185)</f>
        <v/>
      </c>
      <c r="BD185" s="10">
        <f>BB185-BC185</f>
        <v/>
      </c>
      <c r="BE185" s="10">
        <f>MIN('02_Данные'!Y185,BD185)</f>
        <v/>
      </c>
      <c r="BF185" s="10">
        <f>BD185-BE185</f>
        <v/>
      </c>
      <c r="BG185" s="10">
        <f>MIN('02_Данные'!Z185,BF185)</f>
        <v/>
      </c>
      <c r="BH185" s="10">
        <f>BF185-BG185</f>
        <v/>
      </c>
      <c r="BI185" s="10">
        <f>BH185+'02_Данные'!I185</f>
        <v/>
      </c>
      <c r="BJ185" s="10">
        <f>MIN('02_Данные'!AB185,BI185)</f>
        <v/>
      </c>
      <c r="BK185" s="10">
        <f>BI185-BJ185</f>
        <v/>
      </c>
      <c r="BL185" s="10">
        <f>MIN('02_Данные'!AC185,BK185)</f>
        <v/>
      </c>
      <c r="BM185" s="10">
        <f>BK185-BL185</f>
        <v/>
      </c>
      <c r="BN185" s="10">
        <f>MIN('02_Данные'!AD185,BM185)</f>
        <v/>
      </c>
      <c r="BO185" s="10">
        <f>BM185-BN185</f>
        <v/>
      </c>
      <c r="BP185" s="10">
        <f>MIN('02_Данные'!AI185,BO185)</f>
        <v/>
      </c>
      <c r="BQ185" s="10">
        <f>BO185-BP185</f>
        <v/>
      </c>
      <c r="BR185" s="10">
        <f>MIN('02_Данные'!AF185,BQ185)</f>
        <v/>
      </c>
      <c r="BS185" s="10">
        <f>BQ185-BR185</f>
        <v/>
      </c>
      <c r="BT185" s="10">
        <f>MIN('02_Данные'!AE185,BS185)</f>
        <v/>
      </c>
      <c r="BU185" s="10">
        <f>BS185-BT185</f>
        <v/>
      </c>
      <c r="BV185" s="10">
        <f>MIN('02_Данные'!AG185,BU185)</f>
        <v/>
      </c>
      <c r="BW185" s="10">
        <f>BU185-BV185</f>
        <v/>
      </c>
      <c r="BX185" s="10">
        <f>MIN('02_Данные'!AH185,BW185)</f>
        <v/>
      </c>
      <c r="BY185" s="10">
        <f>BW185-BX185</f>
        <v/>
      </c>
      <c r="BZ185" s="10">
        <f>BY185+'02_Данные'!J185</f>
        <v/>
      </c>
      <c r="CA185" s="10">
        <f>MIN('02_Данные'!AJ185,BZ185)</f>
        <v/>
      </c>
      <c r="CB185" s="10">
        <f>BZ185-CA185</f>
        <v/>
      </c>
      <c r="CC185" s="10">
        <f>MIN('02_Данные'!AK185,CB185)</f>
        <v/>
      </c>
      <c r="CD185" s="10">
        <f>CB185-CC185</f>
        <v/>
      </c>
      <c r="CE185" s="10">
        <f>MIN('02_Данные'!AL185,CD185)</f>
        <v/>
      </c>
      <c r="CF185" s="10">
        <f>CD185-CE185</f>
        <v/>
      </c>
      <c r="CG185" s="10">
        <f>MIN('02_Данные'!AQ185,CF185)</f>
        <v/>
      </c>
      <c r="CH185" s="10">
        <f>CF185-CG185</f>
        <v/>
      </c>
      <c r="CI185" s="10">
        <f>MIN('02_Данные'!AN185,CH185)</f>
        <v/>
      </c>
      <c r="CJ185" s="10">
        <f>CH185-CI185</f>
        <v/>
      </c>
      <c r="CK185" s="10">
        <f>MIN('02_Данные'!AM185,CJ185)</f>
        <v/>
      </c>
      <c r="CL185" s="10">
        <f>CJ185-CK185</f>
        <v/>
      </c>
      <c r="CM185" s="10">
        <f>MIN('02_Данные'!AO185,CL185)</f>
        <v/>
      </c>
      <c r="CN185" s="10">
        <f>CL185-CM185</f>
        <v/>
      </c>
      <c r="CO185" s="10">
        <f>MIN('02_Данные'!AP185,CN185)</f>
        <v/>
      </c>
      <c r="CP185" s="10">
        <f>CN185-CO185</f>
        <v/>
      </c>
      <c r="CQ185" s="10">
        <f>CP185+'02_Данные'!K185</f>
        <v/>
      </c>
      <c r="CR185" s="10">
        <f>MIN('02_Данные'!AR185,CQ185)</f>
        <v/>
      </c>
      <c r="CS185" s="10">
        <f>CQ185-CR185</f>
        <v/>
      </c>
      <c r="CT185" s="10">
        <f>MIN('02_Данные'!AS185,CS185)</f>
        <v/>
      </c>
      <c r="CU185" s="10">
        <f>CS185-CT185</f>
        <v/>
      </c>
      <c r="CV185" s="10">
        <f>MIN('02_Данные'!AT185,CU185)</f>
        <v/>
      </c>
      <c r="CW185" s="10">
        <f>CU185-CV185</f>
        <v/>
      </c>
      <c r="CX185" s="10">
        <f>MIN('02_Данные'!AY185,CW185)</f>
        <v/>
      </c>
      <c r="CY185" s="10">
        <f>CW185-CX185</f>
        <v/>
      </c>
      <c r="CZ185" s="10">
        <f>MIN('02_Данные'!AV185,CY185)</f>
        <v/>
      </c>
      <c r="DA185" s="10">
        <f>CY185-CZ185</f>
        <v/>
      </c>
      <c r="DB185" s="10">
        <f>MIN('02_Данные'!AU185,DA185)</f>
        <v/>
      </c>
      <c r="DC185" s="10">
        <f>DA185-DB185</f>
        <v/>
      </c>
      <c r="DD185" s="10">
        <f>MIN('02_Данные'!AW185,DC185)</f>
        <v/>
      </c>
      <c r="DE185" s="10">
        <f>DC185-DD185</f>
        <v/>
      </c>
      <c r="DF185" s="10">
        <f>MIN('02_Данные'!AX185,DE185)</f>
        <v/>
      </c>
      <c r="DG185" s="10">
        <f>DE185-DF185</f>
        <v/>
      </c>
    </row>
    <row r="186">
      <c r="A186" s="9">
        <f>'02_Данные'!B186</f>
        <v/>
      </c>
      <c r="B186" s="9">
        <f>'02_Данные'!E186</f>
        <v/>
      </c>
      <c r="C186" s="10">
        <f>'02_Данные'!F186+'02_Данные'!G186+'02_Данные'!H186+'02_Данные'!I186+'02_Данные'!J186+'02_Данные'!K186</f>
        <v/>
      </c>
      <c r="D186" s="10">
        <f>SUM('02_Данные'!L186:'02_Данные'!AY186)</f>
        <v/>
      </c>
      <c r="E186" s="10">
        <f>MAX(0,D186-C186)</f>
        <v/>
      </c>
      <c r="F186" s="15">
        <f>IF(E186&gt;0.0001,"ДЕФИЦИТ",IF(Y186&gt;0.0001,"ПРОФИЦИТ","БАЛАНС"))</f>
        <v/>
      </c>
      <c r="G186" s="10">
        <f>AB186+AS186+BJ186+CA186+CR186</f>
        <v/>
      </c>
      <c r="H186" s="10">
        <f>AD186+AU186+BL186+CC186+CT186</f>
        <v/>
      </c>
      <c r="I186" s="10">
        <f>AF186+AW186+BN186+CE186+CV186</f>
        <v/>
      </c>
      <c r="J186" s="10">
        <f>AL186+BC186+BT186+CK186+DB186</f>
        <v/>
      </c>
      <c r="K186" s="10">
        <f>AJ186+BA186+BR186+CI186+CZ186</f>
        <v/>
      </c>
      <c r="L186" s="10">
        <f>AN186+BE186+BV186+CM186+DD186</f>
        <v/>
      </c>
      <c r="M186" s="10">
        <f>AP186+BG186+BX186+CO186+DF186</f>
        <v/>
      </c>
      <c r="N186" s="10">
        <f>AH186+AY186+BP186+CG186+CX186</f>
        <v/>
      </c>
      <c r="O186" s="10">
        <f>SUM(G186:N186)</f>
        <v/>
      </c>
      <c r="P186" s="10">
        <f>IFERROR(G186*MIN(1,'01_Нормативы'!$C$4/SUM(G$2:G$429)),0)</f>
        <v/>
      </c>
      <c r="Q186" s="10">
        <f>IFERROR(H186*MIN(1,'01_Нормативы'!$C$5/SUM(H$2:H$429)),0)</f>
        <v/>
      </c>
      <c r="R186" s="10">
        <f>IFERROR(I186*MIN(1,'01_Нормативы'!$C$6/SUM(I$2:I$429)),0)</f>
        <v/>
      </c>
      <c r="S186" s="10">
        <f>IFERROR(J186*MIN(1,'01_Нормативы'!$C$7/SUM(J$2:J$429)),0)</f>
        <v/>
      </c>
      <c r="T186" s="10">
        <f>IFERROR(K186*MIN(1,'01_Нормативы'!$C$8/SUM(K$2:K$429)),0)</f>
        <v/>
      </c>
      <c r="U186" s="10">
        <f>IFERROR(L186*MIN(1,'01_Нормативы'!$C$9/SUM(L$2:L$429)),0)</f>
        <v/>
      </c>
      <c r="V186" s="10">
        <f>IFERROR(M186*MIN(1,'01_Нормативы'!$C$10/SUM(M$2:M$429)),0)</f>
        <v/>
      </c>
      <c r="W186" s="10">
        <f>IFERROR(N186*MIN(1,'01_Нормативы'!$C$11/SUM(N$2:N$429)),0)</f>
        <v/>
      </c>
      <c r="X186" s="10">
        <f>SUM(P186:W186)</f>
        <v/>
      </c>
      <c r="Y186" s="10">
        <f>MAX(0,C186-X186)</f>
        <v/>
      </c>
      <c r="Z186" s="10">
        <f>IF(D186=0,100,X186/D186*100)</f>
        <v/>
      </c>
      <c r="AA186" s="10">
        <f>'02_Данные'!F186+'02_Данные'!G186</f>
        <v/>
      </c>
      <c r="AB186" s="10">
        <f>MIN('02_Данные'!L186,AA186)</f>
        <v/>
      </c>
      <c r="AC186" s="10">
        <f>AA186-AB186</f>
        <v/>
      </c>
      <c r="AD186" s="10">
        <f>MIN('02_Данные'!M186,AC186)</f>
        <v/>
      </c>
      <c r="AE186" s="10">
        <f>AC186-AD186</f>
        <v/>
      </c>
      <c r="AF186" s="10">
        <f>MIN('02_Данные'!N186,AE186)</f>
        <v/>
      </c>
      <c r="AG186" s="10">
        <f>AE186-AF186</f>
        <v/>
      </c>
      <c r="AH186" s="10">
        <f>MIN('02_Данные'!S186,AG186)</f>
        <v/>
      </c>
      <c r="AI186" s="10">
        <f>AG186-AH186</f>
        <v/>
      </c>
      <c r="AJ186" s="10">
        <f>MIN('02_Данные'!P186,AI186)</f>
        <v/>
      </c>
      <c r="AK186" s="10">
        <f>AI186-AJ186</f>
        <v/>
      </c>
      <c r="AL186" s="10">
        <f>MIN('02_Данные'!O186,AK186)</f>
        <v/>
      </c>
      <c r="AM186" s="10">
        <f>AK186-AL186</f>
        <v/>
      </c>
      <c r="AN186" s="10">
        <f>MIN('02_Данные'!Q186,AM186)</f>
        <v/>
      </c>
      <c r="AO186" s="10">
        <f>AM186-AN186</f>
        <v/>
      </c>
      <c r="AP186" s="10">
        <f>MIN('02_Данные'!R186,AO186)</f>
        <v/>
      </c>
      <c r="AQ186" s="10">
        <f>AO186-AP186</f>
        <v/>
      </c>
      <c r="AR186" s="10">
        <f>AQ186+'02_Данные'!H186</f>
        <v/>
      </c>
      <c r="AS186" s="10">
        <f>MIN('02_Данные'!T186,AR186)</f>
        <v/>
      </c>
      <c r="AT186" s="10">
        <f>AR186-AS186</f>
        <v/>
      </c>
      <c r="AU186" s="10">
        <f>MIN('02_Данные'!U186,AT186)</f>
        <v/>
      </c>
      <c r="AV186" s="10">
        <f>AT186-AU186</f>
        <v/>
      </c>
      <c r="AW186" s="10">
        <f>MIN('02_Данные'!V186,AV186)</f>
        <v/>
      </c>
      <c r="AX186" s="10">
        <f>AV186-AW186</f>
        <v/>
      </c>
      <c r="AY186" s="10">
        <f>MIN('02_Данные'!AA186,AX186)</f>
        <v/>
      </c>
      <c r="AZ186" s="10">
        <f>AX186-AY186</f>
        <v/>
      </c>
      <c r="BA186" s="10">
        <f>MIN('02_Данные'!X186,AZ186)</f>
        <v/>
      </c>
      <c r="BB186" s="10">
        <f>AZ186-BA186</f>
        <v/>
      </c>
      <c r="BC186" s="10">
        <f>MIN('02_Данные'!W186,BB186)</f>
        <v/>
      </c>
      <c r="BD186" s="10">
        <f>BB186-BC186</f>
        <v/>
      </c>
      <c r="BE186" s="10">
        <f>MIN('02_Данные'!Y186,BD186)</f>
        <v/>
      </c>
      <c r="BF186" s="10">
        <f>BD186-BE186</f>
        <v/>
      </c>
      <c r="BG186" s="10">
        <f>MIN('02_Данные'!Z186,BF186)</f>
        <v/>
      </c>
      <c r="BH186" s="10">
        <f>BF186-BG186</f>
        <v/>
      </c>
      <c r="BI186" s="10">
        <f>BH186+'02_Данные'!I186</f>
        <v/>
      </c>
      <c r="BJ186" s="10">
        <f>MIN('02_Данные'!AB186,BI186)</f>
        <v/>
      </c>
      <c r="BK186" s="10">
        <f>BI186-BJ186</f>
        <v/>
      </c>
      <c r="BL186" s="10">
        <f>MIN('02_Данные'!AC186,BK186)</f>
        <v/>
      </c>
      <c r="BM186" s="10">
        <f>BK186-BL186</f>
        <v/>
      </c>
      <c r="BN186" s="10">
        <f>MIN('02_Данные'!AD186,BM186)</f>
        <v/>
      </c>
      <c r="BO186" s="10">
        <f>BM186-BN186</f>
        <v/>
      </c>
      <c r="BP186" s="10">
        <f>MIN('02_Данные'!AI186,BO186)</f>
        <v/>
      </c>
      <c r="BQ186" s="10">
        <f>BO186-BP186</f>
        <v/>
      </c>
      <c r="BR186" s="10">
        <f>MIN('02_Данные'!AF186,BQ186)</f>
        <v/>
      </c>
      <c r="BS186" s="10">
        <f>BQ186-BR186</f>
        <v/>
      </c>
      <c r="BT186" s="10">
        <f>MIN('02_Данные'!AE186,BS186)</f>
        <v/>
      </c>
      <c r="BU186" s="10">
        <f>BS186-BT186</f>
        <v/>
      </c>
      <c r="BV186" s="10">
        <f>MIN('02_Данные'!AG186,BU186)</f>
        <v/>
      </c>
      <c r="BW186" s="10">
        <f>BU186-BV186</f>
        <v/>
      </c>
      <c r="BX186" s="10">
        <f>MIN('02_Данные'!AH186,BW186)</f>
        <v/>
      </c>
      <c r="BY186" s="10">
        <f>BW186-BX186</f>
        <v/>
      </c>
      <c r="BZ186" s="10">
        <f>BY186+'02_Данные'!J186</f>
        <v/>
      </c>
      <c r="CA186" s="10">
        <f>MIN('02_Данные'!AJ186,BZ186)</f>
        <v/>
      </c>
      <c r="CB186" s="10">
        <f>BZ186-CA186</f>
        <v/>
      </c>
      <c r="CC186" s="10">
        <f>MIN('02_Данные'!AK186,CB186)</f>
        <v/>
      </c>
      <c r="CD186" s="10">
        <f>CB186-CC186</f>
        <v/>
      </c>
      <c r="CE186" s="10">
        <f>MIN('02_Данные'!AL186,CD186)</f>
        <v/>
      </c>
      <c r="CF186" s="10">
        <f>CD186-CE186</f>
        <v/>
      </c>
      <c r="CG186" s="10">
        <f>MIN('02_Данные'!AQ186,CF186)</f>
        <v/>
      </c>
      <c r="CH186" s="10">
        <f>CF186-CG186</f>
        <v/>
      </c>
      <c r="CI186" s="10">
        <f>MIN('02_Данные'!AN186,CH186)</f>
        <v/>
      </c>
      <c r="CJ186" s="10">
        <f>CH186-CI186</f>
        <v/>
      </c>
      <c r="CK186" s="10">
        <f>MIN('02_Данные'!AM186,CJ186)</f>
        <v/>
      </c>
      <c r="CL186" s="10">
        <f>CJ186-CK186</f>
        <v/>
      </c>
      <c r="CM186" s="10">
        <f>MIN('02_Данные'!AO186,CL186)</f>
        <v/>
      </c>
      <c r="CN186" s="10">
        <f>CL186-CM186</f>
        <v/>
      </c>
      <c r="CO186" s="10">
        <f>MIN('02_Данные'!AP186,CN186)</f>
        <v/>
      </c>
      <c r="CP186" s="10">
        <f>CN186-CO186</f>
        <v/>
      </c>
      <c r="CQ186" s="10">
        <f>CP186+'02_Данные'!K186</f>
        <v/>
      </c>
      <c r="CR186" s="10">
        <f>MIN('02_Данные'!AR186,CQ186)</f>
        <v/>
      </c>
      <c r="CS186" s="10">
        <f>CQ186-CR186</f>
        <v/>
      </c>
      <c r="CT186" s="10">
        <f>MIN('02_Данные'!AS186,CS186)</f>
        <v/>
      </c>
      <c r="CU186" s="10">
        <f>CS186-CT186</f>
        <v/>
      </c>
      <c r="CV186" s="10">
        <f>MIN('02_Данные'!AT186,CU186)</f>
        <v/>
      </c>
      <c r="CW186" s="10">
        <f>CU186-CV186</f>
        <v/>
      </c>
      <c r="CX186" s="10">
        <f>MIN('02_Данные'!AY186,CW186)</f>
        <v/>
      </c>
      <c r="CY186" s="10">
        <f>CW186-CX186</f>
        <v/>
      </c>
      <c r="CZ186" s="10">
        <f>MIN('02_Данные'!AV186,CY186)</f>
        <v/>
      </c>
      <c r="DA186" s="10">
        <f>CY186-CZ186</f>
        <v/>
      </c>
      <c r="DB186" s="10">
        <f>MIN('02_Данные'!AU186,DA186)</f>
        <v/>
      </c>
      <c r="DC186" s="10">
        <f>DA186-DB186</f>
        <v/>
      </c>
      <c r="DD186" s="10">
        <f>MIN('02_Данные'!AW186,DC186)</f>
        <v/>
      </c>
      <c r="DE186" s="10">
        <f>DC186-DD186</f>
        <v/>
      </c>
      <c r="DF186" s="10">
        <f>MIN('02_Данные'!AX186,DE186)</f>
        <v/>
      </c>
      <c r="DG186" s="10">
        <f>DE186-DF186</f>
        <v/>
      </c>
    </row>
    <row r="187">
      <c r="A187" s="9">
        <f>'02_Данные'!B187</f>
        <v/>
      </c>
      <c r="B187" s="9">
        <f>'02_Данные'!E187</f>
        <v/>
      </c>
      <c r="C187" s="10">
        <f>'02_Данные'!F187+'02_Данные'!G187+'02_Данные'!H187+'02_Данные'!I187+'02_Данные'!J187+'02_Данные'!K187</f>
        <v/>
      </c>
      <c r="D187" s="10">
        <f>SUM('02_Данные'!L187:'02_Данные'!AY187)</f>
        <v/>
      </c>
      <c r="E187" s="10">
        <f>MAX(0,D187-C187)</f>
        <v/>
      </c>
      <c r="F187" s="15">
        <f>IF(E187&gt;0.0001,"ДЕФИЦИТ",IF(Y187&gt;0.0001,"ПРОФИЦИТ","БАЛАНС"))</f>
        <v/>
      </c>
      <c r="G187" s="10">
        <f>AB187+AS187+BJ187+CA187+CR187</f>
        <v/>
      </c>
      <c r="H187" s="10">
        <f>AD187+AU187+BL187+CC187+CT187</f>
        <v/>
      </c>
      <c r="I187" s="10">
        <f>AF187+AW187+BN187+CE187+CV187</f>
        <v/>
      </c>
      <c r="J187" s="10">
        <f>AL187+BC187+BT187+CK187+DB187</f>
        <v/>
      </c>
      <c r="K187" s="10">
        <f>AJ187+BA187+BR187+CI187+CZ187</f>
        <v/>
      </c>
      <c r="L187" s="10">
        <f>AN187+BE187+BV187+CM187+DD187</f>
        <v/>
      </c>
      <c r="M187" s="10">
        <f>AP187+BG187+BX187+CO187+DF187</f>
        <v/>
      </c>
      <c r="N187" s="10">
        <f>AH187+AY187+BP187+CG187+CX187</f>
        <v/>
      </c>
      <c r="O187" s="10">
        <f>SUM(G187:N187)</f>
        <v/>
      </c>
      <c r="P187" s="10">
        <f>IFERROR(G187*MIN(1,'01_Нормативы'!$C$4/SUM(G$2:G$429)),0)</f>
        <v/>
      </c>
      <c r="Q187" s="10">
        <f>IFERROR(H187*MIN(1,'01_Нормативы'!$C$5/SUM(H$2:H$429)),0)</f>
        <v/>
      </c>
      <c r="R187" s="10">
        <f>IFERROR(I187*MIN(1,'01_Нормативы'!$C$6/SUM(I$2:I$429)),0)</f>
        <v/>
      </c>
      <c r="S187" s="10">
        <f>IFERROR(J187*MIN(1,'01_Нормативы'!$C$7/SUM(J$2:J$429)),0)</f>
        <v/>
      </c>
      <c r="T187" s="10">
        <f>IFERROR(K187*MIN(1,'01_Нормативы'!$C$8/SUM(K$2:K$429)),0)</f>
        <v/>
      </c>
      <c r="U187" s="10">
        <f>IFERROR(L187*MIN(1,'01_Нормативы'!$C$9/SUM(L$2:L$429)),0)</f>
        <v/>
      </c>
      <c r="V187" s="10">
        <f>IFERROR(M187*MIN(1,'01_Нормативы'!$C$10/SUM(M$2:M$429)),0)</f>
        <v/>
      </c>
      <c r="W187" s="10">
        <f>IFERROR(N187*MIN(1,'01_Нормативы'!$C$11/SUM(N$2:N$429)),0)</f>
        <v/>
      </c>
      <c r="X187" s="10">
        <f>SUM(P187:W187)</f>
        <v/>
      </c>
      <c r="Y187" s="10">
        <f>MAX(0,C187-X187)</f>
        <v/>
      </c>
      <c r="Z187" s="10">
        <f>IF(D187=0,100,X187/D187*100)</f>
        <v/>
      </c>
      <c r="AA187" s="10">
        <f>'02_Данные'!F187+'02_Данные'!G187</f>
        <v/>
      </c>
      <c r="AB187" s="10">
        <f>MIN('02_Данные'!L187,AA187)</f>
        <v/>
      </c>
      <c r="AC187" s="10">
        <f>AA187-AB187</f>
        <v/>
      </c>
      <c r="AD187" s="10">
        <f>MIN('02_Данные'!M187,AC187)</f>
        <v/>
      </c>
      <c r="AE187" s="10">
        <f>AC187-AD187</f>
        <v/>
      </c>
      <c r="AF187" s="10">
        <f>MIN('02_Данные'!N187,AE187)</f>
        <v/>
      </c>
      <c r="AG187" s="10">
        <f>AE187-AF187</f>
        <v/>
      </c>
      <c r="AH187" s="10">
        <f>MIN('02_Данные'!S187,AG187)</f>
        <v/>
      </c>
      <c r="AI187" s="10">
        <f>AG187-AH187</f>
        <v/>
      </c>
      <c r="AJ187" s="10">
        <f>MIN('02_Данные'!P187,AI187)</f>
        <v/>
      </c>
      <c r="AK187" s="10">
        <f>AI187-AJ187</f>
        <v/>
      </c>
      <c r="AL187" s="10">
        <f>MIN('02_Данные'!O187,AK187)</f>
        <v/>
      </c>
      <c r="AM187" s="10">
        <f>AK187-AL187</f>
        <v/>
      </c>
      <c r="AN187" s="10">
        <f>MIN('02_Данные'!Q187,AM187)</f>
        <v/>
      </c>
      <c r="AO187" s="10">
        <f>AM187-AN187</f>
        <v/>
      </c>
      <c r="AP187" s="10">
        <f>MIN('02_Данные'!R187,AO187)</f>
        <v/>
      </c>
      <c r="AQ187" s="10">
        <f>AO187-AP187</f>
        <v/>
      </c>
      <c r="AR187" s="10">
        <f>AQ187+'02_Данные'!H187</f>
        <v/>
      </c>
      <c r="AS187" s="10">
        <f>MIN('02_Данные'!T187,AR187)</f>
        <v/>
      </c>
      <c r="AT187" s="10">
        <f>AR187-AS187</f>
        <v/>
      </c>
      <c r="AU187" s="10">
        <f>MIN('02_Данные'!U187,AT187)</f>
        <v/>
      </c>
      <c r="AV187" s="10">
        <f>AT187-AU187</f>
        <v/>
      </c>
      <c r="AW187" s="10">
        <f>MIN('02_Данные'!V187,AV187)</f>
        <v/>
      </c>
      <c r="AX187" s="10">
        <f>AV187-AW187</f>
        <v/>
      </c>
      <c r="AY187" s="10">
        <f>MIN('02_Данные'!AA187,AX187)</f>
        <v/>
      </c>
      <c r="AZ187" s="10">
        <f>AX187-AY187</f>
        <v/>
      </c>
      <c r="BA187" s="10">
        <f>MIN('02_Данные'!X187,AZ187)</f>
        <v/>
      </c>
      <c r="BB187" s="10">
        <f>AZ187-BA187</f>
        <v/>
      </c>
      <c r="BC187" s="10">
        <f>MIN('02_Данные'!W187,BB187)</f>
        <v/>
      </c>
      <c r="BD187" s="10">
        <f>BB187-BC187</f>
        <v/>
      </c>
      <c r="BE187" s="10">
        <f>MIN('02_Данные'!Y187,BD187)</f>
        <v/>
      </c>
      <c r="BF187" s="10">
        <f>BD187-BE187</f>
        <v/>
      </c>
      <c r="BG187" s="10">
        <f>MIN('02_Данные'!Z187,BF187)</f>
        <v/>
      </c>
      <c r="BH187" s="10">
        <f>BF187-BG187</f>
        <v/>
      </c>
      <c r="BI187" s="10">
        <f>BH187+'02_Данные'!I187</f>
        <v/>
      </c>
      <c r="BJ187" s="10">
        <f>MIN('02_Данные'!AB187,BI187)</f>
        <v/>
      </c>
      <c r="BK187" s="10">
        <f>BI187-BJ187</f>
        <v/>
      </c>
      <c r="BL187" s="10">
        <f>MIN('02_Данные'!AC187,BK187)</f>
        <v/>
      </c>
      <c r="BM187" s="10">
        <f>BK187-BL187</f>
        <v/>
      </c>
      <c r="BN187" s="10">
        <f>MIN('02_Данные'!AD187,BM187)</f>
        <v/>
      </c>
      <c r="BO187" s="10">
        <f>BM187-BN187</f>
        <v/>
      </c>
      <c r="BP187" s="10">
        <f>MIN('02_Данные'!AI187,BO187)</f>
        <v/>
      </c>
      <c r="BQ187" s="10">
        <f>BO187-BP187</f>
        <v/>
      </c>
      <c r="BR187" s="10">
        <f>MIN('02_Данные'!AF187,BQ187)</f>
        <v/>
      </c>
      <c r="BS187" s="10">
        <f>BQ187-BR187</f>
        <v/>
      </c>
      <c r="BT187" s="10">
        <f>MIN('02_Данные'!AE187,BS187)</f>
        <v/>
      </c>
      <c r="BU187" s="10">
        <f>BS187-BT187</f>
        <v/>
      </c>
      <c r="BV187" s="10">
        <f>MIN('02_Данные'!AG187,BU187)</f>
        <v/>
      </c>
      <c r="BW187" s="10">
        <f>BU187-BV187</f>
        <v/>
      </c>
      <c r="BX187" s="10">
        <f>MIN('02_Данные'!AH187,BW187)</f>
        <v/>
      </c>
      <c r="BY187" s="10">
        <f>BW187-BX187</f>
        <v/>
      </c>
      <c r="BZ187" s="10">
        <f>BY187+'02_Данные'!J187</f>
        <v/>
      </c>
      <c r="CA187" s="10">
        <f>MIN('02_Данные'!AJ187,BZ187)</f>
        <v/>
      </c>
      <c r="CB187" s="10">
        <f>BZ187-CA187</f>
        <v/>
      </c>
      <c r="CC187" s="10">
        <f>MIN('02_Данные'!AK187,CB187)</f>
        <v/>
      </c>
      <c r="CD187" s="10">
        <f>CB187-CC187</f>
        <v/>
      </c>
      <c r="CE187" s="10">
        <f>MIN('02_Данные'!AL187,CD187)</f>
        <v/>
      </c>
      <c r="CF187" s="10">
        <f>CD187-CE187</f>
        <v/>
      </c>
      <c r="CG187" s="10">
        <f>MIN('02_Данные'!AQ187,CF187)</f>
        <v/>
      </c>
      <c r="CH187" s="10">
        <f>CF187-CG187</f>
        <v/>
      </c>
      <c r="CI187" s="10">
        <f>MIN('02_Данные'!AN187,CH187)</f>
        <v/>
      </c>
      <c r="CJ187" s="10">
        <f>CH187-CI187</f>
        <v/>
      </c>
      <c r="CK187" s="10">
        <f>MIN('02_Данные'!AM187,CJ187)</f>
        <v/>
      </c>
      <c r="CL187" s="10">
        <f>CJ187-CK187</f>
        <v/>
      </c>
      <c r="CM187" s="10">
        <f>MIN('02_Данные'!AO187,CL187)</f>
        <v/>
      </c>
      <c r="CN187" s="10">
        <f>CL187-CM187</f>
        <v/>
      </c>
      <c r="CO187" s="10">
        <f>MIN('02_Данные'!AP187,CN187)</f>
        <v/>
      </c>
      <c r="CP187" s="10">
        <f>CN187-CO187</f>
        <v/>
      </c>
      <c r="CQ187" s="10">
        <f>CP187+'02_Данные'!K187</f>
        <v/>
      </c>
      <c r="CR187" s="10">
        <f>MIN('02_Данные'!AR187,CQ187)</f>
        <v/>
      </c>
      <c r="CS187" s="10">
        <f>CQ187-CR187</f>
        <v/>
      </c>
      <c r="CT187" s="10">
        <f>MIN('02_Данные'!AS187,CS187)</f>
        <v/>
      </c>
      <c r="CU187" s="10">
        <f>CS187-CT187</f>
        <v/>
      </c>
      <c r="CV187" s="10">
        <f>MIN('02_Данные'!AT187,CU187)</f>
        <v/>
      </c>
      <c r="CW187" s="10">
        <f>CU187-CV187</f>
        <v/>
      </c>
      <c r="CX187" s="10">
        <f>MIN('02_Данные'!AY187,CW187)</f>
        <v/>
      </c>
      <c r="CY187" s="10">
        <f>CW187-CX187</f>
        <v/>
      </c>
      <c r="CZ187" s="10">
        <f>MIN('02_Данные'!AV187,CY187)</f>
        <v/>
      </c>
      <c r="DA187" s="10">
        <f>CY187-CZ187</f>
        <v/>
      </c>
      <c r="DB187" s="10">
        <f>MIN('02_Данные'!AU187,DA187)</f>
        <v/>
      </c>
      <c r="DC187" s="10">
        <f>DA187-DB187</f>
        <v/>
      </c>
      <c r="DD187" s="10">
        <f>MIN('02_Данные'!AW187,DC187)</f>
        <v/>
      </c>
      <c r="DE187" s="10">
        <f>DC187-DD187</f>
        <v/>
      </c>
      <c r="DF187" s="10">
        <f>MIN('02_Данные'!AX187,DE187)</f>
        <v/>
      </c>
      <c r="DG187" s="10">
        <f>DE187-DF187</f>
        <v/>
      </c>
    </row>
    <row r="188">
      <c r="A188" s="9">
        <f>'02_Данные'!B188</f>
        <v/>
      </c>
      <c r="B188" s="9">
        <f>'02_Данные'!E188</f>
        <v/>
      </c>
      <c r="C188" s="10">
        <f>'02_Данные'!F188+'02_Данные'!G188+'02_Данные'!H188+'02_Данные'!I188+'02_Данные'!J188+'02_Данные'!K188</f>
        <v/>
      </c>
      <c r="D188" s="10">
        <f>SUM('02_Данные'!L188:'02_Данные'!AY188)</f>
        <v/>
      </c>
      <c r="E188" s="10">
        <f>MAX(0,D188-C188)</f>
        <v/>
      </c>
      <c r="F188" s="15">
        <f>IF(E188&gt;0.0001,"ДЕФИЦИТ",IF(Y188&gt;0.0001,"ПРОФИЦИТ","БАЛАНС"))</f>
        <v/>
      </c>
      <c r="G188" s="10">
        <f>AB188+AS188+BJ188+CA188+CR188</f>
        <v/>
      </c>
      <c r="H188" s="10">
        <f>AD188+AU188+BL188+CC188+CT188</f>
        <v/>
      </c>
      <c r="I188" s="10">
        <f>AF188+AW188+BN188+CE188+CV188</f>
        <v/>
      </c>
      <c r="J188" s="10">
        <f>AL188+BC188+BT188+CK188+DB188</f>
        <v/>
      </c>
      <c r="K188" s="10">
        <f>AJ188+BA188+BR188+CI188+CZ188</f>
        <v/>
      </c>
      <c r="L188" s="10">
        <f>AN188+BE188+BV188+CM188+DD188</f>
        <v/>
      </c>
      <c r="M188" s="10">
        <f>AP188+BG188+BX188+CO188+DF188</f>
        <v/>
      </c>
      <c r="N188" s="10">
        <f>AH188+AY188+BP188+CG188+CX188</f>
        <v/>
      </c>
      <c r="O188" s="10">
        <f>SUM(G188:N188)</f>
        <v/>
      </c>
      <c r="P188" s="10">
        <f>IFERROR(G188*MIN(1,'01_Нормативы'!$C$4/SUM(G$2:G$429)),0)</f>
        <v/>
      </c>
      <c r="Q188" s="10">
        <f>IFERROR(H188*MIN(1,'01_Нормативы'!$C$5/SUM(H$2:H$429)),0)</f>
        <v/>
      </c>
      <c r="R188" s="10">
        <f>IFERROR(I188*MIN(1,'01_Нормативы'!$C$6/SUM(I$2:I$429)),0)</f>
        <v/>
      </c>
      <c r="S188" s="10">
        <f>IFERROR(J188*MIN(1,'01_Нормативы'!$C$7/SUM(J$2:J$429)),0)</f>
        <v/>
      </c>
      <c r="T188" s="10">
        <f>IFERROR(K188*MIN(1,'01_Нормативы'!$C$8/SUM(K$2:K$429)),0)</f>
        <v/>
      </c>
      <c r="U188" s="10">
        <f>IFERROR(L188*MIN(1,'01_Нормативы'!$C$9/SUM(L$2:L$429)),0)</f>
        <v/>
      </c>
      <c r="V188" s="10">
        <f>IFERROR(M188*MIN(1,'01_Нормативы'!$C$10/SUM(M$2:M$429)),0)</f>
        <v/>
      </c>
      <c r="W188" s="10">
        <f>IFERROR(N188*MIN(1,'01_Нормативы'!$C$11/SUM(N$2:N$429)),0)</f>
        <v/>
      </c>
      <c r="X188" s="10">
        <f>SUM(P188:W188)</f>
        <v/>
      </c>
      <c r="Y188" s="10">
        <f>MAX(0,C188-X188)</f>
        <v/>
      </c>
      <c r="Z188" s="10">
        <f>IF(D188=0,100,X188/D188*100)</f>
        <v/>
      </c>
      <c r="AA188" s="10">
        <f>'02_Данные'!F188+'02_Данные'!G188</f>
        <v/>
      </c>
      <c r="AB188" s="10">
        <f>MIN('02_Данные'!L188,AA188)</f>
        <v/>
      </c>
      <c r="AC188" s="10">
        <f>AA188-AB188</f>
        <v/>
      </c>
      <c r="AD188" s="10">
        <f>MIN('02_Данные'!M188,AC188)</f>
        <v/>
      </c>
      <c r="AE188" s="10">
        <f>AC188-AD188</f>
        <v/>
      </c>
      <c r="AF188" s="10">
        <f>MIN('02_Данные'!N188,AE188)</f>
        <v/>
      </c>
      <c r="AG188" s="10">
        <f>AE188-AF188</f>
        <v/>
      </c>
      <c r="AH188" s="10">
        <f>MIN('02_Данные'!S188,AG188)</f>
        <v/>
      </c>
      <c r="AI188" s="10">
        <f>AG188-AH188</f>
        <v/>
      </c>
      <c r="AJ188" s="10">
        <f>MIN('02_Данные'!P188,AI188)</f>
        <v/>
      </c>
      <c r="AK188" s="10">
        <f>AI188-AJ188</f>
        <v/>
      </c>
      <c r="AL188" s="10">
        <f>MIN('02_Данные'!O188,AK188)</f>
        <v/>
      </c>
      <c r="AM188" s="10">
        <f>AK188-AL188</f>
        <v/>
      </c>
      <c r="AN188" s="10">
        <f>MIN('02_Данные'!Q188,AM188)</f>
        <v/>
      </c>
      <c r="AO188" s="10">
        <f>AM188-AN188</f>
        <v/>
      </c>
      <c r="AP188" s="10">
        <f>MIN('02_Данные'!R188,AO188)</f>
        <v/>
      </c>
      <c r="AQ188" s="10">
        <f>AO188-AP188</f>
        <v/>
      </c>
      <c r="AR188" s="10">
        <f>AQ188+'02_Данные'!H188</f>
        <v/>
      </c>
      <c r="AS188" s="10">
        <f>MIN('02_Данные'!T188,AR188)</f>
        <v/>
      </c>
      <c r="AT188" s="10">
        <f>AR188-AS188</f>
        <v/>
      </c>
      <c r="AU188" s="10">
        <f>MIN('02_Данные'!U188,AT188)</f>
        <v/>
      </c>
      <c r="AV188" s="10">
        <f>AT188-AU188</f>
        <v/>
      </c>
      <c r="AW188" s="10">
        <f>MIN('02_Данные'!V188,AV188)</f>
        <v/>
      </c>
      <c r="AX188" s="10">
        <f>AV188-AW188</f>
        <v/>
      </c>
      <c r="AY188" s="10">
        <f>MIN('02_Данные'!AA188,AX188)</f>
        <v/>
      </c>
      <c r="AZ188" s="10">
        <f>AX188-AY188</f>
        <v/>
      </c>
      <c r="BA188" s="10">
        <f>MIN('02_Данные'!X188,AZ188)</f>
        <v/>
      </c>
      <c r="BB188" s="10">
        <f>AZ188-BA188</f>
        <v/>
      </c>
      <c r="BC188" s="10">
        <f>MIN('02_Данные'!W188,BB188)</f>
        <v/>
      </c>
      <c r="BD188" s="10">
        <f>BB188-BC188</f>
        <v/>
      </c>
      <c r="BE188" s="10">
        <f>MIN('02_Данные'!Y188,BD188)</f>
        <v/>
      </c>
      <c r="BF188" s="10">
        <f>BD188-BE188</f>
        <v/>
      </c>
      <c r="BG188" s="10">
        <f>MIN('02_Данные'!Z188,BF188)</f>
        <v/>
      </c>
      <c r="BH188" s="10">
        <f>BF188-BG188</f>
        <v/>
      </c>
      <c r="BI188" s="10">
        <f>BH188+'02_Данные'!I188</f>
        <v/>
      </c>
      <c r="BJ188" s="10">
        <f>MIN('02_Данные'!AB188,BI188)</f>
        <v/>
      </c>
      <c r="BK188" s="10">
        <f>BI188-BJ188</f>
        <v/>
      </c>
      <c r="BL188" s="10">
        <f>MIN('02_Данные'!AC188,BK188)</f>
        <v/>
      </c>
      <c r="BM188" s="10">
        <f>BK188-BL188</f>
        <v/>
      </c>
      <c r="BN188" s="10">
        <f>MIN('02_Данные'!AD188,BM188)</f>
        <v/>
      </c>
      <c r="BO188" s="10">
        <f>BM188-BN188</f>
        <v/>
      </c>
      <c r="BP188" s="10">
        <f>MIN('02_Данные'!AI188,BO188)</f>
        <v/>
      </c>
      <c r="BQ188" s="10">
        <f>BO188-BP188</f>
        <v/>
      </c>
      <c r="BR188" s="10">
        <f>MIN('02_Данные'!AF188,BQ188)</f>
        <v/>
      </c>
      <c r="BS188" s="10">
        <f>BQ188-BR188</f>
        <v/>
      </c>
      <c r="BT188" s="10">
        <f>MIN('02_Данные'!AE188,BS188)</f>
        <v/>
      </c>
      <c r="BU188" s="10">
        <f>BS188-BT188</f>
        <v/>
      </c>
      <c r="BV188" s="10">
        <f>MIN('02_Данные'!AG188,BU188)</f>
        <v/>
      </c>
      <c r="BW188" s="10">
        <f>BU188-BV188</f>
        <v/>
      </c>
      <c r="BX188" s="10">
        <f>MIN('02_Данные'!AH188,BW188)</f>
        <v/>
      </c>
      <c r="BY188" s="10">
        <f>BW188-BX188</f>
        <v/>
      </c>
      <c r="BZ188" s="10">
        <f>BY188+'02_Данные'!J188</f>
        <v/>
      </c>
      <c r="CA188" s="10">
        <f>MIN('02_Данные'!AJ188,BZ188)</f>
        <v/>
      </c>
      <c r="CB188" s="10">
        <f>BZ188-CA188</f>
        <v/>
      </c>
      <c r="CC188" s="10">
        <f>MIN('02_Данные'!AK188,CB188)</f>
        <v/>
      </c>
      <c r="CD188" s="10">
        <f>CB188-CC188</f>
        <v/>
      </c>
      <c r="CE188" s="10">
        <f>MIN('02_Данные'!AL188,CD188)</f>
        <v/>
      </c>
      <c r="CF188" s="10">
        <f>CD188-CE188</f>
        <v/>
      </c>
      <c r="CG188" s="10">
        <f>MIN('02_Данные'!AQ188,CF188)</f>
        <v/>
      </c>
      <c r="CH188" s="10">
        <f>CF188-CG188</f>
        <v/>
      </c>
      <c r="CI188" s="10">
        <f>MIN('02_Данные'!AN188,CH188)</f>
        <v/>
      </c>
      <c r="CJ188" s="10">
        <f>CH188-CI188</f>
        <v/>
      </c>
      <c r="CK188" s="10">
        <f>MIN('02_Данные'!AM188,CJ188)</f>
        <v/>
      </c>
      <c r="CL188" s="10">
        <f>CJ188-CK188</f>
        <v/>
      </c>
      <c r="CM188" s="10">
        <f>MIN('02_Данные'!AO188,CL188)</f>
        <v/>
      </c>
      <c r="CN188" s="10">
        <f>CL188-CM188</f>
        <v/>
      </c>
      <c r="CO188" s="10">
        <f>MIN('02_Данные'!AP188,CN188)</f>
        <v/>
      </c>
      <c r="CP188" s="10">
        <f>CN188-CO188</f>
        <v/>
      </c>
      <c r="CQ188" s="10">
        <f>CP188+'02_Данные'!K188</f>
        <v/>
      </c>
      <c r="CR188" s="10">
        <f>MIN('02_Данные'!AR188,CQ188)</f>
        <v/>
      </c>
      <c r="CS188" s="10">
        <f>CQ188-CR188</f>
        <v/>
      </c>
      <c r="CT188" s="10">
        <f>MIN('02_Данные'!AS188,CS188)</f>
        <v/>
      </c>
      <c r="CU188" s="10">
        <f>CS188-CT188</f>
        <v/>
      </c>
      <c r="CV188" s="10">
        <f>MIN('02_Данные'!AT188,CU188)</f>
        <v/>
      </c>
      <c r="CW188" s="10">
        <f>CU188-CV188</f>
        <v/>
      </c>
      <c r="CX188" s="10">
        <f>MIN('02_Данные'!AY188,CW188)</f>
        <v/>
      </c>
      <c r="CY188" s="10">
        <f>CW188-CX188</f>
        <v/>
      </c>
      <c r="CZ188" s="10">
        <f>MIN('02_Данные'!AV188,CY188)</f>
        <v/>
      </c>
      <c r="DA188" s="10">
        <f>CY188-CZ188</f>
        <v/>
      </c>
      <c r="DB188" s="10">
        <f>MIN('02_Данные'!AU188,DA188)</f>
        <v/>
      </c>
      <c r="DC188" s="10">
        <f>DA188-DB188</f>
        <v/>
      </c>
      <c r="DD188" s="10">
        <f>MIN('02_Данные'!AW188,DC188)</f>
        <v/>
      </c>
      <c r="DE188" s="10">
        <f>DC188-DD188</f>
        <v/>
      </c>
      <c r="DF188" s="10">
        <f>MIN('02_Данные'!AX188,DE188)</f>
        <v/>
      </c>
      <c r="DG188" s="10">
        <f>DE188-DF188</f>
        <v/>
      </c>
    </row>
    <row r="189">
      <c r="A189" s="9">
        <f>'02_Данные'!B189</f>
        <v/>
      </c>
      <c r="B189" s="9">
        <f>'02_Данные'!E189</f>
        <v/>
      </c>
      <c r="C189" s="10">
        <f>'02_Данные'!F189+'02_Данные'!G189+'02_Данные'!H189+'02_Данные'!I189+'02_Данные'!J189+'02_Данные'!K189</f>
        <v/>
      </c>
      <c r="D189" s="10">
        <f>SUM('02_Данные'!L189:'02_Данные'!AY189)</f>
        <v/>
      </c>
      <c r="E189" s="10">
        <f>MAX(0,D189-C189)</f>
        <v/>
      </c>
      <c r="F189" s="15">
        <f>IF(E189&gt;0.0001,"ДЕФИЦИТ",IF(Y189&gt;0.0001,"ПРОФИЦИТ","БАЛАНС"))</f>
        <v/>
      </c>
      <c r="G189" s="10">
        <f>AB189+AS189+BJ189+CA189+CR189</f>
        <v/>
      </c>
      <c r="H189" s="10">
        <f>AD189+AU189+BL189+CC189+CT189</f>
        <v/>
      </c>
      <c r="I189" s="10">
        <f>AF189+AW189+BN189+CE189+CV189</f>
        <v/>
      </c>
      <c r="J189" s="10">
        <f>AL189+BC189+BT189+CK189+DB189</f>
        <v/>
      </c>
      <c r="K189" s="10">
        <f>AJ189+BA189+BR189+CI189+CZ189</f>
        <v/>
      </c>
      <c r="L189" s="10">
        <f>AN189+BE189+BV189+CM189+DD189</f>
        <v/>
      </c>
      <c r="M189" s="10">
        <f>AP189+BG189+BX189+CO189+DF189</f>
        <v/>
      </c>
      <c r="N189" s="10">
        <f>AH189+AY189+BP189+CG189+CX189</f>
        <v/>
      </c>
      <c r="O189" s="10">
        <f>SUM(G189:N189)</f>
        <v/>
      </c>
      <c r="P189" s="10">
        <f>IFERROR(G189*MIN(1,'01_Нормативы'!$C$4/SUM(G$2:G$429)),0)</f>
        <v/>
      </c>
      <c r="Q189" s="10">
        <f>IFERROR(H189*MIN(1,'01_Нормативы'!$C$5/SUM(H$2:H$429)),0)</f>
        <v/>
      </c>
      <c r="R189" s="10">
        <f>IFERROR(I189*MIN(1,'01_Нормативы'!$C$6/SUM(I$2:I$429)),0)</f>
        <v/>
      </c>
      <c r="S189" s="10">
        <f>IFERROR(J189*MIN(1,'01_Нормативы'!$C$7/SUM(J$2:J$429)),0)</f>
        <v/>
      </c>
      <c r="T189" s="10">
        <f>IFERROR(K189*MIN(1,'01_Нормативы'!$C$8/SUM(K$2:K$429)),0)</f>
        <v/>
      </c>
      <c r="U189" s="10">
        <f>IFERROR(L189*MIN(1,'01_Нормативы'!$C$9/SUM(L$2:L$429)),0)</f>
        <v/>
      </c>
      <c r="V189" s="10">
        <f>IFERROR(M189*MIN(1,'01_Нормативы'!$C$10/SUM(M$2:M$429)),0)</f>
        <v/>
      </c>
      <c r="W189" s="10">
        <f>IFERROR(N189*MIN(1,'01_Нормативы'!$C$11/SUM(N$2:N$429)),0)</f>
        <v/>
      </c>
      <c r="X189" s="10">
        <f>SUM(P189:W189)</f>
        <v/>
      </c>
      <c r="Y189" s="10">
        <f>MAX(0,C189-X189)</f>
        <v/>
      </c>
      <c r="Z189" s="10">
        <f>IF(D189=0,100,X189/D189*100)</f>
        <v/>
      </c>
      <c r="AA189" s="10">
        <f>'02_Данные'!F189+'02_Данные'!G189</f>
        <v/>
      </c>
      <c r="AB189" s="10">
        <f>MIN('02_Данные'!L189,AA189)</f>
        <v/>
      </c>
      <c r="AC189" s="10">
        <f>AA189-AB189</f>
        <v/>
      </c>
      <c r="AD189" s="10">
        <f>MIN('02_Данные'!M189,AC189)</f>
        <v/>
      </c>
      <c r="AE189" s="10">
        <f>AC189-AD189</f>
        <v/>
      </c>
      <c r="AF189" s="10">
        <f>MIN('02_Данные'!N189,AE189)</f>
        <v/>
      </c>
      <c r="AG189" s="10">
        <f>AE189-AF189</f>
        <v/>
      </c>
      <c r="AH189" s="10">
        <f>MIN('02_Данные'!S189,AG189)</f>
        <v/>
      </c>
      <c r="AI189" s="10">
        <f>AG189-AH189</f>
        <v/>
      </c>
      <c r="AJ189" s="10">
        <f>MIN('02_Данные'!P189,AI189)</f>
        <v/>
      </c>
      <c r="AK189" s="10">
        <f>AI189-AJ189</f>
        <v/>
      </c>
      <c r="AL189" s="10">
        <f>MIN('02_Данные'!O189,AK189)</f>
        <v/>
      </c>
      <c r="AM189" s="10">
        <f>AK189-AL189</f>
        <v/>
      </c>
      <c r="AN189" s="10">
        <f>MIN('02_Данные'!Q189,AM189)</f>
        <v/>
      </c>
      <c r="AO189" s="10">
        <f>AM189-AN189</f>
        <v/>
      </c>
      <c r="AP189" s="10">
        <f>MIN('02_Данные'!R189,AO189)</f>
        <v/>
      </c>
      <c r="AQ189" s="10">
        <f>AO189-AP189</f>
        <v/>
      </c>
      <c r="AR189" s="10">
        <f>AQ189+'02_Данные'!H189</f>
        <v/>
      </c>
      <c r="AS189" s="10">
        <f>MIN('02_Данные'!T189,AR189)</f>
        <v/>
      </c>
      <c r="AT189" s="10">
        <f>AR189-AS189</f>
        <v/>
      </c>
      <c r="AU189" s="10">
        <f>MIN('02_Данные'!U189,AT189)</f>
        <v/>
      </c>
      <c r="AV189" s="10">
        <f>AT189-AU189</f>
        <v/>
      </c>
      <c r="AW189" s="10">
        <f>MIN('02_Данные'!V189,AV189)</f>
        <v/>
      </c>
      <c r="AX189" s="10">
        <f>AV189-AW189</f>
        <v/>
      </c>
      <c r="AY189" s="10">
        <f>MIN('02_Данные'!AA189,AX189)</f>
        <v/>
      </c>
      <c r="AZ189" s="10">
        <f>AX189-AY189</f>
        <v/>
      </c>
      <c r="BA189" s="10">
        <f>MIN('02_Данные'!X189,AZ189)</f>
        <v/>
      </c>
      <c r="BB189" s="10">
        <f>AZ189-BA189</f>
        <v/>
      </c>
      <c r="BC189" s="10">
        <f>MIN('02_Данные'!W189,BB189)</f>
        <v/>
      </c>
      <c r="BD189" s="10">
        <f>BB189-BC189</f>
        <v/>
      </c>
      <c r="BE189" s="10">
        <f>MIN('02_Данные'!Y189,BD189)</f>
        <v/>
      </c>
      <c r="BF189" s="10">
        <f>BD189-BE189</f>
        <v/>
      </c>
      <c r="BG189" s="10">
        <f>MIN('02_Данные'!Z189,BF189)</f>
        <v/>
      </c>
      <c r="BH189" s="10">
        <f>BF189-BG189</f>
        <v/>
      </c>
      <c r="BI189" s="10">
        <f>BH189+'02_Данные'!I189</f>
        <v/>
      </c>
      <c r="BJ189" s="10">
        <f>MIN('02_Данные'!AB189,BI189)</f>
        <v/>
      </c>
      <c r="BK189" s="10">
        <f>BI189-BJ189</f>
        <v/>
      </c>
      <c r="BL189" s="10">
        <f>MIN('02_Данные'!AC189,BK189)</f>
        <v/>
      </c>
      <c r="BM189" s="10">
        <f>BK189-BL189</f>
        <v/>
      </c>
      <c r="BN189" s="10">
        <f>MIN('02_Данные'!AD189,BM189)</f>
        <v/>
      </c>
      <c r="BO189" s="10">
        <f>BM189-BN189</f>
        <v/>
      </c>
      <c r="BP189" s="10">
        <f>MIN('02_Данные'!AI189,BO189)</f>
        <v/>
      </c>
      <c r="BQ189" s="10">
        <f>BO189-BP189</f>
        <v/>
      </c>
      <c r="BR189" s="10">
        <f>MIN('02_Данные'!AF189,BQ189)</f>
        <v/>
      </c>
      <c r="BS189" s="10">
        <f>BQ189-BR189</f>
        <v/>
      </c>
      <c r="BT189" s="10">
        <f>MIN('02_Данные'!AE189,BS189)</f>
        <v/>
      </c>
      <c r="BU189" s="10">
        <f>BS189-BT189</f>
        <v/>
      </c>
      <c r="BV189" s="10">
        <f>MIN('02_Данные'!AG189,BU189)</f>
        <v/>
      </c>
      <c r="BW189" s="10">
        <f>BU189-BV189</f>
        <v/>
      </c>
      <c r="BX189" s="10">
        <f>MIN('02_Данные'!AH189,BW189)</f>
        <v/>
      </c>
      <c r="BY189" s="10">
        <f>BW189-BX189</f>
        <v/>
      </c>
      <c r="BZ189" s="10">
        <f>BY189+'02_Данные'!J189</f>
        <v/>
      </c>
      <c r="CA189" s="10">
        <f>MIN('02_Данные'!AJ189,BZ189)</f>
        <v/>
      </c>
      <c r="CB189" s="10">
        <f>BZ189-CA189</f>
        <v/>
      </c>
      <c r="CC189" s="10">
        <f>MIN('02_Данные'!AK189,CB189)</f>
        <v/>
      </c>
      <c r="CD189" s="10">
        <f>CB189-CC189</f>
        <v/>
      </c>
      <c r="CE189" s="10">
        <f>MIN('02_Данные'!AL189,CD189)</f>
        <v/>
      </c>
      <c r="CF189" s="10">
        <f>CD189-CE189</f>
        <v/>
      </c>
      <c r="CG189" s="10">
        <f>MIN('02_Данные'!AQ189,CF189)</f>
        <v/>
      </c>
      <c r="CH189" s="10">
        <f>CF189-CG189</f>
        <v/>
      </c>
      <c r="CI189" s="10">
        <f>MIN('02_Данные'!AN189,CH189)</f>
        <v/>
      </c>
      <c r="CJ189" s="10">
        <f>CH189-CI189</f>
        <v/>
      </c>
      <c r="CK189" s="10">
        <f>MIN('02_Данные'!AM189,CJ189)</f>
        <v/>
      </c>
      <c r="CL189" s="10">
        <f>CJ189-CK189</f>
        <v/>
      </c>
      <c r="CM189" s="10">
        <f>MIN('02_Данные'!AO189,CL189)</f>
        <v/>
      </c>
      <c r="CN189" s="10">
        <f>CL189-CM189</f>
        <v/>
      </c>
      <c r="CO189" s="10">
        <f>MIN('02_Данные'!AP189,CN189)</f>
        <v/>
      </c>
      <c r="CP189" s="10">
        <f>CN189-CO189</f>
        <v/>
      </c>
      <c r="CQ189" s="10">
        <f>CP189+'02_Данные'!K189</f>
        <v/>
      </c>
      <c r="CR189" s="10">
        <f>MIN('02_Данные'!AR189,CQ189)</f>
        <v/>
      </c>
      <c r="CS189" s="10">
        <f>CQ189-CR189</f>
        <v/>
      </c>
      <c r="CT189" s="10">
        <f>MIN('02_Данные'!AS189,CS189)</f>
        <v/>
      </c>
      <c r="CU189" s="10">
        <f>CS189-CT189</f>
        <v/>
      </c>
      <c r="CV189" s="10">
        <f>MIN('02_Данные'!AT189,CU189)</f>
        <v/>
      </c>
      <c r="CW189" s="10">
        <f>CU189-CV189</f>
        <v/>
      </c>
      <c r="CX189" s="10">
        <f>MIN('02_Данные'!AY189,CW189)</f>
        <v/>
      </c>
      <c r="CY189" s="10">
        <f>CW189-CX189</f>
        <v/>
      </c>
      <c r="CZ189" s="10">
        <f>MIN('02_Данные'!AV189,CY189)</f>
        <v/>
      </c>
      <c r="DA189" s="10">
        <f>CY189-CZ189</f>
        <v/>
      </c>
      <c r="DB189" s="10">
        <f>MIN('02_Данные'!AU189,DA189)</f>
        <v/>
      </c>
      <c r="DC189" s="10">
        <f>DA189-DB189</f>
        <v/>
      </c>
      <c r="DD189" s="10">
        <f>MIN('02_Данные'!AW189,DC189)</f>
        <v/>
      </c>
      <c r="DE189" s="10">
        <f>DC189-DD189</f>
        <v/>
      </c>
      <c r="DF189" s="10">
        <f>MIN('02_Данные'!AX189,DE189)</f>
        <v/>
      </c>
      <c r="DG189" s="10">
        <f>DE189-DF189</f>
        <v/>
      </c>
    </row>
    <row r="190">
      <c r="A190" s="9">
        <f>'02_Данные'!B190</f>
        <v/>
      </c>
      <c r="B190" s="9">
        <f>'02_Данные'!E190</f>
        <v/>
      </c>
      <c r="C190" s="10">
        <f>'02_Данные'!F190+'02_Данные'!G190+'02_Данные'!H190+'02_Данные'!I190+'02_Данные'!J190+'02_Данные'!K190</f>
        <v/>
      </c>
      <c r="D190" s="10">
        <f>SUM('02_Данные'!L190:'02_Данные'!AY190)</f>
        <v/>
      </c>
      <c r="E190" s="10">
        <f>MAX(0,D190-C190)</f>
        <v/>
      </c>
      <c r="F190" s="15">
        <f>IF(E190&gt;0.0001,"ДЕФИЦИТ",IF(Y190&gt;0.0001,"ПРОФИЦИТ","БАЛАНС"))</f>
        <v/>
      </c>
      <c r="G190" s="10">
        <f>AB190+AS190+BJ190+CA190+CR190</f>
        <v/>
      </c>
      <c r="H190" s="10">
        <f>AD190+AU190+BL190+CC190+CT190</f>
        <v/>
      </c>
      <c r="I190" s="10">
        <f>AF190+AW190+BN190+CE190+CV190</f>
        <v/>
      </c>
      <c r="J190" s="10">
        <f>AL190+BC190+BT190+CK190+DB190</f>
        <v/>
      </c>
      <c r="K190" s="10">
        <f>AJ190+BA190+BR190+CI190+CZ190</f>
        <v/>
      </c>
      <c r="L190" s="10">
        <f>AN190+BE190+BV190+CM190+DD190</f>
        <v/>
      </c>
      <c r="M190" s="10">
        <f>AP190+BG190+BX190+CO190+DF190</f>
        <v/>
      </c>
      <c r="N190" s="10">
        <f>AH190+AY190+BP190+CG190+CX190</f>
        <v/>
      </c>
      <c r="O190" s="10">
        <f>SUM(G190:N190)</f>
        <v/>
      </c>
      <c r="P190" s="10">
        <f>IFERROR(G190*MIN(1,'01_Нормативы'!$C$4/SUM(G$2:G$429)),0)</f>
        <v/>
      </c>
      <c r="Q190" s="10">
        <f>IFERROR(H190*MIN(1,'01_Нормативы'!$C$5/SUM(H$2:H$429)),0)</f>
        <v/>
      </c>
      <c r="R190" s="10">
        <f>IFERROR(I190*MIN(1,'01_Нормативы'!$C$6/SUM(I$2:I$429)),0)</f>
        <v/>
      </c>
      <c r="S190" s="10">
        <f>IFERROR(J190*MIN(1,'01_Нормативы'!$C$7/SUM(J$2:J$429)),0)</f>
        <v/>
      </c>
      <c r="T190" s="10">
        <f>IFERROR(K190*MIN(1,'01_Нормативы'!$C$8/SUM(K$2:K$429)),0)</f>
        <v/>
      </c>
      <c r="U190" s="10">
        <f>IFERROR(L190*MIN(1,'01_Нормативы'!$C$9/SUM(L$2:L$429)),0)</f>
        <v/>
      </c>
      <c r="V190" s="10">
        <f>IFERROR(M190*MIN(1,'01_Нормативы'!$C$10/SUM(M$2:M$429)),0)</f>
        <v/>
      </c>
      <c r="W190" s="10">
        <f>IFERROR(N190*MIN(1,'01_Нормативы'!$C$11/SUM(N$2:N$429)),0)</f>
        <v/>
      </c>
      <c r="X190" s="10">
        <f>SUM(P190:W190)</f>
        <v/>
      </c>
      <c r="Y190" s="10">
        <f>MAX(0,C190-X190)</f>
        <v/>
      </c>
      <c r="Z190" s="10">
        <f>IF(D190=0,100,X190/D190*100)</f>
        <v/>
      </c>
      <c r="AA190" s="10">
        <f>'02_Данные'!F190+'02_Данные'!G190</f>
        <v/>
      </c>
      <c r="AB190" s="10">
        <f>MIN('02_Данные'!L190,AA190)</f>
        <v/>
      </c>
      <c r="AC190" s="10">
        <f>AA190-AB190</f>
        <v/>
      </c>
      <c r="AD190" s="10">
        <f>MIN('02_Данные'!M190,AC190)</f>
        <v/>
      </c>
      <c r="AE190" s="10">
        <f>AC190-AD190</f>
        <v/>
      </c>
      <c r="AF190" s="10">
        <f>MIN('02_Данные'!N190,AE190)</f>
        <v/>
      </c>
      <c r="AG190" s="10">
        <f>AE190-AF190</f>
        <v/>
      </c>
      <c r="AH190" s="10">
        <f>MIN('02_Данные'!S190,AG190)</f>
        <v/>
      </c>
      <c r="AI190" s="10">
        <f>AG190-AH190</f>
        <v/>
      </c>
      <c r="AJ190" s="10">
        <f>MIN('02_Данные'!P190,AI190)</f>
        <v/>
      </c>
      <c r="AK190" s="10">
        <f>AI190-AJ190</f>
        <v/>
      </c>
      <c r="AL190" s="10">
        <f>MIN('02_Данные'!O190,AK190)</f>
        <v/>
      </c>
      <c r="AM190" s="10">
        <f>AK190-AL190</f>
        <v/>
      </c>
      <c r="AN190" s="10">
        <f>MIN('02_Данные'!Q190,AM190)</f>
        <v/>
      </c>
      <c r="AO190" s="10">
        <f>AM190-AN190</f>
        <v/>
      </c>
      <c r="AP190" s="10">
        <f>MIN('02_Данные'!R190,AO190)</f>
        <v/>
      </c>
      <c r="AQ190" s="10">
        <f>AO190-AP190</f>
        <v/>
      </c>
      <c r="AR190" s="10">
        <f>AQ190+'02_Данные'!H190</f>
        <v/>
      </c>
      <c r="AS190" s="10">
        <f>MIN('02_Данные'!T190,AR190)</f>
        <v/>
      </c>
      <c r="AT190" s="10">
        <f>AR190-AS190</f>
        <v/>
      </c>
      <c r="AU190" s="10">
        <f>MIN('02_Данные'!U190,AT190)</f>
        <v/>
      </c>
      <c r="AV190" s="10">
        <f>AT190-AU190</f>
        <v/>
      </c>
      <c r="AW190" s="10">
        <f>MIN('02_Данные'!V190,AV190)</f>
        <v/>
      </c>
      <c r="AX190" s="10">
        <f>AV190-AW190</f>
        <v/>
      </c>
      <c r="AY190" s="10">
        <f>MIN('02_Данные'!AA190,AX190)</f>
        <v/>
      </c>
      <c r="AZ190" s="10">
        <f>AX190-AY190</f>
        <v/>
      </c>
      <c r="BA190" s="10">
        <f>MIN('02_Данные'!X190,AZ190)</f>
        <v/>
      </c>
      <c r="BB190" s="10">
        <f>AZ190-BA190</f>
        <v/>
      </c>
      <c r="BC190" s="10">
        <f>MIN('02_Данные'!W190,BB190)</f>
        <v/>
      </c>
      <c r="BD190" s="10">
        <f>BB190-BC190</f>
        <v/>
      </c>
      <c r="BE190" s="10">
        <f>MIN('02_Данные'!Y190,BD190)</f>
        <v/>
      </c>
      <c r="BF190" s="10">
        <f>BD190-BE190</f>
        <v/>
      </c>
      <c r="BG190" s="10">
        <f>MIN('02_Данные'!Z190,BF190)</f>
        <v/>
      </c>
      <c r="BH190" s="10">
        <f>BF190-BG190</f>
        <v/>
      </c>
      <c r="BI190" s="10">
        <f>BH190+'02_Данные'!I190</f>
        <v/>
      </c>
      <c r="BJ190" s="10">
        <f>MIN('02_Данные'!AB190,BI190)</f>
        <v/>
      </c>
      <c r="BK190" s="10">
        <f>BI190-BJ190</f>
        <v/>
      </c>
      <c r="BL190" s="10">
        <f>MIN('02_Данные'!AC190,BK190)</f>
        <v/>
      </c>
      <c r="BM190" s="10">
        <f>BK190-BL190</f>
        <v/>
      </c>
      <c r="BN190" s="10">
        <f>MIN('02_Данные'!AD190,BM190)</f>
        <v/>
      </c>
      <c r="BO190" s="10">
        <f>BM190-BN190</f>
        <v/>
      </c>
      <c r="BP190" s="10">
        <f>MIN('02_Данные'!AI190,BO190)</f>
        <v/>
      </c>
      <c r="BQ190" s="10">
        <f>BO190-BP190</f>
        <v/>
      </c>
      <c r="BR190" s="10">
        <f>MIN('02_Данные'!AF190,BQ190)</f>
        <v/>
      </c>
      <c r="BS190" s="10">
        <f>BQ190-BR190</f>
        <v/>
      </c>
      <c r="BT190" s="10">
        <f>MIN('02_Данные'!AE190,BS190)</f>
        <v/>
      </c>
      <c r="BU190" s="10">
        <f>BS190-BT190</f>
        <v/>
      </c>
      <c r="BV190" s="10">
        <f>MIN('02_Данные'!AG190,BU190)</f>
        <v/>
      </c>
      <c r="BW190" s="10">
        <f>BU190-BV190</f>
        <v/>
      </c>
      <c r="BX190" s="10">
        <f>MIN('02_Данные'!AH190,BW190)</f>
        <v/>
      </c>
      <c r="BY190" s="10">
        <f>BW190-BX190</f>
        <v/>
      </c>
      <c r="BZ190" s="10">
        <f>BY190+'02_Данные'!J190</f>
        <v/>
      </c>
      <c r="CA190" s="10">
        <f>MIN('02_Данные'!AJ190,BZ190)</f>
        <v/>
      </c>
      <c r="CB190" s="10">
        <f>BZ190-CA190</f>
        <v/>
      </c>
      <c r="CC190" s="10">
        <f>MIN('02_Данные'!AK190,CB190)</f>
        <v/>
      </c>
      <c r="CD190" s="10">
        <f>CB190-CC190</f>
        <v/>
      </c>
      <c r="CE190" s="10">
        <f>MIN('02_Данные'!AL190,CD190)</f>
        <v/>
      </c>
      <c r="CF190" s="10">
        <f>CD190-CE190</f>
        <v/>
      </c>
      <c r="CG190" s="10">
        <f>MIN('02_Данные'!AQ190,CF190)</f>
        <v/>
      </c>
      <c r="CH190" s="10">
        <f>CF190-CG190</f>
        <v/>
      </c>
      <c r="CI190" s="10">
        <f>MIN('02_Данные'!AN190,CH190)</f>
        <v/>
      </c>
      <c r="CJ190" s="10">
        <f>CH190-CI190</f>
        <v/>
      </c>
      <c r="CK190" s="10">
        <f>MIN('02_Данные'!AM190,CJ190)</f>
        <v/>
      </c>
      <c r="CL190" s="10">
        <f>CJ190-CK190</f>
        <v/>
      </c>
      <c r="CM190" s="10">
        <f>MIN('02_Данные'!AO190,CL190)</f>
        <v/>
      </c>
      <c r="CN190" s="10">
        <f>CL190-CM190</f>
        <v/>
      </c>
      <c r="CO190" s="10">
        <f>MIN('02_Данные'!AP190,CN190)</f>
        <v/>
      </c>
      <c r="CP190" s="10">
        <f>CN190-CO190</f>
        <v/>
      </c>
      <c r="CQ190" s="10">
        <f>CP190+'02_Данные'!K190</f>
        <v/>
      </c>
      <c r="CR190" s="10">
        <f>MIN('02_Данные'!AR190,CQ190)</f>
        <v/>
      </c>
      <c r="CS190" s="10">
        <f>CQ190-CR190</f>
        <v/>
      </c>
      <c r="CT190" s="10">
        <f>MIN('02_Данные'!AS190,CS190)</f>
        <v/>
      </c>
      <c r="CU190" s="10">
        <f>CS190-CT190</f>
        <v/>
      </c>
      <c r="CV190" s="10">
        <f>MIN('02_Данные'!AT190,CU190)</f>
        <v/>
      </c>
      <c r="CW190" s="10">
        <f>CU190-CV190</f>
        <v/>
      </c>
      <c r="CX190" s="10">
        <f>MIN('02_Данные'!AY190,CW190)</f>
        <v/>
      </c>
      <c r="CY190" s="10">
        <f>CW190-CX190</f>
        <v/>
      </c>
      <c r="CZ190" s="10">
        <f>MIN('02_Данные'!AV190,CY190)</f>
        <v/>
      </c>
      <c r="DA190" s="10">
        <f>CY190-CZ190</f>
        <v/>
      </c>
      <c r="DB190" s="10">
        <f>MIN('02_Данные'!AU190,DA190)</f>
        <v/>
      </c>
      <c r="DC190" s="10">
        <f>DA190-DB190</f>
        <v/>
      </c>
      <c r="DD190" s="10">
        <f>MIN('02_Данные'!AW190,DC190)</f>
        <v/>
      </c>
      <c r="DE190" s="10">
        <f>DC190-DD190</f>
        <v/>
      </c>
      <c r="DF190" s="10">
        <f>MIN('02_Данные'!AX190,DE190)</f>
        <v/>
      </c>
      <c r="DG190" s="10">
        <f>DE190-DF190</f>
        <v/>
      </c>
    </row>
    <row r="191">
      <c r="A191" s="9">
        <f>'02_Данные'!B191</f>
        <v/>
      </c>
      <c r="B191" s="9">
        <f>'02_Данные'!E191</f>
        <v/>
      </c>
      <c r="C191" s="10">
        <f>'02_Данные'!F191+'02_Данные'!G191+'02_Данные'!H191+'02_Данные'!I191+'02_Данные'!J191+'02_Данные'!K191</f>
        <v/>
      </c>
      <c r="D191" s="10">
        <f>SUM('02_Данные'!L191:'02_Данные'!AY191)</f>
        <v/>
      </c>
      <c r="E191" s="10">
        <f>MAX(0,D191-C191)</f>
        <v/>
      </c>
      <c r="F191" s="15">
        <f>IF(E191&gt;0.0001,"ДЕФИЦИТ",IF(Y191&gt;0.0001,"ПРОФИЦИТ","БАЛАНС"))</f>
        <v/>
      </c>
      <c r="G191" s="10">
        <f>AB191+AS191+BJ191+CA191+CR191</f>
        <v/>
      </c>
      <c r="H191" s="10">
        <f>AD191+AU191+BL191+CC191+CT191</f>
        <v/>
      </c>
      <c r="I191" s="10">
        <f>AF191+AW191+BN191+CE191+CV191</f>
        <v/>
      </c>
      <c r="J191" s="10">
        <f>AL191+BC191+BT191+CK191+DB191</f>
        <v/>
      </c>
      <c r="K191" s="10">
        <f>AJ191+BA191+BR191+CI191+CZ191</f>
        <v/>
      </c>
      <c r="L191" s="10">
        <f>AN191+BE191+BV191+CM191+DD191</f>
        <v/>
      </c>
      <c r="M191" s="10">
        <f>AP191+BG191+BX191+CO191+DF191</f>
        <v/>
      </c>
      <c r="N191" s="10">
        <f>AH191+AY191+BP191+CG191+CX191</f>
        <v/>
      </c>
      <c r="O191" s="10">
        <f>SUM(G191:N191)</f>
        <v/>
      </c>
      <c r="P191" s="10">
        <f>IFERROR(G191*MIN(1,'01_Нормативы'!$C$4/SUM(G$2:G$429)),0)</f>
        <v/>
      </c>
      <c r="Q191" s="10">
        <f>IFERROR(H191*MIN(1,'01_Нормативы'!$C$5/SUM(H$2:H$429)),0)</f>
        <v/>
      </c>
      <c r="R191" s="10">
        <f>IFERROR(I191*MIN(1,'01_Нормативы'!$C$6/SUM(I$2:I$429)),0)</f>
        <v/>
      </c>
      <c r="S191" s="10">
        <f>IFERROR(J191*MIN(1,'01_Нормативы'!$C$7/SUM(J$2:J$429)),0)</f>
        <v/>
      </c>
      <c r="T191" s="10">
        <f>IFERROR(K191*MIN(1,'01_Нормативы'!$C$8/SUM(K$2:K$429)),0)</f>
        <v/>
      </c>
      <c r="U191" s="10">
        <f>IFERROR(L191*MIN(1,'01_Нормативы'!$C$9/SUM(L$2:L$429)),0)</f>
        <v/>
      </c>
      <c r="V191" s="10">
        <f>IFERROR(M191*MIN(1,'01_Нормативы'!$C$10/SUM(M$2:M$429)),0)</f>
        <v/>
      </c>
      <c r="W191" s="10">
        <f>IFERROR(N191*MIN(1,'01_Нормативы'!$C$11/SUM(N$2:N$429)),0)</f>
        <v/>
      </c>
      <c r="X191" s="10">
        <f>SUM(P191:W191)</f>
        <v/>
      </c>
      <c r="Y191" s="10">
        <f>MAX(0,C191-X191)</f>
        <v/>
      </c>
      <c r="Z191" s="10">
        <f>IF(D191=0,100,X191/D191*100)</f>
        <v/>
      </c>
      <c r="AA191" s="10">
        <f>'02_Данные'!F191+'02_Данные'!G191</f>
        <v/>
      </c>
      <c r="AB191" s="10">
        <f>MIN('02_Данные'!L191,AA191)</f>
        <v/>
      </c>
      <c r="AC191" s="10">
        <f>AA191-AB191</f>
        <v/>
      </c>
      <c r="AD191" s="10">
        <f>MIN('02_Данные'!M191,AC191)</f>
        <v/>
      </c>
      <c r="AE191" s="10">
        <f>AC191-AD191</f>
        <v/>
      </c>
      <c r="AF191" s="10">
        <f>MIN('02_Данные'!N191,AE191)</f>
        <v/>
      </c>
      <c r="AG191" s="10">
        <f>AE191-AF191</f>
        <v/>
      </c>
      <c r="AH191" s="10">
        <f>MIN('02_Данные'!S191,AG191)</f>
        <v/>
      </c>
      <c r="AI191" s="10">
        <f>AG191-AH191</f>
        <v/>
      </c>
      <c r="AJ191" s="10">
        <f>MIN('02_Данные'!P191,AI191)</f>
        <v/>
      </c>
      <c r="AK191" s="10">
        <f>AI191-AJ191</f>
        <v/>
      </c>
      <c r="AL191" s="10">
        <f>MIN('02_Данные'!O191,AK191)</f>
        <v/>
      </c>
      <c r="AM191" s="10">
        <f>AK191-AL191</f>
        <v/>
      </c>
      <c r="AN191" s="10">
        <f>MIN('02_Данные'!Q191,AM191)</f>
        <v/>
      </c>
      <c r="AO191" s="10">
        <f>AM191-AN191</f>
        <v/>
      </c>
      <c r="AP191" s="10">
        <f>MIN('02_Данные'!R191,AO191)</f>
        <v/>
      </c>
      <c r="AQ191" s="10">
        <f>AO191-AP191</f>
        <v/>
      </c>
      <c r="AR191" s="10">
        <f>AQ191+'02_Данные'!H191</f>
        <v/>
      </c>
      <c r="AS191" s="10">
        <f>MIN('02_Данные'!T191,AR191)</f>
        <v/>
      </c>
      <c r="AT191" s="10">
        <f>AR191-AS191</f>
        <v/>
      </c>
      <c r="AU191" s="10">
        <f>MIN('02_Данные'!U191,AT191)</f>
        <v/>
      </c>
      <c r="AV191" s="10">
        <f>AT191-AU191</f>
        <v/>
      </c>
      <c r="AW191" s="10">
        <f>MIN('02_Данные'!V191,AV191)</f>
        <v/>
      </c>
      <c r="AX191" s="10">
        <f>AV191-AW191</f>
        <v/>
      </c>
      <c r="AY191" s="10">
        <f>MIN('02_Данные'!AA191,AX191)</f>
        <v/>
      </c>
      <c r="AZ191" s="10">
        <f>AX191-AY191</f>
        <v/>
      </c>
      <c r="BA191" s="10">
        <f>MIN('02_Данные'!X191,AZ191)</f>
        <v/>
      </c>
      <c r="BB191" s="10">
        <f>AZ191-BA191</f>
        <v/>
      </c>
      <c r="BC191" s="10">
        <f>MIN('02_Данные'!W191,BB191)</f>
        <v/>
      </c>
      <c r="BD191" s="10">
        <f>BB191-BC191</f>
        <v/>
      </c>
      <c r="BE191" s="10">
        <f>MIN('02_Данные'!Y191,BD191)</f>
        <v/>
      </c>
      <c r="BF191" s="10">
        <f>BD191-BE191</f>
        <v/>
      </c>
      <c r="BG191" s="10">
        <f>MIN('02_Данные'!Z191,BF191)</f>
        <v/>
      </c>
      <c r="BH191" s="10">
        <f>BF191-BG191</f>
        <v/>
      </c>
      <c r="BI191" s="10">
        <f>BH191+'02_Данные'!I191</f>
        <v/>
      </c>
      <c r="BJ191" s="10">
        <f>MIN('02_Данные'!AB191,BI191)</f>
        <v/>
      </c>
      <c r="BK191" s="10">
        <f>BI191-BJ191</f>
        <v/>
      </c>
      <c r="BL191" s="10">
        <f>MIN('02_Данные'!AC191,BK191)</f>
        <v/>
      </c>
      <c r="BM191" s="10">
        <f>BK191-BL191</f>
        <v/>
      </c>
      <c r="BN191" s="10">
        <f>MIN('02_Данные'!AD191,BM191)</f>
        <v/>
      </c>
      <c r="BO191" s="10">
        <f>BM191-BN191</f>
        <v/>
      </c>
      <c r="BP191" s="10">
        <f>MIN('02_Данные'!AI191,BO191)</f>
        <v/>
      </c>
      <c r="BQ191" s="10">
        <f>BO191-BP191</f>
        <v/>
      </c>
      <c r="BR191" s="10">
        <f>MIN('02_Данные'!AF191,BQ191)</f>
        <v/>
      </c>
      <c r="BS191" s="10">
        <f>BQ191-BR191</f>
        <v/>
      </c>
      <c r="BT191" s="10">
        <f>MIN('02_Данные'!AE191,BS191)</f>
        <v/>
      </c>
      <c r="BU191" s="10">
        <f>BS191-BT191</f>
        <v/>
      </c>
      <c r="BV191" s="10">
        <f>MIN('02_Данные'!AG191,BU191)</f>
        <v/>
      </c>
      <c r="BW191" s="10">
        <f>BU191-BV191</f>
        <v/>
      </c>
      <c r="BX191" s="10">
        <f>MIN('02_Данные'!AH191,BW191)</f>
        <v/>
      </c>
      <c r="BY191" s="10">
        <f>BW191-BX191</f>
        <v/>
      </c>
      <c r="BZ191" s="10">
        <f>BY191+'02_Данные'!J191</f>
        <v/>
      </c>
      <c r="CA191" s="10">
        <f>MIN('02_Данные'!AJ191,BZ191)</f>
        <v/>
      </c>
      <c r="CB191" s="10">
        <f>BZ191-CA191</f>
        <v/>
      </c>
      <c r="CC191" s="10">
        <f>MIN('02_Данные'!AK191,CB191)</f>
        <v/>
      </c>
      <c r="CD191" s="10">
        <f>CB191-CC191</f>
        <v/>
      </c>
      <c r="CE191" s="10">
        <f>MIN('02_Данные'!AL191,CD191)</f>
        <v/>
      </c>
      <c r="CF191" s="10">
        <f>CD191-CE191</f>
        <v/>
      </c>
      <c r="CG191" s="10">
        <f>MIN('02_Данные'!AQ191,CF191)</f>
        <v/>
      </c>
      <c r="CH191" s="10">
        <f>CF191-CG191</f>
        <v/>
      </c>
      <c r="CI191" s="10">
        <f>MIN('02_Данные'!AN191,CH191)</f>
        <v/>
      </c>
      <c r="CJ191" s="10">
        <f>CH191-CI191</f>
        <v/>
      </c>
      <c r="CK191" s="10">
        <f>MIN('02_Данные'!AM191,CJ191)</f>
        <v/>
      </c>
      <c r="CL191" s="10">
        <f>CJ191-CK191</f>
        <v/>
      </c>
      <c r="CM191" s="10">
        <f>MIN('02_Данные'!AO191,CL191)</f>
        <v/>
      </c>
      <c r="CN191" s="10">
        <f>CL191-CM191</f>
        <v/>
      </c>
      <c r="CO191" s="10">
        <f>MIN('02_Данные'!AP191,CN191)</f>
        <v/>
      </c>
      <c r="CP191" s="10">
        <f>CN191-CO191</f>
        <v/>
      </c>
      <c r="CQ191" s="10">
        <f>CP191+'02_Данные'!K191</f>
        <v/>
      </c>
      <c r="CR191" s="10">
        <f>MIN('02_Данные'!AR191,CQ191)</f>
        <v/>
      </c>
      <c r="CS191" s="10">
        <f>CQ191-CR191</f>
        <v/>
      </c>
      <c r="CT191" s="10">
        <f>MIN('02_Данные'!AS191,CS191)</f>
        <v/>
      </c>
      <c r="CU191" s="10">
        <f>CS191-CT191</f>
        <v/>
      </c>
      <c r="CV191" s="10">
        <f>MIN('02_Данные'!AT191,CU191)</f>
        <v/>
      </c>
      <c r="CW191" s="10">
        <f>CU191-CV191</f>
        <v/>
      </c>
      <c r="CX191" s="10">
        <f>MIN('02_Данные'!AY191,CW191)</f>
        <v/>
      </c>
      <c r="CY191" s="10">
        <f>CW191-CX191</f>
        <v/>
      </c>
      <c r="CZ191" s="10">
        <f>MIN('02_Данные'!AV191,CY191)</f>
        <v/>
      </c>
      <c r="DA191" s="10">
        <f>CY191-CZ191</f>
        <v/>
      </c>
      <c r="DB191" s="10">
        <f>MIN('02_Данные'!AU191,DA191)</f>
        <v/>
      </c>
      <c r="DC191" s="10">
        <f>DA191-DB191</f>
        <v/>
      </c>
      <c r="DD191" s="10">
        <f>MIN('02_Данные'!AW191,DC191)</f>
        <v/>
      </c>
      <c r="DE191" s="10">
        <f>DC191-DD191</f>
        <v/>
      </c>
      <c r="DF191" s="10">
        <f>MIN('02_Данные'!AX191,DE191)</f>
        <v/>
      </c>
      <c r="DG191" s="10">
        <f>DE191-DF191</f>
        <v/>
      </c>
    </row>
    <row r="192">
      <c r="A192" s="9">
        <f>'02_Данные'!B192</f>
        <v/>
      </c>
      <c r="B192" s="9">
        <f>'02_Данные'!E192</f>
        <v/>
      </c>
      <c r="C192" s="10">
        <f>'02_Данные'!F192+'02_Данные'!G192+'02_Данные'!H192+'02_Данные'!I192+'02_Данные'!J192+'02_Данные'!K192</f>
        <v/>
      </c>
      <c r="D192" s="10">
        <f>SUM('02_Данные'!L192:'02_Данные'!AY192)</f>
        <v/>
      </c>
      <c r="E192" s="10">
        <f>MAX(0,D192-C192)</f>
        <v/>
      </c>
      <c r="F192" s="15">
        <f>IF(E192&gt;0.0001,"ДЕФИЦИТ",IF(Y192&gt;0.0001,"ПРОФИЦИТ","БАЛАНС"))</f>
        <v/>
      </c>
      <c r="G192" s="10">
        <f>AB192+AS192+BJ192+CA192+CR192</f>
        <v/>
      </c>
      <c r="H192" s="10">
        <f>AD192+AU192+BL192+CC192+CT192</f>
        <v/>
      </c>
      <c r="I192" s="10">
        <f>AF192+AW192+BN192+CE192+CV192</f>
        <v/>
      </c>
      <c r="J192" s="10">
        <f>AL192+BC192+BT192+CK192+DB192</f>
        <v/>
      </c>
      <c r="K192" s="10">
        <f>AJ192+BA192+BR192+CI192+CZ192</f>
        <v/>
      </c>
      <c r="L192" s="10">
        <f>AN192+BE192+BV192+CM192+DD192</f>
        <v/>
      </c>
      <c r="M192" s="10">
        <f>AP192+BG192+BX192+CO192+DF192</f>
        <v/>
      </c>
      <c r="N192" s="10">
        <f>AH192+AY192+BP192+CG192+CX192</f>
        <v/>
      </c>
      <c r="O192" s="10">
        <f>SUM(G192:N192)</f>
        <v/>
      </c>
      <c r="P192" s="10">
        <f>IFERROR(G192*MIN(1,'01_Нормативы'!$C$4/SUM(G$2:G$429)),0)</f>
        <v/>
      </c>
      <c r="Q192" s="10">
        <f>IFERROR(H192*MIN(1,'01_Нормативы'!$C$5/SUM(H$2:H$429)),0)</f>
        <v/>
      </c>
      <c r="R192" s="10">
        <f>IFERROR(I192*MIN(1,'01_Нормативы'!$C$6/SUM(I$2:I$429)),0)</f>
        <v/>
      </c>
      <c r="S192" s="10">
        <f>IFERROR(J192*MIN(1,'01_Нормативы'!$C$7/SUM(J$2:J$429)),0)</f>
        <v/>
      </c>
      <c r="T192" s="10">
        <f>IFERROR(K192*MIN(1,'01_Нормативы'!$C$8/SUM(K$2:K$429)),0)</f>
        <v/>
      </c>
      <c r="U192" s="10">
        <f>IFERROR(L192*MIN(1,'01_Нормативы'!$C$9/SUM(L$2:L$429)),0)</f>
        <v/>
      </c>
      <c r="V192" s="10">
        <f>IFERROR(M192*MIN(1,'01_Нормативы'!$C$10/SUM(M$2:M$429)),0)</f>
        <v/>
      </c>
      <c r="W192" s="10">
        <f>IFERROR(N192*MIN(1,'01_Нормативы'!$C$11/SUM(N$2:N$429)),0)</f>
        <v/>
      </c>
      <c r="X192" s="10">
        <f>SUM(P192:W192)</f>
        <v/>
      </c>
      <c r="Y192" s="10">
        <f>MAX(0,C192-X192)</f>
        <v/>
      </c>
      <c r="Z192" s="10">
        <f>IF(D192=0,100,X192/D192*100)</f>
        <v/>
      </c>
      <c r="AA192" s="10">
        <f>'02_Данные'!F192+'02_Данные'!G192</f>
        <v/>
      </c>
      <c r="AB192" s="10">
        <f>MIN('02_Данные'!L192,AA192)</f>
        <v/>
      </c>
      <c r="AC192" s="10">
        <f>AA192-AB192</f>
        <v/>
      </c>
      <c r="AD192" s="10">
        <f>MIN('02_Данные'!M192,AC192)</f>
        <v/>
      </c>
      <c r="AE192" s="10">
        <f>AC192-AD192</f>
        <v/>
      </c>
      <c r="AF192" s="10">
        <f>MIN('02_Данные'!N192,AE192)</f>
        <v/>
      </c>
      <c r="AG192" s="10">
        <f>AE192-AF192</f>
        <v/>
      </c>
      <c r="AH192" s="10">
        <f>MIN('02_Данные'!S192,AG192)</f>
        <v/>
      </c>
      <c r="AI192" s="10">
        <f>AG192-AH192</f>
        <v/>
      </c>
      <c r="AJ192" s="10">
        <f>MIN('02_Данные'!P192,AI192)</f>
        <v/>
      </c>
      <c r="AK192" s="10">
        <f>AI192-AJ192</f>
        <v/>
      </c>
      <c r="AL192" s="10">
        <f>MIN('02_Данные'!O192,AK192)</f>
        <v/>
      </c>
      <c r="AM192" s="10">
        <f>AK192-AL192</f>
        <v/>
      </c>
      <c r="AN192" s="10">
        <f>MIN('02_Данные'!Q192,AM192)</f>
        <v/>
      </c>
      <c r="AO192" s="10">
        <f>AM192-AN192</f>
        <v/>
      </c>
      <c r="AP192" s="10">
        <f>MIN('02_Данные'!R192,AO192)</f>
        <v/>
      </c>
      <c r="AQ192" s="10">
        <f>AO192-AP192</f>
        <v/>
      </c>
      <c r="AR192" s="10">
        <f>AQ192+'02_Данные'!H192</f>
        <v/>
      </c>
      <c r="AS192" s="10">
        <f>MIN('02_Данные'!T192,AR192)</f>
        <v/>
      </c>
      <c r="AT192" s="10">
        <f>AR192-AS192</f>
        <v/>
      </c>
      <c r="AU192" s="10">
        <f>MIN('02_Данные'!U192,AT192)</f>
        <v/>
      </c>
      <c r="AV192" s="10">
        <f>AT192-AU192</f>
        <v/>
      </c>
      <c r="AW192" s="10">
        <f>MIN('02_Данные'!V192,AV192)</f>
        <v/>
      </c>
      <c r="AX192" s="10">
        <f>AV192-AW192</f>
        <v/>
      </c>
      <c r="AY192" s="10">
        <f>MIN('02_Данные'!AA192,AX192)</f>
        <v/>
      </c>
      <c r="AZ192" s="10">
        <f>AX192-AY192</f>
        <v/>
      </c>
      <c r="BA192" s="10">
        <f>MIN('02_Данные'!X192,AZ192)</f>
        <v/>
      </c>
      <c r="BB192" s="10">
        <f>AZ192-BA192</f>
        <v/>
      </c>
      <c r="BC192" s="10">
        <f>MIN('02_Данные'!W192,BB192)</f>
        <v/>
      </c>
      <c r="BD192" s="10">
        <f>BB192-BC192</f>
        <v/>
      </c>
      <c r="BE192" s="10">
        <f>MIN('02_Данные'!Y192,BD192)</f>
        <v/>
      </c>
      <c r="BF192" s="10">
        <f>BD192-BE192</f>
        <v/>
      </c>
      <c r="BG192" s="10">
        <f>MIN('02_Данные'!Z192,BF192)</f>
        <v/>
      </c>
      <c r="BH192" s="10">
        <f>BF192-BG192</f>
        <v/>
      </c>
      <c r="BI192" s="10">
        <f>BH192+'02_Данные'!I192</f>
        <v/>
      </c>
      <c r="BJ192" s="10">
        <f>MIN('02_Данные'!AB192,BI192)</f>
        <v/>
      </c>
      <c r="BK192" s="10">
        <f>BI192-BJ192</f>
        <v/>
      </c>
      <c r="BL192" s="10">
        <f>MIN('02_Данные'!AC192,BK192)</f>
        <v/>
      </c>
      <c r="BM192" s="10">
        <f>BK192-BL192</f>
        <v/>
      </c>
      <c r="BN192" s="10">
        <f>MIN('02_Данные'!AD192,BM192)</f>
        <v/>
      </c>
      <c r="BO192" s="10">
        <f>BM192-BN192</f>
        <v/>
      </c>
      <c r="BP192" s="10">
        <f>MIN('02_Данные'!AI192,BO192)</f>
        <v/>
      </c>
      <c r="BQ192" s="10">
        <f>BO192-BP192</f>
        <v/>
      </c>
      <c r="BR192" s="10">
        <f>MIN('02_Данные'!AF192,BQ192)</f>
        <v/>
      </c>
      <c r="BS192" s="10">
        <f>BQ192-BR192</f>
        <v/>
      </c>
      <c r="BT192" s="10">
        <f>MIN('02_Данные'!AE192,BS192)</f>
        <v/>
      </c>
      <c r="BU192" s="10">
        <f>BS192-BT192</f>
        <v/>
      </c>
      <c r="BV192" s="10">
        <f>MIN('02_Данные'!AG192,BU192)</f>
        <v/>
      </c>
      <c r="BW192" s="10">
        <f>BU192-BV192</f>
        <v/>
      </c>
      <c r="BX192" s="10">
        <f>MIN('02_Данные'!AH192,BW192)</f>
        <v/>
      </c>
      <c r="BY192" s="10">
        <f>BW192-BX192</f>
        <v/>
      </c>
      <c r="BZ192" s="10">
        <f>BY192+'02_Данные'!J192</f>
        <v/>
      </c>
      <c r="CA192" s="10">
        <f>MIN('02_Данные'!AJ192,BZ192)</f>
        <v/>
      </c>
      <c r="CB192" s="10">
        <f>BZ192-CA192</f>
        <v/>
      </c>
      <c r="CC192" s="10">
        <f>MIN('02_Данные'!AK192,CB192)</f>
        <v/>
      </c>
      <c r="CD192" s="10">
        <f>CB192-CC192</f>
        <v/>
      </c>
      <c r="CE192" s="10">
        <f>MIN('02_Данные'!AL192,CD192)</f>
        <v/>
      </c>
      <c r="CF192" s="10">
        <f>CD192-CE192</f>
        <v/>
      </c>
      <c r="CG192" s="10">
        <f>MIN('02_Данные'!AQ192,CF192)</f>
        <v/>
      </c>
      <c r="CH192" s="10">
        <f>CF192-CG192</f>
        <v/>
      </c>
      <c r="CI192" s="10">
        <f>MIN('02_Данные'!AN192,CH192)</f>
        <v/>
      </c>
      <c r="CJ192" s="10">
        <f>CH192-CI192</f>
        <v/>
      </c>
      <c r="CK192" s="10">
        <f>MIN('02_Данные'!AM192,CJ192)</f>
        <v/>
      </c>
      <c r="CL192" s="10">
        <f>CJ192-CK192</f>
        <v/>
      </c>
      <c r="CM192" s="10">
        <f>MIN('02_Данные'!AO192,CL192)</f>
        <v/>
      </c>
      <c r="CN192" s="10">
        <f>CL192-CM192</f>
        <v/>
      </c>
      <c r="CO192" s="10">
        <f>MIN('02_Данные'!AP192,CN192)</f>
        <v/>
      </c>
      <c r="CP192" s="10">
        <f>CN192-CO192</f>
        <v/>
      </c>
      <c r="CQ192" s="10">
        <f>CP192+'02_Данные'!K192</f>
        <v/>
      </c>
      <c r="CR192" s="10">
        <f>MIN('02_Данные'!AR192,CQ192)</f>
        <v/>
      </c>
      <c r="CS192" s="10">
        <f>CQ192-CR192</f>
        <v/>
      </c>
      <c r="CT192" s="10">
        <f>MIN('02_Данные'!AS192,CS192)</f>
        <v/>
      </c>
      <c r="CU192" s="10">
        <f>CS192-CT192</f>
        <v/>
      </c>
      <c r="CV192" s="10">
        <f>MIN('02_Данные'!AT192,CU192)</f>
        <v/>
      </c>
      <c r="CW192" s="10">
        <f>CU192-CV192</f>
        <v/>
      </c>
      <c r="CX192" s="10">
        <f>MIN('02_Данные'!AY192,CW192)</f>
        <v/>
      </c>
      <c r="CY192" s="10">
        <f>CW192-CX192</f>
        <v/>
      </c>
      <c r="CZ192" s="10">
        <f>MIN('02_Данные'!AV192,CY192)</f>
        <v/>
      </c>
      <c r="DA192" s="10">
        <f>CY192-CZ192</f>
        <v/>
      </c>
      <c r="DB192" s="10">
        <f>MIN('02_Данные'!AU192,DA192)</f>
        <v/>
      </c>
      <c r="DC192" s="10">
        <f>DA192-DB192</f>
        <v/>
      </c>
      <c r="DD192" s="10">
        <f>MIN('02_Данные'!AW192,DC192)</f>
        <v/>
      </c>
      <c r="DE192" s="10">
        <f>DC192-DD192</f>
        <v/>
      </c>
      <c r="DF192" s="10">
        <f>MIN('02_Данные'!AX192,DE192)</f>
        <v/>
      </c>
      <c r="DG192" s="10">
        <f>DE192-DF192</f>
        <v/>
      </c>
    </row>
    <row r="193">
      <c r="A193" s="9">
        <f>'02_Данные'!B193</f>
        <v/>
      </c>
      <c r="B193" s="9">
        <f>'02_Данные'!E193</f>
        <v/>
      </c>
      <c r="C193" s="10">
        <f>'02_Данные'!F193+'02_Данные'!G193+'02_Данные'!H193+'02_Данные'!I193+'02_Данные'!J193+'02_Данные'!K193</f>
        <v/>
      </c>
      <c r="D193" s="10">
        <f>SUM('02_Данные'!L193:'02_Данные'!AY193)</f>
        <v/>
      </c>
      <c r="E193" s="10">
        <f>MAX(0,D193-C193)</f>
        <v/>
      </c>
      <c r="F193" s="15">
        <f>IF(E193&gt;0.0001,"ДЕФИЦИТ",IF(Y193&gt;0.0001,"ПРОФИЦИТ","БАЛАНС"))</f>
        <v/>
      </c>
      <c r="G193" s="10">
        <f>AB193+AS193+BJ193+CA193+CR193</f>
        <v/>
      </c>
      <c r="H193" s="10">
        <f>AD193+AU193+BL193+CC193+CT193</f>
        <v/>
      </c>
      <c r="I193" s="10">
        <f>AF193+AW193+BN193+CE193+CV193</f>
        <v/>
      </c>
      <c r="J193" s="10">
        <f>AL193+BC193+BT193+CK193+DB193</f>
        <v/>
      </c>
      <c r="K193" s="10">
        <f>AJ193+BA193+BR193+CI193+CZ193</f>
        <v/>
      </c>
      <c r="L193" s="10">
        <f>AN193+BE193+BV193+CM193+DD193</f>
        <v/>
      </c>
      <c r="M193" s="10">
        <f>AP193+BG193+BX193+CO193+DF193</f>
        <v/>
      </c>
      <c r="N193" s="10">
        <f>AH193+AY193+BP193+CG193+CX193</f>
        <v/>
      </c>
      <c r="O193" s="10">
        <f>SUM(G193:N193)</f>
        <v/>
      </c>
      <c r="P193" s="10">
        <f>IFERROR(G193*MIN(1,'01_Нормативы'!$C$4/SUM(G$2:G$429)),0)</f>
        <v/>
      </c>
      <c r="Q193" s="10">
        <f>IFERROR(H193*MIN(1,'01_Нормативы'!$C$5/SUM(H$2:H$429)),0)</f>
        <v/>
      </c>
      <c r="R193" s="10">
        <f>IFERROR(I193*MIN(1,'01_Нормативы'!$C$6/SUM(I$2:I$429)),0)</f>
        <v/>
      </c>
      <c r="S193" s="10">
        <f>IFERROR(J193*MIN(1,'01_Нормативы'!$C$7/SUM(J$2:J$429)),0)</f>
        <v/>
      </c>
      <c r="T193" s="10">
        <f>IFERROR(K193*MIN(1,'01_Нормативы'!$C$8/SUM(K$2:K$429)),0)</f>
        <v/>
      </c>
      <c r="U193" s="10">
        <f>IFERROR(L193*MIN(1,'01_Нормативы'!$C$9/SUM(L$2:L$429)),0)</f>
        <v/>
      </c>
      <c r="V193" s="10">
        <f>IFERROR(M193*MIN(1,'01_Нормативы'!$C$10/SUM(M$2:M$429)),0)</f>
        <v/>
      </c>
      <c r="W193" s="10">
        <f>IFERROR(N193*MIN(1,'01_Нормативы'!$C$11/SUM(N$2:N$429)),0)</f>
        <v/>
      </c>
      <c r="X193" s="10">
        <f>SUM(P193:W193)</f>
        <v/>
      </c>
      <c r="Y193" s="10">
        <f>MAX(0,C193-X193)</f>
        <v/>
      </c>
      <c r="Z193" s="10">
        <f>IF(D193=0,100,X193/D193*100)</f>
        <v/>
      </c>
      <c r="AA193" s="10">
        <f>'02_Данные'!F193+'02_Данные'!G193</f>
        <v/>
      </c>
      <c r="AB193" s="10">
        <f>MIN('02_Данные'!L193,AA193)</f>
        <v/>
      </c>
      <c r="AC193" s="10">
        <f>AA193-AB193</f>
        <v/>
      </c>
      <c r="AD193" s="10">
        <f>MIN('02_Данные'!M193,AC193)</f>
        <v/>
      </c>
      <c r="AE193" s="10">
        <f>AC193-AD193</f>
        <v/>
      </c>
      <c r="AF193" s="10">
        <f>MIN('02_Данные'!N193,AE193)</f>
        <v/>
      </c>
      <c r="AG193" s="10">
        <f>AE193-AF193</f>
        <v/>
      </c>
      <c r="AH193" s="10">
        <f>MIN('02_Данные'!S193,AG193)</f>
        <v/>
      </c>
      <c r="AI193" s="10">
        <f>AG193-AH193</f>
        <v/>
      </c>
      <c r="AJ193" s="10">
        <f>MIN('02_Данные'!P193,AI193)</f>
        <v/>
      </c>
      <c r="AK193" s="10">
        <f>AI193-AJ193</f>
        <v/>
      </c>
      <c r="AL193" s="10">
        <f>MIN('02_Данные'!O193,AK193)</f>
        <v/>
      </c>
      <c r="AM193" s="10">
        <f>AK193-AL193</f>
        <v/>
      </c>
      <c r="AN193" s="10">
        <f>MIN('02_Данные'!Q193,AM193)</f>
        <v/>
      </c>
      <c r="AO193" s="10">
        <f>AM193-AN193</f>
        <v/>
      </c>
      <c r="AP193" s="10">
        <f>MIN('02_Данные'!R193,AO193)</f>
        <v/>
      </c>
      <c r="AQ193" s="10">
        <f>AO193-AP193</f>
        <v/>
      </c>
      <c r="AR193" s="10">
        <f>AQ193+'02_Данные'!H193</f>
        <v/>
      </c>
      <c r="AS193" s="10">
        <f>MIN('02_Данные'!T193,AR193)</f>
        <v/>
      </c>
      <c r="AT193" s="10">
        <f>AR193-AS193</f>
        <v/>
      </c>
      <c r="AU193" s="10">
        <f>MIN('02_Данные'!U193,AT193)</f>
        <v/>
      </c>
      <c r="AV193" s="10">
        <f>AT193-AU193</f>
        <v/>
      </c>
      <c r="AW193" s="10">
        <f>MIN('02_Данные'!V193,AV193)</f>
        <v/>
      </c>
      <c r="AX193" s="10">
        <f>AV193-AW193</f>
        <v/>
      </c>
      <c r="AY193" s="10">
        <f>MIN('02_Данные'!AA193,AX193)</f>
        <v/>
      </c>
      <c r="AZ193" s="10">
        <f>AX193-AY193</f>
        <v/>
      </c>
      <c r="BA193" s="10">
        <f>MIN('02_Данные'!X193,AZ193)</f>
        <v/>
      </c>
      <c r="BB193" s="10">
        <f>AZ193-BA193</f>
        <v/>
      </c>
      <c r="BC193" s="10">
        <f>MIN('02_Данные'!W193,BB193)</f>
        <v/>
      </c>
      <c r="BD193" s="10">
        <f>BB193-BC193</f>
        <v/>
      </c>
      <c r="BE193" s="10">
        <f>MIN('02_Данные'!Y193,BD193)</f>
        <v/>
      </c>
      <c r="BF193" s="10">
        <f>BD193-BE193</f>
        <v/>
      </c>
      <c r="BG193" s="10">
        <f>MIN('02_Данные'!Z193,BF193)</f>
        <v/>
      </c>
      <c r="BH193" s="10">
        <f>BF193-BG193</f>
        <v/>
      </c>
      <c r="BI193" s="10">
        <f>BH193+'02_Данные'!I193</f>
        <v/>
      </c>
      <c r="BJ193" s="10">
        <f>MIN('02_Данные'!AB193,BI193)</f>
        <v/>
      </c>
      <c r="BK193" s="10">
        <f>BI193-BJ193</f>
        <v/>
      </c>
      <c r="BL193" s="10">
        <f>MIN('02_Данные'!AC193,BK193)</f>
        <v/>
      </c>
      <c r="BM193" s="10">
        <f>BK193-BL193</f>
        <v/>
      </c>
      <c r="BN193" s="10">
        <f>MIN('02_Данные'!AD193,BM193)</f>
        <v/>
      </c>
      <c r="BO193" s="10">
        <f>BM193-BN193</f>
        <v/>
      </c>
      <c r="BP193" s="10">
        <f>MIN('02_Данные'!AI193,BO193)</f>
        <v/>
      </c>
      <c r="BQ193" s="10">
        <f>BO193-BP193</f>
        <v/>
      </c>
      <c r="BR193" s="10">
        <f>MIN('02_Данные'!AF193,BQ193)</f>
        <v/>
      </c>
      <c r="BS193" s="10">
        <f>BQ193-BR193</f>
        <v/>
      </c>
      <c r="BT193" s="10">
        <f>MIN('02_Данные'!AE193,BS193)</f>
        <v/>
      </c>
      <c r="BU193" s="10">
        <f>BS193-BT193</f>
        <v/>
      </c>
      <c r="BV193" s="10">
        <f>MIN('02_Данные'!AG193,BU193)</f>
        <v/>
      </c>
      <c r="BW193" s="10">
        <f>BU193-BV193</f>
        <v/>
      </c>
      <c r="BX193" s="10">
        <f>MIN('02_Данные'!AH193,BW193)</f>
        <v/>
      </c>
      <c r="BY193" s="10">
        <f>BW193-BX193</f>
        <v/>
      </c>
      <c r="BZ193" s="10">
        <f>BY193+'02_Данные'!J193</f>
        <v/>
      </c>
      <c r="CA193" s="10">
        <f>MIN('02_Данные'!AJ193,BZ193)</f>
        <v/>
      </c>
      <c r="CB193" s="10">
        <f>BZ193-CA193</f>
        <v/>
      </c>
      <c r="CC193" s="10">
        <f>MIN('02_Данные'!AK193,CB193)</f>
        <v/>
      </c>
      <c r="CD193" s="10">
        <f>CB193-CC193</f>
        <v/>
      </c>
      <c r="CE193" s="10">
        <f>MIN('02_Данные'!AL193,CD193)</f>
        <v/>
      </c>
      <c r="CF193" s="10">
        <f>CD193-CE193</f>
        <v/>
      </c>
      <c r="CG193" s="10">
        <f>MIN('02_Данные'!AQ193,CF193)</f>
        <v/>
      </c>
      <c r="CH193" s="10">
        <f>CF193-CG193</f>
        <v/>
      </c>
      <c r="CI193" s="10">
        <f>MIN('02_Данные'!AN193,CH193)</f>
        <v/>
      </c>
      <c r="CJ193" s="10">
        <f>CH193-CI193</f>
        <v/>
      </c>
      <c r="CK193" s="10">
        <f>MIN('02_Данные'!AM193,CJ193)</f>
        <v/>
      </c>
      <c r="CL193" s="10">
        <f>CJ193-CK193</f>
        <v/>
      </c>
      <c r="CM193" s="10">
        <f>MIN('02_Данные'!AO193,CL193)</f>
        <v/>
      </c>
      <c r="CN193" s="10">
        <f>CL193-CM193</f>
        <v/>
      </c>
      <c r="CO193" s="10">
        <f>MIN('02_Данные'!AP193,CN193)</f>
        <v/>
      </c>
      <c r="CP193" s="10">
        <f>CN193-CO193</f>
        <v/>
      </c>
      <c r="CQ193" s="10">
        <f>CP193+'02_Данные'!K193</f>
        <v/>
      </c>
      <c r="CR193" s="10">
        <f>MIN('02_Данные'!AR193,CQ193)</f>
        <v/>
      </c>
      <c r="CS193" s="10">
        <f>CQ193-CR193</f>
        <v/>
      </c>
      <c r="CT193" s="10">
        <f>MIN('02_Данные'!AS193,CS193)</f>
        <v/>
      </c>
      <c r="CU193" s="10">
        <f>CS193-CT193</f>
        <v/>
      </c>
      <c r="CV193" s="10">
        <f>MIN('02_Данные'!AT193,CU193)</f>
        <v/>
      </c>
      <c r="CW193" s="10">
        <f>CU193-CV193</f>
        <v/>
      </c>
      <c r="CX193" s="10">
        <f>MIN('02_Данные'!AY193,CW193)</f>
        <v/>
      </c>
      <c r="CY193" s="10">
        <f>CW193-CX193</f>
        <v/>
      </c>
      <c r="CZ193" s="10">
        <f>MIN('02_Данные'!AV193,CY193)</f>
        <v/>
      </c>
      <c r="DA193" s="10">
        <f>CY193-CZ193</f>
        <v/>
      </c>
      <c r="DB193" s="10">
        <f>MIN('02_Данные'!AU193,DA193)</f>
        <v/>
      </c>
      <c r="DC193" s="10">
        <f>DA193-DB193</f>
        <v/>
      </c>
      <c r="DD193" s="10">
        <f>MIN('02_Данные'!AW193,DC193)</f>
        <v/>
      </c>
      <c r="DE193" s="10">
        <f>DC193-DD193</f>
        <v/>
      </c>
      <c r="DF193" s="10">
        <f>MIN('02_Данные'!AX193,DE193)</f>
        <v/>
      </c>
      <c r="DG193" s="10">
        <f>DE193-DF193</f>
        <v/>
      </c>
    </row>
    <row r="194">
      <c r="A194" s="9">
        <f>'02_Данные'!B194</f>
        <v/>
      </c>
      <c r="B194" s="9">
        <f>'02_Данные'!E194</f>
        <v/>
      </c>
      <c r="C194" s="10">
        <f>'02_Данные'!F194+'02_Данные'!G194+'02_Данные'!H194+'02_Данные'!I194+'02_Данные'!J194+'02_Данные'!K194</f>
        <v/>
      </c>
      <c r="D194" s="10">
        <f>SUM('02_Данные'!L194:'02_Данные'!AY194)</f>
        <v/>
      </c>
      <c r="E194" s="10">
        <f>MAX(0,D194-C194)</f>
        <v/>
      </c>
      <c r="F194" s="15">
        <f>IF(E194&gt;0.0001,"ДЕФИЦИТ",IF(Y194&gt;0.0001,"ПРОФИЦИТ","БАЛАНС"))</f>
        <v/>
      </c>
      <c r="G194" s="10">
        <f>AB194+AS194+BJ194+CA194+CR194</f>
        <v/>
      </c>
      <c r="H194" s="10">
        <f>AD194+AU194+BL194+CC194+CT194</f>
        <v/>
      </c>
      <c r="I194" s="10">
        <f>AF194+AW194+BN194+CE194+CV194</f>
        <v/>
      </c>
      <c r="J194" s="10">
        <f>AL194+BC194+BT194+CK194+DB194</f>
        <v/>
      </c>
      <c r="K194" s="10">
        <f>AJ194+BA194+BR194+CI194+CZ194</f>
        <v/>
      </c>
      <c r="L194" s="10">
        <f>AN194+BE194+BV194+CM194+DD194</f>
        <v/>
      </c>
      <c r="M194" s="10">
        <f>AP194+BG194+BX194+CO194+DF194</f>
        <v/>
      </c>
      <c r="N194" s="10">
        <f>AH194+AY194+BP194+CG194+CX194</f>
        <v/>
      </c>
      <c r="O194" s="10">
        <f>SUM(G194:N194)</f>
        <v/>
      </c>
      <c r="P194" s="10">
        <f>IFERROR(G194*MIN(1,'01_Нормативы'!$C$4/SUM(G$2:G$429)),0)</f>
        <v/>
      </c>
      <c r="Q194" s="10">
        <f>IFERROR(H194*MIN(1,'01_Нормативы'!$C$5/SUM(H$2:H$429)),0)</f>
        <v/>
      </c>
      <c r="R194" s="10">
        <f>IFERROR(I194*MIN(1,'01_Нормативы'!$C$6/SUM(I$2:I$429)),0)</f>
        <v/>
      </c>
      <c r="S194" s="10">
        <f>IFERROR(J194*MIN(1,'01_Нормативы'!$C$7/SUM(J$2:J$429)),0)</f>
        <v/>
      </c>
      <c r="T194" s="10">
        <f>IFERROR(K194*MIN(1,'01_Нормативы'!$C$8/SUM(K$2:K$429)),0)</f>
        <v/>
      </c>
      <c r="U194" s="10">
        <f>IFERROR(L194*MIN(1,'01_Нормативы'!$C$9/SUM(L$2:L$429)),0)</f>
        <v/>
      </c>
      <c r="V194" s="10">
        <f>IFERROR(M194*MIN(1,'01_Нормативы'!$C$10/SUM(M$2:M$429)),0)</f>
        <v/>
      </c>
      <c r="W194" s="10">
        <f>IFERROR(N194*MIN(1,'01_Нормативы'!$C$11/SUM(N$2:N$429)),0)</f>
        <v/>
      </c>
      <c r="X194" s="10">
        <f>SUM(P194:W194)</f>
        <v/>
      </c>
      <c r="Y194" s="10">
        <f>MAX(0,C194-X194)</f>
        <v/>
      </c>
      <c r="Z194" s="10">
        <f>IF(D194=0,100,X194/D194*100)</f>
        <v/>
      </c>
      <c r="AA194" s="10">
        <f>'02_Данные'!F194+'02_Данные'!G194</f>
        <v/>
      </c>
      <c r="AB194" s="10">
        <f>MIN('02_Данные'!L194,AA194)</f>
        <v/>
      </c>
      <c r="AC194" s="10">
        <f>AA194-AB194</f>
        <v/>
      </c>
      <c r="AD194" s="10">
        <f>MIN('02_Данные'!M194,AC194)</f>
        <v/>
      </c>
      <c r="AE194" s="10">
        <f>AC194-AD194</f>
        <v/>
      </c>
      <c r="AF194" s="10">
        <f>MIN('02_Данные'!N194,AE194)</f>
        <v/>
      </c>
      <c r="AG194" s="10">
        <f>AE194-AF194</f>
        <v/>
      </c>
      <c r="AH194" s="10">
        <f>MIN('02_Данные'!S194,AG194)</f>
        <v/>
      </c>
      <c r="AI194" s="10">
        <f>AG194-AH194</f>
        <v/>
      </c>
      <c r="AJ194" s="10">
        <f>MIN('02_Данные'!P194,AI194)</f>
        <v/>
      </c>
      <c r="AK194" s="10">
        <f>AI194-AJ194</f>
        <v/>
      </c>
      <c r="AL194" s="10">
        <f>MIN('02_Данные'!O194,AK194)</f>
        <v/>
      </c>
      <c r="AM194" s="10">
        <f>AK194-AL194</f>
        <v/>
      </c>
      <c r="AN194" s="10">
        <f>MIN('02_Данные'!Q194,AM194)</f>
        <v/>
      </c>
      <c r="AO194" s="10">
        <f>AM194-AN194</f>
        <v/>
      </c>
      <c r="AP194" s="10">
        <f>MIN('02_Данные'!R194,AO194)</f>
        <v/>
      </c>
      <c r="AQ194" s="10">
        <f>AO194-AP194</f>
        <v/>
      </c>
      <c r="AR194" s="10">
        <f>AQ194+'02_Данные'!H194</f>
        <v/>
      </c>
      <c r="AS194" s="10">
        <f>MIN('02_Данные'!T194,AR194)</f>
        <v/>
      </c>
      <c r="AT194" s="10">
        <f>AR194-AS194</f>
        <v/>
      </c>
      <c r="AU194" s="10">
        <f>MIN('02_Данные'!U194,AT194)</f>
        <v/>
      </c>
      <c r="AV194" s="10">
        <f>AT194-AU194</f>
        <v/>
      </c>
      <c r="AW194" s="10">
        <f>MIN('02_Данные'!V194,AV194)</f>
        <v/>
      </c>
      <c r="AX194" s="10">
        <f>AV194-AW194</f>
        <v/>
      </c>
      <c r="AY194" s="10">
        <f>MIN('02_Данные'!AA194,AX194)</f>
        <v/>
      </c>
      <c r="AZ194" s="10">
        <f>AX194-AY194</f>
        <v/>
      </c>
      <c r="BA194" s="10">
        <f>MIN('02_Данные'!X194,AZ194)</f>
        <v/>
      </c>
      <c r="BB194" s="10">
        <f>AZ194-BA194</f>
        <v/>
      </c>
      <c r="BC194" s="10">
        <f>MIN('02_Данные'!W194,BB194)</f>
        <v/>
      </c>
      <c r="BD194" s="10">
        <f>BB194-BC194</f>
        <v/>
      </c>
      <c r="BE194" s="10">
        <f>MIN('02_Данные'!Y194,BD194)</f>
        <v/>
      </c>
      <c r="BF194" s="10">
        <f>BD194-BE194</f>
        <v/>
      </c>
      <c r="BG194" s="10">
        <f>MIN('02_Данные'!Z194,BF194)</f>
        <v/>
      </c>
      <c r="BH194" s="10">
        <f>BF194-BG194</f>
        <v/>
      </c>
      <c r="BI194" s="10">
        <f>BH194+'02_Данные'!I194</f>
        <v/>
      </c>
      <c r="BJ194" s="10">
        <f>MIN('02_Данные'!AB194,BI194)</f>
        <v/>
      </c>
      <c r="BK194" s="10">
        <f>BI194-BJ194</f>
        <v/>
      </c>
      <c r="BL194" s="10">
        <f>MIN('02_Данные'!AC194,BK194)</f>
        <v/>
      </c>
      <c r="BM194" s="10">
        <f>BK194-BL194</f>
        <v/>
      </c>
      <c r="BN194" s="10">
        <f>MIN('02_Данные'!AD194,BM194)</f>
        <v/>
      </c>
      <c r="BO194" s="10">
        <f>BM194-BN194</f>
        <v/>
      </c>
      <c r="BP194" s="10">
        <f>MIN('02_Данные'!AI194,BO194)</f>
        <v/>
      </c>
      <c r="BQ194" s="10">
        <f>BO194-BP194</f>
        <v/>
      </c>
      <c r="BR194" s="10">
        <f>MIN('02_Данные'!AF194,BQ194)</f>
        <v/>
      </c>
      <c r="BS194" s="10">
        <f>BQ194-BR194</f>
        <v/>
      </c>
      <c r="BT194" s="10">
        <f>MIN('02_Данные'!AE194,BS194)</f>
        <v/>
      </c>
      <c r="BU194" s="10">
        <f>BS194-BT194</f>
        <v/>
      </c>
      <c r="BV194" s="10">
        <f>MIN('02_Данные'!AG194,BU194)</f>
        <v/>
      </c>
      <c r="BW194" s="10">
        <f>BU194-BV194</f>
        <v/>
      </c>
      <c r="BX194" s="10">
        <f>MIN('02_Данные'!AH194,BW194)</f>
        <v/>
      </c>
      <c r="BY194" s="10">
        <f>BW194-BX194</f>
        <v/>
      </c>
      <c r="BZ194" s="10">
        <f>BY194+'02_Данные'!J194</f>
        <v/>
      </c>
      <c r="CA194" s="10">
        <f>MIN('02_Данные'!AJ194,BZ194)</f>
        <v/>
      </c>
      <c r="CB194" s="10">
        <f>BZ194-CA194</f>
        <v/>
      </c>
      <c r="CC194" s="10">
        <f>MIN('02_Данные'!AK194,CB194)</f>
        <v/>
      </c>
      <c r="CD194" s="10">
        <f>CB194-CC194</f>
        <v/>
      </c>
      <c r="CE194" s="10">
        <f>MIN('02_Данные'!AL194,CD194)</f>
        <v/>
      </c>
      <c r="CF194" s="10">
        <f>CD194-CE194</f>
        <v/>
      </c>
      <c r="CG194" s="10">
        <f>MIN('02_Данные'!AQ194,CF194)</f>
        <v/>
      </c>
      <c r="CH194" s="10">
        <f>CF194-CG194</f>
        <v/>
      </c>
      <c r="CI194" s="10">
        <f>MIN('02_Данные'!AN194,CH194)</f>
        <v/>
      </c>
      <c r="CJ194" s="10">
        <f>CH194-CI194</f>
        <v/>
      </c>
      <c r="CK194" s="10">
        <f>MIN('02_Данные'!AM194,CJ194)</f>
        <v/>
      </c>
      <c r="CL194" s="10">
        <f>CJ194-CK194</f>
        <v/>
      </c>
      <c r="CM194" s="10">
        <f>MIN('02_Данные'!AO194,CL194)</f>
        <v/>
      </c>
      <c r="CN194" s="10">
        <f>CL194-CM194</f>
        <v/>
      </c>
      <c r="CO194" s="10">
        <f>MIN('02_Данные'!AP194,CN194)</f>
        <v/>
      </c>
      <c r="CP194" s="10">
        <f>CN194-CO194</f>
        <v/>
      </c>
      <c r="CQ194" s="10">
        <f>CP194+'02_Данные'!K194</f>
        <v/>
      </c>
      <c r="CR194" s="10">
        <f>MIN('02_Данные'!AR194,CQ194)</f>
        <v/>
      </c>
      <c r="CS194" s="10">
        <f>CQ194-CR194</f>
        <v/>
      </c>
      <c r="CT194" s="10">
        <f>MIN('02_Данные'!AS194,CS194)</f>
        <v/>
      </c>
      <c r="CU194" s="10">
        <f>CS194-CT194</f>
        <v/>
      </c>
      <c r="CV194" s="10">
        <f>MIN('02_Данные'!AT194,CU194)</f>
        <v/>
      </c>
      <c r="CW194" s="10">
        <f>CU194-CV194</f>
        <v/>
      </c>
      <c r="CX194" s="10">
        <f>MIN('02_Данные'!AY194,CW194)</f>
        <v/>
      </c>
      <c r="CY194" s="10">
        <f>CW194-CX194</f>
        <v/>
      </c>
      <c r="CZ194" s="10">
        <f>MIN('02_Данные'!AV194,CY194)</f>
        <v/>
      </c>
      <c r="DA194" s="10">
        <f>CY194-CZ194</f>
        <v/>
      </c>
      <c r="DB194" s="10">
        <f>MIN('02_Данные'!AU194,DA194)</f>
        <v/>
      </c>
      <c r="DC194" s="10">
        <f>DA194-DB194</f>
        <v/>
      </c>
      <c r="DD194" s="10">
        <f>MIN('02_Данные'!AW194,DC194)</f>
        <v/>
      </c>
      <c r="DE194" s="10">
        <f>DC194-DD194</f>
        <v/>
      </c>
      <c r="DF194" s="10">
        <f>MIN('02_Данные'!AX194,DE194)</f>
        <v/>
      </c>
      <c r="DG194" s="10">
        <f>DE194-DF194</f>
        <v/>
      </c>
    </row>
    <row r="195">
      <c r="A195" s="9">
        <f>'02_Данные'!B195</f>
        <v/>
      </c>
      <c r="B195" s="9">
        <f>'02_Данные'!E195</f>
        <v/>
      </c>
      <c r="C195" s="10">
        <f>'02_Данные'!F195+'02_Данные'!G195+'02_Данные'!H195+'02_Данные'!I195+'02_Данные'!J195+'02_Данные'!K195</f>
        <v/>
      </c>
      <c r="D195" s="10">
        <f>SUM('02_Данные'!L195:'02_Данные'!AY195)</f>
        <v/>
      </c>
      <c r="E195" s="10">
        <f>MAX(0,D195-C195)</f>
        <v/>
      </c>
      <c r="F195" s="15">
        <f>IF(E195&gt;0.0001,"ДЕФИЦИТ",IF(Y195&gt;0.0001,"ПРОФИЦИТ","БАЛАНС"))</f>
        <v/>
      </c>
      <c r="G195" s="10">
        <f>AB195+AS195+BJ195+CA195+CR195</f>
        <v/>
      </c>
      <c r="H195" s="10">
        <f>AD195+AU195+BL195+CC195+CT195</f>
        <v/>
      </c>
      <c r="I195" s="10">
        <f>AF195+AW195+BN195+CE195+CV195</f>
        <v/>
      </c>
      <c r="J195" s="10">
        <f>AL195+BC195+BT195+CK195+DB195</f>
        <v/>
      </c>
      <c r="K195" s="10">
        <f>AJ195+BA195+BR195+CI195+CZ195</f>
        <v/>
      </c>
      <c r="L195" s="10">
        <f>AN195+BE195+BV195+CM195+DD195</f>
        <v/>
      </c>
      <c r="M195" s="10">
        <f>AP195+BG195+BX195+CO195+DF195</f>
        <v/>
      </c>
      <c r="N195" s="10">
        <f>AH195+AY195+BP195+CG195+CX195</f>
        <v/>
      </c>
      <c r="O195" s="10">
        <f>SUM(G195:N195)</f>
        <v/>
      </c>
      <c r="P195" s="10">
        <f>IFERROR(G195*MIN(1,'01_Нормативы'!$C$4/SUM(G$2:G$429)),0)</f>
        <v/>
      </c>
      <c r="Q195" s="10">
        <f>IFERROR(H195*MIN(1,'01_Нормативы'!$C$5/SUM(H$2:H$429)),0)</f>
        <v/>
      </c>
      <c r="R195" s="10">
        <f>IFERROR(I195*MIN(1,'01_Нормативы'!$C$6/SUM(I$2:I$429)),0)</f>
        <v/>
      </c>
      <c r="S195" s="10">
        <f>IFERROR(J195*MIN(1,'01_Нормативы'!$C$7/SUM(J$2:J$429)),0)</f>
        <v/>
      </c>
      <c r="T195" s="10">
        <f>IFERROR(K195*MIN(1,'01_Нормативы'!$C$8/SUM(K$2:K$429)),0)</f>
        <v/>
      </c>
      <c r="U195" s="10">
        <f>IFERROR(L195*MIN(1,'01_Нормативы'!$C$9/SUM(L$2:L$429)),0)</f>
        <v/>
      </c>
      <c r="V195" s="10">
        <f>IFERROR(M195*MIN(1,'01_Нормативы'!$C$10/SUM(M$2:M$429)),0)</f>
        <v/>
      </c>
      <c r="W195" s="10">
        <f>IFERROR(N195*MIN(1,'01_Нормативы'!$C$11/SUM(N$2:N$429)),0)</f>
        <v/>
      </c>
      <c r="X195" s="10">
        <f>SUM(P195:W195)</f>
        <v/>
      </c>
      <c r="Y195" s="10">
        <f>MAX(0,C195-X195)</f>
        <v/>
      </c>
      <c r="Z195" s="10">
        <f>IF(D195=0,100,X195/D195*100)</f>
        <v/>
      </c>
      <c r="AA195" s="10">
        <f>'02_Данные'!F195+'02_Данные'!G195</f>
        <v/>
      </c>
      <c r="AB195" s="10">
        <f>MIN('02_Данные'!L195,AA195)</f>
        <v/>
      </c>
      <c r="AC195" s="10">
        <f>AA195-AB195</f>
        <v/>
      </c>
      <c r="AD195" s="10">
        <f>MIN('02_Данные'!M195,AC195)</f>
        <v/>
      </c>
      <c r="AE195" s="10">
        <f>AC195-AD195</f>
        <v/>
      </c>
      <c r="AF195" s="10">
        <f>MIN('02_Данные'!N195,AE195)</f>
        <v/>
      </c>
      <c r="AG195" s="10">
        <f>AE195-AF195</f>
        <v/>
      </c>
      <c r="AH195" s="10">
        <f>MIN('02_Данные'!S195,AG195)</f>
        <v/>
      </c>
      <c r="AI195" s="10">
        <f>AG195-AH195</f>
        <v/>
      </c>
      <c r="AJ195" s="10">
        <f>MIN('02_Данные'!P195,AI195)</f>
        <v/>
      </c>
      <c r="AK195" s="10">
        <f>AI195-AJ195</f>
        <v/>
      </c>
      <c r="AL195" s="10">
        <f>MIN('02_Данные'!O195,AK195)</f>
        <v/>
      </c>
      <c r="AM195" s="10">
        <f>AK195-AL195</f>
        <v/>
      </c>
      <c r="AN195" s="10">
        <f>MIN('02_Данные'!Q195,AM195)</f>
        <v/>
      </c>
      <c r="AO195" s="10">
        <f>AM195-AN195</f>
        <v/>
      </c>
      <c r="AP195" s="10">
        <f>MIN('02_Данные'!R195,AO195)</f>
        <v/>
      </c>
      <c r="AQ195" s="10">
        <f>AO195-AP195</f>
        <v/>
      </c>
      <c r="AR195" s="10">
        <f>AQ195+'02_Данные'!H195</f>
        <v/>
      </c>
      <c r="AS195" s="10">
        <f>MIN('02_Данные'!T195,AR195)</f>
        <v/>
      </c>
      <c r="AT195" s="10">
        <f>AR195-AS195</f>
        <v/>
      </c>
      <c r="AU195" s="10">
        <f>MIN('02_Данные'!U195,AT195)</f>
        <v/>
      </c>
      <c r="AV195" s="10">
        <f>AT195-AU195</f>
        <v/>
      </c>
      <c r="AW195" s="10">
        <f>MIN('02_Данные'!V195,AV195)</f>
        <v/>
      </c>
      <c r="AX195" s="10">
        <f>AV195-AW195</f>
        <v/>
      </c>
      <c r="AY195" s="10">
        <f>MIN('02_Данные'!AA195,AX195)</f>
        <v/>
      </c>
      <c r="AZ195" s="10">
        <f>AX195-AY195</f>
        <v/>
      </c>
      <c r="BA195" s="10">
        <f>MIN('02_Данные'!X195,AZ195)</f>
        <v/>
      </c>
      <c r="BB195" s="10">
        <f>AZ195-BA195</f>
        <v/>
      </c>
      <c r="BC195" s="10">
        <f>MIN('02_Данные'!W195,BB195)</f>
        <v/>
      </c>
      <c r="BD195" s="10">
        <f>BB195-BC195</f>
        <v/>
      </c>
      <c r="BE195" s="10">
        <f>MIN('02_Данные'!Y195,BD195)</f>
        <v/>
      </c>
      <c r="BF195" s="10">
        <f>BD195-BE195</f>
        <v/>
      </c>
      <c r="BG195" s="10">
        <f>MIN('02_Данные'!Z195,BF195)</f>
        <v/>
      </c>
      <c r="BH195" s="10">
        <f>BF195-BG195</f>
        <v/>
      </c>
      <c r="BI195" s="10">
        <f>BH195+'02_Данные'!I195</f>
        <v/>
      </c>
      <c r="BJ195" s="10">
        <f>MIN('02_Данные'!AB195,BI195)</f>
        <v/>
      </c>
      <c r="BK195" s="10">
        <f>BI195-BJ195</f>
        <v/>
      </c>
      <c r="BL195" s="10">
        <f>MIN('02_Данные'!AC195,BK195)</f>
        <v/>
      </c>
      <c r="BM195" s="10">
        <f>BK195-BL195</f>
        <v/>
      </c>
      <c r="BN195" s="10">
        <f>MIN('02_Данные'!AD195,BM195)</f>
        <v/>
      </c>
      <c r="BO195" s="10">
        <f>BM195-BN195</f>
        <v/>
      </c>
      <c r="BP195" s="10">
        <f>MIN('02_Данные'!AI195,BO195)</f>
        <v/>
      </c>
      <c r="BQ195" s="10">
        <f>BO195-BP195</f>
        <v/>
      </c>
      <c r="BR195" s="10">
        <f>MIN('02_Данные'!AF195,BQ195)</f>
        <v/>
      </c>
      <c r="BS195" s="10">
        <f>BQ195-BR195</f>
        <v/>
      </c>
      <c r="BT195" s="10">
        <f>MIN('02_Данные'!AE195,BS195)</f>
        <v/>
      </c>
      <c r="BU195" s="10">
        <f>BS195-BT195</f>
        <v/>
      </c>
      <c r="BV195" s="10">
        <f>MIN('02_Данные'!AG195,BU195)</f>
        <v/>
      </c>
      <c r="BW195" s="10">
        <f>BU195-BV195</f>
        <v/>
      </c>
      <c r="BX195" s="10">
        <f>MIN('02_Данные'!AH195,BW195)</f>
        <v/>
      </c>
      <c r="BY195" s="10">
        <f>BW195-BX195</f>
        <v/>
      </c>
      <c r="BZ195" s="10">
        <f>BY195+'02_Данные'!J195</f>
        <v/>
      </c>
      <c r="CA195" s="10">
        <f>MIN('02_Данные'!AJ195,BZ195)</f>
        <v/>
      </c>
      <c r="CB195" s="10">
        <f>BZ195-CA195</f>
        <v/>
      </c>
      <c r="CC195" s="10">
        <f>MIN('02_Данные'!AK195,CB195)</f>
        <v/>
      </c>
      <c r="CD195" s="10">
        <f>CB195-CC195</f>
        <v/>
      </c>
      <c r="CE195" s="10">
        <f>MIN('02_Данные'!AL195,CD195)</f>
        <v/>
      </c>
      <c r="CF195" s="10">
        <f>CD195-CE195</f>
        <v/>
      </c>
      <c r="CG195" s="10">
        <f>MIN('02_Данные'!AQ195,CF195)</f>
        <v/>
      </c>
      <c r="CH195" s="10">
        <f>CF195-CG195</f>
        <v/>
      </c>
      <c r="CI195" s="10">
        <f>MIN('02_Данные'!AN195,CH195)</f>
        <v/>
      </c>
      <c r="CJ195" s="10">
        <f>CH195-CI195</f>
        <v/>
      </c>
      <c r="CK195" s="10">
        <f>MIN('02_Данные'!AM195,CJ195)</f>
        <v/>
      </c>
      <c r="CL195" s="10">
        <f>CJ195-CK195</f>
        <v/>
      </c>
      <c r="CM195" s="10">
        <f>MIN('02_Данные'!AO195,CL195)</f>
        <v/>
      </c>
      <c r="CN195" s="10">
        <f>CL195-CM195</f>
        <v/>
      </c>
      <c r="CO195" s="10">
        <f>MIN('02_Данные'!AP195,CN195)</f>
        <v/>
      </c>
      <c r="CP195" s="10">
        <f>CN195-CO195</f>
        <v/>
      </c>
      <c r="CQ195" s="10">
        <f>CP195+'02_Данные'!K195</f>
        <v/>
      </c>
      <c r="CR195" s="10">
        <f>MIN('02_Данные'!AR195,CQ195)</f>
        <v/>
      </c>
      <c r="CS195" s="10">
        <f>CQ195-CR195</f>
        <v/>
      </c>
      <c r="CT195" s="10">
        <f>MIN('02_Данные'!AS195,CS195)</f>
        <v/>
      </c>
      <c r="CU195" s="10">
        <f>CS195-CT195</f>
        <v/>
      </c>
      <c r="CV195" s="10">
        <f>MIN('02_Данные'!AT195,CU195)</f>
        <v/>
      </c>
      <c r="CW195" s="10">
        <f>CU195-CV195</f>
        <v/>
      </c>
      <c r="CX195" s="10">
        <f>MIN('02_Данные'!AY195,CW195)</f>
        <v/>
      </c>
      <c r="CY195" s="10">
        <f>CW195-CX195</f>
        <v/>
      </c>
      <c r="CZ195" s="10">
        <f>MIN('02_Данные'!AV195,CY195)</f>
        <v/>
      </c>
      <c r="DA195" s="10">
        <f>CY195-CZ195</f>
        <v/>
      </c>
      <c r="DB195" s="10">
        <f>MIN('02_Данные'!AU195,DA195)</f>
        <v/>
      </c>
      <c r="DC195" s="10">
        <f>DA195-DB195</f>
        <v/>
      </c>
      <c r="DD195" s="10">
        <f>MIN('02_Данные'!AW195,DC195)</f>
        <v/>
      </c>
      <c r="DE195" s="10">
        <f>DC195-DD195</f>
        <v/>
      </c>
      <c r="DF195" s="10">
        <f>MIN('02_Данные'!AX195,DE195)</f>
        <v/>
      </c>
      <c r="DG195" s="10">
        <f>DE195-DF195</f>
        <v/>
      </c>
    </row>
    <row r="196">
      <c r="A196" s="9">
        <f>'02_Данные'!B196</f>
        <v/>
      </c>
      <c r="B196" s="9">
        <f>'02_Данные'!E196</f>
        <v/>
      </c>
      <c r="C196" s="10">
        <f>'02_Данные'!F196+'02_Данные'!G196+'02_Данные'!H196+'02_Данные'!I196+'02_Данные'!J196+'02_Данные'!K196</f>
        <v/>
      </c>
      <c r="D196" s="10">
        <f>SUM('02_Данные'!L196:'02_Данные'!AY196)</f>
        <v/>
      </c>
      <c r="E196" s="10">
        <f>MAX(0,D196-C196)</f>
        <v/>
      </c>
      <c r="F196" s="15">
        <f>IF(E196&gt;0.0001,"ДЕФИЦИТ",IF(Y196&gt;0.0001,"ПРОФИЦИТ","БАЛАНС"))</f>
        <v/>
      </c>
      <c r="G196" s="10">
        <f>AB196+AS196+BJ196+CA196+CR196</f>
        <v/>
      </c>
      <c r="H196" s="10">
        <f>AD196+AU196+BL196+CC196+CT196</f>
        <v/>
      </c>
      <c r="I196" s="10">
        <f>AF196+AW196+BN196+CE196+CV196</f>
        <v/>
      </c>
      <c r="J196" s="10">
        <f>AL196+BC196+BT196+CK196+DB196</f>
        <v/>
      </c>
      <c r="K196" s="10">
        <f>AJ196+BA196+BR196+CI196+CZ196</f>
        <v/>
      </c>
      <c r="L196" s="10">
        <f>AN196+BE196+BV196+CM196+DD196</f>
        <v/>
      </c>
      <c r="M196" s="10">
        <f>AP196+BG196+BX196+CO196+DF196</f>
        <v/>
      </c>
      <c r="N196" s="10">
        <f>AH196+AY196+BP196+CG196+CX196</f>
        <v/>
      </c>
      <c r="O196" s="10">
        <f>SUM(G196:N196)</f>
        <v/>
      </c>
      <c r="P196" s="10">
        <f>IFERROR(G196*MIN(1,'01_Нормативы'!$C$4/SUM(G$2:G$429)),0)</f>
        <v/>
      </c>
      <c r="Q196" s="10">
        <f>IFERROR(H196*MIN(1,'01_Нормативы'!$C$5/SUM(H$2:H$429)),0)</f>
        <v/>
      </c>
      <c r="R196" s="10">
        <f>IFERROR(I196*MIN(1,'01_Нормативы'!$C$6/SUM(I$2:I$429)),0)</f>
        <v/>
      </c>
      <c r="S196" s="10">
        <f>IFERROR(J196*MIN(1,'01_Нормативы'!$C$7/SUM(J$2:J$429)),0)</f>
        <v/>
      </c>
      <c r="T196" s="10">
        <f>IFERROR(K196*MIN(1,'01_Нормативы'!$C$8/SUM(K$2:K$429)),0)</f>
        <v/>
      </c>
      <c r="U196" s="10">
        <f>IFERROR(L196*MIN(1,'01_Нормативы'!$C$9/SUM(L$2:L$429)),0)</f>
        <v/>
      </c>
      <c r="V196" s="10">
        <f>IFERROR(M196*MIN(1,'01_Нормативы'!$C$10/SUM(M$2:M$429)),0)</f>
        <v/>
      </c>
      <c r="W196" s="10">
        <f>IFERROR(N196*MIN(1,'01_Нормативы'!$C$11/SUM(N$2:N$429)),0)</f>
        <v/>
      </c>
      <c r="X196" s="10">
        <f>SUM(P196:W196)</f>
        <v/>
      </c>
      <c r="Y196" s="10">
        <f>MAX(0,C196-X196)</f>
        <v/>
      </c>
      <c r="Z196" s="10">
        <f>IF(D196=0,100,X196/D196*100)</f>
        <v/>
      </c>
      <c r="AA196" s="10">
        <f>'02_Данные'!F196+'02_Данные'!G196</f>
        <v/>
      </c>
      <c r="AB196" s="10">
        <f>MIN('02_Данные'!L196,AA196)</f>
        <v/>
      </c>
      <c r="AC196" s="10">
        <f>AA196-AB196</f>
        <v/>
      </c>
      <c r="AD196" s="10">
        <f>MIN('02_Данные'!M196,AC196)</f>
        <v/>
      </c>
      <c r="AE196" s="10">
        <f>AC196-AD196</f>
        <v/>
      </c>
      <c r="AF196" s="10">
        <f>MIN('02_Данные'!N196,AE196)</f>
        <v/>
      </c>
      <c r="AG196" s="10">
        <f>AE196-AF196</f>
        <v/>
      </c>
      <c r="AH196" s="10">
        <f>MIN('02_Данные'!S196,AG196)</f>
        <v/>
      </c>
      <c r="AI196" s="10">
        <f>AG196-AH196</f>
        <v/>
      </c>
      <c r="AJ196" s="10">
        <f>MIN('02_Данные'!P196,AI196)</f>
        <v/>
      </c>
      <c r="AK196" s="10">
        <f>AI196-AJ196</f>
        <v/>
      </c>
      <c r="AL196" s="10">
        <f>MIN('02_Данные'!O196,AK196)</f>
        <v/>
      </c>
      <c r="AM196" s="10">
        <f>AK196-AL196</f>
        <v/>
      </c>
      <c r="AN196" s="10">
        <f>MIN('02_Данные'!Q196,AM196)</f>
        <v/>
      </c>
      <c r="AO196" s="10">
        <f>AM196-AN196</f>
        <v/>
      </c>
      <c r="AP196" s="10">
        <f>MIN('02_Данные'!R196,AO196)</f>
        <v/>
      </c>
      <c r="AQ196" s="10">
        <f>AO196-AP196</f>
        <v/>
      </c>
      <c r="AR196" s="10">
        <f>AQ196+'02_Данные'!H196</f>
        <v/>
      </c>
      <c r="AS196" s="10">
        <f>MIN('02_Данные'!T196,AR196)</f>
        <v/>
      </c>
      <c r="AT196" s="10">
        <f>AR196-AS196</f>
        <v/>
      </c>
      <c r="AU196" s="10">
        <f>MIN('02_Данные'!U196,AT196)</f>
        <v/>
      </c>
      <c r="AV196" s="10">
        <f>AT196-AU196</f>
        <v/>
      </c>
      <c r="AW196" s="10">
        <f>MIN('02_Данные'!V196,AV196)</f>
        <v/>
      </c>
      <c r="AX196" s="10">
        <f>AV196-AW196</f>
        <v/>
      </c>
      <c r="AY196" s="10">
        <f>MIN('02_Данные'!AA196,AX196)</f>
        <v/>
      </c>
      <c r="AZ196" s="10">
        <f>AX196-AY196</f>
        <v/>
      </c>
      <c r="BA196" s="10">
        <f>MIN('02_Данные'!X196,AZ196)</f>
        <v/>
      </c>
      <c r="BB196" s="10">
        <f>AZ196-BA196</f>
        <v/>
      </c>
      <c r="BC196" s="10">
        <f>MIN('02_Данные'!W196,BB196)</f>
        <v/>
      </c>
      <c r="BD196" s="10">
        <f>BB196-BC196</f>
        <v/>
      </c>
      <c r="BE196" s="10">
        <f>MIN('02_Данные'!Y196,BD196)</f>
        <v/>
      </c>
      <c r="BF196" s="10">
        <f>BD196-BE196</f>
        <v/>
      </c>
      <c r="BG196" s="10">
        <f>MIN('02_Данные'!Z196,BF196)</f>
        <v/>
      </c>
      <c r="BH196" s="10">
        <f>BF196-BG196</f>
        <v/>
      </c>
      <c r="BI196" s="10">
        <f>BH196+'02_Данные'!I196</f>
        <v/>
      </c>
      <c r="BJ196" s="10">
        <f>MIN('02_Данные'!AB196,BI196)</f>
        <v/>
      </c>
      <c r="BK196" s="10">
        <f>BI196-BJ196</f>
        <v/>
      </c>
      <c r="BL196" s="10">
        <f>MIN('02_Данные'!AC196,BK196)</f>
        <v/>
      </c>
      <c r="BM196" s="10">
        <f>BK196-BL196</f>
        <v/>
      </c>
      <c r="BN196" s="10">
        <f>MIN('02_Данные'!AD196,BM196)</f>
        <v/>
      </c>
      <c r="BO196" s="10">
        <f>BM196-BN196</f>
        <v/>
      </c>
      <c r="BP196" s="10">
        <f>MIN('02_Данные'!AI196,BO196)</f>
        <v/>
      </c>
      <c r="BQ196" s="10">
        <f>BO196-BP196</f>
        <v/>
      </c>
      <c r="BR196" s="10">
        <f>MIN('02_Данные'!AF196,BQ196)</f>
        <v/>
      </c>
      <c r="BS196" s="10">
        <f>BQ196-BR196</f>
        <v/>
      </c>
      <c r="BT196" s="10">
        <f>MIN('02_Данные'!AE196,BS196)</f>
        <v/>
      </c>
      <c r="BU196" s="10">
        <f>BS196-BT196</f>
        <v/>
      </c>
      <c r="BV196" s="10">
        <f>MIN('02_Данные'!AG196,BU196)</f>
        <v/>
      </c>
      <c r="BW196" s="10">
        <f>BU196-BV196</f>
        <v/>
      </c>
      <c r="BX196" s="10">
        <f>MIN('02_Данные'!AH196,BW196)</f>
        <v/>
      </c>
      <c r="BY196" s="10">
        <f>BW196-BX196</f>
        <v/>
      </c>
      <c r="BZ196" s="10">
        <f>BY196+'02_Данные'!J196</f>
        <v/>
      </c>
      <c r="CA196" s="10">
        <f>MIN('02_Данные'!AJ196,BZ196)</f>
        <v/>
      </c>
      <c r="CB196" s="10">
        <f>BZ196-CA196</f>
        <v/>
      </c>
      <c r="CC196" s="10">
        <f>MIN('02_Данные'!AK196,CB196)</f>
        <v/>
      </c>
      <c r="CD196" s="10">
        <f>CB196-CC196</f>
        <v/>
      </c>
      <c r="CE196" s="10">
        <f>MIN('02_Данные'!AL196,CD196)</f>
        <v/>
      </c>
      <c r="CF196" s="10">
        <f>CD196-CE196</f>
        <v/>
      </c>
      <c r="CG196" s="10">
        <f>MIN('02_Данные'!AQ196,CF196)</f>
        <v/>
      </c>
      <c r="CH196" s="10">
        <f>CF196-CG196</f>
        <v/>
      </c>
      <c r="CI196" s="10">
        <f>MIN('02_Данные'!AN196,CH196)</f>
        <v/>
      </c>
      <c r="CJ196" s="10">
        <f>CH196-CI196</f>
        <v/>
      </c>
      <c r="CK196" s="10">
        <f>MIN('02_Данные'!AM196,CJ196)</f>
        <v/>
      </c>
      <c r="CL196" s="10">
        <f>CJ196-CK196</f>
        <v/>
      </c>
      <c r="CM196" s="10">
        <f>MIN('02_Данные'!AO196,CL196)</f>
        <v/>
      </c>
      <c r="CN196" s="10">
        <f>CL196-CM196</f>
        <v/>
      </c>
      <c r="CO196" s="10">
        <f>MIN('02_Данные'!AP196,CN196)</f>
        <v/>
      </c>
      <c r="CP196" s="10">
        <f>CN196-CO196</f>
        <v/>
      </c>
      <c r="CQ196" s="10">
        <f>CP196+'02_Данные'!K196</f>
        <v/>
      </c>
      <c r="CR196" s="10">
        <f>MIN('02_Данные'!AR196,CQ196)</f>
        <v/>
      </c>
      <c r="CS196" s="10">
        <f>CQ196-CR196</f>
        <v/>
      </c>
      <c r="CT196" s="10">
        <f>MIN('02_Данные'!AS196,CS196)</f>
        <v/>
      </c>
      <c r="CU196" s="10">
        <f>CS196-CT196</f>
        <v/>
      </c>
      <c r="CV196" s="10">
        <f>MIN('02_Данные'!AT196,CU196)</f>
        <v/>
      </c>
      <c r="CW196" s="10">
        <f>CU196-CV196</f>
        <v/>
      </c>
      <c r="CX196" s="10">
        <f>MIN('02_Данные'!AY196,CW196)</f>
        <v/>
      </c>
      <c r="CY196" s="10">
        <f>CW196-CX196</f>
        <v/>
      </c>
      <c r="CZ196" s="10">
        <f>MIN('02_Данные'!AV196,CY196)</f>
        <v/>
      </c>
      <c r="DA196" s="10">
        <f>CY196-CZ196</f>
        <v/>
      </c>
      <c r="DB196" s="10">
        <f>MIN('02_Данные'!AU196,DA196)</f>
        <v/>
      </c>
      <c r="DC196" s="10">
        <f>DA196-DB196</f>
        <v/>
      </c>
      <c r="DD196" s="10">
        <f>MIN('02_Данные'!AW196,DC196)</f>
        <v/>
      </c>
      <c r="DE196" s="10">
        <f>DC196-DD196</f>
        <v/>
      </c>
      <c r="DF196" s="10">
        <f>MIN('02_Данные'!AX196,DE196)</f>
        <v/>
      </c>
      <c r="DG196" s="10">
        <f>DE196-DF196</f>
        <v/>
      </c>
    </row>
    <row r="197">
      <c r="A197" s="9">
        <f>'02_Данные'!B197</f>
        <v/>
      </c>
      <c r="B197" s="9">
        <f>'02_Данные'!E197</f>
        <v/>
      </c>
      <c r="C197" s="10">
        <f>'02_Данные'!F197+'02_Данные'!G197+'02_Данные'!H197+'02_Данные'!I197+'02_Данные'!J197+'02_Данные'!K197</f>
        <v/>
      </c>
      <c r="D197" s="10">
        <f>SUM('02_Данные'!L197:'02_Данные'!AY197)</f>
        <v/>
      </c>
      <c r="E197" s="10">
        <f>MAX(0,D197-C197)</f>
        <v/>
      </c>
      <c r="F197" s="15">
        <f>IF(E197&gt;0.0001,"ДЕФИЦИТ",IF(Y197&gt;0.0001,"ПРОФИЦИТ","БАЛАНС"))</f>
        <v/>
      </c>
      <c r="G197" s="10">
        <f>AB197+AS197+BJ197+CA197+CR197</f>
        <v/>
      </c>
      <c r="H197" s="10">
        <f>AD197+AU197+BL197+CC197+CT197</f>
        <v/>
      </c>
      <c r="I197" s="10">
        <f>AF197+AW197+BN197+CE197+CV197</f>
        <v/>
      </c>
      <c r="J197" s="10">
        <f>AL197+BC197+BT197+CK197+DB197</f>
        <v/>
      </c>
      <c r="K197" s="10">
        <f>AJ197+BA197+BR197+CI197+CZ197</f>
        <v/>
      </c>
      <c r="L197" s="10">
        <f>AN197+BE197+BV197+CM197+DD197</f>
        <v/>
      </c>
      <c r="M197" s="10">
        <f>AP197+BG197+BX197+CO197+DF197</f>
        <v/>
      </c>
      <c r="N197" s="10">
        <f>AH197+AY197+BP197+CG197+CX197</f>
        <v/>
      </c>
      <c r="O197" s="10">
        <f>SUM(G197:N197)</f>
        <v/>
      </c>
      <c r="P197" s="10">
        <f>IFERROR(G197*MIN(1,'01_Нормативы'!$C$4/SUM(G$2:G$429)),0)</f>
        <v/>
      </c>
      <c r="Q197" s="10">
        <f>IFERROR(H197*MIN(1,'01_Нормативы'!$C$5/SUM(H$2:H$429)),0)</f>
        <v/>
      </c>
      <c r="R197" s="10">
        <f>IFERROR(I197*MIN(1,'01_Нормативы'!$C$6/SUM(I$2:I$429)),0)</f>
        <v/>
      </c>
      <c r="S197" s="10">
        <f>IFERROR(J197*MIN(1,'01_Нормативы'!$C$7/SUM(J$2:J$429)),0)</f>
        <v/>
      </c>
      <c r="T197" s="10">
        <f>IFERROR(K197*MIN(1,'01_Нормативы'!$C$8/SUM(K$2:K$429)),0)</f>
        <v/>
      </c>
      <c r="U197" s="10">
        <f>IFERROR(L197*MIN(1,'01_Нормативы'!$C$9/SUM(L$2:L$429)),0)</f>
        <v/>
      </c>
      <c r="V197" s="10">
        <f>IFERROR(M197*MIN(1,'01_Нормативы'!$C$10/SUM(M$2:M$429)),0)</f>
        <v/>
      </c>
      <c r="W197" s="10">
        <f>IFERROR(N197*MIN(1,'01_Нормативы'!$C$11/SUM(N$2:N$429)),0)</f>
        <v/>
      </c>
      <c r="X197" s="10">
        <f>SUM(P197:W197)</f>
        <v/>
      </c>
      <c r="Y197" s="10">
        <f>MAX(0,C197-X197)</f>
        <v/>
      </c>
      <c r="Z197" s="10">
        <f>IF(D197=0,100,X197/D197*100)</f>
        <v/>
      </c>
      <c r="AA197" s="10">
        <f>'02_Данные'!F197+'02_Данные'!G197</f>
        <v/>
      </c>
      <c r="AB197" s="10">
        <f>MIN('02_Данные'!L197,AA197)</f>
        <v/>
      </c>
      <c r="AC197" s="10">
        <f>AA197-AB197</f>
        <v/>
      </c>
      <c r="AD197" s="10">
        <f>MIN('02_Данные'!M197,AC197)</f>
        <v/>
      </c>
      <c r="AE197" s="10">
        <f>AC197-AD197</f>
        <v/>
      </c>
      <c r="AF197" s="10">
        <f>MIN('02_Данные'!N197,AE197)</f>
        <v/>
      </c>
      <c r="AG197" s="10">
        <f>AE197-AF197</f>
        <v/>
      </c>
      <c r="AH197" s="10">
        <f>MIN('02_Данные'!S197,AG197)</f>
        <v/>
      </c>
      <c r="AI197" s="10">
        <f>AG197-AH197</f>
        <v/>
      </c>
      <c r="AJ197" s="10">
        <f>MIN('02_Данные'!P197,AI197)</f>
        <v/>
      </c>
      <c r="AK197" s="10">
        <f>AI197-AJ197</f>
        <v/>
      </c>
      <c r="AL197" s="10">
        <f>MIN('02_Данные'!O197,AK197)</f>
        <v/>
      </c>
      <c r="AM197" s="10">
        <f>AK197-AL197</f>
        <v/>
      </c>
      <c r="AN197" s="10">
        <f>MIN('02_Данные'!Q197,AM197)</f>
        <v/>
      </c>
      <c r="AO197" s="10">
        <f>AM197-AN197</f>
        <v/>
      </c>
      <c r="AP197" s="10">
        <f>MIN('02_Данные'!R197,AO197)</f>
        <v/>
      </c>
      <c r="AQ197" s="10">
        <f>AO197-AP197</f>
        <v/>
      </c>
      <c r="AR197" s="10">
        <f>AQ197+'02_Данные'!H197</f>
        <v/>
      </c>
      <c r="AS197" s="10">
        <f>MIN('02_Данные'!T197,AR197)</f>
        <v/>
      </c>
      <c r="AT197" s="10">
        <f>AR197-AS197</f>
        <v/>
      </c>
      <c r="AU197" s="10">
        <f>MIN('02_Данные'!U197,AT197)</f>
        <v/>
      </c>
      <c r="AV197" s="10">
        <f>AT197-AU197</f>
        <v/>
      </c>
      <c r="AW197" s="10">
        <f>MIN('02_Данные'!V197,AV197)</f>
        <v/>
      </c>
      <c r="AX197" s="10">
        <f>AV197-AW197</f>
        <v/>
      </c>
      <c r="AY197" s="10">
        <f>MIN('02_Данные'!AA197,AX197)</f>
        <v/>
      </c>
      <c r="AZ197" s="10">
        <f>AX197-AY197</f>
        <v/>
      </c>
      <c r="BA197" s="10">
        <f>MIN('02_Данные'!X197,AZ197)</f>
        <v/>
      </c>
      <c r="BB197" s="10">
        <f>AZ197-BA197</f>
        <v/>
      </c>
      <c r="BC197" s="10">
        <f>MIN('02_Данные'!W197,BB197)</f>
        <v/>
      </c>
      <c r="BD197" s="10">
        <f>BB197-BC197</f>
        <v/>
      </c>
      <c r="BE197" s="10">
        <f>MIN('02_Данные'!Y197,BD197)</f>
        <v/>
      </c>
      <c r="BF197" s="10">
        <f>BD197-BE197</f>
        <v/>
      </c>
      <c r="BG197" s="10">
        <f>MIN('02_Данные'!Z197,BF197)</f>
        <v/>
      </c>
      <c r="BH197" s="10">
        <f>BF197-BG197</f>
        <v/>
      </c>
      <c r="BI197" s="10">
        <f>BH197+'02_Данные'!I197</f>
        <v/>
      </c>
      <c r="BJ197" s="10">
        <f>MIN('02_Данные'!AB197,BI197)</f>
        <v/>
      </c>
      <c r="BK197" s="10">
        <f>BI197-BJ197</f>
        <v/>
      </c>
      <c r="BL197" s="10">
        <f>MIN('02_Данные'!AC197,BK197)</f>
        <v/>
      </c>
      <c r="BM197" s="10">
        <f>BK197-BL197</f>
        <v/>
      </c>
      <c r="BN197" s="10">
        <f>MIN('02_Данные'!AD197,BM197)</f>
        <v/>
      </c>
      <c r="BO197" s="10">
        <f>BM197-BN197</f>
        <v/>
      </c>
      <c r="BP197" s="10">
        <f>MIN('02_Данные'!AI197,BO197)</f>
        <v/>
      </c>
      <c r="BQ197" s="10">
        <f>BO197-BP197</f>
        <v/>
      </c>
      <c r="BR197" s="10">
        <f>MIN('02_Данные'!AF197,BQ197)</f>
        <v/>
      </c>
      <c r="BS197" s="10">
        <f>BQ197-BR197</f>
        <v/>
      </c>
      <c r="BT197" s="10">
        <f>MIN('02_Данные'!AE197,BS197)</f>
        <v/>
      </c>
      <c r="BU197" s="10">
        <f>BS197-BT197</f>
        <v/>
      </c>
      <c r="BV197" s="10">
        <f>MIN('02_Данные'!AG197,BU197)</f>
        <v/>
      </c>
      <c r="BW197" s="10">
        <f>BU197-BV197</f>
        <v/>
      </c>
      <c r="BX197" s="10">
        <f>MIN('02_Данные'!AH197,BW197)</f>
        <v/>
      </c>
      <c r="BY197" s="10">
        <f>BW197-BX197</f>
        <v/>
      </c>
      <c r="BZ197" s="10">
        <f>BY197+'02_Данные'!J197</f>
        <v/>
      </c>
      <c r="CA197" s="10">
        <f>MIN('02_Данные'!AJ197,BZ197)</f>
        <v/>
      </c>
      <c r="CB197" s="10">
        <f>BZ197-CA197</f>
        <v/>
      </c>
      <c r="CC197" s="10">
        <f>MIN('02_Данные'!AK197,CB197)</f>
        <v/>
      </c>
      <c r="CD197" s="10">
        <f>CB197-CC197</f>
        <v/>
      </c>
      <c r="CE197" s="10">
        <f>MIN('02_Данные'!AL197,CD197)</f>
        <v/>
      </c>
      <c r="CF197" s="10">
        <f>CD197-CE197</f>
        <v/>
      </c>
      <c r="CG197" s="10">
        <f>MIN('02_Данные'!AQ197,CF197)</f>
        <v/>
      </c>
      <c r="CH197" s="10">
        <f>CF197-CG197</f>
        <v/>
      </c>
      <c r="CI197" s="10">
        <f>MIN('02_Данные'!AN197,CH197)</f>
        <v/>
      </c>
      <c r="CJ197" s="10">
        <f>CH197-CI197</f>
        <v/>
      </c>
      <c r="CK197" s="10">
        <f>MIN('02_Данные'!AM197,CJ197)</f>
        <v/>
      </c>
      <c r="CL197" s="10">
        <f>CJ197-CK197</f>
        <v/>
      </c>
      <c r="CM197" s="10">
        <f>MIN('02_Данные'!AO197,CL197)</f>
        <v/>
      </c>
      <c r="CN197" s="10">
        <f>CL197-CM197</f>
        <v/>
      </c>
      <c r="CO197" s="10">
        <f>MIN('02_Данные'!AP197,CN197)</f>
        <v/>
      </c>
      <c r="CP197" s="10">
        <f>CN197-CO197</f>
        <v/>
      </c>
      <c r="CQ197" s="10">
        <f>CP197+'02_Данные'!K197</f>
        <v/>
      </c>
      <c r="CR197" s="10">
        <f>MIN('02_Данные'!AR197,CQ197)</f>
        <v/>
      </c>
      <c r="CS197" s="10">
        <f>CQ197-CR197</f>
        <v/>
      </c>
      <c r="CT197" s="10">
        <f>MIN('02_Данные'!AS197,CS197)</f>
        <v/>
      </c>
      <c r="CU197" s="10">
        <f>CS197-CT197</f>
        <v/>
      </c>
      <c r="CV197" s="10">
        <f>MIN('02_Данные'!AT197,CU197)</f>
        <v/>
      </c>
      <c r="CW197" s="10">
        <f>CU197-CV197</f>
        <v/>
      </c>
      <c r="CX197" s="10">
        <f>MIN('02_Данные'!AY197,CW197)</f>
        <v/>
      </c>
      <c r="CY197" s="10">
        <f>CW197-CX197</f>
        <v/>
      </c>
      <c r="CZ197" s="10">
        <f>MIN('02_Данные'!AV197,CY197)</f>
        <v/>
      </c>
      <c r="DA197" s="10">
        <f>CY197-CZ197</f>
        <v/>
      </c>
      <c r="DB197" s="10">
        <f>MIN('02_Данные'!AU197,DA197)</f>
        <v/>
      </c>
      <c r="DC197" s="10">
        <f>DA197-DB197</f>
        <v/>
      </c>
      <c r="DD197" s="10">
        <f>MIN('02_Данные'!AW197,DC197)</f>
        <v/>
      </c>
      <c r="DE197" s="10">
        <f>DC197-DD197</f>
        <v/>
      </c>
      <c r="DF197" s="10">
        <f>MIN('02_Данные'!AX197,DE197)</f>
        <v/>
      </c>
      <c r="DG197" s="10">
        <f>DE197-DF197</f>
        <v/>
      </c>
    </row>
    <row r="198">
      <c r="A198" s="9">
        <f>'02_Данные'!B198</f>
        <v/>
      </c>
      <c r="B198" s="9">
        <f>'02_Данные'!E198</f>
        <v/>
      </c>
      <c r="C198" s="10">
        <f>'02_Данные'!F198+'02_Данные'!G198+'02_Данные'!H198+'02_Данные'!I198+'02_Данные'!J198+'02_Данные'!K198</f>
        <v/>
      </c>
      <c r="D198" s="10">
        <f>SUM('02_Данные'!L198:'02_Данные'!AY198)</f>
        <v/>
      </c>
      <c r="E198" s="10">
        <f>MAX(0,D198-C198)</f>
        <v/>
      </c>
      <c r="F198" s="15">
        <f>IF(E198&gt;0.0001,"ДЕФИЦИТ",IF(Y198&gt;0.0001,"ПРОФИЦИТ","БАЛАНС"))</f>
        <v/>
      </c>
      <c r="G198" s="10">
        <f>AB198+AS198+BJ198+CA198+CR198</f>
        <v/>
      </c>
      <c r="H198" s="10">
        <f>AD198+AU198+BL198+CC198+CT198</f>
        <v/>
      </c>
      <c r="I198" s="10">
        <f>AF198+AW198+BN198+CE198+CV198</f>
        <v/>
      </c>
      <c r="J198" s="10">
        <f>AL198+BC198+BT198+CK198+DB198</f>
        <v/>
      </c>
      <c r="K198" s="10">
        <f>AJ198+BA198+BR198+CI198+CZ198</f>
        <v/>
      </c>
      <c r="L198" s="10">
        <f>AN198+BE198+BV198+CM198+DD198</f>
        <v/>
      </c>
      <c r="M198" s="10">
        <f>AP198+BG198+BX198+CO198+DF198</f>
        <v/>
      </c>
      <c r="N198" s="10">
        <f>AH198+AY198+BP198+CG198+CX198</f>
        <v/>
      </c>
      <c r="O198" s="10">
        <f>SUM(G198:N198)</f>
        <v/>
      </c>
      <c r="P198" s="10">
        <f>IFERROR(G198*MIN(1,'01_Нормативы'!$C$4/SUM(G$2:G$429)),0)</f>
        <v/>
      </c>
      <c r="Q198" s="10">
        <f>IFERROR(H198*MIN(1,'01_Нормативы'!$C$5/SUM(H$2:H$429)),0)</f>
        <v/>
      </c>
      <c r="R198" s="10">
        <f>IFERROR(I198*MIN(1,'01_Нормативы'!$C$6/SUM(I$2:I$429)),0)</f>
        <v/>
      </c>
      <c r="S198" s="10">
        <f>IFERROR(J198*MIN(1,'01_Нормативы'!$C$7/SUM(J$2:J$429)),0)</f>
        <v/>
      </c>
      <c r="T198" s="10">
        <f>IFERROR(K198*MIN(1,'01_Нормативы'!$C$8/SUM(K$2:K$429)),0)</f>
        <v/>
      </c>
      <c r="U198" s="10">
        <f>IFERROR(L198*MIN(1,'01_Нормативы'!$C$9/SUM(L$2:L$429)),0)</f>
        <v/>
      </c>
      <c r="V198" s="10">
        <f>IFERROR(M198*MIN(1,'01_Нормативы'!$C$10/SUM(M$2:M$429)),0)</f>
        <v/>
      </c>
      <c r="W198" s="10">
        <f>IFERROR(N198*MIN(1,'01_Нормативы'!$C$11/SUM(N$2:N$429)),0)</f>
        <v/>
      </c>
      <c r="X198" s="10">
        <f>SUM(P198:W198)</f>
        <v/>
      </c>
      <c r="Y198" s="10">
        <f>MAX(0,C198-X198)</f>
        <v/>
      </c>
      <c r="Z198" s="10">
        <f>IF(D198=0,100,X198/D198*100)</f>
        <v/>
      </c>
      <c r="AA198" s="10">
        <f>'02_Данные'!F198+'02_Данные'!G198</f>
        <v/>
      </c>
      <c r="AB198" s="10">
        <f>MIN('02_Данные'!L198,AA198)</f>
        <v/>
      </c>
      <c r="AC198" s="10">
        <f>AA198-AB198</f>
        <v/>
      </c>
      <c r="AD198" s="10">
        <f>MIN('02_Данные'!M198,AC198)</f>
        <v/>
      </c>
      <c r="AE198" s="10">
        <f>AC198-AD198</f>
        <v/>
      </c>
      <c r="AF198" s="10">
        <f>MIN('02_Данные'!N198,AE198)</f>
        <v/>
      </c>
      <c r="AG198" s="10">
        <f>AE198-AF198</f>
        <v/>
      </c>
      <c r="AH198" s="10">
        <f>MIN('02_Данные'!S198,AG198)</f>
        <v/>
      </c>
      <c r="AI198" s="10">
        <f>AG198-AH198</f>
        <v/>
      </c>
      <c r="AJ198" s="10">
        <f>MIN('02_Данные'!P198,AI198)</f>
        <v/>
      </c>
      <c r="AK198" s="10">
        <f>AI198-AJ198</f>
        <v/>
      </c>
      <c r="AL198" s="10">
        <f>MIN('02_Данные'!O198,AK198)</f>
        <v/>
      </c>
      <c r="AM198" s="10">
        <f>AK198-AL198</f>
        <v/>
      </c>
      <c r="AN198" s="10">
        <f>MIN('02_Данные'!Q198,AM198)</f>
        <v/>
      </c>
      <c r="AO198" s="10">
        <f>AM198-AN198</f>
        <v/>
      </c>
      <c r="AP198" s="10">
        <f>MIN('02_Данные'!R198,AO198)</f>
        <v/>
      </c>
      <c r="AQ198" s="10">
        <f>AO198-AP198</f>
        <v/>
      </c>
      <c r="AR198" s="10">
        <f>AQ198+'02_Данные'!H198</f>
        <v/>
      </c>
      <c r="AS198" s="10">
        <f>MIN('02_Данные'!T198,AR198)</f>
        <v/>
      </c>
      <c r="AT198" s="10">
        <f>AR198-AS198</f>
        <v/>
      </c>
      <c r="AU198" s="10">
        <f>MIN('02_Данные'!U198,AT198)</f>
        <v/>
      </c>
      <c r="AV198" s="10">
        <f>AT198-AU198</f>
        <v/>
      </c>
      <c r="AW198" s="10">
        <f>MIN('02_Данные'!V198,AV198)</f>
        <v/>
      </c>
      <c r="AX198" s="10">
        <f>AV198-AW198</f>
        <v/>
      </c>
      <c r="AY198" s="10">
        <f>MIN('02_Данные'!AA198,AX198)</f>
        <v/>
      </c>
      <c r="AZ198" s="10">
        <f>AX198-AY198</f>
        <v/>
      </c>
      <c r="BA198" s="10">
        <f>MIN('02_Данные'!X198,AZ198)</f>
        <v/>
      </c>
      <c r="BB198" s="10">
        <f>AZ198-BA198</f>
        <v/>
      </c>
      <c r="BC198" s="10">
        <f>MIN('02_Данные'!W198,BB198)</f>
        <v/>
      </c>
      <c r="BD198" s="10">
        <f>BB198-BC198</f>
        <v/>
      </c>
      <c r="BE198" s="10">
        <f>MIN('02_Данные'!Y198,BD198)</f>
        <v/>
      </c>
      <c r="BF198" s="10">
        <f>BD198-BE198</f>
        <v/>
      </c>
      <c r="BG198" s="10">
        <f>MIN('02_Данные'!Z198,BF198)</f>
        <v/>
      </c>
      <c r="BH198" s="10">
        <f>BF198-BG198</f>
        <v/>
      </c>
      <c r="BI198" s="10">
        <f>BH198+'02_Данные'!I198</f>
        <v/>
      </c>
      <c r="BJ198" s="10">
        <f>MIN('02_Данные'!AB198,BI198)</f>
        <v/>
      </c>
      <c r="BK198" s="10">
        <f>BI198-BJ198</f>
        <v/>
      </c>
      <c r="BL198" s="10">
        <f>MIN('02_Данные'!AC198,BK198)</f>
        <v/>
      </c>
      <c r="BM198" s="10">
        <f>BK198-BL198</f>
        <v/>
      </c>
      <c r="BN198" s="10">
        <f>MIN('02_Данные'!AD198,BM198)</f>
        <v/>
      </c>
      <c r="BO198" s="10">
        <f>BM198-BN198</f>
        <v/>
      </c>
      <c r="BP198" s="10">
        <f>MIN('02_Данные'!AI198,BO198)</f>
        <v/>
      </c>
      <c r="BQ198" s="10">
        <f>BO198-BP198</f>
        <v/>
      </c>
      <c r="BR198" s="10">
        <f>MIN('02_Данные'!AF198,BQ198)</f>
        <v/>
      </c>
      <c r="BS198" s="10">
        <f>BQ198-BR198</f>
        <v/>
      </c>
      <c r="BT198" s="10">
        <f>MIN('02_Данные'!AE198,BS198)</f>
        <v/>
      </c>
      <c r="BU198" s="10">
        <f>BS198-BT198</f>
        <v/>
      </c>
      <c r="BV198" s="10">
        <f>MIN('02_Данные'!AG198,BU198)</f>
        <v/>
      </c>
      <c r="BW198" s="10">
        <f>BU198-BV198</f>
        <v/>
      </c>
      <c r="BX198" s="10">
        <f>MIN('02_Данные'!AH198,BW198)</f>
        <v/>
      </c>
      <c r="BY198" s="10">
        <f>BW198-BX198</f>
        <v/>
      </c>
      <c r="BZ198" s="10">
        <f>BY198+'02_Данные'!J198</f>
        <v/>
      </c>
      <c r="CA198" s="10">
        <f>MIN('02_Данные'!AJ198,BZ198)</f>
        <v/>
      </c>
      <c r="CB198" s="10">
        <f>BZ198-CA198</f>
        <v/>
      </c>
      <c r="CC198" s="10">
        <f>MIN('02_Данные'!AK198,CB198)</f>
        <v/>
      </c>
      <c r="CD198" s="10">
        <f>CB198-CC198</f>
        <v/>
      </c>
      <c r="CE198" s="10">
        <f>MIN('02_Данные'!AL198,CD198)</f>
        <v/>
      </c>
      <c r="CF198" s="10">
        <f>CD198-CE198</f>
        <v/>
      </c>
      <c r="CG198" s="10">
        <f>MIN('02_Данные'!AQ198,CF198)</f>
        <v/>
      </c>
      <c r="CH198" s="10">
        <f>CF198-CG198</f>
        <v/>
      </c>
      <c r="CI198" s="10">
        <f>MIN('02_Данные'!AN198,CH198)</f>
        <v/>
      </c>
      <c r="CJ198" s="10">
        <f>CH198-CI198</f>
        <v/>
      </c>
      <c r="CK198" s="10">
        <f>MIN('02_Данные'!AM198,CJ198)</f>
        <v/>
      </c>
      <c r="CL198" s="10">
        <f>CJ198-CK198</f>
        <v/>
      </c>
      <c r="CM198" s="10">
        <f>MIN('02_Данные'!AO198,CL198)</f>
        <v/>
      </c>
      <c r="CN198" s="10">
        <f>CL198-CM198</f>
        <v/>
      </c>
      <c r="CO198" s="10">
        <f>MIN('02_Данные'!AP198,CN198)</f>
        <v/>
      </c>
      <c r="CP198" s="10">
        <f>CN198-CO198</f>
        <v/>
      </c>
      <c r="CQ198" s="10">
        <f>CP198+'02_Данные'!K198</f>
        <v/>
      </c>
      <c r="CR198" s="10">
        <f>MIN('02_Данные'!AR198,CQ198)</f>
        <v/>
      </c>
      <c r="CS198" s="10">
        <f>CQ198-CR198</f>
        <v/>
      </c>
      <c r="CT198" s="10">
        <f>MIN('02_Данные'!AS198,CS198)</f>
        <v/>
      </c>
      <c r="CU198" s="10">
        <f>CS198-CT198</f>
        <v/>
      </c>
      <c r="CV198" s="10">
        <f>MIN('02_Данные'!AT198,CU198)</f>
        <v/>
      </c>
      <c r="CW198" s="10">
        <f>CU198-CV198</f>
        <v/>
      </c>
      <c r="CX198" s="10">
        <f>MIN('02_Данные'!AY198,CW198)</f>
        <v/>
      </c>
      <c r="CY198" s="10">
        <f>CW198-CX198</f>
        <v/>
      </c>
      <c r="CZ198" s="10">
        <f>MIN('02_Данные'!AV198,CY198)</f>
        <v/>
      </c>
      <c r="DA198" s="10">
        <f>CY198-CZ198</f>
        <v/>
      </c>
      <c r="DB198" s="10">
        <f>MIN('02_Данные'!AU198,DA198)</f>
        <v/>
      </c>
      <c r="DC198" s="10">
        <f>DA198-DB198</f>
        <v/>
      </c>
      <c r="DD198" s="10">
        <f>MIN('02_Данные'!AW198,DC198)</f>
        <v/>
      </c>
      <c r="DE198" s="10">
        <f>DC198-DD198</f>
        <v/>
      </c>
      <c r="DF198" s="10">
        <f>MIN('02_Данные'!AX198,DE198)</f>
        <v/>
      </c>
      <c r="DG198" s="10">
        <f>DE198-DF198</f>
        <v/>
      </c>
    </row>
    <row r="199">
      <c r="A199" s="9">
        <f>'02_Данные'!B199</f>
        <v/>
      </c>
      <c r="B199" s="9">
        <f>'02_Данные'!E199</f>
        <v/>
      </c>
      <c r="C199" s="10">
        <f>'02_Данные'!F199+'02_Данные'!G199+'02_Данные'!H199+'02_Данные'!I199+'02_Данные'!J199+'02_Данные'!K199</f>
        <v/>
      </c>
      <c r="D199" s="10">
        <f>SUM('02_Данные'!L199:'02_Данные'!AY199)</f>
        <v/>
      </c>
      <c r="E199" s="10">
        <f>MAX(0,D199-C199)</f>
        <v/>
      </c>
      <c r="F199" s="15">
        <f>IF(E199&gt;0.0001,"ДЕФИЦИТ",IF(Y199&gt;0.0001,"ПРОФИЦИТ","БАЛАНС"))</f>
        <v/>
      </c>
      <c r="G199" s="10">
        <f>AB199+AS199+BJ199+CA199+CR199</f>
        <v/>
      </c>
      <c r="H199" s="10">
        <f>AD199+AU199+BL199+CC199+CT199</f>
        <v/>
      </c>
      <c r="I199" s="10">
        <f>AF199+AW199+BN199+CE199+CV199</f>
        <v/>
      </c>
      <c r="J199" s="10">
        <f>AL199+BC199+BT199+CK199+DB199</f>
        <v/>
      </c>
      <c r="K199" s="10">
        <f>AJ199+BA199+BR199+CI199+CZ199</f>
        <v/>
      </c>
      <c r="L199" s="10">
        <f>AN199+BE199+BV199+CM199+DD199</f>
        <v/>
      </c>
      <c r="M199" s="10">
        <f>AP199+BG199+BX199+CO199+DF199</f>
        <v/>
      </c>
      <c r="N199" s="10">
        <f>AH199+AY199+BP199+CG199+CX199</f>
        <v/>
      </c>
      <c r="O199" s="10">
        <f>SUM(G199:N199)</f>
        <v/>
      </c>
      <c r="P199" s="10">
        <f>IFERROR(G199*MIN(1,'01_Нормативы'!$C$4/SUM(G$2:G$429)),0)</f>
        <v/>
      </c>
      <c r="Q199" s="10">
        <f>IFERROR(H199*MIN(1,'01_Нормативы'!$C$5/SUM(H$2:H$429)),0)</f>
        <v/>
      </c>
      <c r="R199" s="10">
        <f>IFERROR(I199*MIN(1,'01_Нормативы'!$C$6/SUM(I$2:I$429)),0)</f>
        <v/>
      </c>
      <c r="S199" s="10">
        <f>IFERROR(J199*MIN(1,'01_Нормативы'!$C$7/SUM(J$2:J$429)),0)</f>
        <v/>
      </c>
      <c r="T199" s="10">
        <f>IFERROR(K199*MIN(1,'01_Нормативы'!$C$8/SUM(K$2:K$429)),0)</f>
        <v/>
      </c>
      <c r="U199" s="10">
        <f>IFERROR(L199*MIN(1,'01_Нормативы'!$C$9/SUM(L$2:L$429)),0)</f>
        <v/>
      </c>
      <c r="V199" s="10">
        <f>IFERROR(M199*MIN(1,'01_Нормативы'!$C$10/SUM(M$2:M$429)),0)</f>
        <v/>
      </c>
      <c r="W199" s="10">
        <f>IFERROR(N199*MIN(1,'01_Нормативы'!$C$11/SUM(N$2:N$429)),0)</f>
        <v/>
      </c>
      <c r="X199" s="10">
        <f>SUM(P199:W199)</f>
        <v/>
      </c>
      <c r="Y199" s="10">
        <f>MAX(0,C199-X199)</f>
        <v/>
      </c>
      <c r="Z199" s="10">
        <f>IF(D199=0,100,X199/D199*100)</f>
        <v/>
      </c>
      <c r="AA199" s="10">
        <f>'02_Данные'!F199+'02_Данные'!G199</f>
        <v/>
      </c>
      <c r="AB199" s="10">
        <f>MIN('02_Данные'!L199,AA199)</f>
        <v/>
      </c>
      <c r="AC199" s="10">
        <f>AA199-AB199</f>
        <v/>
      </c>
      <c r="AD199" s="10">
        <f>MIN('02_Данные'!M199,AC199)</f>
        <v/>
      </c>
      <c r="AE199" s="10">
        <f>AC199-AD199</f>
        <v/>
      </c>
      <c r="AF199" s="10">
        <f>MIN('02_Данные'!N199,AE199)</f>
        <v/>
      </c>
      <c r="AG199" s="10">
        <f>AE199-AF199</f>
        <v/>
      </c>
      <c r="AH199" s="10">
        <f>MIN('02_Данные'!S199,AG199)</f>
        <v/>
      </c>
      <c r="AI199" s="10">
        <f>AG199-AH199</f>
        <v/>
      </c>
      <c r="AJ199" s="10">
        <f>MIN('02_Данные'!P199,AI199)</f>
        <v/>
      </c>
      <c r="AK199" s="10">
        <f>AI199-AJ199</f>
        <v/>
      </c>
      <c r="AL199" s="10">
        <f>MIN('02_Данные'!O199,AK199)</f>
        <v/>
      </c>
      <c r="AM199" s="10">
        <f>AK199-AL199</f>
        <v/>
      </c>
      <c r="AN199" s="10">
        <f>MIN('02_Данные'!Q199,AM199)</f>
        <v/>
      </c>
      <c r="AO199" s="10">
        <f>AM199-AN199</f>
        <v/>
      </c>
      <c r="AP199" s="10">
        <f>MIN('02_Данные'!R199,AO199)</f>
        <v/>
      </c>
      <c r="AQ199" s="10">
        <f>AO199-AP199</f>
        <v/>
      </c>
      <c r="AR199" s="10">
        <f>AQ199+'02_Данные'!H199</f>
        <v/>
      </c>
      <c r="AS199" s="10">
        <f>MIN('02_Данные'!T199,AR199)</f>
        <v/>
      </c>
      <c r="AT199" s="10">
        <f>AR199-AS199</f>
        <v/>
      </c>
      <c r="AU199" s="10">
        <f>MIN('02_Данные'!U199,AT199)</f>
        <v/>
      </c>
      <c r="AV199" s="10">
        <f>AT199-AU199</f>
        <v/>
      </c>
      <c r="AW199" s="10">
        <f>MIN('02_Данные'!V199,AV199)</f>
        <v/>
      </c>
      <c r="AX199" s="10">
        <f>AV199-AW199</f>
        <v/>
      </c>
      <c r="AY199" s="10">
        <f>MIN('02_Данные'!AA199,AX199)</f>
        <v/>
      </c>
      <c r="AZ199" s="10">
        <f>AX199-AY199</f>
        <v/>
      </c>
      <c r="BA199" s="10">
        <f>MIN('02_Данные'!X199,AZ199)</f>
        <v/>
      </c>
      <c r="BB199" s="10">
        <f>AZ199-BA199</f>
        <v/>
      </c>
      <c r="BC199" s="10">
        <f>MIN('02_Данные'!W199,BB199)</f>
        <v/>
      </c>
      <c r="BD199" s="10">
        <f>BB199-BC199</f>
        <v/>
      </c>
      <c r="BE199" s="10">
        <f>MIN('02_Данные'!Y199,BD199)</f>
        <v/>
      </c>
      <c r="BF199" s="10">
        <f>BD199-BE199</f>
        <v/>
      </c>
      <c r="BG199" s="10">
        <f>MIN('02_Данные'!Z199,BF199)</f>
        <v/>
      </c>
      <c r="BH199" s="10">
        <f>BF199-BG199</f>
        <v/>
      </c>
      <c r="BI199" s="10">
        <f>BH199+'02_Данные'!I199</f>
        <v/>
      </c>
      <c r="BJ199" s="10">
        <f>MIN('02_Данные'!AB199,BI199)</f>
        <v/>
      </c>
      <c r="BK199" s="10">
        <f>BI199-BJ199</f>
        <v/>
      </c>
      <c r="BL199" s="10">
        <f>MIN('02_Данные'!AC199,BK199)</f>
        <v/>
      </c>
      <c r="BM199" s="10">
        <f>BK199-BL199</f>
        <v/>
      </c>
      <c r="BN199" s="10">
        <f>MIN('02_Данные'!AD199,BM199)</f>
        <v/>
      </c>
      <c r="BO199" s="10">
        <f>BM199-BN199</f>
        <v/>
      </c>
      <c r="BP199" s="10">
        <f>MIN('02_Данные'!AI199,BO199)</f>
        <v/>
      </c>
      <c r="BQ199" s="10">
        <f>BO199-BP199</f>
        <v/>
      </c>
      <c r="BR199" s="10">
        <f>MIN('02_Данные'!AF199,BQ199)</f>
        <v/>
      </c>
      <c r="BS199" s="10">
        <f>BQ199-BR199</f>
        <v/>
      </c>
      <c r="BT199" s="10">
        <f>MIN('02_Данные'!AE199,BS199)</f>
        <v/>
      </c>
      <c r="BU199" s="10">
        <f>BS199-BT199</f>
        <v/>
      </c>
      <c r="BV199" s="10">
        <f>MIN('02_Данные'!AG199,BU199)</f>
        <v/>
      </c>
      <c r="BW199" s="10">
        <f>BU199-BV199</f>
        <v/>
      </c>
      <c r="BX199" s="10">
        <f>MIN('02_Данные'!AH199,BW199)</f>
        <v/>
      </c>
      <c r="BY199" s="10">
        <f>BW199-BX199</f>
        <v/>
      </c>
      <c r="BZ199" s="10">
        <f>BY199+'02_Данные'!J199</f>
        <v/>
      </c>
      <c r="CA199" s="10">
        <f>MIN('02_Данные'!AJ199,BZ199)</f>
        <v/>
      </c>
      <c r="CB199" s="10">
        <f>BZ199-CA199</f>
        <v/>
      </c>
      <c r="CC199" s="10">
        <f>MIN('02_Данные'!AK199,CB199)</f>
        <v/>
      </c>
      <c r="CD199" s="10">
        <f>CB199-CC199</f>
        <v/>
      </c>
      <c r="CE199" s="10">
        <f>MIN('02_Данные'!AL199,CD199)</f>
        <v/>
      </c>
      <c r="CF199" s="10">
        <f>CD199-CE199</f>
        <v/>
      </c>
      <c r="CG199" s="10">
        <f>MIN('02_Данные'!AQ199,CF199)</f>
        <v/>
      </c>
      <c r="CH199" s="10">
        <f>CF199-CG199</f>
        <v/>
      </c>
      <c r="CI199" s="10">
        <f>MIN('02_Данные'!AN199,CH199)</f>
        <v/>
      </c>
      <c r="CJ199" s="10">
        <f>CH199-CI199</f>
        <v/>
      </c>
      <c r="CK199" s="10">
        <f>MIN('02_Данные'!AM199,CJ199)</f>
        <v/>
      </c>
      <c r="CL199" s="10">
        <f>CJ199-CK199</f>
        <v/>
      </c>
      <c r="CM199" s="10">
        <f>MIN('02_Данные'!AO199,CL199)</f>
        <v/>
      </c>
      <c r="CN199" s="10">
        <f>CL199-CM199</f>
        <v/>
      </c>
      <c r="CO199" s="10">
        <f>MIN('02_Данные'!AP199,CN199)</f>
        <v/>
      </c>
      <c r="CP199" s="10">
        <f>CN199-CO199</f>
        <v/>
      </c>
      <c r="CQ199" s="10">
        <f>CP199+'02_Данные'!K199</f>
        <v/>
      </c>
      <c r="CR199" s="10">
        <f>MIN('02_Данные'!AR199,CQ199)</f>
        <v/>
      </c>
      <c r="CS199" s="10">
        <f>CQ199-CR199</f>
        <v/>
      </c>
      <c r="CT199" s="10">
        <f>MIN('02_Данные'!AS199,CS199)</f>
        <v/>
      </c>
      <c r="CU199" s="10">
        <f>CS199-CT199</f>
        <v/>
      </c>
      <c r="CV199" s="10">
        <f>MIN('02_Данные'!AT199,CU199)</f>
        <v/>
      </c>
      <c r="CW199" s="10">
        <f>CU199-CV199</f>
        <v/>
      </c>
      <c r="CX199" s="10">
        <f>MIN('02_Данные'!AY199,CW199)</f>
        <v/>
      </c>
      <c r="CY199" s="10">
        <f>CW199-CX199</f>
        <v/>
      </c>
      <c r="CZ199" s="10">
        <f>MIN('02_Данные'!AV199,CY199)</f>
        <v/>
      </c>
      <c r="DA199" s="10">
        <f>CY199-CZ199</f>
        <v/>
      </c>
      <c r="DB199" s="10">
        <f>MIN('02_Данные'!AU199,DA199)</f>
        <v/>
      </c>
      <c r="DC199" s="10">
        <f>DA199-DB199</f>
        <v/>
      </c>
      <c r="DD199" s="10">
        <f>MIN('02_Данные'!AW199,DC199)</f>
        <v/>
      </c>
      <c r="DE199" s="10">
        <f>DC199-DD199</f>
        <v/>
      </c>
      <c r="DF199" s="10">
        <f>MIN('02_Данные'!AX199,DE199)</f>
        <v/>
      </c>
      <c r="DG199" s="10">
        <f>DE199-DF199</f>
        <v/>
      </c>
    </row>
    <row r="200">
      <c r="A200" s="9">
        <f>'02_Данные'!B200</f>
        <v/>
      </c>
      <c r="B200" s="9">
        <f>'02_Данные'!E200</f>
        <v/>
      </c>
      <c r="C200" s="10">
        <f>'02_Данные'!F200+'02_Данные'!G200+'02_Данные'!H200+'02_Данные'!I200+'02_Данные'!J200+'02_Данные'!K200</f>
        <v/>
      </c>
      <c r="D200" s="10">
        <f>SUM('02_Данные'!L200:'02_Данные'!AY200)</f>
        <v/>
      </c>
      <c r="E200" s="10">
        <f>MAX(0,D200-C200)</f>
        <v/>
      </c>
      <c r="F200" s="15">
        <f>IF(E200&gt;0.0001,"ДЕФИЦИТ",IF(Y200&gt;0.0001,"ПРОФИЦИТ","БАЛАНС"))</f>
        <v/>
      </c>
      <c r="G200" s="10">
        <f>AB200+AS200+BJ200+CA200+CR200</f>
        <v/>
      </c>
      <c r="H200" s="10">
        <f>AD200+AU200+BL200+CC200+CT200</f>
        <v/>
      </c>
      <c r="I200" s="10">
        <f>AF200+AW200+BN200+CE200+CV200</f>
        <v/>
      </c>
      <c r="J200" s="10">
        <f>AL200+BC200+BT200+CK200+DB200</f>
        <v/>
      </c>
      <c r="K200" s="10">
        <f>AJ200+BA200+BR200+CI200+CZ200</f>
        <v/>
      </c>
      <c r="L200" s="10">
        <f>AN200+BE200+BV200+CM200+DD200</f>
        <v/>
      </c>
      <c r="M200" s="10">
        <f>AP200+BG200+BX200+CO200+DF200</f>
        <v/>
      </c>
      <c r="N200" s="10">
        <f>AH200+AY200+BP200+CG200+CX200</f>
        <v/>
      </c>
      <c r="O200" s="10">
        <f>SUM(G200:N200)</f>
        <v/>
      </c>
      <c r="P200" s="10">
        <f>IFERROR(G200*MIN(1,'01_Нормативы'!$C$4/SUM(G$2:G$429)),0)</f>
        <v/>
      </c>
      <c r="Q200" s="10">
        <f>IFERROR(H200*MIN(1,'01_Нормативы'!$C$5/SUM(H$2:H$429)),0)</f>
        <v/>
      </c>
      <c r="R200" s="10">
        <f>IFERROR(I200*MIN(1,'01_Нормативы'!$C$6/SUM(I$2:I$429)),0)</f>
        <v/>
      </c>
      <c r="S200" s="10">
        <f>IFERROR(J200*MIN(1,'01_Нормативы'!$C$7/SUM(J$2:J$429)),0)</f>
        <v/>
      </c>
      <c r="T200" s="10">
        <f>IFERROR(K200*MIN(1,'01_Нормативы'!$C$8/SUM(K$2:K$429)),0)</f>
        <v/>
      </c>
      <c r="U200" s="10">
        <f>IFERROR(L200*MIN(1,'01_Нормативы'!$C$9/SUM(L$2:L$429)),0)</f>
        <v/>
      </c>
      <c r="V200" s="10">
        <f>IFERROR(M200*MIN(1,'01_Нормативы'!$C$10/SUM(M$2:M$429)),0)</f>
        <v/>
      </c>
      <c r="W200" s="10">
        <f>IFERROR(N200*MIN(1,'01_Нормативы'!$C$11/SUM(N$2:N$429)),0)</f>
        <v/>
      </c>
      <c r="X200" s="10">
        <f>SUM(P200:W200)</f>
        <v/>
      </c>
      <c r="Y200" s="10">
        <f>MAX(0,C200-X200)</f>
        <v/>
      </c>
      <c r="Z200" s="10">
        <f>IF(D200=0,100,X200/D200*100)</f>
        <v/>
      </c>
      <c r="AA200" s="10">
        <f>'02_Данные'!F200+'02_Данные'!G200</f>
        <v/>
      </c>
      <c r="AB200" s="10">
        <f>MIN('02_Данные'!L200,AA200)</f>
        <v/>
      </c>
      <c r="AC200" s="10">
        <f>AA200-AB200</f>
        <v/>
      </c>
      <c r="AD200" s="10">
        <f>MIN('02_Данные'!M200,AC200)</f>
        <v/>
      </c>
      <c r="AE200" s="10">
        <f>AC200-AD200</f>
        <v/>
      </c>
      <c r="AF200" s="10">
        <f>MIN('02_Данные'!N200,AE200)</f>
        <v/>
      </c>
      <c r="AG200" s="10">
        <f>AE200-AF200</f>
        <v/>
      </c>
      <c r="AH200" s="10">
        <f>MIN('02_Данные'!S200,AG200)</f>
        <v/>
      </c>
      <c r="AI200" s="10">
        <f>AG200-AH200</f>
        <v/>
      </c>
      <c r="AJ200" s="10">
        <f>MIN('02_Данные'!P200,AI200)</f>
        <v/>
      </c>
      <c r="AK200" s="10">
        <f>AI200-AJ200</f>
        <v/>
      </c>
      <c r="AL200" s="10">
        <f>MIN('02_Данные'!O200,AK200)</f>
        <v/>
      </c>
      <c r="AM200" s="10">
        <f>AK200-AL200</f>
        <v/>
      </c>
      <c r="AN200" s="10">
        <f>MIN('02_Данные'!Q200,AM200)</f>
        <v/>
      </c>
      <c r="AO200" s="10">
        <f>AM200-AN200</f>
        <v/>
      </c>
      <c r="AP200" s="10">
        <f>MIN('02_Данные'!R200,AO200)</f>
        <v/>
      </c>
      <c r="AQ200" s="10">
        <f>AO200-AP200</f>
        <v/>
      </c>
      <c r="AR200" s="10">
        <f>AQ200+'02_Данные'!H200</f>
        <v/>
      </c>
      <c r="AS200" s="10">
        <f>MIN('02_Данные'!T200,AR200)</f>
        <v/>
      </c>
      <c r="AT200" s="10">
        <f>AR200-AS200</f>
        <v/>
      </c>
      <c r="AU200" s="10">
        <f>MIN('02_Данные'!U200,AT200)</f>
        <v/>
      </c>
      <c r="AV200" s="10">
        <f>AT200-AU200</f>
        <v/>
      </c>
      <c r="AW200" s="10">
        <f>MIN('02_Данные'!V200,AV200)</f>
        <v/>
      </c>
      <c r="AX200" s="10">
        <f>AV200-AW200</f>
        <v/>
      </c>
      <c r="AY200" s="10">
        <f>MIN('02_Данные'!AA200,AX200)</f>
        <v/>
      </c>
      <c r="AZ200" s="10">
        <f>AX200-AY200</f>
        <v/>
      </c>
      <c r="BA200" s="10">
        <f>MIN('02_Данные'!X200,AZ200)</f>
        <v/>
      </c>
      <c r="BB200" s="10">
        <f>AZ200-BA200</f>
        <v/>
      </c>
      <c r="BC200" s="10">
        <f>MIN('02_Данные'!W200,BB200)</f>
        <v/>
      </c>
      <c r="BD200" s="10">
        <f>BB200-BC200</f>
        <v/>
      </c>
      <c r="BE200" s="10">
        <f>MIN('02_Данные'!Y200,BD200)</f>
        <v/>
      </c>
      <c r="BF200" s="10">
        <f>BD200-BE200</f>
        <v/>
      </c>
      <c r="BG200" s="10">
        <f>MIN('02_Данные'!Z200,BF200)</f>
        <v/>
      </c>
      <c r="BH200" s="10">
        <f>BF200-BG200</f>
        <v/>
      </c>
      <c r="BI200" s="10">
        <f>BH200+'02_Данные'!I200</f>
        <v/>
      </c>
      <c r="BJ200" s="10">
        <f>MIN('02_Данные'!AB200,BI200)</f>
        <v/>
      </c>
      <c r="BK200" s="10">
        <f>BI200-BJ200</f>
        <v/>
      </c>
      <c r="BL200" s="10">
        <f>MIN('02_Данные'!AC200,BK200)</f>
        <v/>
      </c>
      <c r="BM200" s="10">
        <f>BK200-BL200</f>
        <v/>
      </c>
      <c r="BN200" s="10">
        <f>MIN('02_Данные'!AD200,BM200)</f>
        <v/>
      </c>
      <c r="BO200" s="10">
        <f>BM200-BN200</f>
        <v/>
      </c>
      <c r="BP200" s="10">
        <f>MIN('02_Данные'!AI200,BO200)</f>
        <v/>
      </c>
      <c r="BQ200" s="10">
        <f>BO200-BP200</f>
        <v/>
      </c>
      <c r="BR200" s="10">
        <f>MIN('02_Данные'!AF200,BQ200)</f>
        <v/>
      </c>
      <c r="BS200" s="10">
        <f>BQ200-BR200</f>
        <v/>
      </c>
      <c r="BT200" s="10">
        <f>MIN('02_Данные'!AE200,BS200)</f>
        <v/>
      </c>
      <c r="BU200" s="10">
        <f>BS200-BT200</f>
        <v/>
      </c>
      <c r="BV200" s="10">
        <f>MIN('02_Данные'!AG200,BU200)</f>
        <v/>
      </c>
      <c r="BW200" s="10">
        <f>BU200-BV200</f>
        <v/>
      </c>
      <c r="BX200" s="10">
        <f>MIN('02_Данные'!AH200,BW200)</f>
        <v/>
      </c>
      <c r="BY200" s="10">
        <f>BW200-BX200</f>
        <v/>
      </c>
      <c r="BZ200" s="10">
        <f>BY200+'02_Данные'!J200</f>
        <v/>
      </c>
      <c r="CA200" s="10">
        <f>MIN('02_Данные'!AJ200,BZ200)</f>
        <v/>
      </c>
      <c r="CB200" s="10">
        <f>BZ200-CA200</f>
        <v/>
      </c>
      <c r="CC200" s="10">
        <f>MIN('02_Данные'!AK200,CB200)</f>
        <v/>
      </c>
      <c r="CD200" s="10">
        <f>CB200-CC200</f>
        <v/>
      </c>
      <c r="CE200" s="10">
        <f>MIN('02_Данные'!AL200,CD200)</f>
        <v/>
      </c>
      <c r="CF200" s="10">
        <f>CD200-CE200</f>
        <v/>
      </c>
      <c r="CG200" s="10">
        <f>MIN('02_Данные'!AQ200,CF200)</f>
        <v/>
      </c>
      <c r="CH200" s="10">
        <f>CF200-CG200</f>
        <v/>
      </c>
      <c r="CI200" s="10">
        <f>MIN('02_Данные'!AN200,CH200)</f>
        <v/>
      </c>
      <c r="CJ200" s="10">
        <f>CH200-CI200</f>
        <v/>
      </c>
      <c r="CK200" s="10">
        <f>MIN('02_Данные'!AM200,CJ200)</f>
        <v/>
      </c>
      <c r="CL200" s="10">
        <f>CJ200-CK200</f>
        <v/>
      </c>
      <c r="CM200" s="10">
        <f>MIN('02_Данные'!AO200,CL200)</f>
        <v/>
      </c>
      <c r="CN200" s="10">
        <f>CL200-CM200</f>
        <v/>
      </c>
      <c r="CO200" s="10">
        <f>MIN('02_Данные'!AP200,CN200)</f>
        <v/>
      </c>
      <c r="CP200" s="10">
        <f>CN200-CO200</f>
        <v/>
      </c>
      <c r="CQ200" s="10">
        <f>CP200+'02_Данные'!K200</f>
        <v/>
      </c>
      <c r="CR200" s="10">
        <f>MIN('02_Данные'!AR200,CQ200)</f>
        <v/>
      </c>
      <c r="CS200" s="10">
        <f>CQ200-CR200</f>
        <v/>
      </c>
      <c r="CT200" s="10">
        <f>MIN('02_Данные'!AS200,CS200)</f>
        <v/>
      </c>
      <c r="CU200" s="10">
        <f>CS200-CT200</f>
        <v/>
      </c>
      <c r="CV200" s="10">
        <f>MIN('02_Данные'!AT200,CU200)</f>
        <v/>
      </c>
      <c r="CW200" s="10">
        <f>CU200-CV200</f>
        <v/>
      </c>
      <c r="CX200" s="10">
        <f>MIN('02_Данные'!AY200,CW200)</f>
        <v/>
      </c>
      <c r="CY200" s="10">
        <f>CW200-CX200</f>
        <v/>
      </c>
      <c r="CZ200" s="10">
        <f>MIN('02_Данные'!AV200,CY200)</f>
        <v/>
      </c>
      <c r="DA200" s="10">
        <f>CY200-CZ200</f>
        <v/>
      </c>
      <c r="DB200" s="10">
        <f>MIN('02_Данные'!AU200,DA200)</f>
        <v/>
      </c>
      <c r="DC200" s="10">
        <f>DA200-DB200</f>
        <v/>
      </c>
      <c r="DD200" s="10">
        <f>MIN('02_Данные'!AW200,DC200)</f>
        <v/>
      </c>
      <c r="DE200" s="10">
        <f>DC200-DD200</f>
        <v/>
      </c>
      <c r="DF200" s="10">
        <f>MIN('02_Данные'!AX200,DE200)</f>
        <v/>
      </c>
      <c r="DG200" s="10">
        <f>DE200-DF200</f>
        <v/>
      </c>
    </row>
    <row r="201">
      <c r="A201" s="9">
        <f>'02_Данные'!B201</f>
        <v/>
      </c>
      <c r="B201" s="9">
        <f>'02_Данные'!E201</f>
        <v/>
      </c>
      <c r="C201" s="10">
        <f>'02_Данные'!F201+'02_Данные'!G201+'02_Данные'!H201+'02_Данные'!I201+'02_Данные'!J201+'02_Данные'!K201</f>
        <v/>
      </c>
      <c r="D201" s="10">
        <f>SUM('02_Данные'!L201:'02_Данные'!AY201)</f>
        <v/>
      </c>
      <c r="E201" s="10">
        <f>MAX(0,D201-C201)</f>
        <v/>
      </c>
      <c r="F201" s="15">
        <f>IF(E201&gt;0.0001,"ДЕФИЦИТ",IF(Y201&gt;0.0001,"ПРОФИЦИТ","БАЛАНС"))</f>
        <v/>
      </c>
      <c r="G201" s="10">
        <f>AB201+AS201+BJ201+CA201+CR201</f>
        <v/>
      </c>
      <c r="H201" s="10">
        <f>AD201+AU201+BL201+CC201+CT201</f>
        <v/>
      </c>
      <c r="I201" s="10">
        <f>AF201+AW201+BN201+CE201+CV201</f>
        <v/>
      </c>
      <c r="J201" s="10">
        <f>AL201+BC201+BT201+CK201+DB201</f>
        <v/>
      </c>
      <c r="K201" s="10">
        <f>AJ201+BA201+BR201+CI201+CZ201</f>
        <v/>
      </c>
      <c r="L201" s="10">
        <f>AN201+BE201+BV201+CM201+DD201</f>
        <v/>
      </c>
      <c r="M201" s="10">
        <f>AP201+BG201+BX201+CO201+DF201</f>
        <v/>
      </c>
      <c r="N201" s="10">
        <f>AH201+AY201+BP201+CG201+CX201</f>
        <v/>
      </c>
      <c r="O201" s="10">
        <f>SUM(G201:N201)</f>
        <v/>
      </c>
      <c r="P201" s="10">
        <f>IFERROR(G201*MIN(1,'01_Нормативы'!$C$4/SUM(G$2:G$429)),0)</f>
        <v/>
      </c>
      <c r="Q201" s="10">
        <f>IFERROR(H201*MIN(1,'01_Нормативы'!$C$5/SUM(H$2:H$429)),0)</f>
        <v/>
      </c>
      <c r="R201" s="10">
        <f>IFERROR(I201*MIN(1,'01_Нормативы'!$C$6/SUM(I$2:I$429)),0)</f>
        <v/>
      </c>
      <c r="S201" s="10">
        <f>IFERROR(J201*MIN(1,'01_Нормативы'!$C$7/SUM(J$2:J$429)),0)</f>
        <v/>
      </c>
      <c r="T201" s="10">
        <f>IFERROR(K201*MIN(1,'01_Нормативы'!$C$8/SUM(K$2:K$429)),0)</f>
        <v/>
      </c>
      <c r="U201" s="10">
        <f>IFERROR(L201*MIN(1,'01_Нормативы'!$C$9/SUM(L$2:L$429)),0)</f>
        <v/>
      </c>
      <c r="V201" s="10">
        <f>IFERROR(M201*MIN(1,'01_Нормативы'!$C$10/SUM(M$2:M$429)),0)</f>
        <v/>
      </c>
      <c r="W201" s="10">
        <f>IFERROR(N201*MIN(1,'01_Нормативы'!$C$11/SUM(N$2:N$429)),0)</f>
        <v/>
      </c>
      <c r="X201" s="10">
        <f>SUM(P201:W201)</f>
        <v/>
      </c>
      <c r="Y201" s="10">
        <f>MAX(0,C201-X201)</f>
        <v/>
      </c>
      <c r="Z201" s="10">
        <f>IF(D201=0,100,X201/D201*100)</f>
        <v/>
      </c>
      <c r="AA201" s="10">
        <f>'02_Данные'!F201+'02_Данные'!G201</f>
        <v/>
      </c>
      <c r="AB201" s="10">
        <f>MIN('02_Данные'!L201,AA201)</f>
        <v/>
      </c>
      <c r="AC201" s="10">
        <f>AA201-AB201</f>
        <v/>
      </c>
      <c r="AD201" s="10">
        <f>MIN('02_Данные'!M201,AC201)</f>
        <v/>
      </c>
      <c r="AE201" s="10">
        <f>AC201-AD201</f>
        <v/>
      </c>
      <c r="AF201" s="10">
        <f>MIN('02_Данные'!N201,AE201)</f>
        <v/>
      </c>
      <c r="AG201" s="10">
        <f>AE201-AF201</f>
        <v/>
      </c>
      <c r="AH201" s="10">
        <f>MIN('02_Данные'!S201,AG201)</f>
        <v/>
      </c>
      <c r="AI201" s="10">
        <f>AG201-AH201</f>
        <v/>
      </c>
      <c r="AJ201" s="10">
        <f>MIN('02_Данные'!P201,AI201)</f>
        <v/>
      </c>
      <c r="AK201" s="10">
        <f>AI201-AJ201</f>
        <v/>
      </c>
      <c r="AL201" s="10">
        <f>MIN('02_Данные'!O201,AK201)</f>
        <v/>
      </c>
      <c r="AM201" s="10">
        <f>AK201-AL201</f>
        <v/>
      </c>
      <c r="AN201" s="10">
        <f>MIN('02_Данные'!Q201,AM201)</f>
        <v/>
      </c>
      <c r="AO201" s="10">
        <f>AM201-AN201</f>
        <v/>
      </c>
      <c r="AP201" s="10">
        <f>MIN('02_Данные'!R201,AO201)</f>
        <v/>
      </c>
      <c r="AQ201" s="10">
        <f>AO201-AP201</f>
        <v/>
      </c>
      <c r="AR201" s="10">
        <f>AQ201+'02_Данные'!H201</f>
        <v/>
      </c>
      <c r="AS201" s="10">
        <f>MIN('02_Данные'!T201,AR201)</f>
        <v/>
      </c>
      <c r="AT201" s="10">
        <f>AR201-AS201</f>
        <v/>
      </c>
      <c r="AU201" s="10">
        <f>MIN('02_Данные'!U201,AT201)</f>
        <v/>
      </c>
      <c r="AV201" s="10">
        <f>AT201-AU201</f>
        <v/>
      </c>
      <c r="AW201" s="10">
        <f>MIN('02_Данные'!V201,AV201)</f>
        <v/>
      </c>
      <c r="AX201" s="10">
        <f>AV201-AW201</f>
        <v/>
      </c>
      <c r="AY201" s="10">
        <f>MIN('02_Данные'!AA201,AX201)</f>
        <v/>
      </c>
      <c r="AZ201" s="10">
        <f>AX201-AY201</f>
        <v/>
      </c>
      <c r="BA201" s="10">
        <f>MIN('02_Данные'!X201,AZ201)</f>
        <v/>
      </c>
      <c r="BB201" s="10">
        <f>AZ201-BA201</f>
        <v/>
      </c>
      <c r="BC201" s="10">
        <f>MIN('02_Данные'!W201,BB201)</f>
        <v/>
      </c>
      <c r="BD201" s="10">
        <f>BB201-BC201</f>
        <v/>
      </c>
      <c r="BE201" s="10">
        <f>MIN('02_Данные'!Y201,BD201)</f>
        <v/>
      </c>
      <c r="BF201" s="10">
        <f>BD201-BE201</f>
        <v/>
      </c>
      <c r="BG201" s="10">
        <f>MIN('02_Данные'!Z201,BF201)</f>
        <v/>
      </c>
      <c r="BH201" s="10">
        <f>BF201-BG201</f>
        <v/>
      </c>
      <c r="BI201" s="10">
        <f>BH201+'02_Данные'!I201</f>
        <v/>
      </c>
      <c r="BJ201" s="10">
        <f>MIN('02_Данные'!AB201,BI201)</f>
        <v/>
      </c>
      <c r="BK201" s="10">
        <f>BI201-BJ201</f>
        <v/>
      </c>
      <c r="BL201" s="10">
        <f>MIN('02_Данные'!AC201,BK201)</f>
        <v/>
      </c>
      <c r="BM201" s="10">
        <f>BK201-BL201</f>
        <v/>
      </c>
      <c r="BN201" s="10">
        <f>MIN('02_Данные'!AD201,BM201)</f>
        <v/>
      </c>
      <c r="BO201" s="10">
        <f>BM201-BN201</f>
        <v/>
      </c>
      <c r="BP201" s="10">
        <f>MIN('02_Данные'!AI201,BO201)</f>
        <v/>
      </c>
      <c r="BQ201" s="10">
        <f>BO201-BP201</f>
        <v/>
      </c>
      <c r="BR201" s="10">
        <f>MIN('02_Данные'!AF201,BQ201)</f>
        <v/>
      </c>
      <c r="BS201" s="10">
        <f>BQ201-BR201</f>
        <v/>
      </c>
      <c r="BT201" s="10">
        <f>MIN('02_Данные'!AE201,BS201)</f>
        <v/>
      </c>
      <c r="BU201" s="10">
        <f>BS201-BT201</f>
        <v/>
      </c>
      <c r="BV201" s="10">
        <f>MIN('02_Данные'!AG201,BU201)</f>
        <v/>
      </c>
      <c r="BW201" s="10">
        <f>BU201-BV201</f>
        <v/>
      </c>
      <c r="BX201" s="10">
        <f>MIN('02_Данные'!AH201,BW201)</f>
        <v/>
      </c>
      <c r="BY201" s="10">
        <f>BW201-BX201</f>
        <v/>
      </c>
      <c r="BZ201" s="10">
        <f>BY201+'02_Данные'!J201</f>
        <v/>
      </c>
      <c r="CA201" s="10">
        <f>MIN('02_Данные'!AJ201,BZ201)</f>
        <v/>
      </c>
      <c r="CB201" s="10">
        <f>BZ201-CA201</f>
        <v/>
      </c>
      <c r="CC201" s="10">
        <f>MIN('02_Данные'!AK201,CB201)</f>
        <v/>
      </c>
      <c r="CD201" s="10">
        <f>CB201-CC201</f>
        <v/>
      </c>
      <c r="CE201" s="10">
        <f>MIN('02_Данные'!AL201,CD201)</f>
        <v/>
      </c>
      <c r="CF201" s="10">
        <f>CD201-CE201</f>
        <v/>
      </c>
      <c r="CG201" s="10">
        <f>MIN('02_Данные'!AQ201,CF201)</f>
        <v/>
      </c>
      <c r="CH201" s="10">
        <f>CF201-CG201</f>
        <v/>
      </c>
      <c r="CI201" s="10">
        <f>MIN('02_Данные'!AN201,CH201)</f>
        <v/>
      </c>
      <c r="CJ201" s="10">
        <f>CH201-CI201</f>
        <v/>
      </c>
      <c r="CK201" s="10">
        <f>MIN('02_Данные'!AM201,CJ201)</f>
        <v/>
      </c>
      <c r="CL201" s="10">
        <f>CJ201-CK201</f>
        <v/>
      </c>
      <c r="CM201" s="10">
        <f>MIN('02_Данные'!AO201,CL201)</f>
        <v/>
      </c>
      <c r="CN201" s="10">
        <f>CL201-CM201</f>
        <v/>
      </c>
      <c r="CO201" s="10">
        <f>MIN('02_Данные'!AP201,CN201)</f>
        <v/>
      </c>
      <c r="CP201" s="10">
        <f>CN201-CO201</f>
        <v/>
      </c>
      <c r="CQ201" s="10">
        <f>CP201+'02_Данные'!K201</f>
        <v/>
      </c>
      <c r="CR201" s="10">
        <f>MIN('02_Данные'!AR201,CQ201)</f>
        <v/>
      </c>
      <c r="CS201" s="10">
        <f>CQ201-CR201</f>
        <v/>
      </c>
      <c r="CT201" s="10">
        <f>MIN('02_Данные'!AS201,CS201)</f>
        <v/>
      </c>
      <c r="CU201" s="10">
        <f>CS201-CT201</f>
        <v/>
      </c>
      <c r="CV201" s="10">
        <f>MIN('02_Данные'!AT201,CU201)</f>
        <v/>
      </c>
      <c r="CW201" s="10">
        <f>CU201-CV201</f>
        <v/>
      </c>
      <c r="CX201" s="10">
        <f>MIN('02_Данные'!AY201,CW201)</f>
        <v/>
      </c>
      <c r="CY201" s="10">
        <f>CW201-CX201</f>
        <v/>
      </c>
      <c r="CZ201" s="10">
        <f>MIN('02_Данные'!AV201,CY201)</f>
        <v/>
      </c>
      <c r="DA201" s="10">
        <f>CY201-CZ201</f>
        <v/>
      </c>
      <c r="DB201" s="10">
        <f>MIN('02_Данные'!AU201,DA201)</f>
        <v/>
      </c>
      <c r="DC201" s="10">
        <f>DA201-DB201</f>
        <v/>
      </c>
      <c r="DD201" s="10">
        <f>MIN('02_Данные'!AW201,DC201)</f>
        <v/>
      </c>
      <c r="DE201" s="10">
        <f>DC201-DD201</f>
        <v/>
      </c>
      <c r="DF201" s="10">
        <f>MIN('02_Данные'!AX201,DE201)</f>
        <v/>
      </c>
      <c r="DG201" s="10">
        <f>DE201-DF201</f>
        <v/>
      </c>
    </row>
    <row r="202">
      <c r="A202" s="9">
        <f>'02_Данные'!B202</f>
        <v/>
      </c>
      <c r="B202" s="9">
        <f>'02_Данные'!E202</f>
        <v/>
      </c>
      <c r="C202" s="10">
        <f>'02_Данные'!F202+'02_Данные'!G202+'02_Данные'!H202+'02_Данные'!I202+'02_Данные'!J202+'02_Данные'!K202</f>
        <v/>
      </c>
      <c r="D202" s="10">
        <f>SUM('02_Данные'!L202:'02_Данные'!AY202)</f>
        <v/>
      </c>
      <c r="E202" s="10">
        <f>MAX(0,D202-C202)</f>
        <v/>
      </c>
      <c r="F202" s="15">
        <f>IF(E202&gt;0.0001,"ДЕФИЦИТ",IF(Y202&gt;0.0001,"ПРОФИЦИТ","БАЛАНС"))</f>
        <v/>
      </c>
      <c r="G202" s="10">
        <f>AB202+AS202+BJ202+CA202+CR202</f>
        <v/>
      </c>
      <c r="H202" s="10">
        <f>AD202+AU202+BL202+CC202+CT202</f>
        <v/>
      </c>
      <c r="I202" s="10">
        <f>AF202+AW202+BN202+CE202+CV202</f>
        <v/>
      </c>
      <c r="J202" s="10">
        <f>AL202+BC202+BT202+CK202+DB202</f>
        <v/>
      </c>
      <c r="K202" s="10">
        <f>AJ202+BA202+BR202+CI202+CZ202</f>
        <v/>
      </c>
      <c r="L202" s="10">
        <f>AN202+BE202+BV202+CM202+DD202</f>
        <v/>
      </c>
      <c r="M202" s="10">
        <f>AP202+BG202+BX202+CO202+DF202</f>
        <v/>
      </c>
      <c r="N202" s="10">
        <f>AH202+AY202+BP202+CG202+CX202</f>
        <v/>
      </c>
      <c r="O202" s="10">
        <f>SUM(G202:N202)</f>
        <v/>
      </c>
      <c r="P202" s="10">
        <f>IFERROR(G202*MIN(1,'01_Нормативы'!$C$4/SUM(G$2:G$429)),0)</f>
        <v/>
      </c>
      <c r="Q202" s="10">
        <f>IFERROR(H202*MIN(1,'01_Нормативы'!$C$5/SUM(H$2:H$429)),0)</f>
        <v/>
      </c>
      <c r="R202" s="10">
        <f>IFERROR(I202*MIN(1,'01_Нормативы'!$C$6/SUM(I$2:I$429)),0)</f>
        <v/>
      </c>
      <c r="S202" s="10">
        <f>IFERROR(J202*MIN(1,'01_Нормативы'!$C$7/SUM(J$2:J$429)),0)</f>
        <v/>
      </c>
      <c r="T202" s="10">
        <f>IFERROR(K202*MIN(1,'01_Нормативы'!$C$8/SUM(K$2:K$429)),0)</f>
        <v/>
      </c>
      <c r="U202" s="10">
        <f>IFERROR(L202*MIN(1,'01_Нормативы'!$C$9/SUM(L$2:L$429)),0)</f>
        <v/>
      </c>
      <c r="V202" s="10">
        <f>IFERROR(M202*MIN(1,'01_Нормативы'!$C$10/SUM(M$2:M$429)),0)</f>
        <v/>
      </c>
      <c r="W202" s="10">
        <f>IFERROR(N202*MIN(1,'01_Нормативы'!$C$11/SUM(N$2:N$429)),0)</f>
        <v/>
      </c>
      <c r="X202" s="10">
        <f>SUM(P202:W202)</f>
        <v/>
      </c>
      <c r="Y202" s="10">
        <f>MAX(0,C202-X202)</f>
        <v/>
      </c>
      <c r="Z202" s="10">
        <f>IF(D202=0,100,X202/D202*100)</f>
        <v/>
      </c>
      <c r="AA202" s="10">
        <f>'02_Данные'!F202+'02_Данные'!G202</f>
        <v/>
      </c>
      <c r="AB202" s="10">
        <f>MIN('02_Данные'!L202,AA202)</f>
        <v/>
      </c>
      <c r="AC202" s="10">
        <f>AA202-AB202</f>
        <v/>
      </c>
      <c r="AD202" s="10">
        <f>MIN('02_Данные'!M202,AC202)</f>
        <v/>
      </c>
      <c r="AE202" s="10">
        <f>AC202-AD202</f>
        <v/>
      </c>
      <c r="AF202" s="10">
        <f>MIN('02_Данные'!N202,AE202)</f>
        <v/>
      </c>
      <c r="AG202" s="10">
        <f>AE202-AF202</f>
        <v/>
      </c>
      <c r="AH202" s="10">
        <f>MIN('02_Данные'!S202,AG202)</f>
        <v/>
      </c>
      <c r="AI202" s="10">
        <f>AG202-AH202</f>
        <v/>
      </c>
      <c r="AJ202" s="10">
        <f>MIN('02_Данные'!P202,AI202)</f>
        <v/>
      </c>
      <c r="AK202" s="10">
        <f>AI202-AJ202</f>
        <v/>
      </c>
      <c r="AL202" s="10">
        <f>MIN('02_Данные'!O202,AK202)</f>
        <v/>
      </c>
      <c r="AM202" s="10">
        <f>AK202-AL202</f>
        <v/>
      </c>
      <c r="AN202" s="10">
        <f>MIN('02_Данные'!Q202,AM202)</f>
        <v/>
      </c>
      <c r="AO202" s="10">
        <f>AM202-AN202</f>
        <v/>
      </c>
      <c r="AP202" s="10">
        <f>MIN('02_Данные'!R202,AO202)</f>
        <v/>
      </c>
      <c r="AQ202" s="10">
        <f>AO202-AP202</f>
        <v/>
      </c>
      <c r="AR202" s="10">
        <f>AQ202+'02_Данные'!H202</f>
        <v/>
      </c>
      <c r="AS202" s="10">
        <f>MIN('02_Данные'!T202,AR202)</f>
        <v/>
      </c>
      <c r="AT202" s="10">
        <f>AR202-AS202</f>
        <v/>
      </c>
      <c r="AU202" s="10">
        <f>MIN('02_Данные'!U202,AT202)</f>
        <v/>
      </c>
      <c r="AV202" s="10">
        <f>AT202-AU202</f>
        <v/>
      </c>
      <c r="AW202" s="10">
        <f>MIN('02_Данные'!V202,AV202)</f>
        <v/>
      </c>
      <c r="AX202" s="10">
        <f>AV202-AW202</f>
        <v/>
      </c>
      <c r="AY202" s="10">
        <f>MIN('02_Данные'!AA202,AX202)</f>
        <v/>
      </c>
      <c r="AZ202" s="10">
        <f>AX202-AY202</f>
        <v/>
      </c>
      <c r="BA202" s="10">
        <f>MIN('02_Данные'!X202,AZ202)</f>
        <v/>
      </c>
      <c r="BB202" s="10">
        <f>AZ202-BA202</f>
        <v/>
      </c>
      <c r="BC202" s="10">
        <f>MIN('02_Данные'!W202,BB202)</f>
        <v/>
      </c>
      <c r="BD202" s="10">
        <f>BB202-BC202</f>
        <v/>
      </c>
      <c r="BE202" s="10">
        <f>MIN('02_Данные'!Y202,BD202)</f>
        <v/>
      </c>
      <c r="BF202" s="10">
        <f>BD202-BE202</f>
        <v/>
      </c>
      <c r="BG202" s="10">
        <f>MIN('02_Данные'!Z202,BF202)</f>
        <v/>
      </c>
      <c r="BH202" s="10">
        <f>BF202-BG202</f>
        <v/>
      </c>
      <c r="BI202" s="10">
        <f>BH202+'02_Данные'!I202</f>
        <v/>
      </c>
      <c r="BJ202" s="10">
        <f>MIN('02_Данные'!AB202,BI202)</f>
        <v/>
      </c>
      <c r="BK202" s="10">
        <f>BI202-BJ202</f>
        <v/>
      </c>
      <c r="BL202" s="10">
        <f>MIN('02_Данные'!AC202,BK202)</f>
        <v/>
      </c>
      <c r="BM202" s="10">
        <f>BK202-BL202</f>
        <v/>
      </c>
      <c r="BN202" s="10">
        <f>MIN('02_Данные'!AD202,BM202)</f>
        <v/>
      </c>
      <c r="BO202" s="10">
        <f>BM202-BN202</f>
        <v/>
      </c>
      <c r="BP202" s="10">
        <f>MIN('02_Данные'!AI202,BO202)</f>
        <v/>
      </c>
      <c r="BQ202" s="10">
        <f>BO202-BP202</f>
        <v/>
      </c>
      <c r="BR202" s="10">
        <f>MIN('02_Данные'!AF202,BQ202)</f>
        <v/>
      </c>
      <c r="BS202" s="10">
        <f>BQ202-BR202</f>
        <v/>
      </c>
      <c r="BT202" s="10">
        <f>MIN('02_Данные'!AE202,BS202)</f>
        <v/>
      </c>
      <c r="BU202" s="10">
        <f>BS202-BT202</f>
        <v/>
      </c>
      <c r="BV202" s="10">
        <f>MIN('02_Данные'!AG202,BU202)</f>
        <v/>
      </c>
      <c r="BW202" s="10">
        <f>BU202-BV202</f>
        <v/>
      </c>
      <c r="BX202" s="10">
        <f>MIN('02_Данные'!AH202,BW202)</f>
        <v/>
      </c>
      <c r="BY202" s="10">
        <f>BW202-BX202</f>
        <v/>
      </c>
      <c r="BZ202" s="10">
        <f>BY202+'02_Данные'!J202</f>
        <v/>
      </c>
      <c r="CA202" s="10">
        <f>MIN('02_Данные'!AJ202,BZ202)</f>
        <v/>
      </c>
      <c r="CB202" s="10">
        <f>BZ202-CA202</f>
        <v/>
      </c>
      <c r="CC202" s="10">
        <f>MIN('02_Данные'!AK202,CB202)</f>
        <v/>
      </c>
      <c r="CD202" s="10">
        <f>CB202-CC202</f>
        <v/>
      </c>
      <c r="CE202" s="10">
        <f>MIN('02_Данные'!AL202,CD202)</f>
        <v/>
      </c>
      <c r="CF202" s="10">
        <f>CD202-CE202</f>
        <v/>
      </c>
      <c r="CG202" s="10">
        <f>MIN('02_Данные'!AQ202,CF202)</f>
        <v/>
      </c>
      <c r="CH202" s="10">
        <f>CF202-CG202</f>
        <v/>
      </c>
      <c r="CI202" s="10">
        <f>MIN('02_Данные'!AN202,CH202)</f>
        <v/>
      </c>
      <c r="CJ202" s="10">
        <f>CH202-CI202</f>
        <v/>
      </c>
      <c r="CK202" s="10">
        <f>MIN('02_Данные'!AM202,CJ202)</f>
        <v/>
      </c>
      <c r="CL202" s="10">
        <f>CJ202-CK202</f>
        <v/>
      </c>
      <c r="CM202" s="10">
        <f>MIN('02_Данные'!AO202,CL202)</f>
        <v/>
      </c>
      <c r="CN202" s="10">
        <f>CL202-CM202</f>
        <v/>
      </c>
      <c r="CO202" s="10">
        <f>MIN('02_Данные'!AP202,CN202)</f>
        <v/>
      </c>
      <c r="CP202" s="10">
        <f>CN202-CO202</f>
        <v/>
      </c>
      <c r="CQ202" s="10">
        <f>CP202+'02_Данные'!K202</f>
        <v/>
      </c>
      <c r="CR202" s="10">
        <f>MIN('02_Данные'!AR202,CQ202)</f>
        <v/>
      </c>
      <c r="CS202" s="10">
        <f>CQ202-CR202</f>
        <v/>
      </c>
      <c r="CT202" s="10">
        <f>MIN('02_Данные'!AS202,CS202)</f>
        <v/>
      </c>
      <c r="CU202" s="10">
        <f>CS202-CT202</f>
        <v/>
      </c>
      <c r="CV202" s="10">
        <f>MIN('02_Данные'!AT202,CU202)</f>
        <v/>
      </c>
      <c r="CW202" s="10">
        <f>CU202-CV202</f>
        <v/>
      </c>
      <c r="CX202" s="10">
        <f>MIN('02_Данные'!AY202,CW202)</f>
        <v/>
      </c>
      <c r="CY202" s="10">
        <f>CW202-CX202</f>
        <v/>
      </c>
      <c r="CZ202" s="10">
        <f>MIN('02_Данные'!AV202,CY202)</f>
        <v/>
      </c>
      <c r="DA202" s="10">
        <f>CY202-CZ202</f>
        <v/>
      </c>
      <c r="DB202" s="10">
        <f>MIN('02_Данные'!AU202,DA202)</f>
        <v/>
      </c>
      <c r="DC202" s="10">
        <f>DA202-DB202</f>
        <v/>
      </c>
      <c r="DD202" s="10">
        <f>MIN('02_Данные'!AW202,DC202)</f>
        <v/>
      </c>
      <c r="DE202" s="10">
        <f>DC202-DD202</f>
        <v/>
      </c>
      <c r="DF202" s="10">
        <f>MIN('02_Данные'!AX202,DE202)</f>
        <v/>
      </c>
      <c r="DG202" s="10">
        <f>DE202-DF202</f>
        <v/>
      </c>
    </row>
    <row r="203">
      <c r="A203" s="9">
        <f>'02_Данные'!B203</f>
        <v/>
      </c>
      <c r="B203" s="9">
        <f>'02_Данные'!E203</f>
        <v/>
      </c>
      <c r="C203" s="10">
        <f>'02_Данные'!F203+'02_Данные'!G203+'02_Данные'!H203+'02_Данные'!I203+'02_Данные'!J203+'02_Данные'!K203</f>
        <v/>
      </c>
      <c r="D203" s="10">
        <f>SUM('02_Данные'!L203:'02_Данные'!AY203)</f>
        <v/>
      </c>
      <c r="E203" s="10">
        <f>MAX(0,D203-C203)</f>
        <v/>
      </c>
      <c r="F203" s="15">
        <f>IF(E203&gt;0.0001,"ДЕФИЦИТ",IF(Y203&gt;0.0001,"ПРОФИЦИТ","БАЛАНС"))</f>
        <v/>
      </c>
      <c r="G203" s="10">
        <f>AB203+AS203+BJ203+CA203+CR203</f>
        <v/>
      </c>
      <c r="H203" s="10">
        <f>AD203+AU203+BL203+CC203+CT203</f>
        <v/>
      </c>
      <c r="I203" s="10">
        <f>AF203+AW203+BN203+CE203+CV203</f>
        <v/>
      </c>
      <c r="J203" s="10">
        <f>AL203+BC203+BT203+CK203+DB203</f>
        <v/>
      </c>
      <c r="K203" s="10">
        <f>AJ203+BA203+BR203+CI203+CZ203</f>
        <v/>
      </c>
      <c r="L203" s="10">
        <f>AN203+BE203+BV203+CM203+DD203</f>
        <v/>
      </c>
      <c r="M203" s="10">
        <f>AP203+BG203+BX203+CO203+DF203</f>
        <v/>
      </c>
      <c r="N203" s="10">
        <f>AH203+AY203+BP203+CG203+CX203</f>
        <v/>
      </c>
      <c r="O203" s="10">
        <f>SUM(G203:N203)</f>
        <v/>
      </c>
      <c r="P203" s="10">
        <f>IFERROR(G203*MIN(1,'01_Нормативы'!$C$4/SUM(G$2:G$429)),0)</f>
        <v/>
      </c>
      <c r="Q203" s="10">
        <f>IFERROR(H203*MIN(1,'01_Нормативы'!$C$5/SUM(H$2:H$429)),0)</f>
        <v/>
      </c>
      <c r="R203" s="10">
        <f>IFERROR(I203*MIN(1,'01_Нормативы'!$C$6/SUM(I$2:I$429)),0)</f>
        <v/>
      </c>
      <c r="S203" s="10">
        <f>IFERROR(J203*MIN(1,'01_Нормативы'!$C$7/SUM(J$2:J$429)),0)</f>
        <v/>
      </c>
      <c r="T203" s="10">
        <f>IFERROR(K203*MIN(1,'01_Нормативы'!$C$8/SUM(K$2:K$429)),0)</f>
        <v/>
      </c>
      <c r="U203" s="10">
        <f>IFERROR(L203*MIN(1,'01_Нормативы'!$C$9/SUM(L$2:L$429)),0)</f>
        <v/>
      </c>
      <c r="V203" s="10">
        <f>IFERROR(M203*MIN(1,'01_Нормативы'!$C$10/SUM(M$2:M$429)),0)</f>
        <v/>
      </c>
      <c r="W203" s="10">
        <f>IFERROR(N203*MIN(1,'01_Нормативы'!$C$11/SUM(N$2:N$429)),0)</f>
        <v/>
      </c>
      <c r="X203" s="10">
        <f>SUM(P203:W203)</f>
        <v/>
      </c>
      <c r="Y203" s="10">
        <f>MAX(0,C203-X203)</f>
        <v/>
      </c>
      <c r="Z203" s="10">
        <f>IF(D203=0,100,X203/D203*100)</f>
        <v/>
      </c>
      <c r="AA203" s="10">
        <f>'02_Данные'!F203+'02_Данные'!G203</f>
        <v/>
      </c>
      <c r="AB203" s="10">
        <f>MIN('02_Данные'!L203,AA203)</f>
        <v/>
      </c>
      <c r="AC203" s="10">
        <f>AA203-AB203</f>
        <v/>
      </c>
      <c r="AD203" s="10">
        <f>MIN('02_Данные'!M203,AC203)</f>
        <v/>
      </c>
      <c r="AE203" s="10">
        <f>AC203-AD203</f>
        <v/>
      </c>
      <c r="AF203" s="10">
        <f>MIN('02_Данные'!N203,AE203)</f>
        <v/>
      </c>
      <c r="AG203" s="10">
        <f>AE203-AF203</f>
        <v/>
      </c>
      <c r="AH203" s="10">
        <f>MIN('02_Данные'!S203,AG203)</f>
        <v/>
      </c>
      <c r="AI203" s="10">
        <f>AG203-AH203</f>
        <v/>
      </c>
      <c r="AJ203" s="10">
        <f>MIN('02_Данные'!P203,AI203)</f>
        <v/>
      </c>
      <c r="AK203" s="10">
        <f>AI203-AJ203</f>
        <v/>
      </c>
      <c r="AL203" s="10">
        <f>MIN('02_Данные'!O203,AK203)</f>
        <v/>
      </c>
      <c r="AM203" s="10">
        <f>AK203-AL203</f>
        <v/>
      </c>
      <c r="AN203" s="10">
        <f>MIN('02_Данные'!Q203,AM203)</f>
        <v/>
      </c>
      <c r="AO203" s="10">
        <f>AM203-AN203</f>
        <v/>
      </c>
      <c r="AP203" s="10">
        <f>MIN('02_Данные'!R203,AO203)</f>
        <v/>
      </c>
      <c r="AQ203" s="10">
        <f>AO203-AP203</f>
        <v/>
      </c>
      <c r="AR203" s="10">
        <f>AQ203+'02_Данные'!H203</f>
        <v/>
      </c>
      <c r="AS203" s="10">
        <f>MIN('02_Данные'!T203,AR203)</f>
        <v/>
      </c>
      <c r="AT203" s="10">
        <f>AR203-AS203</f>
        <v/>
      </c>
      <c r="AU203" s="10">
        <f>MIN('02_Данные'!U203,AT203)</f>
        <v/>
      </c>
      <c r="AV203" s="10">
        <f>AT203-AU203</f>
        <v/>
      </c>
      <c r="AW203" s="10">
        <f>MIN('02_Данные'!V203,AV203)</f>
        <v/>
      </c>
      <c r="AX203" s="10">
        <f>AV203-AW203</f>
        <v/>
      </c>
      <c r="AY203" s="10">
        <f>MIN('02_Данные'!AA203,AX203)</f>
        <v/>
      </c>
      <c r="AZ203" s="10">
        <f>AX203-AY203</f>
        <v/>
      </c>
      <c r="BA203" s="10">
        <f>MIN('02_Данные'!X203,AZ203)</f>
        <v/>
      </c>
      <c r="BB203" s="10">
        <f>AZ203-BA203</f>
        <v/>
      </c>
      <c r="BC203" s="10">
        <f>MIN('02_Данные'!W203,BB203)</f>
        <v/>
      </c>
      <c r="BD203" s="10">
        <f>BB203-BC203</f>
        <v/>
      </c>
      <c r="BE203" s="10">
        <f>MIN('02_Данные'!Y203,BD203)</f>
        <v/>
      </c>
      <c r="BF203" s="10">
        <f>BD203-BE203</f>
        <v/>
      </c>
      <c r="BG203" s="10">
        <f>MIN('02_Данные'!Z203,BF203)</f>
        <v/>
      </c>
      <c r="BH203" s="10">
        <f>BF203-BG203</f>
        <v/>
      </c>
      <c r="BI203" s="10">
        <f>BH203+'02_Данные'!I203</f>
        <v/>
      </c>
      <c r="BJ203" s="10">
        <f>MIN('02_Данные'!AB203,BI203)</f>
        <v/>
      </c>
      <c r="BK203" s="10">
        <f>BI203-BJ203</f>
        <v/>
      </c>
      <c r="BL203" s="10">
        <f>MIN('02_Данные'!AC203,BK203)</f>
        <v/>
      </c>
      <c r="BM203" s="10">
        <f>BK203-BL203</f>
        <v/>
      </c>
      <c r="BN203" s="10">
        <f>MIN('02_Данные'!AD203,BM203)</f>
        <v/>
      </c>
      <c r="BO203" s="10">
        <f>BM203-BN203</f>
        <v/>
      </c>
      <c r="BP203" s="10">
        <f>MIN('02_Данные'!AI203,BO203)</f>
        <v/>
      </c>
      <c r="BQ203" s="10">
        <f>BO203-BP203</f>
        <v/>
      </c>
      <c r="BR203" s="10">
        <f>MIN('02_Данные'!AF203,BQ203)</f>
        <v/>
      </c>
      <c r="BS203" s="10">
        <f>BQ203-BR203</f>
        <v/>
      </c>
      <c r="BT203" s="10">
        <f>MIN('02_Данные'!AE203,BS203)</f>
        <v/>
      </c>
      <c r="BU203" s="10">
        <f>BS203-BT203</f>
        <v/>
      </c>
      <c r="BV203" s="10">
        <f>MIN('02_Данные'!AG203,BU203)</f>
        <v/>
      </c>
      <c r="BW203" s="10">
        <f>BU203-BV203</f>
        <v/>
      </c>
      <c r="BX203" s="10">
        <f>MIN('02_Данные'!AH203,BW203)</f>
        <v/>
      </c>
      <c r="BY203" s="10">
        <f>BW203-BX203</f>
        <v/>
      </c>
      <c r="BZ203" s="10">
        <f>BY203+'02_Данные'!J203</f>
        <v/>
      </c>
      <c r="CA203" s="10">
        <f>MIN('02_Данные'!AJ203,BZ203)</f>
        <v/>
      </c>
      <c r="CB203" s="10">
        <f>BZ203-CA203</f>
        <v/>
      </c>
      <c r="CC203" s="10">
        <f>MIN('02_Данные'!AK203,CB203)</f>
        <v/>
      </c>
      <c r="CD203" s="10">
        <f>CB203-CC203</f>
        <v/>
      </c>
      <c r="CE203" s="10">
        <f>MIN('02_Данные'!AL203,CD203)</f>
        <v/>
      </c>
      <c r="CF203" s="10">
        <f>CD203-CE203</f>
        <v/>
      </c>
      <c r="CG203" s="10">
        <f>MIN('02_Данные'!AQ203,CF203)</f>
        <v/>
      </c>
      <c r="CH203" s="10">
        <f>CF203-CG203</f>
        <v/>
      </c>
      <c r="CI203" s="10">
        <f>MIN('02_Данные'!AN203,CH203)</f>
        <v/>
      </c>
      <c r="CJ203" s="10">
        <f>CH203-CI203</f>
        <v/>
      </c>
      <c r="CK203" s="10">
        <f>MIN('02_Данные'!AM203,CJ203)</f>
        <v/>
      </c>
      <c r="CL203" s="10">
        <f>CJ203-CK203</f>
        <v/>
      </c>
      <c r="CM203" s="10">
        <f>MIN('02_Данные'!AO203,CL203)</f>
        <v/>
      </c>
      <c r="CN203" s="10">
        <f>CL203-CM203</f>
        <v/>
      </c>
      <c r="CO203" s="10">
        <f>MIN('02_Данные'!AP203,CN203)</f>
        <v/>
      </c>
      <c r="CP203" s="10">
        <f>CN203-CO203</f>
        <v/>
      </c>
      <c r="CQ203" s="10">
        <f>CP203+'02_Данные'!K203</f>
        <v/>
      </c>
      <c r="CR203" s="10">
        <f>MIN('02_Данные'!AR203,CQ203)</f>
        <v/>
      </c>
      <c r="CS203" s="10">
        <f>CQ203-CR203</f>
        <v/>
      </c>
      <c r="CT203" s="10">
        <f>MIN('02_Данные'!AS203,CS203)</f>
        <v/>
      </c>
      <c r="CU203" s="10">
        <f>CS203-CT203</f>
        <v/>
      </c>
      <c r="CV203" s="10">
        <f>MIN('02_Данные'!AT203,CU203)</f>
        <v/>
      </c>
      <c r="CW203" s="10">
        <f>CU203-CV203</f>
        <v/>
      </c>
      <c r="CX203" s="10">
        <f>MIN('02_Данные'!AY203,CW203)</f>
        <v/>
      </c>
      <c r="CY203" s="10">
        <f>CW203-CX203</f>
        <v/>
      </c>
      <c r="CZ203" s="10">
        <f>MIN('02_Данные'!AV203,CY203)</f>
        <v/>
      </c>
      <c r="DA203" s="10">
        <f>CY203-CZ203</f>
        <v/>
      </c>
      <c r="DB203" s="10">
        <f>MIN('02_Данные'!AU203,DA203)</f>
        <v/>
      </c>
      <c r="DC203" s="10">
        <f>DA203-DB203</f>
        <v/>
      </c>
      <c r="DD203" s="10">
        <f>MIN('02_Данные'!AW203,DC203)</f>
        <v/>
      </c>
      <c r="DE203" s="10">
        <f>DC203-DD203</f>
        <v/>
      </c>
      <c r="DF203" s="10">
        <f>MIN('02_Данные'!AX203,DE203)</f>
        <v/>
      </c>
      <c r="DG203" s="10">
        <f>DE203-DF203</f>
        <v/>
      </c>
    </row>
    <row r="204">
      <c r="A204" s="9">
        <f>'02_Данные'!B204</f>
        <v/>
      </c>
      <c r="B204" s="9">
        <f>'02_Данные'!E204</f>
        <v/>
      </c>
      <c r="C204" s="10">
        <f>'02_Данные'!F204+'02_Данные'!G204+'02_Данные'!H204+'02_Данные'!I204+'02_Данные'!J204+'02_Данные'!K204</f>
        <v/>
      </c>
      <c r="D204" s="10">
        <f>SUM('02_Данные'!L204:'02_Данные'!AY204)</f>
        <v/>
      </c>
      <c r="E204" s="10">
        <f>MAX(0,D204-C204)</f>
        <v/>
      </c>
      <c r="F204" s="15">
        <f>IF(E204&gt;0.0001,"ДЕФИЦИТ",IF(Y204&gt;0.0001,"ПРОФИЦИТ","БАЛАНС"))</f>
        <v/>
      </c>
      <c r="G204" s="10">
        <f>AB204+AS204+BJ204+CA204+CR204</f>
        <v/>
      </c>
      <c r="H204" s="10">
        <f>AD204+AU204+BL204+CC204+CT204</f>
        <v/>
      </c>
      <c r="I204" s="10">
        <f>AF204+AW204+BN204+CE204+CV204</f>
        <v/>
      </c>
      <c r="J204" s="10">
        <f>AL204+BC204+BT204+CK204+DB204</f>
        <v/>
      </c>
      <c r="K204" s="10">
        <f>AJ204+BA204+BR204+CI204+CZ204</f>
        <v/>
      </c>
      <c r="L204" s="10">
        <f>AN204+BE204+BV204+CM204+DD204</f>
        <v/>
      </c>
      <c r="M204" s="10">
        <f>AP204+BG204+BX204+CO204+DF204</f>
        <v/>
      </c>
      <c r="N204" s="10">
        <f>AH204+AY204+BP204+CG204+CX204</f>
        <v/>
      </c>
      <c r="O204" s="10">
        <f>SUM(G204:N204)</f>
        <v/>
      </c>
      <c r="P204" s="10">
        <f>IFERROR(G204*MIN(1,'01_Нормативы'!$C$4/SUM(G$2:G$429)),0)</f>
        <v/>
      </c>
      <c r="Q204" s="10">
        <f>IFERROR(H204*MIN(1,'01_Нормативы'!$C$5/SUM(H$2:H$429)),0)</f>
        <v/>
      </c>
      <c r="R204" s="10">
        <f>IFERROR(I204*MIN(1,'01_Нормативы'!$C$6/SUM(I$2:I$429)),0)</f>
        <v/>
      </c>
      <c r="S204" s="10">
        <f>IFERROR(J204*MIN(1,'01_Нормативы'!$C$7/SUM(J$2:J$429)),0)</f>
        <v/>
      </c>
      <c r="T204" s="10">
        <f>IFERROR(K204*MIN(1,'01_Нормативы'!$C$8/SUM(K$2:K$429)),0)</f>
        <v/>
      </c>
      <c r="U204" s="10">
        <f>IFERROR(L204*MIN(1,'01_Нормативы'!$C$9/SUM(L$2:L$429)),0)</f>
        <v/>
      </c>
      <c r="V204" s="10">
        <f>IFERROR(M204*MIN(1,'01_Нормативы'!$C$10/SUM(M$2:M$429)),0)</f>
        <v/>
      </c>
      <c r="W204" s="10">
        <f>IFERROR(N204*MIN(1,'01_Нормативы'!$C$11/SUM(N$2:N$429)),0)</f>
        <v/>
      </c>
      <c r="X204" s="10">
        <f>SUM(P204:W204)</f>
        <v/>
      </c>
      <c r="Y204" s="10">
        <f>MAX(0,C204-X204)</f>
        <v/>
      </c>
      <c r="Z204" s="10">
        <f>IF(D204=0,100,X204/D204*100)</f>
        <v/>
      </c>
      <c r="AA204" s="10">
        <f>'02_Данные'!F204+'02_Данные'!G204</f>
        <v/>
      </c>
      <c r="AB204" s="10">
        <f>MIN('02_Данные'!L204,AA204)</f>
        <v/>
      </c>
      <c r="AC204" s="10">
        <f>AA204-AB204</f>
        <v/>
      </c>
      <c r="AD204" s="10">
        <f>MIN('02_Данные'!M204,AC204)</f>
        <v/>
      </c>
      <c r="AE204" s="10">
        <f>AC204-AD204</f>
        <v/>
      </c>
      <c r="AF204" s="10">
        <f>MIN('02_Данные'!N204,AE204)</f>
        <v/>
      </c>
      <c r="AG204" s="10">
        <f>AE204-AF204</f>
        <v/>
      </c>
      <c r="AH204" s="10">
        <f>MIN('02_Данные'!S204,AG204)</f>
        <v/>
      </c>
      <c r="AI204" s="10">
        <f>AG204-AH204</f>
        <v/>
      </c>
      <c r="AJ204" s="10">
        <f>MIN('02_Данные'!P204,AI204)</f>
        <v/>
      </c>
      <c r="AK204" s="10">
        <f>AI204-AJ204</f>
        <v/>
      </c>
      <c r="AL204" s="10">
        <f>MIN('02_Данные'!O204,AK204)</f>
        <v/>
      </c>
      <c r="AM204" s="10">
        <f>AK204-AL204</f>
        <v/>
      </c>
      <c r="AN204" s="10">
        <f>MIN('02_Данные'!Q204,AM204)</f>
        <v/>
      </c>
      <c r="AO204" s="10">
        <f>AM204-AN204</f>
        <v/>
      </c>
      <c r="AP204" s="10">
        <f>MIN('02_Данные'!R204,AO204)</f>
        <v/>
      </c>
      <c r="AQ204" s="10">
        <f>AO204-AP204</f>
        <v/>
      </c>
      <c r="AR204" s="10">
        <f>AQ204+'02_Данные'!H204</f>
        <v/>
      </c>
      <c r="AS204" s="10">
        <f>MIN('02_Данные'!T204,AR204)</f>
        <v/>
      </c>
      <c r="AT204" s="10">
        <f>AR204-AS204</f>
        <v/>
      </c>
      <c r="AU204" s="10">
        <f>MIN('02_Данные'!U204,AT204)</f>
        <v/>
      </c>
      <c r="AV204" s="10">
        <f>AT204-AU204</f>
        <v/>
      </c>
      <c r="AW204" s="10">
        <f>MIN('02_Данные'!V204,AV204)</f>
        <v/>
      </c>
      <c r="AX204" s="10">
        <f>AV204-AW204</f>
        <v/>
      </c>
      <c r="AY204" s="10">
        <f>MIN('02_Данные'!AA204,AX204)</f>
        <v/>
      </c>
      <c r="AZ204" s="10">
        <f>AX204-AY204</f>
        <v/>
      </c>
      <c r="BA204" s="10">
        <f>MIN('02_Данные'!X204,AZ204)</f>
        <v/>
      </c>
      <c r="BB204" s="10">
        <f>AZ204-BA204</f>
        <v/>
      </c>
      <c r="BC204" s="10">
        <f>MIN('02_Данные'!W204,BB204)</f>
        <v/>
      </c>
      <c r="BD204" s="10">
        <f>BB204-BC204</f>
        <v/>
      </c>
      <c r="BE204" s="10">
        <f>MIN('02_Данные'!Y204,BD204)</f>
        <v/>
      </c>
      <c r="BF204" s="10">
        <f>BD204-BE204</f>
        <v/>
      </c>
      <c r="BG204" s="10">
        <f>MIN('02_Данные'!Z204,BF204)</f>
        <v/>
      </c>
      <c r="BH204" s="10">
        <f>BF204-BG204</f>
        <v/>
      </c>
      <c r="BI204" s="10">
        <f>BH204+'02_Данные'!I204</f>
        <v/>
      </c>
      <c r="BJ204" s="10">
        <f>MIN('02_Данные'!AB204,BI204)</f>
        <v/>
      </c>
      <c r="BK204" s="10">
        <f>BI204-BJ204</f>
        <v/>
      </c>
      <c r="BL204" s="10">
        <f>MIN('02_Данные'!AC204,BK204)</f>
        <v/>
      </c>
      <c r="BM204" s="10">
        <f>BK204-BL204</f>
        <v/>
      </c>
      <c r="BN204" s="10">
        <f>MIN('02_Данные'!AD204,BM204)</f>
        <v/>
      </c>
      <c r="BO204" s="10">
        <f>BM204-BN204</f>
        <v/>
      </c>
      <c r="BP204" s="10">
        <f>MIN('02_Данные'!AI204,BO204)</f>
        <v/>
      </c>
      <c r="BQ204" s="10">
        <f>BO204-BP204</f>
        <v/>
      </c>
      <c r="BR204" s="10">
        <f>MIN('02_Данные'!AF204,BQ204)</f>
        <v/>
      </c>
      <c r="BS204" s="10">
        <f>BQ204-BR204</f>
        <v/>
      </c>
      <c r="BT204" s="10">
        <f>MIN('02_Данные'!AE204,BS204)</f>
        <v/>
      </c>
      <c r="BU204" s="10">
        <f>BS204-BT204</f>
        <v/>
      </c>
      <c r="BV204" s="10">
        <f>MIN('02_Данные'!AG204,BU204)</f>
        <v/>
      </c>
      <c r="BW204" s="10">
        <f>BU204-BV204</f>
        <v/>
      </c>
      <c r="BX204" s="10">
        <f>MIN('02_Данные'!AH204,BW204)</f>
        <v/>
      </c>
      <c r="BY204" s="10">
        <f>BW204-BX204</f>
        <v/>
      </c>
      <c r="BZ204" s="10">
        <f>BY204+'02_Данные'!J204</f>
        <v/>
      </c>
      <c r="CA204" s="10">
        <f>MIN('02_Данные'!AJ204,BZ204)</f>
        <v/>
      </c>
      <c r="CB204" s="10">
        <f>BZ204-CA204</f>
        <v/>
      </c>
      <c r="CC204" s="10">
        <f>MIN('02_Данные'!AK204,CB204)</f>
        <v/>
      </c>
      <c r="CD204" s="10">
        <f>CB204-CC204</f>
        <v/>
      </c>
      <c r="CE204" s="10">
        <f>MIN('02_Данные'!AL204,CD204)</f>
        <v/>
      </c>
      <c r="CF204" s="10">
        <f>CD204-CE204</f>
        <v/>
      </c>
      <c r="CG204" s="10">
        <f>MIN('02_Данные'!AQ204,CF204)</f>
        <v/>
      </c>
      <c r="CH204" s="10">
        <f>CF204-CG204</f>
        <v/>
      </c>
      <c r="CI204" s="10">
        <f>MIN('02_Данные'!AN204,CH204)</f>
        <v/>
      </c>
      <c r="CJ204" s="10">
        <f>CH204-CI204</f>
        <v/>
      </c>
      <c r="CK204" s="10">
        <f>MIN('02_Данные'!AM204,CJ204)</f>
        <v/>
      </c>
      <c r="CL204" s="10">
        <f>CJ204-CK204</f>
        <v/>
      </c>
      <c r="CM204" s="10">
        <f>MIN('02_Данные'!AO204,CL204)</f>
        <v/>
      </c>
      <c r="CN204" s="10">
        <f>CL204-CM204</f>
        <v/>
      </c>
      <c r="CO204" s="10">
        <f>MIN('02_Данные'!AP204,CN204)</f>
        <v/>
      </c>
      <c r="CP204" s="10">
        <f>CN204-CO204</f>
        <v/>
      </c>
      <c r="CQ204" s="10">
        <f>CP204+'02_Данные'!K204</f>
        <v/>
      </c>
      <c r="CR204" s="10">
        <f>MIN('02_Данные'!AR204,CQ204)</f>
        <v/>
      </c>
      <c r="CS204" s="10">
        <f>CQ204-CR204</f>
        <v/>
      </c>
      <c r="CT204" s="10">
        <f>MIN('02_Данные'!AS204,CS204)</f>
        <v/>
      </c>
      <c r="CU204" s="10">
        <f>CS204-CT204</f>
        <v/>
      </c>
      <c r="CV204" s="10">
        <f>MIN('02_Данные'!AT204,CU204)</f>
        <v/>
      </c>
      <c r="CW204" s="10">
        <f>CU204-CV204</f>
        <v/>
      </c>
      <c r="CX204" s="10">
        <f>MIN('02_Данные'!AY204,CW204)</f>
        <v/>
      </c>
      <c r="CY204" s="10">
        <f>CW204-CX204</f>
        <v/>
      </c>
      <c r="CZ204" s="10">
        <f>MIN('02_Данные'!AV204,CY204)</f>
        <v/>
      </c>
      <c r="DA204" s="10">
        <f>CY204-CZ204</f>
        <v/>
      </c>
      <c r="DB204" s="10">
        <f>MIN('02_Данные'!AU204,DA204)</f>
        <v/>
      </c>
      <c r="DC204" s="10">
        <f>DA204-DB204</f>
        <v/>
      </c>
      <c r="DD204" s="10">
        <f>MIN('02_Данные'!AW204,DC204)</f>
        <v/>
      </c>
      <c r="DE204" s="10">
        <f>DC204-DD204</f>
        <v/>
      </c>
      <c r="DF204" s="10">
        <f>MIN('02_Данные'!AX204,DE204)</f>
        <v/>
      </c>
      <c r="DG204" s="10">
        <f>DE204-DF204</f>
        <v/>
      </c>
    </row>
    <row r="205">
      <c r="A205" s="9">
        <f>'02_Данные'!B205</f>
        <v/>
      </c>
      <c r="B205" s="9">
        <f>'02_Данные'!E205</f>
        <v/>
      </c>
      <c r="C205" s="10">
        <f>'02_Данные'!F205+'02_Данные'!G205+'02_Данные'!H205+'02_Данные'!I205+'02_Данные'!J205+'02_Данные'!K205</f>
        <v/>
      </c>
      <c r="D205" s="10">
        <f>SUM('02_Данные'!L205:'02_Данные'!AY205)</f>
        <v/>
      </c>
      <c r="E205" s="10">
        <f>MAX(0,D205-C205)</f>
        <v/>
      </c>
      <c r="F205" s="15">
        <f>IF(E205&gt;0.0001,"ДЕФИЦИТ",IF(Y205&gt;0.0001,"ПРОФИЦИТ","БАЛАНС"))</f>
        <v/>
      </c>
      <c r="G205" s="10">
        <f>AB205+AS205+BJ205+CA205+CR205</f>
        <v/>
      </c>
      <c r="H205" s="10">
        <f>AD205+AU205+BL205+CC205+CT205</f>
        <v/>
      </c>
      <c r="I205" s="10">
        <f>AF205+AW205+BN205+CE205+CV205</f>
        <v/>
      </c>
      <c r="J205" s="10">
        <f>AL205+BC205+BT205+CK205+DB205</f>
        <v/>
      </c>
      <c r="K205" s="10">
        <f>AJ205+BA205+BR205+CI205+CZ205</f>
        <v/>
      </c>
      <c r="L205" s="10">
        <f>AN205+BE205+BV205+CM205+DD205</f>
        <v/>
      </c>
      <c r="M205" s="10">
        <f>AP205+BG205+BX205+CO205+DF205</f>
        <v/>
      </c>
      <c r="N205" s="10">
        <f>AH205+AY205+BP205+CG205+CX205</f>
        <v/>
      </c>
      <c r="O205" s="10">
        <f>SUM(G205:N205)</f>
        <v/>
      </c>
      <c r="P205" s="10">
        <f>IFERROR(G205*MIN(1,'01_Нормативы'!$C$4/SUM(G$2:G$429)),0)</f>
        <v/>
      </c>
      <c r="Q205" s="10">
        <f>IFERROR(H205*MIN(1,'01_Нормативы'!$C$5/SUM(H$2:H$429)),0)</f>
        <v/>
      </c>
      <c r="R205" s="10">
        <f>IFERROR(I205*MIN(1,'01_Нормативы'!$C$6/SUM(I$2:I$429)),0)</f>
        <v/>
      </c>
      <c r="S205" s="10">
        <f>IFERROR(J205*MIN(1,'01_Нормативы'!$C$7/SUM(J$2:J$429)),0)</f>
        <v/>
      </c>
      <c r="T205" s="10">
        <f>IFERROR(K205*MIN(1,'01_Нормативы'!$C$8/SUM(K$2:K$429)),0)</f>
        <v/>
      </c>
      <c r="U205" s="10">
        <f>IFERROR(L205*MIN(1,'01_Нормативы'!$C$9/SUM(L$2:L$429)),0)</f>
        <v/>
      </c>
      <c r="V205" s="10">
        <f>IFERROR(M205*MIN(1,'01_Нормативы'!$C$10/SUM(M$2:M$429)),0)</f>
        <v/>
      </c>
      <c r="W205" s="10">
        <f>IFERROR(N205*MIN(1,'01_Нормативы'!$C$11/SUM(N$2:N$429)),0)</f>
        <v/>
      </c>
      <c r="X205" s="10">
        <f>SUM(P205:W205)</f>
        <v/>
      </c>
      <c r="Y205" s="10">
        <f>MAX(0,C205-X205)</f>
        <v/>
      </c>
      <c r="Z205" s="10">
        <f>IF(D205=0,100,X205/D205*100)</f>
        <v/>
      </c>
      <c r="AA205" s="10">
        <f>'02_Данные'!F205+'02_Данные'!G205</f>
        <v/>
      </c>
      <c r="AB205" s="10">
        <f>MIN('02_Данные'!L205,AA205)</f>
        <v/>
      </c>
      <c r="AC205" s="10">
        <f>AA205-AB205</f>
        <v/>
      </c>
      <c r="AD205" s="10">
        <f>MIN('02_Данные'!M205,AC205)</f>
        <v/>
      </c>
      <c r="AE205" s="10">
        <f>AC205-AD205</f>
        <v/>
      </c>
      <c r="AF205" s="10">
        <f>MIN('02_Данные'!N205,AE205)</f>
        <v/>
      </c>
      <c r="AG205" s="10">
        <f>AE205-AF205</f>
        <v/>
      </c>
      <c r="AH205" s="10">
        <f>MIN('02_Данные'!S205,AG205)</f>
        <v/>
      </c>
      <c r="AI205" s="10">
        <f>AG205-AH205</f>
        <v/>
      </c>
      <c r="AJ205" s="10">
        <f>MIN('02_Данные'!P205,AI205)</f>
        <v/>
      </c>
      <c r="AK205" s="10">
        <f>AI205-AJ205</f>
        <v/>
      </c>
      <c r="AL205" s="10">
        <f>MIN('02_Данные'!O205,AK205)</f>
        <v/>
      </c>
      <c r="AM205" s="10">
        <f>AK205-AL205</f>
        <v/>
      </c>
      <c r="AN205" s="10">
        <f>MIN('02_Данные'!Q205,AM205)</f>
        <v/>
      </c>
      <c r="AO205" s="10">
        <f>AM205-AN205</f>
        <v/>
      </c>
      <c r="AP205" s="10">
        <f>MIN('02_Данные'!R205,AO205)</f>
        <v/>
      </c>
      <c r="AQ205" s="10">
        <f>AO205-AP205</f>
        <v/>
      </c>
      <c r="AR205" s="10">
        <f>AQ205+'02_Данные'!H205</f>
        <v/>
      </c>
      <c r="AS205" s="10">
        <f>MIN('02_Данные'!T205,AR205)</f>
        <v/>
      </c>
      <c r="AT205" s="10">
        <f>AR205-AS205</f>
        <v/>
      </c>
      <c r="AU205" s="10">
        <f>MIN('02_Данные'!U205,AT205)</f>
        <v/>
      </c>
      <c r="AV205" s="10">
        <f>AT205-AU205</f>
        <v/>
      </c>
      <c r="AW205" s="10">
        <f>MIN('02_Данные'!V205,AV205)</f>
        <v/>
      </c>
      <c r="AX205" s="10">
        <f>AV205-AW205</f>
        <v/>
      </c>
      <c r="AY205" s="10">
        <f>MIN('02_Данные'!AA205,AX205)</f>
        <v/>
      </c>
      <c r="AZ205" s="10">
        <f>AX205-AY205</f>
        <v/>
      </c>
      <c r="BA205" s="10">
        <f>MIN('02_Данные'!X205,AZ205)</f>
        <v/>
      </c>
      <c r="BB205" s="10">
        <f>AZ205-BA205</f>
        <v/>
      </c>
      <c r="BC205" s="10">
        <f>MIN('02_Данные'!W205,BB205)</f>
        <v/>
      </c>
      <c r="BD205" s="10">
        <f>BB205-BC205</f>
        <v/>
      </c>
      <c r="BE205" s="10">
        <f>MIN('02_Данные'!Y205,BD205)</f>
        <v/>
      </c>
      <c r="BF205" s="10">
        <f>BD205-BE205</f>
        <v/>
      </c>
      <c r="BG205" s="10">
        <f>MIN('02_Данные'!Z205,BF205)</f>
        <v/>
      </c>
      <c r="BH205" s="10">
        <f>BF205-BG205</f>
        <v/>
      </c>
      <c r="BI205" s="10">
        <f>BH205+'02_Данные'!I205</f>
        <v/>
      </c>
      <c r="BJ205" s="10">
        <f>MIN('02_Данные'!AB205,BI205)</f>
        <v/>
      </c>
      <c r="BK205" s="10">
        <f>BI205-BJ205</f>
        <v/>
      </c>
      <c r="BL205" s="10">
        <f>MIN('02_Данные'!AC205,BK205)</f>
        <v/>
      </c>
      <c r="BM205" s="10">
        <f>BK205-BL205</f>
        <v/>
      </c>
      <c r="BN205" s="10">
        <f>MIN('02_Данные'!AD205,BM205)</f>
        <v/>
      </c>
      <c r="BO205" s="10">
        <f>BM205-BN205</f>
        <v/>
      </c>
      <c r="BP205" s="10">
        <f>MIN('02_Данные'!AI205,BO205)</f>
        <v/>
      </c>
      <c r="BQ205" s="10">
        <f>BO205-BP205</f>
        <v/>
      </c>
      <c r="BR205" s="10">
        <f>MIN('02_Данные'!AF205,BQ205)</f>
        <v/>
      </c>
      <c r="BS205" s="10">
        <f>BQ205-BR205</f>
        <v/>
      </c>
      <c r="BT205" s="10">
        <f>MIN('02_Данные'!AE205,BS205)</f>
        <v/>
      </c>
      <c r="BU205" s="10">
        <f>BS205-BT205</f>
        <v/>
      </c>
      <c r="BV205" s="10">
        <f>MIN('02_Данные'!AG205,BU205)</f>
        <v/>
      </c>
      <c r="BW205" s="10">
        <f>BU205-BV205</f>
        <v/>
      </c>
      <c r="BX205" s="10">
        <f>MIN('02_Данные'!AH205,BW205)</f>
        <v/>
      </c>
      <c r="BY205" s="10">
        <f>BW205-BX205</f>
        <v/>
      </c>
      <c r="BZ205" s="10">
        <f>BY205+'02_Данные'!J205</f>
        <v/>
      </c>
      <c r="CA205" s="10">
        <f>MIN('02_Данные'!AJ205,BZ205)</f>
        <v/>
      </c>
      <c r="CB205" s="10">
        <f>BZ205-CA205</f>
        <v/>
      </c>
      <c r="CC205" s="10">
        <f>MIN('02_Данные'!AK205,CB205)</f>
        <v/>
      </c>
      <c r="CD205" s="10">
        <f>CB205-CC205</f>
        <v/>
      </c>
      <c r="CE205" s="10">
        <f>MIN('02_Данные'!AL205,CD205)</f>
        <v/>
      </c>
      <c r="CF205" s="10">
        <f>CD205-CE205</f>
        <v/>
      </c>
      <c r="CG205" s="10">
        <f>MIN('02_Данные'!AQ205,CF205)</f>
        <v/>
      </c>
      <c r="CH205" s="10">
        <f>CF205-CG205</f>
        <v/>
      </c>
      <c r="CI205" s="10">
        <f>MIN('02_Данные'!AN205,CH205)</f>
        <v/>
      </c>
      <c r="CJ205" s="10">
        <f>CH205-CI205</f>
        <v/>
      </c>
      <c r="CK205" s="10">
        <f>MIN('02_Данные'!AM205,CJ205)</f>
        <v/>
      </c>
      <c r="CL205" s="10">
        <f>CJ205-CK205</f>
        <v/>
      </c>
      <c r="CM205" s="10">
        <f>MIN('02_Данные'!AO205,CL205)</f>
        <v/>
      </c>
      <c r="CN205" s="10">
        <f>CL205-CM205</f>
        <v/>
      </c>
      <c r="CO205" s="10">
        <f>MIN('02_Данные'!AP205,CN205)</f>
        <v/>
      </c>
      <c r="CP205" s="10">
        <f>CN205-CO205</f>
        <v/>
      </c>
      <c r="CQ205" s="10">
        <f>CP205+'02_Данные'!K205</f>
        <v/>
      </c>
      <c r="CR205" s="10">
        <f>MIN('02_Данные'!AR205,CQ205)</f>
        <v/>
      </c>
      <c r="CS205" s="10">
        <f>CQ205-CR205</f>
        <v/>
      </c>
      <c r="CT205" s="10">
        <f>MIN('02_Данные'!AS205,CS205)</f>
        <v/>
      </c>
      <c r="CU205" s="10">
        <f>CS205-CT205</f>
        <v/>
      </c>
      <c r="CV205" s="10">
        <f>MIN('02_Данные'!AT205,CU205)</f>
        <v/>
      </c>
      <c r="CW205" s="10">
        <f>CU205-CV205</f>
        <v/>
      </c>
      <c r="CX205" s="10">
        <f>MIN('02_Данные'!AY205,CW205)</f>
        <v/>
      </c>
      <c r="CY205" s="10">
        <f>CW205-CX205</f>
        <v/>
      </c>
      <c r="CZ205" s="10">
        <f>MIN('02_Данные'!AV205,CY205)</f>
        <v/>
      </c>
      <c r="DA205" s="10">
        <f>CY205-CZ205</f>
        <v/>
      </c>
      <c r="DB205" s="10">
        <f>MIN('02_Данные'!AU205,DA205)</f>
        <v/>
      </c>
      <c r="DC205" s="10">
        <f>DA205-DB205</f>
        <v/>
      </c>
      <c r="DD205" s="10">
        <f>MIN('02_Данные'!AW205,DC205)</f>
        <v/>
      </c>
      <c r="DE205" s="10">
        <f>DC205-DD205</f>
        <v/>
      </c>
      <c r="DF205" s="10">
        <f>MIN('02_Данные'!AX205,DE205)</f>
        <v/>
      </c>
      <c r="DG205" s="10">
        <f>DE205-DF205</f>
        <v/>
      </c>
    </row>
    <row r="206">
      <c r="A206" s="9">
        <f>'02_Данные'!B206</f>
        <v/>
      </c>
      <c r="B206" s="9">
        <f>'02_Данные'!E206</f>
        <v/>
      </c>
      <c r="C206" s="10">
        <f>'02_Данные'!F206+'02_Данные'!G206+'02_Данные'!H206+'02_Данные'!I206+'02_Данные'!J206+'02_Данные'!K206</f>
        <v/>
      </c>
      <c r="D206" s="10">
        <f>SUM('02_Данные'!L206:'02_Данные'!AY206)</f>
        <v/>
      </c>
      <c r="E206" s="10">
        <f>MAX(0,D206-C206)</f>
        <v/>
      </c>
      <c r="F206" s="15">
        <f>IF(E206&gt;0.0001,"ДЕФИЦИТ",IF(Y206&gt;0.0001,"ПРОФИЦИТ","БАЛАНС"))</f>
        <v/>
      </c>
      <c r="G206" s="10">
        <f>AB206+AS206+BJ206+CA206+CR206</f>
        <v/>
      </c>
      <c r="H206" s="10">
        <f>AD206+AU206+BL206+CC206+CT206</f>
        <v/>
      </c>
      <c r="I206" s="10">
        <f>AF206+AW206+BN206+CE206+CV206</f>
        <v/>
      </c>
      <c r="J206" s="10">
        <f>AL206+BC206+BT206+CK206+DB206</f>
        <v/>
      </c>
      <c r="K206" s="10">
        <f>AJ206+BA206+BR206+CI206+CZ206</f>
        <v/>
      </c>
      <c r="L206" s="10">
        <f>AN206+BE206+BV206+CM206+DD206</f>
        <v/>
      </c>
      <c r="M206" s="10">
        <f>AP206+BG206+BX206+CO206+DF206</f>
        <v/>
      </c>
      <c r="N206" s="10">
        <f>AH206+AY206+BP206+CG206+CX206</f>
        <v/>
      </c>
      <c r="O206" s="10">
        <f>SUM(G206:N206)</f>
        <v/>
      </c>
      <c r="P206" s="10">
        <f>IFERROR(G206*MIN(1,'01_Нормативы'!$C$4/SUM(G$2:G$429)),0)</f>
        <v/>
      </c>
      <c r="Q206" s="10">
        <f>IFERROR(H206*MIN(1,'01_Нормативы'!$C$5/SUM(H$2:H$429)),0)</f>
        <v/>
      </c>
      <c r="R206" s="10">
        <f>IFERROR(I206*MIN(1,'01_Нормативы'!$C$6/SUM(I$2:I$429)),0)</f>
        <v/>
      </c>
      <c r="S206" s="10">
        <f>IFERROR(J206*MIN(1,'01_Нормативы'!$C$7/SUM(J$2:J$429)),0)</f>
        <v/>
      </c>
      <c r="T206" s="10">
        <f>IFERROR(K206*MIN(1,'01_Нормативы'!$C$8/SUM(K$2:K$429)),0)</f>
        <v/>
      </c>
      <c r="U206" s="10">
        <f>IFERROR(L206*MIN(1,'01_Нормативы'!$C$9/SUM(L$2:L$429)),0)</f>
        <v/>
      </c>
      <c r="V206" s="10">
        <f>IFERROR(M206*MIN(1,'01_Нормативы'!$C$10/SUM(M$2:M$429)),0)</f>
        <v/>
      </c>
      <c r="W206" s="10">
        <f>IFERROR(N206*MIN(1,'01_Нормативы'!$C$11/SUM(N$2:N$429)),0)</f>
        <v/>
      </c>
      <c r="X206" s="10">
        <f>SUM(P206:W206)</f>
        <v/>
      </c>
      <c r="Y206" s="10">
        <f>MAX(0,C206-X206)</f>
        <v/>
      </c>
      <c r="Z206" s="10">
        <f>IF(D206=0,100,X206/D206*100)</f>
        <v/>
      </c>
      <c r="AA206" s="10">
        <f>'02_Данные'!F206+'02_Данные'!G206</f>
        <v/>
      </c>
      <c r="AB206" s="10">
        <f>MIN('02_Данные'!L206,AA206)</f>
        <v/>
      </c>
      <c r="AC206" s="10">
        <f>AA206-AB206</f>
        <v/>
      </c>
      <c r="AD206" s="10">
        <f>MIN('02_Данные'!M206,AC206)</f>
        <v/>
      </c>
      <c r="AE206" s="10">
        <f>AC206-AD206</f>
        <v/>
      </c>
      <c r="AF206" s="10">
        <f>MIN('02_Данные'!N206,AE206)</f>
        <v/>
      </c>
      <c r="AG206" s="10">
        <f>AE206-AF206</f>
        <v/>
      </c>
      <c r="AH206" s="10">
        <f>MIN('02_Данные'!S206,AG206)</f>
        <v/>
      </c>
      <c r="AI206" s="10">
        <f>AG206-AH206</f>
        <v/>
      </c>
      <c r="AJ206" s="10">
        <f>MIN('02_Данные'!P206,AI206)</f>
        <v/>
      </c>
      <c r="AK206" s="10">
        <f>AI206-AJ206</f>
        <v/>
      </c>
      <c r="AL206" s="10">
        <f>MIN('02_Данные'!O206,AK206)</f>
        <v/>
      </c>
      <c r="AM206" s="10">
        <f>AK206-AL206</f>
        <v/>
      </c>
      <c r="AN206" s="10">
        <f>MIN('02_Данные'!Q206,AM206)</f>
        <v/>
      </c>
      <c r="AO206" s="10">
        <f>AM206-AN206</f>
        <v/>
      </c>
      <c r="AP206" s="10">
        <f>MIN('02_Данные'!R206,AO206)</f>
        <v/>
      </c>
      <c r="AQ206" s="10">
        <f>AO206-AP206</f>
        <v/>
      </c>
      <c r="AR206" s="10">
        <f>AQ206+'02_Данные'!H206</f>
        <v/>
      </c>
      <c r="AS206" s="10">
        <f>MIN('02_Данные'!T206,AR206)</f>
        <v/>
      </c>
      <c r="AT206" s="10">
        <f>AR206-AS206</f>
        <v/>
      </c>
      <c r="AU206" s="10">
        <f>MIN('02_Данные'!U206,AT206)</f>
        <v/>
      </c>
      <c r="AV206" s="10">
        <f>AT206-AU206</f>
        <v/>
      </c>
      <c r="AW206" s="10">
        <f>MIN('02_Данные'!V206,AV206)</f>
        <v/>
      </c>
      <c r="AX206" s="10">
        <f>AV206-AW206</f>
        <v/>
      </c>
      <c r="AY206" s="10">
        <f>MIN('02_Данные'!AA206,AX206)</f>
        <v/>
      </c>
      <c r="AZ206" s="10">
        <f>AX206-AY206</f>
        <v/>
      </c>
      <c r="BA206" s="10">
        <f>MIN('02_Данные'!X206,AZ206)</f>
        <v/>
      </c>
      <c r="BB206" s="10">
        <f>AZ206-BA206</f>
        <v/>
      </c>
      <c r="BC206" s="10">
        <f>MIN('02_Данные'!W206,BB206)</f>
        <v/>
      </c>
      <c r="BD206" s="10">
        <f>BB206-BC206</f>
        <v/>
      </c>
      <c r="BE206" s="10">
        <f>MIN('02_Данные'!Y206,BD206)</f>
        <v/>
      </c>
      <c r="BF206" s="10">
        <f>BD206-BE206</f>
        <v/>
      </c>
      <c r="BG206" s="10">
        <f>MIN('02_Данные'!Z206,BF206)</f>
        <v/>
      </c>
      <c r="BH206" s="10">
        <f>BF206-BG206</f>
        <v/>
      </c>
      <c r="BI206" s="10">
        <f>BH206+'02_Данные'!I206</f>
        <v/>
      </c>
      <c r="BJ206" s="10">
        <f>MIN('02_Данные'!AB206,BI206)</f>
        <v/>
      </c>
      <c r="BK206" s="10">
        <f>BI206-BJ206</f>
        <v/>
      </c>
      <c r="BL206" s="10">
        <f>MIN('02_Данные'!AC206,BK206)</f>
        <v/>
      </c>
      <c r="BM206" s="10">
        <f>BK206-BL206</f>
        <v/>
      </c>
      <c r="BN206" s="10">
        <f>MIN('02_Данные'!AD206,BM206)</f>
        <v/>
      </c>
      <c r="BO206" s="10">
        <f>BM206-BN206</f>
        <v/>
      </c>
      <c r="BP206" s="10">
        <f>MIN('02_Данные'!AI206,BO206)</f>
        <v/>
      </c>
      <c r="BQ206" s="10">
        <f>BO206-BP206</f>
        <v/>
      </c>
      <c r="BR206" s="10">
        <f>MIN('02_Данные'!AF206,BQ206)</f>
        <v/>
      </c>
      <c r="BS206" s="10">
        <f>BQ206-BR206</f>
        <v/>
      </c>
      <c r="BT206" s="10">
        <f>MIN('02_Данные'!AE206,BS206)</f>
        <v/>
      </c>
      <c r="BU206" s="10">
        <f>BS206-BT206</f>
        <v/>
      </c>
      <c r="BV206" s="10">
        <f>MIN('02_Данные'!AG206,BU206)</f>
        <v/>
      </c>
      <c r="BW206" s="10">
        <f>BU206-BV206</f>
        <v/>
      </c>
      <c r="BX206" s="10">
        <f>MIN('02_Данные'!AH206,BW206)</f>
        <v/>
      </c>
      <c r="BY206" s="10">
        <f>BW206-BX206</f>
        <v/>
      </c>
      <c r="BZ206" s="10">
        <f>BY206+'02_Данные'!J206</f>
        <v/>
      </c>
      <c r="CA206" s="10">
        <f>MIN('02_Данные'!AJ206,BZ206)</f>
        <v/>
      </c>
      <c r="CB206" s="10">
        <f>BZ206-CA206</f>
        <v/>
      </c>
      <c r="CC206" s="10">
        <f>MIN('02_Данные'!AK206,CB206)</f>
        <v/>
      </c>
      <c r="CD206" s="10">
        <f>CB206-CC206</f>
        <v/>
      </c>
      <c r="CE206" s="10">
        <f>MIN('02_Данные'!AL206,CD206)</f>
        <v/>
      </c>
      <c r="CF206" s="10">
        <f>CD206-CE206</f>
        <v/>
      </c>
      <c r="CG206" s="10">
        <f>MIN('02_Данные'!AQ206,CF206)</f>
        <v/>
      </c>
      <c r="CH206" s="10">
        <f>CF206-CG206</f>
        <v/>
      </c>
      <c r="CI206" s="10">
        <f>MIN('02_Данные'!AN206,CH206)</f>
        <v/>
      </c>
      <c r="CJ206" s="10">
        <f>CH206-CI206</f>
        <v/>
      </c>
      <c r="CK206" s="10">
        <f>MIN('02_Данные'!AM206,CJ206)</f>
        <v/>
      </c>
      <c r="CL206" s="10">
        <f>CJ206-CK206</f>
        <v/>
      </c>
      <c r="CM206" s="10">
        <f>MIN('02_Данные'!AO206,CL206)</f>
        <v/>
      </c>
      <c r="CN206" s="10">
        <f>CL206-CM206</f>
        <v/>
      </c>
      <c r="CO206" s="10">
        <f>MIN('02_Данные'!AP206,CN206)</f>
        <v/>
      </c>
      <c r="CP206" s="10">
        <f>CN206-CO206</f>
        <v/>
      </c>
      <c r="CQ206" s="10">
        <f>CP206+'02_Данные'!K206</f>
        <v/>
      </c>
      <c r="CR206" s="10">
        <f>MIN('02_Данные'!AR206,CQ206)</f>
        <v/>
      </c>
      <c r="CS206" s="10">
        <f>CQ206-CR206</f>
        <v/>
      </c>
      <c r="CT206" s="10">
        <f>MIN('02_Данные'!AS206,CS206)</f>
        <v/>
      </c>
      <c r="CU206" s="10">
        <f>CS206-CT206</f>
        <v/>
      </c>
      <c r="CV206" s="10">
        <f>MIN('02_Данные'!AT206,CU206)</f>
        <v/>
      </c>
      <c r="CW206" s="10">
        <f>CU206-CV206</f>
        <v/>
      </c>
      <c r="CX206" s="10">
        <f>MIN('02_Данные'!AY206,CW206)</f>
        <v/>
      </c>
      <c r="CY206" s="10">
        <f>CW206-CX206</f>
        <v/>
      </c>
      <c r="CZ206" s="10">
        <f>MIN('02_Данные'!AV206,CY206)</f>
        <v/>
      </c>
      <c r="DA206" s="10">
        <f>CY206-CZ206</f>
        <v/>
      </c>
      <c r="DB206" s="10">
        <f>MIN('02_Данные'!AU206,DA206)</f>
        <v/>
      </c>
      <c r="DC206" s="10">
        <f>DA206-DB206</f>
        <v/>
      </c>
      <c r="DD206" s="10">
        <f>MIN('02_Данные'!AW206,DC206)</f>
        <v/>
      </c>
      <c r="DE206" s="10">
        <f>DC206-DD206</f>
        <v/>
      </c>
      <c r="DF206" s="10">
        <f>MIN('02_Данные'!AX206,DE206)</f>
        <v/>
      </c>
      <c r="DG206" s="10">
        <f>DE206-DF206</f>
        <v/>
      </c>
    </row>
    <row r="207">
      <c r="A207" s="9">
        <f>'02_Данные'!B207</f>
        <v/>
      </c>
      <c r="B207" s="9">
        <f>'02_Данные'!E207</f>
        <v/>
      </c>
      <c r="C207" s="10">
        <f>'02_Данные'!F207+'02_Данные'!G207+'02_Данные'!H207+'02_Данные'!I207+'02_Данные'!J207+'02_Данные'!K207</f>
        <v/>
      </c>
      <c r="D207" s="10">
        <f>SUM('02_Данные'!L207:'02_Данные'!AY207)</f>
        <v/>
      </c>
      <c r="E207" s="10">
        <f>MAX(0,D207-C207)</f>
        <v/>
      </c>
      <c r="F207" s="15">
        <f>IF(E207&gt;0.0001,"ДЕФИЦИТ",IF(Y207&gt;0.0001,"ПРОФИЦИТ","БАЛАНС"))</f>
        <v/>
      </c>
      <c r="G207" s="10">
        <f>AB207+AS207+BJ207+CA207+CR207</f>
        <v/>
      </c>
      <c r="H207" s="10">
        <f>AD207+AU207+BL207+CC207+CT207</f>
        <v/>
      </c>
      <c r="I207" s="10">
        <f>AF207+AW207+BN207+CE207+CV207</f>
        <v/>
      </c>
      <c r="J207" s="10">
        <f>AL207+BC207+BT207+CK207+DB207</f>
        <v/>
      </c>
      <c r="K207" s="10">
        <f>AJ207+BA207+BR207+CI207+CZ207</f>
        <v/>
      </c>
      <c r="L207" s="10">
        <f>AN207+BE207+BV207+CM207+DD207</f>
        <v/>
      </c>
      <c r="M207" s="10">
        <f>AP207+BG207+BX207+CO207+DF207</f>
        <v/>
      </c>
      <c r="N207" s="10">
        <f>AH207+AY207+BP207+CG207+CX207</f>
        <v/>
      </c>
      <c r="O207" s="10">
        <f>SUM(G207:N207)</f>
        <v/>
      </c>
      <c r="P207" s="10">
        <f>IFERROR(G207*MIN(1,'01_Нормативы'!$C$4/SUM(G$2:G$429)),0)</f>
        <v/>
      </c>
      <c r="Q207" s="10">
        <f>IFERROR(H207*MIN(1,'01_Нормативы'!$C$5/SUM(H$2:H$429)),0)</f>
        <v/>
      </c>
      <c r="R207" s="10">
        <f>IFERROR(I207*MIN(1,'01_Нормативы'!$C$6/SUM(I$2:I$429)),0)</f>
        <v/>
      </c>
      <c r="S207" s="10">
        <f>IFERROR(J207*MIN(1,'01_Нормативы'!$C$7/SUM(J$2:J$429)),0)</f>
        <v/>
      </c>
      <c r="T207" s="10">
        <f>IFERROR(K207*MIN(1,'01_Нормативы'!$C$8/SUM(K$2:K$429)),0)</f>
        <v/>
      </c>
      <c r="U207" s="10">
        <f>IFERROR(L207*MIN(1,'01_Нормативы'!$C$9/SUM(L$2:L$429)),0)</f>
        <v/>
      </c>
      <c r="V207" s="10">
        <f>IFERROR(M207*MIN(1,'01_Нормативы'!$C$10/SUM(M$2:M$429)),0)</f>
        <v/>
      </c>
      <c r="W207" s="10">
        <f>IFERROR(N207*MIN(1,'01_Нормативы'!$C$11/SUM(N$2:N$429)),0)</f>
        <v/>
      </c>
      <c r="X207" s="10">
        <f>SUM(P207:W207)</f>
        <v/>
      </c>
      <c r="Y207" s="10">
        <f>MAX(0,C207-X207)</f>
        <v/>
      </c>
      <c r="Z207" s="10">
        <f>IF(D207=0,100,X207/D207*100)</f>
        <v/>
      </c>
      <c r="AA207" s="10">
        <f>'02_Данные'!F207+'02_Данные'!G207</f>
        <v/>
      </c>
      <c r="AB207" s="10">
        <f>MIN('02_Данные'!L207,AA207)</f>
        <v/>
      </c>
      <c r="AC207" s="10">
        <f>AA207-AB207</f>
        <v/>
      </c>
      <c r="AD207" s="10">
        <f>MIN('02_Данные'!M207,AC207)</f>
        <v/>
      </c>
      <c r="AE207" s="10">
        <f>AC207-AD207</f>
        <v/>
      </c>
      <c r="AF207" s="10">
        <f>MIN('02_Данные'!N207,AE207)</f>
        <v/>
      </c>
      <c r="AG207" s="10">
        <f>AE207-AF207</f>
        <v/>
      </c>
      <c r="AH207" s="10">
        <f>MIN('02_Данные'!S207,AG207)</f>
        <v/>
      </c>
      <c r="AI207" s="10">
        <f>AG207-AH207</f>
        <v/>
      </c>
      <c r="AJ207" s="10">
        <f>MIN('02_Данные'!P207,AI207)</f>
        <v/>
      </c>
      <c r="AK207" s="10">
        <f>AI207-AJ207</f>
        <v/>
      </c>
      <c r="AL207" s="10">
        <f>MIN('02_Данные'!O207,AK207)</f>
        <v/>
      </c>
      <c r="AM207" s="10">
        <f>AK207-AL207</f>
        <v/>
      </c>
      <c r="AN207" s="10">
        <f>MIN('02_Данные'!Q207,AM207)</f>
        <v/>
      </c>
      <c r="AO207" s="10">
        <f>AM207-AN207</f>
        <v/>
      </c>
      <c r="AP207" s="10">
        <f>MIN('02_Данные'!R207,AO207)</f>
        <v/>
      </c>
      <c r="AQ207" s="10">
        <f>AO207-AP207</f>
        <v/>
      </c>
      <c r="AR207" s="10">
        <f>AQ207+'02_Данные'!H207</f>
        <v/>
      </c>
      <c r="AS207" s="10">
        <f>MIN('02_Данные'!T207,AR207)</f>
        <v/>
      </c>
      <c r="AT207" s="10">
        <f>AR207-AS207</f>
        <v/>
      </c>
      <c r="AU207" s="10">
        <f>MIN('02_Данные'!U207,AT207)</f>
        <v/>
      </c>
      <c r="AV207" s="10">
        <f>AT207-AU207</f>
        <v/>
      </c>
      <c r="AW207" s="10">
        <f>MIN('02_Данные'!V207,AV207)</f>
        <v/>
      </c>
      <c r="AX207" s="10">
        <f>AV207-AW207</f>
        <v/>
      </c>
      <c r="AY207" s="10">
        <f>MIN('02_Данные'!AA207,AX207)</f>
        <v/>
      </c>
      <c r="AZ207" s="10">
        <f>AX207-AY207</f>
        <v/>
      </c>
      <c r="BA207" s="10">
        <f>MIN('02_Данные'!X207,AZ207)</f>
        <v/>
      </c>
      <c r="BB207" s="10">
        <f>AZ207-BA207</f>
        <v/>
      </c>
      <c r="BC207" s="10">
        <f>MIN('02_Данные'!W207,BB207)</f>
        <v/>
      </c>
      <c r="BD207" s="10">
        <f>BB207-BC207</f>
        <v/>
      </c>
      <c r="BE207" s="10">
        <f>MIN('02_Данные'!Y207,BD207)</f>
        <v/>
      </c>
      <c r="BF207" s="10">
        <f>BD207-BE207</f>
        <v/>
      </c>
      <c r="BG207" s="10">
        <f>MIN('02_Данные'!Z207,BF207)</f>
        <v/>
      </c>
      <c r="BH207" s="10">
        <f>BF207-BG207</f>
        <v/>
      </c>
      <c r="BI207" s="10">
        <f>BH207+'02_Данные'!I207</f>
        <v/>
      </c>
      <c r="BJ207" s="10">
        <f>MIN('02_Данные'!AB207,BI207)</f>
        <v/>
      </c>
      <c r="BK207" s="10">
        <f>BI207-BJ207</f>
        <v/>
      </c>
      <c r="BL207" s="10">
        <f>MIN('02_Данные'!AC207,BK207)</f>
        <v/>
      </c>
      <c r="BM207" s="10">
        <f>BK207-BL207</f>
        <v/>
      </c>
      <c r="BN207" s="10">
        <f>MIN('02_Данные'!AD207,BM207)</f>
        <v/>
      </c>
      <c r="BO207" s="10">
        <f>BM207-BN207</f>
        <v/>
      </c>
      <c r="BP207" s="10">
        <f>MIN('02_Данные'!AI207,BO207)</f>
        <v/>
      </c>
      <c r="BQ207" s="10">
        <f>BO207-BP207</f>
        <v/>
      </c>
      <c r="BR207" s="10">
        <f>MIN('02_Данные'!AF207,BQ207)</f>
        <v/>
      </c>
      <c r="BS207" s="10">
        <f>BQ207-BR207</f>
        <v/>
      </c>
      <c r="BT207" s="10">
        <f>MIN('02_Данные'!AE207,BS207)</f>
        <v/>
      </c>
      <c r="BU207" s="10">
        <f>BS207-BT207</f>
        <v/>
      </c>
      <c r="BV207" s="10">
        <f>MIN('02_Данные'!AG207,BU207)</f>
        <v/>
      </c>
      <c r="BW207" s="10">
        <f>BU207-BV207</f>
        <v/>
      </c>
      <c r="BX207" s="10">
        <f>MIN('02_Данные'!AH207,BW207)</f>
        <v/>
      </c>
      <c r="BY207" s="10">
        <f>BW207-BX207</f>
        <v/>
      </c>
      <c r="BZ207" s="10">
        <f>BY207+'02_Данные'!J207</f>
        <v/>
      </c>
      <c r="CA207" s="10">
        <f>MIN('02_Данные'!AJ207,BZ207)</f>
        <v/>
      </c>
      <c r="CB207" s="10">
        <f>BZ207-CA207</f>
        <v/>
      </c>
      <c r="CC207" s="10">
        <f>MIN('02_Данные'!AK207,CB207)</f>
        <v/>
      </c>
      <c r="CD207" s="10">
        <f>CB207-CC207</f>
        <v/>
      </c>
      <c r="CE207" s="10">
        <f>MIN('02_Данные'!AL207,CD207)</f>
        <v/>
      </c>
      <c r="CF207" s="10">
        <f>CD207-CE207</f>
        <v/>
      </c>
      <c r="CG207" s="10">
        <f>MIN('02_Данные'!AQ207,CF207)</f>
        <v/>
      </c>
      <c r="CH207" s="10">
        <f>CF207-CG207</f>
        <v/>
      </c>
      <c r="CI207" s="10">
        <f>MIN('02_Данные'!AN207,CH207)</f>
        <v/>
      </c>
      <c r="CJ207" s="10">
        <f>CH207-CI207</f>
        <v/>
      </c>
      <c r="CK207" s="10">
        <f>MIN('02_Данные'!AM207,CJ207)</f>
        <v/>
      </c>
      <c r="CL207" s="10">
        <f>CJ207-CK207</f>
        <v/>
      </c>
      <c r="CM207" s="10">
        <f>MIN('02_Данные'!AO207,CL207)</f>
        <v/>
      </c>
      <c r="CN207" s="10">
        <f>CL207-CM207</f>
        <v/>
      </c>
      <c r="CO207" s="10">
        <f>MIN('02_Данные'!AP207,CN207)</f>
        <v/>
      </c>
      <c r="CP207" s="10">
        <f>CN207-CO207</f>
        <v/>
      </c>
      <c r="CQ207" s="10">
        <f>CP207+'02_Данные'!K207</f>
        <v/>
      </c>
      <c r="CR207" s="10">
        <f>MIN('02_Данные'!AR207,CQ207)</f>
        <v/>
      </c>
      <c r="CS207" s="10">
        <f>CQ207-CR207</f>
        <v/>
      </c>
      <c r="CT207" s="10">
        <f>MIN('02_Данные'!AS207,CS207)</f>
        <v/>
      </c>
      <c r="CU207" s="10">
        <f>CS207-CT207</f>
        <v/>
      </c>
      <c r="CV207" s="10">
        <f>MIN('02_Данные'!AT207,CU207)</f>
        <v/>
      </c>
      <c r="CW207" s="10">
        <f>CU207-CV207</f>
        <v/>
      </c>
      <c r="CX207" s="10">
        <f>MIN('02_Данные'!AY207,CW207)</f>
        <v/>
      </c>
      <c r="CY207" s="10">
        <f>CW207-CX207</f>
        <v/>
      </c>
      <c r="CZ207" s="10">
        <f>MIN('02_Данные'!AV207,CY207)</f>
        <v/>
      </c>
      <c r="DA207" s="10">
        <f>CY207-CZ207</f>
        <v/>
      </c>
      <c r="DB207" s="10">
        <f>MIN('02_Данные'!AU207,DA207)</f>
        <v/>
      </c>
      <c r="DC207" s="10">
        <f>DA207-DB207</f>
        <v/>
      </c>
      <c r="DD207" s="10">
        <f>MIN('02_Данные'!AW207,DC207)</f>
        <v/>
      </c>
      <c r="DE207" s="10">
        <f>DC207-DD207</f>
        <v/>
      </c>
      <c r="DF207" s="10">
        <f>MIN('02_Данные'!AX207,DE207)</f>
        <v/>
      </c>
      <c r="DG207" s="10">
        <f>DE207-DF207</f>
        <v/>
      </c>
    </row>
    <row r="208">
      <c r="A208" s="9">
        <f>'02_Данные'!B208</f>
        <v/>
      </c>
      <c r="B208" s="9">
        <f>'02_Данные'!E208</f>
        <v/>
      </c>
      <c r="C208" s="10">
        <f>'02_Данные'!F208+'02_Данные'!G208+'02_Данные'!H208+'02_Данные'!I208+'02_Данные'!J208+'02_Данные'!K208</f>
        <v/>
      </c>
      <c r="D208" s="10">
        <f>SUM('02_Данные'!L208:'02_Данные'!AY208)</f>
        <v/>
      </c>
      <c r="E208" s="10">
        <f>MAX(0,D208-C208)</f>
        <v/>
      </c>
      <c r="F208" s="15">
        <f>IF(E208&gt;0.0001,"ДЕФИЦИТ",IF(Y208&gt;0.0001,"ПРОФИЦИТ","БАЛАНС"))</f>
        <v/>
      </c>
      <c r="G208" s="10">
        <f>AB208+AS208+BJ208+CA208+CR208</f>
        <v/>
      </c>
      <c r="H208" s="10">
        <f>AD208+AU208+BL208+CC208+CT208</f>
        <v/>
      </c>
      <c r="I208" s="10">
        <f>AF208+AW208+BN208+CE208+CV208</f>
        <v/>
      </c>
      <c r="J208" s="10">
        <f>AL208+BC208+BT208+CK208+DB208</f>
        <v/>
      </c>
      <c r="K208" s="10">
        <f>AJ208+BA208+BR208+CI208+CZ208</f>
        <v/>
      </c>
      <c r="L208" s="10">
        <f>AN208+BE208+BV208+CM208+DD208</f>
        <v/>
      </c>
      <c r="M208" s="10">
        <f>AP208+BG208+BX208+CO208+DF208</f>
        <v/>
      </c>
      <c r="N208" s="10">
        <f>AH208+AY208+BP208+CG208+CX208</f>
        <v/>
      </c>
      <c r="O208" s="10">
        <f>SUM(G208:N208)</f>
        <v/>
      </c>
      <c r="P208" s="10">
        <f>IFERROR(G208*MIN(1,'01_Нормативы'!$C$4/SUM(G$2:G$429)),0)</f>
        <v/>
      </c>
      <c r="Q208" s="10">
        <f>IFERROR(H208*MIN(1,'01_Нормативы'!$C$5/SUM(H$2:H$429)),0)</f>
        <v/>
      </c>
      <c r="R208" s="10">
        <f>IFERROR(I208*MIN(1,'01_Нормативы'!$C$6/SUM(I$2:I$429)),0)</f>
        <v/>
      </c>
      <c r="S208" s="10">
        <f>IFERROR(J208*MIN(1,'01_Нормативы'!$C$7/SUM(J$2:J$429)),0)</f>
        <v/>
      </c>
      <c r="T208" s="10">
        <f>IFERROR(K208*MIN(1,'01_Нормативы'!$C$8/SUM(K$2:K$429)),0)</f>
        <v/>
      </c>
      <c r="U208" s="10">
        <f>IFERROR(L208*MIN(1,'01_Нормативы'!$C$9/SUM(L$2:L$429)),0)</f>
        <v/>
      </c>
      <c r="V208" s="10">
        <f>IFERROR(M208*MIN(1,'01_Нормативы'!$C$10/SUM(M$2:M$429)),0)</f>
        <v/>
      </c>
      <c r="W208" s="10">
        <f>IFERROR(N208*MIN(1,'01_Нормативы'!$C$11/SUM(N$2:N$429)),0)</f>
        <v/>
      </c>
      <c r="X208" s="10">
        <f>SUM(P208:W208)</f>
        <v/>
      </c>
      <c r="Y208" s="10">
        <f>MAX(0,C208-X208)</f>
        <v/>
      </c>
      <c r="Z208" s="10">
        <f>IF(D208=0,100,X208/D208*100)</f>
        <v/>
      </c>
      <c r="AA208" s="10">
        <f>'02_Данные'!F208+'02_Данные'!G208</f>
        <v/>
      </c>
      <c r="AB208" s="10">
        <f>MIN('02_Данные'!L208,AA208)</f>
        <v/>
      </c>
      <c r="AC208" s="10">
        <f>AA208-AB208</f>
        <v/>
      </c>
      <c r="AD208" s="10">
        <f>MIN('02_Данные'!M208,AC208)</f>
        <v/>
      </c>
      <c r="AE208" s="10">
        <f>AC208-AD208</f>
        <v/>
      </c>
      <c r="AF208" s="10">
        <f>MIN('02_Данные'!N208,AE208)</f>
        <v/>
      </c>
      <c r="AG208" s="10">
        <f>AE208-AF208</f>
        <v/>
      </c>
      <c r="AH208" s="10">
        <f>MIN('02_Данные'!S208,AG208)</f>
        <v/>
      </c>
      <c r="AI208" s="10">
        <f>AG208-AH208</f>
        <v/>
      </c>
      <c r="AJ208" s="10">
        <f>MIN('02_Данные'!P208,AI208)</f>
        <v/>
      </c>
      <c r="AK208" s="10">
        <f>AI208-AJ208</f>
        <v/>
      </c>
      <c r="AL208" s="10">
        <f>MIN('02_Данные'!O208,AK208)</f>
        <v/>
      </c>
      <c r="AM208" s="10">
        <f>AK208-AL208</f>
        <v/>
      </c>
      <c r="AN208" s="10">
        <f>MIN('02_Данные'!Q208,AM208)</f>
        <v/>
      </c>
      <c r="AO208" s="10">
        <f>AM208-AN208</f>
        <v/>
      </c>
      <c r="AP208" s="10">
        <f>MIN('02_Данные'!R208,AO208)</f>
        <v/>
      </c>
      <c r="AQ208" s="10">
        <f>AO208-AP208</f>
        <v/>
      </c>
      <c r="AR208" s="10">
        <f>AQ208+'02_Данные'!H208</f>
        <v/>
      </c>
      <c r="AS208" s="10">
        <f>MIN('02_Данные'!T208,AR208)</f>
        <v/>
      </c>
      <c r="AT208" s="10">
        <f>AR208-AS208</f>
        <v/>
      </c>
      <c r="AU208" s="10">
        <f>MIN('02_Данные'!U208,AT208)</f>
        <v/>
      </c>
      <c r="AV208" s="10">
        <f>AT208-AU208</f>
        <v/>
      </c>
      <c r="AW208" s="10">
        <f>MIN('02_Данные'!V208,AV208)</f>
        <v/>
      </c>
      <c r="AX208" s="10">
        <f>AV208-AW208</f>
        <v/>
      </c>
      <c r="AY208" s="10">
        <f>MIN('02_Данные'!AA208,AX208)</f>
        <v/>
      </c>
      <c r="AZ208" s="10">
        <f>AX208-AY208</f>
        <v/>
      </c>
      <c r="BA208" s="10">
        <f>MIN('02_Данные'!X208,AZ208)</f>
        <v/>
      </c>
      <c r="BB208" s="10">
        <f>AZ208-BA208</f>
        <v/>
      </c>
      <c r="BC208" s="10">
        <f>MIN('02_Данные'!W208,BB208)</f>
        <v/>
      </c>
      <c r="BD208" s="10">
        <f>BB208-BC208</f>
        <v/>
      </c>
      <c r="BE208" s="10">
        <f>MIN('02_Данные'!Y208,BD208)</f>
        <v/>
      </c>
      <c r="BF208" s="10">
        <f>BD208-BE208</f>
        <v/>
      </c>
      <c r="BG208" s="10">
        <f>MIN('02_Данные'!Z208,BF208)</f>
        <v/>
      </c>
      <c r="BH208" s="10">
        <f>BF208-BG208</f>
        <v/>
      </c>
      <c r="BI208" s="10">
        <f>BH208+'02_Данные'!I208</f>
        <v/>
      </c>
      <c r="BJ208" s="10">
        <f>MIN('02_Данные'!AB208,BI208)</f>
        <v/>
      </c>
      <c r="BK208" s="10">
        <f>BI208-BJ208</f>
        <v/>
      </c>
      <c r="BL208" s="10">
        <f>MIN('02_Данные'!AC208,BK208)</f>
        <v/>
      </c>
      <c r="BM208" s="10">
        <f>BK208-BL208</f>
        <v/>
      </c>
      <c r="BN208" s="10">
        <f>MIN('02_Данные'!AD208,BM208)</f>
        <v/>
      </c>
      <c r="BO208" s="10">
        <f>BM208-BN208</f>
        <v/>
      </c>
      <c r="BP208" s="10">
        <f>MIN('02_Данные'!AI208,BO208)</f>
        <v/>
      </c>
      <c r="BQ208" s="10">
        <f>BO208-BP208</f>
        <v/>
      </c>
      <c r="BR208" s="10">
        <f>MIN('02_Данные'!AF208,BQ208)</f>
        <v/>
      </c>
      <c r="BS208" s="10">
        <f>BQ208-BR208</f>
        <v/>
      </c>
      <c r="BT208" s="10">
        <f>MIN('02_Данные'!AE208,BS208)</f>
        <v/>
      </c>
      <c r="BU208" s="10">
        <f>BS208-BT208</f>
        <v/>
      </c>
      <c r="BV208" s="10">
        <f>MIN('02_Данные'!AG208,BU208)</f>
        <v/>
      </c>
      <c r="BW208" s="10">
        <f>BU208-BV208</f>
        <v/>
      </c>
      <c r="BX208" s="10">
        <f>MIN('02_Данные'!AH208,BW208)</f>
        <v/>
      </c>
      <c r="BY208" s="10">
        <f>BW208-BX208</f>
        <v/>
      </c>
      <c r="BZ208" s="10">
        <f>BY208+'02_Данные'!J208</f>
        <v/>
      </c>
      <c r="CA208" s="10">
        <f>MIN('02_Данные'!AJ208,BZ208)</f>
        <v/>
      </c>
      <c r="CB208" s="10">
        <f>BZ208-CA208</f>
        <v/>
      </c>
      <c r="CC208" s="10">
        <f>MIN('02_Данные'!AK208,CB208)</f>
        <v/>
      </c>
      <c r="CD208" s="10">
        <f>CB208-CC208</f>
        <v/>
      </c>
      <c r="CE208" s="10">
        <f>MIN('02_Данные'!AL208,CD208)</f>
        <v/>
      </c>
      <c r="CF208" s="10">
        <f>CD208-CE208</f>
        <v/>
      </c>
      <c r="CG208" s="10">
        <f>MIN('02_Данные'!AQ208,CF208)</f>
        <v/>
      </c>
      <c r="CH208" s="10">
        <f>CF208-CG208</f>
        <v/>
      </c>
      <c r="CI208" s="10">
        <f>MIN('02_Данные'!AN208,CH208)</f>
        <v/>
      </c>
      <c r="CJ208" s="10">
        <f>CH208-CI208</f>
        <v/>
      </c>
      <c r="CK208" s="10">
        <f>MIN('02_Данные'!AM208,CJ208)</f>
        <v/>
      </c>
      <c r="CL208" s="10">
        <f>CJ208-CK208</f>
        <v/>
      </c>
      <c r="CM208" s="10">
        <f>MIN('02_Данные'!AO208,CL208)</f>
        <v/>
      </c>
      <c r="CN208" s="10">
        <f>CL208-CM208</f>
        <v/>
      </c>
      <c r="CO208" s="10">
        <f>MIN('02_Данные'!AP208,CN208)</f>
        <v/>
      </c>
      <c r="CP208" s="10">
        <f>CN208-CO208</f>
        <v/>
      </c>
      <c r="CQ208" s="10">
        <f>CP208+'02_Данные'!K208</f>
        <v/>
      </c>
      <c r="CR208" s="10">
        <f>MIN('02_Данные'!AR208,CQ208)</f>
        <v/>
      </c>
      <c r="CS208" s="10">
        <f>CQ208-CR208</f>
        <v/>
      </c>
      <c r="CT208" s="10">
        <f>MIN('02_Данные'!AS208,CS208)</f>
        <v/>
      </c>
      <c r="CU208" s="10">
        <f>CS208-CT208</f>
        <v/>
      </c>
      <c r="CV208" s="10">
        <f>MIN('02_Данные'!AT208,CU208)</f>
        <v/>
      </c>
      <c r="CW208" s="10">
        <f>CU208-CV208</f>
        <v/>
      </c>
      <c r="CX208" s="10">
        <f>MIN('02_Данные'!AY208,CW208)</f>
        <v/>
      </c>
      <c r="CY208" s="10">
        <f>CW208-CX208</f>
        <v/>
      </c>
      <c r="CZ208" s="10">
        <f>MIN('02_Данные'!AV208,CY208)</f>
        <v/>
      </c>
      <c r="DA208" s="10">
        <f>CY208-CZ208</f>
        <v/>
      </c>
      <c r="DB208" s="10">
        <f>MIN('02_Данные'!AU208,DA208)</f>
        <v/>
      </c>
      <c r="DC208" s="10">
        <f>DA208-DB208</f>
        <v/>
      </c>
      <c r="DD208" s="10">
        <f>MIN('02_Данные'!AW208,DC208)</f>
        <v/>
      </c>
      <c r="DE208" s="10">
        <f>DC208-DD208</f>
        <v/>
      </c>
      <c r="DF208" s="10">
        <f>MIN('02_Данные'!AX208,DE208)</f>
        <v/>
      </c>
      <c r="DG208" s="10">
        <f>DE208-DF208</f>
        <v/>
      </c>
    </row>
    <row r="209">
      <c r="A209" s="9">
        <f>'02_Данные'!B209</f>
        <v/>
      </c>
      <c r="B209" s="9">
        <f>'02_Данные'!E209</f>
        <v/>
      </c>
      <c r="C209" s="10">
        <f>'02_Данные'!F209+'02_Данные'!G209+'02_Данные'!H209+'02_Данные'!I209+'02_Данные'!J209+'02_Данные'!K209</f>
        <v/>
      </c>
      <c r="D209" s="10">
        <f>SUM('02_Данные'!L209:'02_Данные'!AY209)</f>
        <v/>
      </c>
      <c r="E209" s="10">
        <f>MAX(0,D209-C209)</f>
        <v/>
      </c>
      <c r="F209" s="15">
        <f>IF(E209&gt;0.0001,"ДЕФИЦИТ",IF(Y209&gt;0.0001,"ПРОФИЦИТ","БАЛАНС"))</f>
        <v/>
      </c>
      <c r="G209" s="10">
        <f>AB209+AS209+BJ209+CA209+CR209</f>
        <v/>
      </c>
      <c r="H209" s="10">
        <f>AD209+AU209+BL209+CC209+CT209</f>
        <v/>
      </c>
      <c r="I209" s="10">
        <f>AF209+AW209+BN209+CE209+CV209</f>
        <v/>
      </c>
      <c r="J209" s="10">
        <f>AL209+BC209+BT209+CK209+DB209</f>
        <v/>
      </c>
      <c r="K209" s="10">
        <f>AJ209+BA209+BR209+CI209+CZ209</f>
        <v/>
      </c>
      <c r="L209" s="10">
        <f>AN209+BE209+BV209+CM209+DD209</f>
        <v/>
      </c>
      <c r="M209" s="10">
        <f>AP209+BG209+BX209+CO209+DF209</f>
        <v/>
      </c>
      <c r="N209" s="10">
        <f>AH209+AY209+BP209+CG209+CX209</f>
        <v/>
      </c>
      <c r="O209" s="10">
        <f>SUM(G209:N209)</f>
        <v/>
      </c>
      <c r="P209" s="10">
        <f>IFERROR(G209*MIN(1,'01_Нормативы'!$C$4/SUM(G$2:G$429)),0)</f>
        <v/>
      </c>
      <c r="Q209" s="10">
        <f>IFERROR(H209*MIN(1,'01_Нормативы'!$C$5/SUM(H$2:H$429)),0)</f>
        <v/>
      </c>
      <c r="R209" s="10">
        <f>IFERROR(I209*MIN(1,'01_Нормативы'!$C$6/SUM(I$2:I$429)),0)</f>
        <v/>
      </c>
      <c r="S209" s="10">
        <f>IFERROR(J209*MIN(1,'01_Нормативы'!$C$7/SUM(J$2:J$429)),0)</f>
        <v/>
      </c>
      <c r="T209" s="10">
        <f>IFERROR(K209*MIN(1,'01_Нормативы'!$C$8/SUM(K$2:K$429)),0)</f>
        <v/>
      </c>
      <c r="U209" s="10">
        <f>IFERROR(L209*MIN(1,'01_Нормативы'!$C$9/SUM(L$2:L$429)),0)</f>
        <v/>
      </c>
      <c r="V209" s="10">
        <f>IFERROR(M209*MIN(1,'01_Нормативы'!$C$10/SUM(M$2:M$429)),0)</f>
        <v/>
      </c>
      <c r="W209" s="10">
        <f>IFERROR(N209*MIN(1,'01_Нормативы'!$C$11/SUM(N$2:N$429)),0)</f>
        <v/>
      </c>
      <c r="X209" s="10">
        <f>SUM(P209:W209)</f>
        <v/>
      </c>
      <c r="Y209" s="10">
        <f>MAX(0,C209-X209)</f>
        <v/>
      </c>
      <c r="Z209" s="10">
        <f>IF(D209=0,100,X209/D209*100)</f>
        <v/>
      </c>
      <c r="AA209" s="10">
        <f>'02_Данные'!F209+'02_Данные'!G209</f>
        <v/>
      </c>
      <c r="AB209" s="10">
        <f>MIN('02_Данные'!L209,AA209)</f>
        <v/>
      </c>
      <c r="AC209" s="10">
        <f>AA209-AB209</f>
        <v/>
      </c>
      <c r="AD209" s="10">
        <f>MIN('02_Данные'!M209,AC209)</f>
        <v/>
      </c>
      <c r="AE209" s="10">
        <f>AC209-AD209</f>
        <v/>
      </c>
      <c r="AF209" s="10">
        <f>MIN('02_Данные'!N209,AE209)</f>
        <v/>
      </c>
      <c r="AG209" s="10">
        <f>AE209-AF209</f>
        <v/>
      </c>
      <c r="AH209" s="10">
        <f>MIN('02_Данные'!S209,AG209)</f>
        <v/>
      </c>
      <c r="AI209" s="10">
        <f>AG209-AH209</f>
        <v/>
      </c>
      <c r="AJ209" s="10">
        <f>MIN('02_Данные'!P209,AI209)</f>
        <v/>
      </c>
      <c r="AK209" s="10">
        <f>AI209-AJ209</f>
        <v/>
      </c>
      <c r="AL209" s="10">
        <f>MIN('02_Данные'!O209,AK209)</f>
        <v/>
      </c>
      <c r="AM209" s="10">
        <f>AK209-AL209</f>
        <v/>
      </c>
      <c r="AN209" s="10">
        <f>MIN('02_Данные'!Q209,AM209)</f>
        <v/>
      </c>
      <c r="AO209" s="10">
        <f>AM209-AN209</f>
        <v/>
      </c>
      <c r="AP209" s="10">
        <f>MIN('02_Данные'!R209,AO209)</f>
        <v/>
      </c>
      <c r="AQ209" s="10">
        <f>AO209-AP209</f>
        <v/>
      </c>
      <c r="AR209" s="10">
        <f>AQ209+'02_Данные'!H209</f>
        <v/>
      </c>
      <c r="AS209" s="10">
        <f>MIN('02_Данные'!T209,AR209)</f>
        <v/>
      </c>
      <c r="AT209" s="10">
        <f>AR209-AS209</f>
        <v/>
      </c>
      <c r="AU209" s="10">
        <f>MIN('02_Данные'!U209,AT209)</f>
        <v/>
      </c>
      <c r="AV209" s="10">
        <f>AT209-AU209</f>
        <v/>
      </c>
      <c r="AW209" s="10">
        <f>MIN('02_Данные'!V209,AV209)</f>
        <v/>
      </c>
      <c r="AX209" s="10">
        <f>AV209-AW209</f>
        <v/>
      </c>
      <c r="AY209" s="10">
        <f>MIN('02_Данные'!AA209,AX209)</f>
        <v/>
      </c>
      <c r="AZ209" s="10">
        <f>AX209-AY209</f>
        <v/>
      </c>
      <c r="BA209" s="10">
        <f>MIN('02_Данные'!X209,AZ209)</f>
        <v/>
      </c>
      <c r="BB209" s="10">
        <f>AZ209-BA209</f>
        <v/>
      </c>
      <c r="BC209" s="10">
        <f>MIN('02_Данные'!W209,BB209)</f>
        <v/>
      </c>
      <c r="BD209" s="10">
        <f>BB209-BC209</f>
        <v/>
      </c>
      <c r="BE209" s="10">
        <f>MIN('02_Данные'!Y209,BD209)</f>
        <v/>
      </c>
      <c r="BF209" s="10">
        <f>BD209-BE209</f>
        <v/>
      </c>
      <c r="BG209" s="10">
        <f>MIN('02_Данные'!Z209,BF209)</f>
        <v/>
      </c>
      <c r="BH209" s="10">
        <f>BF209-BG209</f>
        <v/>
      </c>
      <c r="BI209" s="10">
        <f>BH209+'02_Данные'!I209</f>
        <v/>
      </c>
      <c r="BJ209" s="10">
        <f>MIN('02_Данные'!AB209,BI209)</f>
        <v/>
      </c>
      <c r="BK209" s="10">
        <f>BI209-BJ209</f>
        <v/>
      </c>
      <c r="BL209" s="10">
        <f>MIN('02_Данные'!AC209,BK209)</f>
        <v/>
      </c>
      <c r="BM209" s="10">
        <f>BK209-BL209</f>
        <v/>
      </c>
      <c r="BN209" s="10">
        <f>MIN('02_Данные'!AD209,BM209)</f>
        <v/>
      </c>
      <c r="BO209" s="10">
        <f>BM209-BN209</f>
        <v/>
      </c>
      <c r="BP209" s="10">
        <f>MIN('02_Данные'!AI209,BO209)</f>
        <v/>
      </c>
      <c r="BQ209" s="10">
        <f>BO209-BP209</f>
        <v/>
      </c>
      <c r="BR209" s="10">
        <f>MIN('02_Данные'!AF209,BQ209)</f>
        <v/>
      </c>
      <c r="BS209" s="10">
        <f>BQ209-BR209</f>
        <v/>
      </c>
      <c r="BT209" s="10">
        <f>MIN('02_Данные'!AE209,BS209)</f>
        <v/>
      </c>
      <c r="BU209" s="10">
        <f>BS209-BT209</f>
        <v/>
      </c>
      <c r="BV209" s="10">
        <f>MIN('02_Данные'!AG209,BU209)</f>
        <v/>
      </c>
      <c r="BW209" s="10">
        <f>BU209-BV209</f>
        <v/>
      </c>
      <c r="BX209" s="10">
        <f>MIN('02_Данные'!AH209,BW209)</f>
        <v/>
      </c>
      <c r="BY209" s="10">
        <f>BW209-BX209</f>
        <v/>
      </c>
      <c r="BZ209" s="10">
        <f>BY209+'02_Данные'!J209</f>
        <v/>
      </c>
      <c r="CA209" s="10">
        <f>MIN('02_Данные'!AJ209,BZ209)</f>
        <v/>
      </c>
      <c r="CB209" s="10">
        <f>BZ209-CA209</f>
        <v/>
      </c>
      <c r="CC209" s="10">
        <f>MIN('02_Данные'!AK209,CB209)</f>
        <v/>
      </c>
      <c r="CD209" s="10">
        <f>CB209-CC209</f>
        <v/>
      </c>
      <c r="CE209" s="10">
        <f>MIN('02_Данные'!AL209,CD209)</f>
        <v/>
      </c>
      <c r="CF209" s="10">
        <f>CD209-CE209</f>
        <v/>
      </c>
      <c r="CG209" s="10">
        <f>MIN('02_Данные'!AQ209,CF209)</f>
        <v/>
      </c>
      <c r="CH209" s="10">
        <f>CF209-CG209</f>
        <v/>
      </c>
      <c r="CI209" s="10">
        <f>MIN('02_Данные'!AN209,CH209)</f>
        <v/>
      </c>
      <c r="CJ209" s="10">
        <f>CH209-CI209</f>
        <v/>
      </c>
      <c r="CK209" s="10">
        <f>MIN('02_Данные'!AM209,CJ209)</f>
        <v/>
      </c>
      <c r="CL209" s="10">
        <f>CJ209-CK209</f>
        <v/>
      </c>
      <c r="CM209" s="10">
        <f>MIN('02_Данные'!AO209,CL209)</f>
        <v/>
      </c>
      <c r="CN209" s="10">
        <f>CL209-CM209</f>
        <v/>
      </c>
      <c r="CO209" s="10">
        <f>MIN('02_Данные'!AP209,CN209)</f>
        <v/>
      </c>
      <c r="CP209" s="10">
        <f>CN209-CO209</f>
        <v/>
      </c>
      <c r="CQ209" s="10">
        <f>CP209+'02_Данные'!K209</f>
        <v/>
      </c>
      <c r="CR209" s="10">
        <f>MIN('02_Данные'!AR209,CQ209)</f>
        <v/>
      </c>
      <c r="CS209" s="10">
        <f>CQ209-CR209</f>
        <v/>
      </c>
      <c r="CT209" s="10">
        <f>MIN('02_Данные'!AS209,CS209)</f>
        <v/>
      </c>
      <c r="CU209" s="10">
        <f>CS209-CT209</f>
        <v/>
      </c>
      <c r="CV209" s="10">
        <f>MIN('02_Данные'!AT209,CU209)</f>
        <v/>
      </c>
      <c r="CW209" s="10">
        <f>CU209-CV209</f>
        <v/>
      </c>
      <c r="CX209" s="10">
        <f>MIN('02_Данные'!AY209,CW209)</f>
        <v/>
      </c>
      <c r="CY209" s="10">
        <f>CW209-CX209</f>
        <v/>
      </c>
      <c r="CZ209" s="10">
        <f>MIN('02_Данные'!AV209,CY209)</f>
        <v/>
      </c>
      <c r="DA209" s="10">
        <f>CY209-CZ209</f>
        <v/>
      </c>
      <c r="DB209" s="10">
        <f>MIN('02_Данные'!AU209,DA209)</f>
        <v/>
      </c>
      <c r="DC209" s="10">
        <f>DA209-DB209</f>
        <v/>
      </c>
      <c r="DD209" s="10">
        <f>MIN('02_Данные'!AW209,DC209)</f>
        <v/>
      </c>
      <c r="DE209" s="10">
        <f>DC209-DD209</f>
        <v/>
      </c>
      <c r="DF209" s="10">
        <f>MIN('02_Данные'!AX209,DE209)</f>
        <v/>
      </c>
      <c r="DG209" s="10">
        <f>DE209-DF209</f>
        <v/>
      </c>
    </row>
    <row r="210">
      <c r="A210" s="9">
        <f>'02_Данные'!B210</f>
        <v/>
      </c>
      <c r="B210" s="9">
        <f>'02_Данные'!E210</f>
        <v/>
      </c>
      <c r="C210" s="10">
        <f>'02_Данные'!F210+'02_Данные'!G210+'02_Данные'!H210+'02_Данные'!I210+'02_Данные'!J210+'02_Данные'!K210</f>
        <v/>
      </c>
      <c r="D210" s="10">
        <f>SUM('02_Данные'!L210:'02_Данные'!AY210)</f>
        <v/>
      </c>
      <c r="E210" s="10">
        <f>MAX(0,D210-C210)</f>
        <v/>
      </c>
      <c r="F210" s="15">
        <f>IF(E210&gt;0.0001,"ДЕФИЦИТ",IF(Y210&gt;0.0001,"ПРОФИЦИТ","БАЛАНС"))</f>
        <v/>
      </c>
      <c r="G210" s="10">
        <f>AB210+AS210+BJ210+CA210+CR210</f>
        <v/>
      </c>
      <c r="H210" s="10">
        <f>AD210+AU210+BL210+CC210+CT210</f>
        <v/>
      </c>
      <c r="I210" s="10">
        <f>AF210+AW210+BN210+CE210+CV210</f>
        <v/>
      </c>
      <c r="J210" s="10">
        <f>AL210+BC210+BT210+CK210+DB210</f>
        <v/>
      </c>
      <c r="K210" s="10">
        <f>AJ210+BA210+BR210+CI210+CZ210</f>
        <v/>
      </c>
      <c r="L210" s="10">
        <f>AN210+BE210+BV210+CM210+DD210</f>
        <v/>
      </c>
      <c r="M210" s="10">
        <f>AP210+BG210+BX210+CO210+DF210</f>
        <v/>
      </c>
      <c r="N210" s="10">
        <f>AH210+AY210+BP210+CG210+CX210</f>
        <v/>
      </c>
      <c r="O210" s="10">
        <f>SUM(G210:N210)</f>
        <v/>
      </c>
      <c r="P210" s="10">
        <f>IFERROR(G210*MIN(1,'01_Нормативы'!$C$4/SUM(G$2:G$429)),0)</f>
        <v/>
      </c>
      <c r="Q210" s="10">
        <f>IFERROR(H210*MIN(1,'01_Нормативы'!$C$5/SUM(H$2:H$429)),0)</f>
        <v/>
      </c>
      <c r="R210" s="10">
        <f>IFERROR(I210*MIN(1,'01_Нормативы'!$C$6/SUM(I$2:I$429)),0)</f>
        <v/>
      </c>
      <c r="S210" s="10">
        <f>IFERROR(J210*MIN(1,'01_Нормативы'!$C$7/SUM(J$2:J$429)),0)</f>
        <v/>
      </c>
      <c r="T210" s="10">
        <f>IFERROR(K210*MIN(1,'01_Нормативы'!$C$8/SUM(K$2:K$429)),0)</f>
        <v/>
      </c>
      <c r="U210" s="10">
        <f>IFERROR(L210*MIN(1,'01_Нормативы'!$C$9/SUM(L$2:L$429)),0)</f>
        <v/>
      </c>
      <c r="V210" s="10">
        <f>IFERROR(M210*MIN(1,'01_Нормативы'!$C$10/SUM(M$2:M$429)),0)</f>
        <v/>
      </c>
      <c r="W210" s="10">
        <f>IFERROR(N210*MIN(1,'01_Нормативы'!$C$11/SUM(N$2:N$429)),0)</f>
        <v/>
      </c>
      <c r="X210" s="10">
        <f>SUM(P210:W210)</f>
        <v/>
      </c>
      <c r="Y210" s="10">
        <f>MAX(0,C210-X210)</f>
        <v/>
      </c>
      <c r="Z210" s="10">
        <f>IF(D210=0,100,X210/D210*100)</f>
        <v/>
      </c>
      <c r="AA210" s="10">
        <f>'02_Данные'!F210+'02_Данные'!G210</f>
        <v/>
      </c>
      <c r="AB210" s="10">
        <f>MIN('02_Данные'!L210,AA210)</f>
        <v/>
      </c>
      <c r="AC210" s="10">
        <f>AA210-AB210</f>
        <v/>
      </c>
      <c r="AD210" s="10">
        <f>MIN('02_Данные'!M210,AC210)</f>
        <v/>
      </c>
      <c r="AE210" s="10">
        <f>AC210-AD210</f>
        <v/>
      </c>
      <c r="AF210" s="10">
        <f>MIN('02_Данные'!N210,AE210)</f>
        <v/>
      </c>
      <c r="AG210" s="10">
        <f>AE210-AF210</f>
        <v/>
      </c>
      <c r="AH210" s="10">
        <f>MIN('02_Данные'!S210,AG210)</f>
        <v/>
      </c>
      <c r="AI210" s="10">
        <f>AG210-AH210</f>
        <v/>
      </c>
      <c r="AJ210" s="10">
        <f>MIN('02_Данные'!P210,AI210)</f>
        <v/>
      </c>
      <c r="AK210" s="10">
        <f>AI210-AJ210</f>
        <v/>
      </c>
      <c r="AL210" s="10">
        <f>MIN('02_Данные'!O210,AK210)</f>
        <v/>
      </c>
      <c r="AM210" s="10">
        <f>AK210-AL210</f>
        <v/>
      </c>
      <c r="AN210" s="10">
        <f>MIN('02_Данные'!Q210,AM210)</f>
        <v/>
      </c>
      <c r="AO210" s="10">
        <f>AM210-AN210</f>
        <v/>
      </c>
      <c r="AP210" s="10">
        <f>MIN('02_Данные'!R210,AO210)</f>
        <v/>
      </c>
      <c r="AQ210" s="10">
        <f>AO210-AP210</f>
        <v/>
      </c>
      <c r="AR210" s="10">
        <f>AQ210+'02_Данные'!H210</f>
        <v/>
      </c>
      <c r="AS210" s="10">
        <f>MIN('02_Данные'!T210,AR210)</f>
        <v/>
      </c>
      <c r="AT210" s="10">
        <f>AR210-AS210</f>
        <v/>
      </c>
      <c r="AU210" s="10">
        <f>MIN('02_Данные'!U210,AT210)</f>
        <v/>
      </c>
      <c r="AV210" s="10">
        <f>AT210-AU210</f>
        <v/>
      </c>
      <c r="AW210" s="10">
        <f>MIN('02_Данные'!V210,AV210)</f>
        <v/>
      </c>
      <c r="AX210" s="10">
        <f>AV210-AW210</f>
        <v/>
      </c>
      <c r="AY210" s="10">
        <f>MIN('02_Данные'!AA210,AX210)</f>
        <v/>
      </c>
      <c r="AZ210" s="10">
        <f>AX210-AY210</f>
        <v/>
      </c>
      <c r="BA210" s="10">
        <f>MIN('02_Данные'!X210,AZ210)</f>
        <v/>
      </c>
      <c r="BB210" s="10">
        <f>AZ210-BA210</f>
        <v/>
      </c>
      <c r="BC210" s="10">
        <f>MIN('02_Данные'!W210,BB210)</f>
        <v/>
      </c>
      <c r="BD210" s="10">
        <f>BB210-BC210</f>
        <v/>
      </c>
      <c r="BE210" s="10">
        <f>MIN('02_Данные'!Y210,BD210)</f>
        <v/>
      </c>
      <c r="BF210" s="10">
        <f>BD210-BE210</f>
        <v/>
      </c>
      <c r="BG210" s="10">
        <f>MIN('02_Данные'!Z210,BF210)</f>
        <v/>
      </c>
      <c r="BH210" s="10">
        <f>BF210-BG210</f>
        <v/>
      </c>
      <c r="BI210" s="10">
        <f>BH210+'02_Данные'!I210</f>
        <v/>
      </c>
      <c r="BJ210" s="10">
        <f>MIN('02_Данные'!AB210,BI210)</f>
        <v/>
      </c>
      <c r="BK210" s="10">
        <f>BI210-BJ210</f>
        <v/>
      </c>
      <c r="BL210" s="10">
        <f>MIN('02_Данные'!AC210,BK210)</f>
        <v/>
      </c>
      <c r="BM210" s="10">
        <f>BK210-BL210</f>
        <v/>
      </c>
      <c r="BN210" s="10">
        <f>MIN('02_Данные'!AD210,BM210)</f>
        <v/>
      </c>
      <c r="BO210" s="10">
        <f>BM210-BN210</f>
        <v/>
      </c>
      <c r="BP210" s="10">
        <f>MIN('02_Данные'!AI210,BO210)</f>
        <v/>
      </c>
      <c r="BQ210" s="10">
        <f>BO210-BP210</f>
        <v/>
      </c>
      <c r="BR210" s="10">
        <f>MIN('02_Данные'!AF210,BQ210)</f>
        <v/>
      </c>
      <c r="BS210" s="10">
        <f>BQ210-BR210</f>
        <v/>
      </c>
      <c r="BT210" s="10">
        <f>MIN('02_Данные'!AE210,BS210)</f>
        <v/>
      </c>
      <c r="BU210" s="10">
        <f>BS210-BT210</f>
        <v/>
      </c>
      <c r="BV210" s="10">
        <f>MIN('02_Данные'!AG210,BU210)</f>
        <v/>
      </c>
      <c r="BW210" s="10">
        <f>BU210-BV210</f>
        <v/>
      </c>
      <c r="BX210" s="10">
        <f>MIN('02_Данные'!AH210,BW210)</f>
        <v/>
      </c>
      <c r="BY210" s="10">
        <f>BW210-BX210</f>
        <v/>
      </c>
      <c r="BZ210" s="10">
        <f>BY210+'02_Данные'!J210</f>
        <v/>
      </c>
      <c r="CA210" s="10">
        <f>MIN('02_Данные'!AJ210,BZ210)</f>
        <v/>
      </c>
      <c r="CB210" s="10">
        <f>BZ210-CA210</f>
        <v/>
      </c>
      <c r="CC210" s="10">
        <f>MIN('02_Данные'!AK210,CB210)</f>
        <v/>
      </c>
      <c r="CD210" s="10">
        <f>CB210-CC210</f>
        <v/>
      </c>
      <c r="CE210" s="10">
        <f>MIN('02_Данные'!AL210,CD210)</f>
        <v/>
      </c>
      <c r="CF210" s="10">
        <f>CD210-CE210</f>
        <v/>
      </c>
      <c r="CG210" s="10">
        <f>MIN('02_Данные'!AQ210,CF210)</f>
        <v/>
      </c>
      <c r="CH210" s="10">
        <f>CF210-CG210</f>
        <v/>
      </c>
      <c r="CI210" s="10">
        <f>MIN('02_Данные'!AN210,CH210)</f>
        <v/>
      </c>
      <c r="CJ210" s="10">
        <f>CH210-CI210</f>
        <v/>
      </c>
      <c r="CK210" s="10">
        <f>MIN('02_Данные'!AM210,CJ210)</f>
        <v/>
      </c>
      <c r="CL210" s="10">
        <f>CJ210-CK210</f>
        <v/>
      </c>
      <c r="CM210" s="10">
        <f>MIN('02_Данные'!AO210,CL210)</f>
        <v/>
      </c>
      <c r="CN210" s="10">
        <f>CL210-CM210</f>
        <v/>
      </c>
      <c r="CO210" s="10">
        <f>MIN('02_Данные'!AP210,CN210)</f>
        <v/>
      </c>
      <c r="CP210" s="10">
        <f>CN210-CO210</f>
        <v/>
      </c>
      <c r="CQ210" s="10">
        <f>CP210+'02_Данные'!K210</f>
        <v/>
      </c>
      <c r="CR210" s="10">
        <f>MIN('02_Данные'!AR210,CQ210)</f>
        <v/>
      </c>
      <c r="CS210" s="10">
        <f>CQ210-CR210</f>
        <v/>
      </c>
      <c r="CT210" s="10">
        <f>MIN('02_Данные'!AS210,CS210)</f>
        <v/>
      </c>
      <c r="CU210" s="10">
        <f>CS210-CT210</f>
        <v/>
      </c>
      <c r="CV210" s="10">
        <f>MIN('02_Данные'!AT210,CU210)</f>
        <v/>
      </c>
      <c r="CW210" s="10">
        <f>CU210-CV210</f>
        <v/>
      </c>
      <c r="CX210" s="10">
        <f>MIN('02_Данные'!AY210,CW210)</f>
        <v/>
      </c>
      <c r="CY210" s="10">
        <f>CW210-CX210</f>
        <v/>
      </c>
      <c r="CZ210" s="10">
        <f>MIN('02_Данные'!AV210,CY210)</f>
        <v/>
      </c>
      <c r="DA210" s="10">
        <f>CY210-CZ210</f>
        <v/>
      </c>
      <c r="DB210" s="10">
        <f>MIN('02_Данные'!AU210,DA210)</f>
        <v/>
      </c>
      <c r="DC210" s="10">
        <f>DA210-DB210</f>
        <v/>
      </c>
      <c r="DD210" s="10">
        <f>MIN('02_Данные'!AW210,DC210)</f>
        <v/>
      </c>
      <c r="DE210" s="10">
        <f>DC210-DD210</f>
        <v/>
      </c>
      <c r="DF210" s="10">
        <f>MIN('02_Данные'!AX210,DE210)</f>
        <v/>
      </c>
      <c r="DG210" s="10">
        <f>DE210-DF210</f>
        <v/>
      </c>
    </row>
    <row r="211">
      <c r="A211" s="9">
        <f>'02_Данные'!B211</f>
        <v/>
      </c>
      <c r="B211" s="9">
        <f>'02_Данные'!E211</f>
        <v/>
      </c>
      <c r="C211" s="10">
        <f>'02_Данные'!F211+'02_Данные'!G211+'02_Данные'!H211+'02_Данные'!I211+'02_Данные'!J211+'02_Данные'!K211</f>
        <v/>
      </c>
      <c r="D211" s="10">
        <f>SUM('02_Данные'!L211:'02_Данные'!AY211)</f>
        <v/>
      </c>
      <c r="E211" s="10">
        <f>MAX(0,D211-C211)</f>
        <v/>
      </c>
      <c r="F211" s="15">
        <f>IF(E211&gt;0.0001,"ДЕФИЦИТ",IF(Y211&gt;0.0001,"ПРОФИЦИТ","БАЛАНС"))</f>
        <v/>
      </c>
      <c r="G211" s="10">
        <f>AB211+AS211+BJ211+CA211+CR211</f>
        <v/>
      </c>
      <c r="H211" s="10">
        <f>AD211+AU211+BL211+CC211+CT211</f>
        <v/>
      </c>
      <c r="I211" s="10">
        <f>AF211+AW211+BN211+CE211+CV211</f>
        <v/>
      </c>
      <c r="J211" s="10">
        <f>AL211+BC211+BT211+CK211+DB211</f>
        <v/>
      </c>
      <c r="K211" s="10">
        <f>AJ211+BA211+BR211+CI211+CZ211</f>
        <v/>
      </c>
      <c r="L211" s="10">
        <f>AN211+BE211+BV211+CM211+DD211</f>
        <v/>
      </c>
      <c r="M211" s="10">
        <f>AP211+BG211+BX211+CO211+DF211</f>
        <v/>
      </c>
      <c r="N211" s="10">
        <f>AH211+AY211+BP211+CG211+CX211</f>
        <v/>
      </c>
      <c r="O211" s="10">
        <f>SUM(G211:N211)</f>
        <v/>
      </c>
      <c r="P211" s="10">
        <f>IFERROR(G211*MIN(1,'01_Нормативы'!$C$4/SUM(G$2:G$429)),0)</f>
        <v/>
      </c>
      <c r="Q211" s="10">
        <f>IFERROR(H211*MIN(1,'01_Нормативы'!$C$5/SUM(H$2:H$429)),0)</f>
        <v/>
      </c>
      <c r="R211" s="10">
        <f>IFERROR(I211*MIN(1,'01_Нормативы'!$C$6/SUM(I$2:I$429)),0)</f>
        <v/>
      </c>
      <c r="S211" s="10">
        <f>IFERROR(J211*MIN(1,'01_Нормативы'!$C$7/SUM(J$2:J$429)),0)</f>
        <v/>
      </c>
      <c r="T211" s="10">
        <f>IFERROR(K211*MIN(1,'01_Нормативы'!$C$8/SUM(K$2:K$429)),0)</f>
        <v/>
      </c>
      <c r="U211" s="10">
        <f>IFERROR(L211*MIN(1,'01_Нормативы'!$C$9/SUM(L$2:L$429)),0)</f>
        <v/>
      </c>
      <c r="V211" s="10">
        <f>IFERROR(M211*MIN(1,'01_Нормативы'!$C$10/SUM(M$2:M$429)),0)</f>
        <v/>
      </c>
      <c r="W211" s="10">
        <f>IFERROR(N211*MIN(1,'01_Нормативы'!$C$11/SUM(N$2:N$429)),0)</f>
        <v/>
      </c>
      <c r="X211" s="10">
        <f>SUM(P211:W211)</f>
        <v/>
      </c>
      <c r="Y211" s="10">
        <f>MAX(0,C211-X211)</f>
        <v/>
      </c>
      <c r="Z211" s="10">
        <f>IF(D211=0,100,X211/D211*100)</f>
        <v/>
      </c>
      <c r="AA211" s="10">
        <f>'02_Данные'!F211+'02_Данные'!G211</f>
        <v/>
      </c>
      <c r="AB211" s="10">
        <f>MIN('02_Данные'!L211,AA211)</f>
        <v/>
      </c>
      <c r="AC211" s="10">
        <f>AA211-AB211</f>
        <v/>
      </c>
      <c r="AD211" s="10">
        <f>MIN('02_Данные'!M211,AC211)</f>
        <v/>
      </c>
      <c r="AE211" s="10">
        <f>AC211-AD211</f>
        <v/>
      </c>
      <c r="AF211" s="10">
        <f>MIN('02_Данные'!N211,AE211)</f>
        <v/>
      </c>
      <c r="AG211" s="10">
        <f>AE211-AF211</f>
        <v/>
      </c>
      <c r="AH211" s="10">
        <f>MIN('02_Данные'!S211,AG211)</f>
        <v/>
      </c>
      <c r="AI211" s="10">
        <f>AG211-AH211</f>
        <v/>
      </c>
      <c r="AJ211" s="10">
        <f>MIN('02_Данные'!P211,AI211)</f>
        <v/>
      </c>
      <c r="AK211" s="10">
        <f>AI211-AJ211</f>
        <v/>
      </c>
      <c r="AL211" s="10">
        <f>MIN('02_Данные'!O211,AK211)</f>
        <v/>
      </c>
      <c r="AM211" s="10">
        <f>AK211-AL211</f>
        <v/>
      </c>
      <c r="AN211" s="10">
        <f>MIN('02_Данные'!Q211,AM211)</f>
        <v/>
      </c>
      <c r="AO211" s="10">
        <f>AM211-AN211</f>
        <v/>
      </c>
      <c r="AP211" s="10">
        <f>MIN('02_Данные'!R211,AO211)</f>
        <v/>
      </c>
      <c r="AQ211" s="10">
        <f>AO211-AP211</f>
        <v/>
      </c>
      <c r="AR211" s="10">
        <f>AQ211+'02_Данные'!H211</f>
        <v/>
      </c>
      <c r="AS211" s="10">
        <f>MIN('02_Данные'!T211,AR211)</f>
        <v/>
      </c>
      <c r="AT211" s="10">
        <f>AR211-AS211</f>
        <v/>
      </c>
      <c r="AU211" s="10">
        <f>MIN('02_Данные'!U211,AT211)</f>
        <v/>
      </c>
      <c r="AV211" s="10">
        <f>AT211-AU211</f>
        <v/>
      </c>
      <c r="AW211" s="10">
        <f>MIN('02_Данные'!V211,AV211)</f>
        <v/>
      </c>
      <c r="AX211" s="10">
        <f>AV211-AW211</f>
        <v/>
      </c>
      <c r="AY211" s="10">
        <f>MIN('02_Данные'!AA211,AX211)</f>
        <v/>
      </c>
      <c r="AZ211" s="10">
        <f>AX211-AY211</f>
        <v/>
      </c>
      <c r="BA211" s="10">
        <f>MIN('02_Данные'!X211,AZ211)</f>
        <v/>
      </c>
      <c r="BB211" s="10">
        <f>AZ211-BA211</f>
        <v/>
      </c>
      <c r="BC211" s="10">
        <f>MIN('02_Данные'!W211,BB211)</f>
        <v/>
      </c>
      <c r="BD211" s="10">
        <f>BB211-BC211</f>
        <v/>
      </c>
      <c r="BE211" s="10">
        <f>MIN('02_Данные'!Y211,BD211)</f>
        <v/>
      </c>
      <c r="BF211" s="10">
        <f>BD211-BE211</f>
        <v/>
      </c>
      <c r="BG211" s="10">
        <f>MIN('02_Данные'!Z211,BF211)</f>
        <v/>
      </c>
      <c r="BH211" s="10">
        <f>BF211-BG211</f>
        <v/>
      </c>
      <c r="BI211" s="10">
        <f>BH211+'02_Данные'!I211</f>
        <v/>
      </c>
      <c r="BJ211" s="10">
        <f>MIN('02_Данные'!AB211,BI211)</f>
        <v/>
      </c>
      <c r="BK211" s="10">
        <f>BI211-BJ211</f>
        <v/>
      </c>
      <c r="BL211" s="10">
        <f>MIN('02_Данные'!AC211,BK211)</f>
        <v/>
      </c>
      <c r="BM211" s="10">
        <f>BK211-BL211</f>
        <v/>
      </c>
      <c r="BN211" s="10">
        <f>MIN('02_Данные'!AD211,BM211)</f>
        <v/>
      </c>
      <c r="BO211" s="10">
        <f>BM211-BN211</f>
        <v/>
      </c>
      <c r="BP211" s="10">
        <f>MIN('02_Данные'!AI211,BO211)</f>
        <v/>
      </c>
      <c r="BQ211" s="10">
        <f>BO211-BP211</f>
        <v/>
      </c>
      <c r="BR211" s="10">
        <f>MIN('02_Данные'!AF211,BQ211)</f>
        <v/>
      </c>
      <c r="BS211" s="10">
        <f>BQ211-BR211</f>
        <v/>
      </c>
      <c r="BT211" s="10">
        <f>MIN('02_Данные'!AE211,BS211)</f>
        <v/>
      </c>
      <c r="BU211" s="10">
        <f>BS211-BT211</f>
        <v/>
      </c>
      <c r="BV211" s="10">
        <f>MIN('02_Данные'!AG211,BU211)</f>
        <v/>
      </c>
      <c r="BW211" s="10">
        <f>BU211-BV211</f>
        <v/>
      </c>
      <c r="BX211" s="10">
        <f>MIN('02_Данные'!AH211,BW211)</f>
        <v/>
      </c>
      <c r="BY211" s="10">
        <f>BW211-BX211</f>
        <v/>
      </c>
      <c r="BZ211" s="10">
        <f>BY211+'02_Данные'!J211</f>
        <v/>
      </c>
      <c r="CA211" s="10">
        <f>MIN('02_Данные'!AJ211,BZ211)</f>
        <v/>
      </c>
      <c r="CB211" s="10">
        <f>BZ211-CA211</f>
        <v/>
      </c>
      <c r="CC211" s="10">
        <f>MIN('02_Данные'!AK211,CB211)</f>
        <v/>
      </c>
      <c r="CD211" s="10">
        <f>CB211-CC211</f>
        <v/>
      </c>
      <c r="CE211" s="10">
        <f>MIN('02_Данные'!AL211,CD211)</f>
        <v/>
      </c>
      <c r="CF211" s="10">
        <f>CD211-CE211</f>
        <v/>
      </c>
      <c r="CG211" s="10">
        <f>MIN('02_Данные'!AQ211,CF211)</f>
        <v/>
      </c>
      <c r="CH211" s="10">
        <f>CF211-CG211</f>
        <v/>
      </c>
      <c r="CI211" s="10">
        <f>MIN('02_Данные'!AN211,CH211)</f>
        <v/>
      </c>
      <c r="CJ211" s="10">
        <f>CH211-CI211</f>
        <v/>
      </c>
      <c r="CK211" s="10">
        <f>MIN('02_Данные'!AM211,CJ211)</f>
        <v/>
      </c>
      <c r="CL211" s="10">
        <f>CJ211-CK211</f>
        <v/>
      </c>
      <c r="CM211" s="10">
        <f>MIN('02_Данные'!AO211,CL211)</f>
        <v/>
      </c>
      <c r="CN211" s="10">
        <f>CL211-CM211</f>
        <v/>
      </c>
      <c r="CO211" s="10">
        <f>MIN('02_Данные'!AP211,CN211)</f>
        <v/>
      </c>
      <c r="CP211" s="10">
        <f>CN211-CO211</f>
        <v/>
      </c>
      <c r="CQ211" s="10">
        <f>CP211+'02_Данные'!K211</f>
        <v/>
      </c>
      <c r="CR211" s="10">
        <f>MIN('02_Данные'!AR211,CQ211)</f>
        <v/>
      </c>
      <c r="CS211" s="10">
        <f>CQ211-CR211</f>
        <v/>
      </c>
      <c r="CT211" s="10">
        <f>MIN('02_Данные'!AS211,CS211)</f>
        <v/>
      </c>
      <c r="CU211" s="10">
        <f>CS211-CT211</f>
        <v/>
      </c>
      <c r="CV211" s="10">
        <f>MIN('02_Данные'!AT211,CU211)</f>
        <v/>
      </c>
      <c r="CW211" s="10">
        <f>CU211-CV211</f>
        <v/>
      </c>
      <c r="CX211" s="10">
        <f>MIN('02_Данные'!AY211,CW211)</f>
        <v/>
      </c>
      <c r="CY211" s="10">
        <f>CW211-CX211</f>
        <v/>
      </c>
      <c r="CZ211" s="10">
        <f>MIN('02_Данные'!AV211,CY211)</f>
        <v/>
      </c>
      <c r="DA211" s="10">
        <f>CY211-CZ211</f>
        <v/>
      </c>
      <c r="DB211" s="10">
        <f>MIN('02_Данные'!AU211,DA211)</f>
        <v/>
      </c>
      <c r="DC211" s="10">
        <f>DA211-DB211</f>
        <v/>
      </c>
      <c r="DD211" s="10">
        <f>MIN('02_Данные'!AW211,DC211)</f>
        <v/>
      </c>
      <c r="DE211" s="10">
        <f>DC211-DD211</f>
        <v/>
      </c>
      <c r="DF211" s="10">
        <f>MIN('02_Данные'!AX211,DE211)</f>
        <v/>
      </c>
      <c r="DG211" s="10">
        <f>DE211-DF211</f>
        <v/>
      </c>
    </row>
    <row r="212">
      <c r="A212" s="9">
        <f>'02_Данные'!B212</f>
        <v/>
      </c>
      <c r="B212" s="9">
        <f>'02_Данные'!E212</f>
        <v/>
      </c>
      <c r="C212" s="10">
        <f>'02_Данные'!F212+'02_Данные'!G212+'02_Данные'!H212+'02_Данные'!I212+'02_Данные'!J212+'02_Данные'!K212</f>
        <v/>
      </c>
      <c r="D212" s="10">
        <f>SUM('02_Данные'!L212:'02_Данные'!AY212)</f>
        <v/>
      </c>
      <c r="E212" s="10">
        <f>MAX(0,D212-C212)</f>
        <v/>
      </c>
      <c r="F212" s="15">
        <f>IF(E212&gt;0.0001,"ДЕФИЦИТ",IF(Y212&gt;0.0001,"ПРОФИЦИТ","БАЛАНС"))</f>
        <v/>
      </c>
      <c r="G212" s="10">
        <f>AB212+AS212+BJ212+CA212+CR212</f>
        <v/>
      </c>
      <c r="H212" s="10">
        <f>AD212+AU212+BL212+CC212+CT212</f>
        <v/>
      </c>
      <c r="I212" s="10">
        <f>AF212+AW212+BN212+CE212+CV212</f>
        <v/>
      </c>
      <c r="J212" s="10">
        <f>AL212+BC212+BT212+CK212+DB212</f>
        <v/>
      </c>
      <c r="K212" s="10">
        <f>AJ212+BA212+BR212+CI212+CZ212</f>
        <v/>
      </c>
      <c r="L212" s="10">
        <f>AN212+BE212+BV212+CM212+DD212</f>
        <v/>
      </c>
      <c r="M212" s="10">
        <f>AP212+BG212+BX212+CO212+DF212</f>
        <v/>
      </c>
      <c r="N212" s="10">
        <f>AH212+AY212+BP212+CG212+CX212</f>
        <v/>
      </c>
      <c r="O212" s="10">
        <f>SUM(G212:N212)</f>
        <v/>
      </c>
      <c r="P212" s="10">
        <f>IFERROR(G212*MIN(1,'01_Нормативы'!$C$4/SUM(G$2:G$429)),0)</f>
        <v/>
      </c>
      <c r="Q212" s="10">
        <f>IFERROR(H212*MIN(1,'01_Нормативы'!$C$5/SUM(H$2:H$429)),0)</f>
        <v/>
      </c>
      <c r="R212" s="10">
        <f>IFERROR(I212*MIN(1,'01_Нормативы'!$C$6/SUM(I$2:I$429)),0)</f>
        <v/>
      </c>
      <c r="S212" s="10">
        <f>IFERROR(J212*MIN(1,'01_Нормативы'!$C$7/SUM(J$2:J$429)),0)</f>
        <v/>
      </c>
      <c r="T212" s="10">
        <f>IFERROR(K212*MIN(1,'01_Нормативы'!$C$8/SUM(K$2:K$429)),0)</f>
        <v/>
      </c>
      <c r="U212" s="10">
        <f>IFERROR(L212*MIN(1,'01_Нормативы'!$C$9/SUM(L$2:L$429)),0)</f>
        <v/>
      </c>
      <c r="V212" s="10">
        <f>IFERROR(M212*MIN(1,'01_Нормативы'!$C$10/SUM(M$2:M$429)),0)</f>
        <v/>
      </c>
      <c r="W212" s="10">
        <f>IFERROR(N212*MIN(1,'01_Нормативы'!$C$11/SUM(N$2:N$429)),0)</f>
        <v/>
      </c>
      <c r="X212" s="10">
        <f>SUM(P212:W212)</f>
        <v/>
      </c>
      <c r="Y212" s="10">
        <f>MAX(0,C212-X212)</f>
        <v/>
      </c>
      <c r="Z212" s="10">
        <f>IF(D212=0,100,X212/D212*100)</f>
        <v/>
      </c>
      <c r="AA212" s="10">
        <f>'02_Данные'!F212+'02_Данные'!G212</f>
        <v/>
      </c>
      <c r="AB212" s="10">
        <f>MIN('02_Данные'!L212,AA212)</f>
        <v/>
      </c>
      <c r="AC212" s="10">
        <f>AA212-AB212</f>
        <v/>
      </c>
      <c r="AD212" s="10">
        <f>MIN('02_Данные'!M212,AC212)</f>
        <v/>
      </c>
      <c r="AE212" s="10">
        <f>AC212-AD212</f>
        <v/>
      </c>
      <c r="AF212" s="10">
        <f>MIN('02_Данные'!N212,AE212)</f>
        <v/>
      </c>
      <c r="AG212" s="10">
        <f>AE212-AF212</f>
        <v/>
      </c>
      <c r="AH212" s="10">
        <f>MIN('02_Данные'!S212,AG212)</f>
        <v/>
      </c>
      <c r="AI212" s="10">
        <f>AG212-AH212</f>
        <v/>
      </c>
      <c r="AJ212" s="10">
        <f>MIN('02_Данные'!P212,AI212)</f>
        <v/>
      </c>
      <c r="AK212" s="10">
        <f>AI212-AJ212</f>
        <v/>
      </c>
      <c r="AL212" s="10">
        <f>MIN('02_Данные'!O212,AK212)</f>
        <v/>
      </c>
      <c r="AM212" s="10">
        <f>AK212-AL212</f>
        <v/>
      </c>
      <c r="AN212" s="10">
        <f>MIN('02_Данные'!Q212,AM212)</f>
        <v/>
      </c>
      <c r="AO212" s="10">
        <f>AM212-AN212</f>
        <v/>
      </c>
      <c r="AP212" s="10">
        <f>MIN('02_Данные'!R212,AO212)</f>
        <v/>
      </c>
      <c r="AQ212" s="10">
        <f>AO212-AP212</f>
        <v/>
      </c>
      <c r="AR212" s="10">
        <f>AQ212+'02_Данные'!H212</f>
        <v/>
      </c>
      <c r="AS212" s="10">
        <f>MIN('02_Данные'!T212,AR212)</f>
        <v/>
      </c>
      <c r="AT212" s="10">
        <f>AR212-AS212</f>
        <v/>
      </c>
      <c r="AU212" s="10">
        <f>MIN('02_Данные'!U212,AT212)</f>
        <v/>
      </c>
      <c r="AV212" s="10">
        <f>AT212-AU212</f>
        <v/>
      </c>
      <c r="AW212" s="10">
        <f>MIN('02_Данные'!V212,AV212)</f>
        <v/>
      </c>
      <c r="AX212" s="10">
        <f>AV212-AW212</f>
        <v/>
      </c>
      <c r="AY212" s="10">
        <f>MIN('02_Данные'!AA212,AX212)</f>
        <v/>
      </c>
      <c r="AZ212" s="10">
        <f>AX212-AY212</f>
        <v/>
      </c>
      <c r="BA212" s="10">
        <f>MIN('02_Данные'!X212,AZ212)</f>
        <v/>
      </c>
      <c r="BB212" s="10">
        <f>AZ212-BA212</f>
        <v/>
      </c>
      <c r="BC212" s="10">
        <f>MIN('02_Данные'!W212,BB212)</f>
        <v/>
      </c>
      <c r="BD212" s="10">
        <f>BB212-BC212</f>
        <v/>
      </c>
      <c r="BE212" s="10">
        <f>MIN('02_Данные'!Y212,BD212)</f>
        <v/>
      </c>
      <c r="BF212" s="10">
        <f>BD212-BE212</f>
        <v/>
      </c>
      <c r="BG212" s="10">
        <f>MIN('02_Данные'!Z212,BF212)</f>
        <v/>
      </c>
      <c r="BH212" s="10">
        <f>BF212-BG212</f>
        <v/>
      </c>
      <c r="BI212" s="10">
        <f>BH212+'02_Данные'!I212</f>
        <v/>
      </c>
      <c r="BJ212" s="10">
        <f>MIN('02_Данные'!AB212,BI212)</f>
        <v/>
      </c>
      <c r="BK212" s="10">
        <f>BI212-BJ212</f>
        <v/>
      </c>
      <c r="BL212" s="10">
        <f>MIN('02_Данные'!AC212,BK212)</f>
        <v/>
      </c>
      <c r="BM212" s="10">
        <f>BK212-BL212</f>
        <v/>
      </c>
      <c r="BN212" s="10">
        <f>MIN('02_Данные'!AD212,BM212)</f>
        <v/>
      </c>
      <c r="BO212" s="10">
        <f>BM212-BN212</f>
        <v/>
      </c>
      <c r="BP212" s="10">
        <f>MIN('02_Данные'!AI212,BO212)</f>
        <v/>
      </c>
      <c r="BQ212" s="10">
        <f>BO212-BP212</f>
        <v/>
      </c>
      <c r="BR212" s="10">
        <f>MIN('02_Данные'!AF212,BQ212)</f>
        <v/>
      </c>
      <c r="BS212" s="10">
        <f>BQ212-BR212</f>
        <v/>
      </c>
      <c r="BT212" s="10">
        <f>MIN('02_Данные'!AE212,BS212)</f>
        <v/>
      </c>
      <c r="BU212" s="10">
        <f>BS212-BT212</f>
        <v/>
      </c>
      <c r="BV212" s="10">
        <f>MIN('02_Данные'!AG212,BU212)</f>
        <v/>
      </c>
      <c r="BW212" s="10">
        <f>BU212-BV212</f>
        <v/>
      </c>
      <c r="BX212" s="10">
        <f>MIN('02_Данные'!AH212,BW212)</f>
        <v/>
      </c>
      <c r="BY212" s="10">
        <f>BW212-BX212</f>
        <v/>
      </c>
      <c r="BZ212" s="10">
        <f>BY212+'02_Данные'!J212</f>
        <v/>
      </c>
      <c r="CA212" s="10">
        <f>MIN('02_Данные'!AJ212,BZ212)</f>
        <v/>
      </c>
      <c r="CB212" s="10">
        <f>BZ212-CA212</f>
        <v/>
      </c>
      <c r="CC212" s="10">
        <f>MIN('02_Данные'!AK212,CB212)</f>
        <v/>
      </c>
      <c r="CD212" s="10">
        <f>CB212-CC212</f>
        <v/>
      </c>
      <c r="CE212" s="10">
        <f>MIN('02_Данные'!AL212,CD212)</f>
        <v/>
      </c>
      <c r="CF212" s="10">
        <f>CD212-CE212</f>
        <v/>
      </c>
      <c r="CG212" s="10">
        <f>MIN('02_Данные'!AQ212,CF212)</f>
        <v/>
      </c>
      <c r="CH212" s="10">
        <f>CF212-CG212</f>
        <v/>
      </c>
      <c r="CI212" s="10">
        <f>MIN('02_Данные'!AN212,CH212)</f>
        <v/>
      </c>
      <c r="CJ212" s="10">
        <f>CH212-CI212</f>
        <v/>
      </c>
      <c r="CK212" s="10">
        <f>MIN('02_Данные'!AM212,CJ212)</f>
        <v/>
      </c>
      <c r="CL212" s="10">
        <f>CJ212-CK212</f>
        <v/>
      </c>
      <c r="CM212" s="10">
        <f>MIN('02_Данные'!AO212,CL212)</f>
        <v/>
      </c>
      <c r="CN212" s="10">
        <f>CL212-CM212</f>
        <v/>
      </c>
      <c r="CO212" s="10">
        <f>MIN('02_Данные'!AP212,CN212)</f>
        <v/>
      </c>
      <c r="CP212" s="10">
        <f>CN212-CO212</f>
        <v/>
      </c>
      <c r="CQ212" s="10">
        <f>CP212+'02_Данные'!K212</f>
        <v/>
      </c>
      <c r="CR212" s="10">
        <f>MIN('02_Данные'!AR212,CQ212)</f>
        <v/>
      </c>
      <c r="CS212" s="10">
        <f>CQ212-CR212</f>
        <v/>
      </c>
      <c r="CT212" s="10">
        <f>MIN('02_Данные'!AS212,CS212)</f>
        <v/>
      </c>
      <c r="CU212" s="10">
        <f>CS212-CT212</f>
        <v/>
      </c>
      <c r="CV212" s="10">
        <f>MIN('02_Данные'!AT212,CU212)</f>
        <v/>
      </c>
      <c r="CW212" s="10">
        <f>CU212-CV212</f>
        <v/>
      </c>
      <c r="CX212" s="10">
        <f>MIN('02_Данные'!AY212,CW212)</f>
        <v/>
      </c>
      <c r="CY212" s="10">
        <f>CW212-CX212</f>
        <v/>
      </c>
      <c r="CZ212" s="10">
        <f>MIN('02_Данные'!AV212,CY212)</f>
        <v/>
      </c>
      <c r="DA212" s="10">
        <f>CY212-CZ212</f>
        <v/>
      </c>
      <c r="DB212" s="10">
        <f>MIN('02_Данные'!AU212,DA212)</f>
        <v/>
      </c>
      <c r="DC212" s="10">
        <f>DA212-DB212</f>
        <v/>
      </c>
      <c r="DD212" s="10">
        <f>MIN('02_Данные'!AW212,DC212)</f>
        <v/>
      </c>
      <c r="DE212" s="10">
        <f>DC212-DD212</f>
        <v/>
      </c>
      <c r="DF212" s="10">
        <f>MIN('02_Данные'!AX212,DE212)</f>
        <v/>
      </c>
      <c r="DG212" s="10">
        <f>DE212-DF212</f>
        <v/>
      </c>
    </row>
    <row r="213">
      <c r="A213" s="9">
        <f>'02_Данные'!B213</f>
        <v/>
      </c>
      <c r="B213" s="9">
        <f>'02_Данные'!E213</f>
        <v/>
      </c>
      <c r="C213" s="10">
        <f>'02_Данные'!F213+'02_Данные'!G213+'02_Данные'!H213+'02_Данные'!I213+'02_Данные'!J213+'02_Данные'!K213</f>
        <v/>
      </c>
      <c r="D213" s="10">
        <f>SUM('02_Данные'!L213:'02_Данные'!AY213)</f>
        <v/>
      </c>
      <c r="E213" s="10">
        <f>MAX(0,D213-C213)</f>
        <v/>
      </c>
      <c r="F213" s="15">
        <f>IF(E213&gt;0.0001,"ДЕФИЦИТ",IF(Y213&gt;0.0001,"ПРОФИЦИТ","БАЛАНС"))</f>
        <v/>
      </c>
      <c r="G213" s="10">
        <f>AB213+AS213+BJ213+CA213+CR213</f>
        <v/>
      </c>
      <c r="H213" s="10">
        <f>AD213+AU213+BL213+CC213+CT213</f>
        <v/>
      </c>
      <c r="I213" s="10">
        <f>AF213+AW213+BN213+CE213+CV213</f>
        <v/>
      </c>
      <c r="J213" s="10">
        <f>AL213+BC213+BT213+CK213+DB213</f>
        <v/>
      </c>
      <c r="K213" s="10">
        <f>AJ213+BA213+BR213+CI213+CZ213</f>
        <v/>
      </c>
      <c r="L213" s="10">
        <f>AN213+BE213+BV213+CM213+DD213</f>
        <v/>
      </c>
      <c r="M213" s="10">
        <f>AP213+BG213+BX213+CO213+DF213</f>
        <v/>
      </c>
      <c r="N213" s="10">
        <f>AH213+AY213+BP213+CG213+CX213</f>
        <v/>
      </c>
      <c r="O213" s="10">
        <f>SUM(G213:N213)</f>
        <v/>
      </c>
      <c r="P213" s="10">
        <f>IFERROR(G213*MIN(1,'01_Нормативы'!$C$4/SUM(G$2:G$429)),0)</f>
        <v/>
      </c>
      <c r="Q213" s="10">
        <f>IFERROR(H213*MIN(1,'01_Нормативы'!$C$5/SUM(H$2:H$429)),0)</f>
        <v/>
      </c>
      <c r="R213" s="10">
        <f>IFERROR(I213*MIN(1,'01_Нормативы'!$C$6/SUM(I$2:I$429)),0)</f>
        <v/>
      </c>
      <c r="S213" s="10">
        <f>IFERROR(J213*MIN(1,'01_Нормативы'!$C$7/SUM(J$2:J$429)),0)</f>
        <v/>
      </c>
      <c r="T213" s="10">
        <f>IFERROR(K213*MIN(1,'01_Нормативы'!$C$8/SUM(K$2:K$429)),0)</f>
        <v/>
      </c>
      <c r="U213" s="10">
        <f>IFERROR(L213*MIN(1,'01_Нормативы'!$C$9/SUM(L$2:L$429)),0)</f>
        <v/>
      </c>
      <c r="V213" s="10">
        <f>IFERROR(M213*MIN(1,'01_Нормативы'!$C$10/SUM(M$2:M$429)),0)</f>
        <v/>
      </c>
      <c r="W213" s="10">
        <f>IFERROR(N213*MIN(1,'01_Нормативы'!$C$11/SUM(N$2:N$429)),0)</f>
        <v/>
      </c>
      <c r="X213" s="10">
        <f>SUM(P213:W213)</f>
        <v/>
      </c>
      <c r="Y213" s="10">
        <f>MAX(0,C213-X213)</f>
        <v/>
      </c>
      <c r="Z213" s="10">
        <f>IF(D213=0,100,X213/D213*100)</f>
        <v/>
      </c>
      <c r="AA213" s="10">
        <f>'02_Данные'!F213+'02_Данные'!G213</f>
        <v/>
      </c>
      <c r="AB213" s="10">
        <f>MIN('02_Данные'!L213,AA213)</f>
        <v/>
      </c>
      <c r="AC213" s="10">
        <f>AA213-AB213</f>
        <v/>
      </c>
      <c r="AD213" s="10">
        <f>MIN('02_Данные'!M213,AC213)</f>
        <v/>
      </c>
      <c r="AE213" s="10">
        <f>AC213-AD213</f>
        <v/>
      </c>
      <c r="AF213" s="10">
        <f>MIN('02_Данные'!N213,AE213)</f>
        <v/>
      </c>
      <c r="AG213" s="10">
        <f>AE213-AF213</f>
        <v/>
      </c>
      <c r="AH213" s="10">
        <f>MIN('02_Данные'!S213,AG213)</f>
        <v/>
      </c>
      <c r="AI213" s="10">
        <f>AG213-AH213</f>
        <v/>
      </c>
      <c r="AJ213" s="10">
        <f>MIN('02_Данные'!P213,AI213)</f>
        <v/>
      </c>
      <c r="AK213" s="10">
        <f>AI213-AJ213</f>
        <v/>
      </c>
      <c r="AL213" s="10">
        <f>MIN('02_Данные'!O213,AK213)</f>
        <v/>
      </c>
      <c r="AM213" s="10">
        <f>AK213-AL213</f>
        <v/>
      </c>
      <c r="AN213" s="10">
        <f>MIN('02_Данные'!Q213,AM213)</f>
        <v/>
      </c>
      <c r="AO213" s="10">
        <f>AM213-AN213</f>
        <v/>
      </c>
      <c r="AP213" s="10">
        <f>MIN('02_Данные'!R213,AO213)</f>
        <v/>
      </c>
      <c r="AQ213" s="10">
        <f>AO213-AP213</f>
        <v/>
      </c>
      <c r="AR213" s="10">
        <f>AQ213+'02_Данные'!H213</f>
        <v/>
      </c>
      <c r="AS213" s="10">
        <f>MIN('02_Данные'!T213,AR213)</f>
        <v/>
      </c>
      <c r="AT213" s="10">
        <f>AR213-AS213</f>
        <v/>
      </c>
      <c r="AU213" s="10">
        <f>MIN('02_Данные'!U213,AT213)</f>
        <v/>
      </c>
      <c r="AV213" s="10">
        <f>AT213-AU213</f>
        <v/>
      </c>
      <c r="AW213" s="10">
        <f>MIN('02_Данные'!V213,AV213)</f>
        <v/>
      </c>
      <c r="AX213" s="10">
        <f>AV213-AW213</f>
        <v/>
      </c>
      <c r="AY213" s="10">
        <f>MIN('02_Данные'!AA213,AX213)</f>
        <v/>
      </c>
      <c r="AZ213" s="10">
        <f>AX213-AY213</f>
        <v/>
      </c>
      <c r="BA213" s="10">
        <f>MIN('02_Данные'!X213,AZ213)</f>
        <v/>
      </c>
      <c r="BB213" s="10">
        <f>AZ213-BA213</f>
        <v/>
      </c>
      <c r="BC213" s="10">
        <f>MIN('02_Данные'!W213,BB213)</f>
        <v/>
      </c>
      <c r="BD213" s="10">
        <f>BB213-BC213</f>
        <v/>
      </c>
      <c r="BE213" s="10">
        <f>MIN('02_Данные'!Y213,BD213)</f>
        <v/>
      </c>
      <c r="BF213" s="10">
        <f>BD213-BE213</f>
        <v/>
      </c>
      <c r="BG213" s="10">
        <f>MIN('02_Данные'!Z213,BF213)</f>
        <v/>
      </c>
      <c r="BH213" s="10">
        <f>BF213-BG213</f>
        <v/>
      </c>
      <c r="BI213" s="10">
        <f>BH213+'02_Данные'!I213</f>
        <v/>
      </c>
      <c r="BJ213" s="10">
        <f>MIN('02_Данные'!AB213,BI213)</f>
        <v/>
      </c>
      <c r="BK213" s="10">
        <f>BI213-BJ213</f>
        <v/>
      </c>
      <c r="BL213" s="10">
        <f>MIN('02_Данные'!AC213,BK213)</f>
        <v/>
      </c>
      <c r="BM213" s="10">
        <f>BK213-BL213</f>
        <v/>
      </c>
      <c r="BN213" s="10">
        <f>MIN('02_Данные'!AD213,BM213)</f>
        <v/>
      </c>
      <c r="BO213" s="10">
        <f>BM213-BN213</f>
        <v/>
      </c>
      <c r="BP213" s="10">
        <f>MIN('02_Данные'!AI213,BO213)</f>
        <v/>
      </c>
      <c r="BQ213" s="10">
        <f>BO213-BP213</f>
        <v/>
      </c>
      <c r="BR213" s="10">
        <f>MIN('02_Данные'!AF213,BQ213)</f>
        <v/>
      </c>
      <c r="BS213" s="10">
        <f>BQ213-BR213</f>
        <v/>
      </c>
      <c r="BT213" s="10">
        <f>MIN('02_Данные'!AE213,BS213)</f>
        <v/>
      </c>
      <c r="BU213" s="10">
        <f>BS213-BT213</f>
        <v/>
      </c>
      <c r="BV213" s="10">
        <f>MIN('02_Данные'!AG213,BU213)</f>
        <v/>
      </c>
      <c r="BW213" s="10">
        <f>BU213-BV213</f>
        <v/>
      </c>
      <c r="BX213" s="10">
        <f>MIN('02_Данные'!AH213,BW213)</f>
        <v/>
      </c>
      <c r="BY213" s="10">
        <f>BW213-BX213</f>
        <v/>
      </c>
      <c r="BZ213" s="10">
        <f>BY213+'02_Данные'!J213</f>
        <v/>
      </c>
      <c r="CA213" s="10">
        <f>MIN('02_Данные'!AJ213,BZ213)</f>
        <v/>
      </c>
      <c r="CB213" s="10">
        <f>BZ213-CA213</f>
        <v/>
      </c>
      <c r="CC213" s="10">
        <f>MIN('02_Данные'!AK213,CB213)</f>
        <v/>
      </c>
      <c r="CD213" s="10">
        <f>CB213-CC213</f>
        <v/>
      </c>
      <c r="CE213" s="10">
        <f>MIN('02_Данные'!AL213,CD213)</f>
        <v/>
      </c>
      <c r="CF213" s="10">
        <f>CD213-CE213</f>
        <v/>
      </c>
      <c r="CG213" s="10">
        <f>MIN('02_Данные'!AQ213,CF213)</f>
        <v/>
      </c>
      <c r="CH213" s="10">
        <f>CF213-CG213</f>
        <v/>
      </c>
      <c r="CI213" s="10">
        <f>MIN('02_Данные'!AN213,CH213)</f>
        <v/>
      </c>
      <c r="CJ213" s="10">
        <f>CH213-CI213</f>
        <v/>
      </c>
      <c r="CK213" s="10">
        <f>MIN('02_Данные'!AM213,CJ213)</f>
        <v/>
      </c>
      <c r="CL213" s="10">
        <f>CJ213-CK213</f>
        <v/>
      </c>
      <c r="CM213" s="10">
        <f>MIN('02_Данные'!AO213,CL213)</f>
        <v/>
      </c>
      <c r="CN213" s="10">
        <f>CL213-CM213</f>
        <v/>
      </c>
      <c r="CO213" s="10">
        <f>MIN('02_Данные'!AP213,CN213)</f>
        <v/>
      </c>
      <c r="CP213" s="10">
        <f>CN213-CO213</f>
        <v/>
      </c>
      <c r="CQ213" s="10">
        <f>CP213+'02_Данные'!K213</f>
        <v/>
      </c>
      <c r="CR213" s="10">
        <f>MIN('02_Данные'!AR213,CQ213)</f>
        <v/>
      </c>
      <c r="CS213" s="10">
        <f>CQ213-CR213</f>
        <v/>
      </c>
      <c r="CT213" s="10">
        <f>MIN('02_Данные'!AS213,CS213)</f>
        <v/>
      </c>
      <c r="CU213" s="10">
        <f>CS213-CT213</f>
        <v/>
      </c>
      <c r="CV213" s="10">
        <f>MIN('02_Данные'!AT213,CU213)</f>
        <v/>
      </c>
      <c r="CW213" s="10">
        <f>CU213-CV213</f>
        <v/>
      </c>
      <c r="CX213" s="10">
        <f>MIN('02_Данные'!AY213,CW213)</f>
        <v/>
      </c>
      <c r="CY213" s="10">
        <f>CW213-CX213</f>
        <v/>
      </c>
      <c r="CZ213" s="10">
        <f>MIN('02_Данные'!AV213,CY213)</f>
        <v/>
      </c>
      <c r="DA213" s="10">
        <f>CY213-CZ213</f>
        <v/>
      </c>
      <c r="DB213" s="10">
        <f>MIN('02_Данные'!AU213,DA213)</f>
        <v/>
      </c>
      <c r="DC213" s="10">
        <f>DA213-DB213</f>
        <v/>
      </c>
      <c r="DD213" s="10">
        <f>MIN('02_Данные'!AW213,DC213)</f>
        <v/>
      </c>
      <c r="DE213" s="10">
        <f>DC213-DD213</f>
        <v/>
      </c>
      <c r="DF213" s="10">
        <f>MIN('02_Данные'!AX213,DE213)</f>
        <v/>
      </c>
      <c r="DG213" s="10">
        <f>DE213-DF213</f>
        <v/>
      </c>
    </row>
    <row r="214">
      <c r="A214" s="9">
        <f>'02_Данные'!B214</f>
        <v/>
      </c>
      <c r="B214" s="9">
        <f>'02_Данные'!E214</f>
        <v/>
      </c>
      <c r="C214" s="10">
        <f>'02_Данные'!F214+'02_Данные'!G214+'02_Данные'!H214+'02_Данные'!I214+'02_Данные'!J214+'02_Данные'!K214</f>
        <v/>
      </c>
      <c r="D214" s="10">
        <f>SUM('02_Данные'!L214:'02_Данные'!AY214)</f>
        <v/>
      </c>
      <c r="E214" s="10">
        <f>MAX(0,D214-C214)</f>
        <v/>
      </c>
      <c r="F214" s="15">
        <f>IF(E214&gt;0.0001,"ДЕФИЦИТ",IF(Y214&gt;0.0001,"ПРОФИЦИТ","БАЛАНС"))</f>
        <v/>
      </c>
      <c r="G214" s="10">
        <f>AB214+AS214+BJ214+CA214+CR214</f>
        <v/>
      </c>
      <c r="H214" s="10">
        <f>AD214+AU214+BL214+CC214+CT214</f>
        <v/>
      </c>
      <c r="I214" s="10">
        <f>AF214+AW214+BN214+CE214+CV214</f>
        <v/>
      </c>
      <c r="J214" s="10">
        <f>AL214+BC214+BT214+CK214+DB214</f>
        <v/>
      </c>
      <c r="K214" s="10">
        <f>AJ214+BA214+BR214+CI214+CZ214</f>
        <v/>
      </c>
      <c r="L214" s="10">
        <f>AN214+BE214+BV214+CM214+DD214</f>
        <v/>
      </c>
      <c r="M214" s="10">
        <f>AP214+BG214+BX214+CO214+DF214</f>
        <v/>
      </c>
      <c r="N214" s="10">
        <f>AH214+AY214+BP214+CG214+CX214</f>
        <v/>
      </c>
      <c r="O214" s="10">
        <f>SUM(G214:N214)</f>
        <v/>
      </c>
      <c r="P214" s="10">
        <f>IFERROR(G214*MIN(1,'01_Нормативы'!$C$4/SUM(G$2:G$429)),0)</f>
        <v/>
      </c>
      <c r="Q214" s="10">
        <f>IFERROR(H214*MIN(1,'01_Нормативы'!$C$5/SUM(H$2:H$429)),0)</f>
        <v/>
      </c>
      <c r="R214" s="10">
        <f>IFERROR(I214*MIN(1,'01_Нормативы'!$C$6/SUM(I$2:I$429)),0)</f>
        <v/>
      </c>
      <c r="S214" s="10">
        <f>IFERROR(J214*MIN(1,'01_Нормативы'!$C$7/SUM(J$2:J$429)),0)</f>
        <v/>
      </c>
      <c r="T214" s="10">
        <f>IFERROR(K214*MIN(1,'01_Нормативы'!$C$8/SUM(K$2:K$429)),0)</f>
        <v/>
      </c>
      <c r="U214" s="10">
        <f>IFERROR(L214*MIN(1,'01_Нормативы'!$C$9/SUM(L$2:L$429)),0)</f>
        <v/>
      </c>
      <c r="V214" s="10">
        <f>IFERROR(M214*MIN(1,'01_Нормативы'!$C$10/SUM(M$2:M$429)),0)</f>
        <v/>
      </c>
      <c r="W214" s="10">
        <f>IFERROR(N214*MIN(1,'01_Нормативы'!$C$11/SUM(N$2:N$429)),0)</f>
        <v/>
      </c>
      <c r="X214" s="10">
        <f>SUM(P214:W214)</f>
        <v/>
      </c>
      <c r="Y214" s="10">
        <f>MAX(0,C214-X214)</f>
        <v/>
      </c>
      <c r="Z214" s="10">
        <f>IF(D214=0,100,X214/D214*100)</f>
        <v/>
      </c>
      <c r="AA214" s="10">
        <f>'02_Данные'!F214+'02_Данные'!G214</f>
        <v/>
      </c>
      <c r="AB214" s="10">
        <f>MIN('02_Данные'!L214,AA214)</f>
        <v/>
      </c>
      <c r="AC214" s="10">
        <f>AA214-AB214</f>
        <v/>
      </c>
      <c r="AD214" s="10">
        <f>MIN('02_Данные'!M214,AC214)</f>
        <v/>
      </c>
      <c r="AE214" s="10">
        <f>AC214-AD214</f>
        <v/>
      </c>
      <c r="AF214" s="10">
        <f>MIN('02_Данные'!N214,AE214)</f>
        <v/>
      </c>
      <c r="AG214" s="10">
        <f>AE214-AF214</f>
        <v/>
      </c>
      <c r="AH214" s="10">
        <f>MIN('02_Данные'!S214,AG214)</f>
        <v/>
      </c>
      <c r="AI214" s="10">
        <f>AG214-AH214</f>
        <v/>
      </c>
      <c r="AJ214" s="10">
        <f>MIN('02_Данные'!P214,AI214)</f>
        <v/>
      </c>
      <c r="AK214" s="10">
        <f>AI214-AJ214</f>
        <v/>
      </c>
      <c r="AL214" s="10">
        <f>MIN('02_Данные'!O214,AK214)</f>
        <v/>
      </c>
      <c r="AM214" s="10">
        <f>AK214-AL214</f>
        <v/>
      </c>
      <c r="AN214" s="10">
        <f>MIN('02_Данные'!Q214,AM214)</f>
        <v/>
      </c>
      <c r="AO214" s="10">
        <f>AM214-AN214</f>
        <v/>
      </c>
      <c r="AP214" s="10">
        <f>MIN('02_Данные'!R214,AO214)</f>
        <v/>
      </c>
      <c r="AQ214" s="10">
        <f>AO214-AP214</f>
        <v/>
      </c>
      <c r="AR214" s="10">
        <f>AQ214+'02_Данные'!H214</f>
        <v/>
      </c>
      <c r="AS214" s="10">
        <f>MIN('02_Данные'!T214,AR214)</f>
        <v/>
      </c>
      <c r="AT214" s="10">
        <f>AR214-AS214</f>
        <v/>
      </c>
      <c r="AU214" s="10">
        <f>MIN('02_Данные'!U214,AT214)</f>
        <v/>
      </c>
      <c r="AV214" s="10">
        <f>AT214-AU214</f>
        <v/>
      </c>
      <c r="AW214" s="10">
        <f>MIN('02_Данные'!V214,AV214)</f>
        <v/>
      </c>
      <c r="AX214" s="10">
        <f>AV214-AW214</f>
        <v/>
      </c>
      <c r="AY214" s="10">
        <f>MIN('02_Данные'!AA214,AX214)</f>
        <v/>
      </c>
      <c r="AZ214" s="10">
        <f>AX214-AY214</f>
        <v/>
      </c>
      <c r="BA214" s="10">
        <f>MIN('02_Данные'!X214,AZ214)</f>
        <v/>
      </c>
      <c r="BB214" s="10">
        <f>AZ214-BA214</f>
        <v/>
      </c>
      <c r="BC214" s="10">
        <f>MIN('02_Данные'!W214,BB214)</f>
        <v/>
      </c>
      <c r="BD214" s="10">
        <f>BB214-BC214</f>
        <v/>
      </c>
      <c r="BE214" s="10">
        <f>MIN('02_Данные'!Y214,BD214)</f>
        <v/>
      </c>
      <c r="BF214" s="10">
        <f>BD214-BE214</f>
        <v/>
      </c>
      <c r="BG214" s="10">
        <f>MIN('02_Данные'!Z214,BF214)</f>
        <v/>
      </c>
      <c r="BH214" s="10">
        <f>BF214-BG214</f>
        <v/>
      </c>
      <c r="BI214" s="10">
        <f>BH214+'02_Данные'!I214</f>
        <v/>
      </c>
      <c r="BJ214" s="10">
        <f>MIN('02_Данные'!AB214,BI214)</f>
        <v/>
      </c>
      <c r="BK214" s="10">
        <f>BI214-BJ214</f>
        <v/>
      </c>
      <c r="BL214" s="10">
        <f>MIN('02_Данные'!AC214,BK214)</f>
        <v/>
      </c>
      <c r="BM214" s="10">
        <f>BK214-BL214</f>
        <v/>
      </c>
      <c r="BN214" s="10">
        <f>MIN('02_Данные'!AD214,BM214)</f>
        <v/>
      </c>
      <c r="BO214" s="10">
        <f>BM214-BN214</f>
        <v/>
      </c>
      <c r="BP214" s="10">
        <f>MIN('02_Данные'!AI214,BO214)</f>
        <v/>
      </c>
      <c r="BQ214" s="10">
        <f>BO214-BP214</f>
        <v/>
      </c>
      <c r="BR214" s="10">
        <f>MIN('02_Данные'!AF214,BQ214)</f>
        <v/>
      </c>
      <c r="BS214" s="10">
        <f>BQ214-BR214</f>
        <v/>
      </c>
      <c r="BT214" s="10">
        <f>MIN('02_Данные'!AE214,BS214)</f>
        <v/>
      </c>
      <c r="BU214" s="10">
        <f>BS214-BT214</f>
        <v/>
      </c>
      <c r="BV214" s="10">
        <f>MIN('02_Данные'!AG214,BU214)</f>
        <v/>
      </c>
      <c r="BW214" s="10">
        <f>BU214-BV214</f>
        <v/>
      </c>
      <c r="BX214" s="10">
        <f>MIN('02_Данные'!AH214,BW214)</f>
        <v/>
      </c>
      <c r="BY214" s="10">
        <f>BW214-BX214</f>
        <v/>
      </c>
      <c r="BZ214" s="10">
        <f>BY214+'02_Данные'!J214</f>
        <v/>
      </c>
      <c r="CA214" s="10">
        <f>MIN('02_Данные'!AJ214,BZ214)</f>
        <v/>
      </c>
      <c r="CB214" s="10">
        <f>BZ214-CA214</f>
        <v/>
      </c>
      <c r="CC214" s="10">
        <f>MIN('02_Данные'!AK214,CB214)</f>
        <v/>
      </c>
      <c r="CD214" s="10">
        <f>CB214-CC214</f>
        <v/>
      </c>
      <c r="CE214" s="10">
        <f>MIN('02_Данные'!AL214,CD214)</f>
        <v/>
      </c>
      <c r="CF214" s="10">
        <f>CD214-CE214</f>
        <v/>
      </c>
      <c r="CG214" s="10">
        <f>MIN('02_Данные'!AQ214,CF214)</f>
        <v/>
      </c>
      <c r="CH214" s="10">
        <f>CF214-CG214</f>
        <v/>
      </c>
      <c r="CI214" s="10">
        <f>MIN('02_Данные'!AN214,CH214)</f>
        <v/>
      </c>
      <c r="CJ214" s="10">
        <f>CH214-CI214</f>
        <v/>
      </c>
      <c r="CK214" s="10">
        <f>MIN('02_Данные'!AM214,CJ214)</f>
        <v/>
      </c>
      <c r="CL214" s="10">
        <f>CJ214-CK214</f>
        <v/>
      </c>
      <c r="CM214" s="10">
        <f>MIN('02_Данные'!AO214,CL214)</f>
        <v/>
      </c>
      <c r="CN214" s="10">
        <f>CL214-CM214</f>
        <v/>
      </c>
      <c r="CO214" s="10">
        <f>MIN('02_Данные'!AP214,CN214)</f>
        <v/>
      </c>
      <c r="CP214" s="10">
        <f>CN214-CO214</f>
        <v/>
      </c>
      <c r="CQ214" s="10">
        <f>CP214+'02_Данные'!K214</f>
        <v/>
      </c>
      <c r="CR214" s="10">
        <f>MIN('02_Данные'!AR214,CQ214)</f>
        <v/>
      </c>
      <c r="CS214" s="10">
        <f>CQ214-CR214</f>
        <v/>
      </c>
      <c r="CT214" s="10">
        <f>MIN('02_Данные'!AS214,CS214)</f>
        <v/>
      </c>
      <c r="CU214" s="10">
        <f>CS214-CT214</f>
        <v/>
      </c>
      <c r="CV214" s="10">
        <f>MIN('02_Данные'!AT214,CU214)</f>
        <v/>
      </c>
      <c r="CW214" s="10">
        <f>CU214-CV214</f>
        <v/>
      </c>
      <c r="CX214" s="10">
        <f>MIN('02_Данные'!AY214,CW214)</f>
        <v/>
      </c>
      <c r="CY214" s="10">
        <f>CW214-CX214</f>
        <v/>
      </c>
      <c r="CZ214" s="10">
        <f>MIN('02_Данные'!AV214,CY214)</f>
        <v/>
      </c>
      <c r="DA214" s="10">
        <f>CY214-CZ214</f>
        <v/>
      </c>
      <c r="DB214" s="10">
        <f>MIN('02_Данные'!AU214,DA214)</f>
        <v/>
      </c>
      <c r="DC214" s="10">
        <f>DA214-DB214</f>
        <v/>
      </c>
      <c r="DD214" s="10">
        <f>MIN('02_Данные'!AW214,DC214)</f>
        <v/>
      </c>
      <c r="DE214" s="10">
        <f>DC214-DD214</f>
        <v/>
      </c>
      <c r="DF214" s="10">
        <f>MIN('02_Данные'!AX214,DE214)</f>
        <v/>
      </c>
      <c r="DG214" s="10">
        <f>DE214-DF214</f>
        <v/>
      </c>
    </row>
    <row r="215">
      <c r="A215" s="9">
        <f>'02_Данные'!B215</f>
        <v/>
      </c>
      <c r="B215" s="9">
        <f>'02_Данные'!E215</f>
        <v/>
      </c>
      <c r="C215" s="10">
        <f>'02_Данные'!F215+'02_Данные'!G215+'02_Данные'!H215+'02_Данные'!I215+'02_Данные'!J215+'02_Данные'!K215</f>
        <v/>
      </c>
      <c r="D215" s="10">
        <f>SUM('02_Данные'!L215:'02_Данные'!AY215)</f>
        <v/>
      </c>
      <c r="E215" s="10">
        <f>MAX(0,D215-C215)</f>
        <v/>
      </c>
      <c r="F215" s="15">
        <f>IF(E215&gt;0.0001,"ДЕФИЦИТ",IF(Y215&gt;0.0001,"ПРОФИЦИТ","БАЛАНС"))</f>
        <v/>
      </c>
      <c r="G215" s="10">
        <f>AB215+AS215+BJ215+CA215+CR215</f>
        <v/>
      </c>
      <c r="H215" s="10">
        <f>AD215+AU215+BL215+CC215+CT215</f>
        <v/>
      </c>
      <c r="I215" s="10">
        <f>AF215+AW215+BN215+CE215+CV215</f>
        <v/>
      </c>
      <c r="J215" s="10">
        <f>AL215+BC215+BT215+CK215+DB215</f>
        <v/>
      </c>
      <c r="K215" s="10">
        <f>AJ215+BA215+BR215+CI215+CZ215</f>
        <v/>
      </c>
      <c r="L215" s="10">
        <f>AN215+BE215+BV215+CM215+DD215</f>
        <v/>
      </c>
      <c r="M215" s="10">
        <f>AP215+BG215+BX215+CO215+DF215</f>
        <v/>
      </c>
      <c r="N215" s="10">
        <f>AH215+AY215+BP215+CG215+CX215</f>
        <v/>
      </c>
      <c r="O215" s="10">
        <f>SUM(G215:N215)</f>
        <v/>
      </c>
      <c r="P215" s="10">
        <f>IFERROR(G215*MIN(1,'01_Нормативы'!$C$4/SUM(G$2:G$429)),0)</f>
        <v/>
      </c>
      <c r="Q215" s="10">
        <f>IFERROR(H215*MIN(1,'01_Нормативы'!$C$5/SUM(H$2:H$429)),0)</f>
        <v/>
      </c>
      <c r="R215" s="10">
        <f>IFERROR(I215*MIN(1,'01_Нормативы'!$C$6/SUM(I$2:I$429)),0)</f>
        <v/>
      </c>
      <c r="S215" s="10">
        <f>IFERROR(J215*MIN(1,'01_Нормативы'!$C$7/SUM(J$2:J$429)),0)</f>
        <v/>
      </c>
      <c r="T215" s="10">
        <f>IFERROR(K215*MIN(1,'01_Нормативы'!$C$8/SUM(K$2:K$429)),0)</f>
        <v/>
      </c>
      <c r="U215" s="10">
        <f>IFERROR(L215*MIN(1,'01_Нормативы'!$C$9/SUM(L$2:L$429)),0)</f>
        <v/>
      </c>
      <c r="V215" s="10">
        <f>IFERROR(M215*MIN(1,'01_Нормативы'!$C$10/SUM(M$2:M$429)),0)</f>
        <v/>
      </c>
      <c r="W215" s="10">
        <f>IFERROR(N215*MIN(1,'01_Нормативы'!$C$11/SUM(N$2:N$429)),0)</f>
        <v/>
      </c>
      <c r="X215" s="10">
        <f>SUM(P215:W215)</f>
        <v/>
      </c>
      <c r="Y215" s="10">
        <f>MAX(0,C215-X215)</f>
        <v/>
      </c>
      <c r="Z215" s="10">
        <f>IF(D215=0,100,X215/D215*100)</f>
        <v/>
      </c>
      <c r="AA215" s="10">
        <f>'02_Данные'!F215+'02_Данные'!G215</f>
        <v/>
      </c>
      <c r="AB215" s="10">
        <f>MIN('02_Данные'!L215,AA215)</f>
        <v/>
      </c>
      <c r="AC215" s="10">
        <f>AA215-AB215</f>
        <v/>
      </c>
      <c r="AD215" s="10">
        <f>MIN('02_Данные'!M215,AC215)</f>
        <v/>
      </c>
      <c r="AE215" s="10">
        <f>AC215-AD215</f>
        <v/>
      </c>
      <c r="AF215" s="10">
        <f>MIN('02_Данные'!N215,AE215)</f>
        <v/>
      </c>
      <c r="AG215" s="10">
        <f>AE215-AF215</f>
        <v/>
      </c>
      <c r="AH215" s="10">
        <f>MIN('02_Данные'!S215,AG215)</f>
        <v/>
      </c>
      <c r="AI215" s="10">
        <f>AG215-AH215</f>
        <v/>
      </c>
      <c r="AJ215" s="10">
        <f>MIN('02_Данные'!P215,AI215)</f>
        <v/>
      </c>
      <c r="AK215" s="10">
        <f>AI215-AJ215</f>
        <v/>
      </c>
      <c r="AL215" s="10">
        <f>MIN('02_Данные'!O215,AK215)</f>
        <v/>
      </c>
      <c r="AM215" s="10">
        <f>AK215-AL215</f>
        <v/>
      </c>
      <c r="AN215" s="10">
        <f>MIN('02_Данные'!Q215,AM215)</f>
        <v/>
      </c>
      <c r="AO215" s="10">
        <f>AM215-AN215</f>
        <v/>
      </c>
      <c r="AP215" s="10">
        <f>MIN('02_Данные'!R215,AO215)</f>
        <v/>
      </c>
      <c r="AQ215" s="10">
        <f>AO215-AP215</f>
        <v/>
      </c>
      <c r="AR215" s="10">
        <f>AQ215+'02_Данные'!H215</f>
        <v/>
      </c>
      <c r="AS215" s="10">
        <f>MIN('02_Данные'!T215,AR215)</f>
        <v/>
      </c>
      <c r="AT215" s="10">
        <f>AR215-AS215</f>
        <v/>
      </c>
      <c r="AU215" s="10">
        <f>MIN('02_Данные'!U215,AT215)</f>
        <v/>
      </c>
      <c r="AV215" s="10">
        <f>AT215-AU215</f>
        <v/>
      </c>
      <c r="AW215" s="10">
        <f>MIN('02_Данные'!V215,AV215)</f>
        <v/>
      </c>
      <c r="AX215" s="10">
        <f>AV215-AW215</f>
        <v/>
      </c>
      <c r="AY215" s="10">
        <f>MIN('02_Данные'!AA215,AX215)</f>
        <v/>
      </c>
      <c r="AZ215" s="10">
        <f>AX215-AY215</f>
        <v/>
      </c>
      <c r="BA215" s="10">
        <f>MIN('02_Данные'!X215,AZ215)</f>
        <v/>
      </c>
      <c r="BB215" s="10">
        <f>AZ215-BA215</f>
        <v/>
      </c>
      <c r="BC215" s="10">
        <f>MIN('02_Данные'!W215,BB215)</f>
        <v/>
      </c>
      <c r="BD215" s="10">
        <f>BB215-BC215</f>
        <v/>
      </c>
      <c r="BE215" s="10">
        <f>MIN('02_Данные'!Y215,BD215)</f>
        <v/>
      </c>
      <c r="BF215" s="10">
        <f>BD215-BE215</f>
        <v/>
      </c>
      <c r="BG215" s="10">
        <f>MIN('02_Данные'!Z215,BF215)</f>
        <v/>
      </c>
      <c r="BH215" s="10">
        <f>BF215-BG215</f>
        <v/>
      </c>
      <c r="BI215" s="10">
        <f>BH215+'02_Данные'!I215</f>
        <v/>
      </c>
      <c r="BJ215" s="10">
        <f>MIN('02_Данные'!AB215,BI215)</f>
        <v/>
      </c>
      <c r="BK215" s="10">
        <f>BI215-BJ215</f>
        <v/>
      </c>
      <c r="BL215" s="10">
        <f>MIN('02_Данные'!AC215,BK215)</f>
        <v/>
      </c>
      <c r="BM215" s="10">
        <f>BK215-BL215</f>
        <v/>
      </c>
      <c r="BN215" s="10">
        <f>MIN('02_Данные'!AD215,BM215)</f>
        <v/>
      </c>
      <c r="BO215" s="10">
        <f>BM215-BN215</f>
        <v/>
      </c>
      <c r="BP215" s="10">
        <f>MIN('02_Данные'!AI215,BO215)</f>
        <v/>
      </c>
      <c r="BQ215" s="10">
        <f>BO215-BP215</f>
        <v/>
      </c>
      <c r="BR215" s="10">
        <f>MIN('02_Данные'!AF215,BQ215)</f>
        <v/>
      </c>
      <c r="BS215" s="10">
        <f>BQ215-BR215</f>
        <v/>
      </c>
      <c r="BT215" s="10">
        <f>MIN('02_Данные'!AE215,BS215)</f>
        <v/>
      </c>
      <c r="BU215" s="10">
        <f>BS215-BT215</f>
        <v/>
      </c>
      <c r="BV215" s="10">
        <f>MIN('02_Данные'!AG215,BU215)</f>
        <v/>
      </c>
      <c r="BW215" s="10">
        <f>BU215-BV215</f>
        <v/>
      </c>
      <c r="BX215" s="10">
        <f>MIN('02_Данные'!AH215,BW215)</f>
        <v/>
      </c>
      <c r="BY215" s="10">
        <f>BW215-BX215</f>
        <v/>
      </c>
      <c r="BZ215" s="10">
        <f>BY215+'02_Данные'!J215</f>
        <v/>
      </c>
      <c r="CA215" s="10">
        <f>MIN('02_Данные'!AJ215,BZ215)</f>
        <v/>
      </c>
      <c r="CB215" s="10">
        <f>BZ215-CA215</f>
        <v/>
      </c>
      <c r="CC215" s="10">
        <f>MIN('02_Данные'!AK215,CB215)</f>
        <v/>
      </c>
      <c r="CD215" s="10">
        <f>CB215-CC215</f>
        <v/>
      </c>
      <c r="CE215" s="10">
        <f>MIN('02_Данные'!AL215,CD215)</f>
        <v/>
      </c>
      <c r="CF215" s="10">
        <f>CD215-CE215</f>
        <v/>
      </c>
      <c r="CG215" s="10">
        <f>MIN('02_Данные'!AQ215,CF215)</f>
        <v/>
      </c>
      <c r="CH215" s="10">
        <f>CF215-CG215</f>
        <v/>
      </c>
      <c r="CI215" s="10">
        <f>MIN('02_Данные'!AN215,CH215)</f>
        <v/>
      </c>
      <c r="CJ215" s="10">
        <f>CH215-CI215</f>
        <v/>
      </c>
      <c r="CK215" s="10">
        <f>MIN('02_Данные'!AM215,CJ215)</f>
        <v/>
      </c>
      <c r="CL215" s="10">
        <f>CJ215-CK215</f>
        <v/>
      </c>
      <c r="CM215" s="10">
        <f>MIN('02_Данные'!AO215,CL215)</f>
        <v/>
      </c>
      <c r="CN215" s="10">
        <f>CL215-CM215</f>
        <v/>
      </c>
      <c r="CO215" s="10">
        <f>MIN('02_Данные'!AP215,CN215)</f>
        <v/>
      </c>
      <c r="CP215" s="10">
        <f>CN215-CO215</f>
        <v/>
      </c>
      <c r="CQ215" s="10">
        <f>CP215+'02_Данные'!K215</f>
        <v/>
      </c>
      <c r="CR215" s="10">
        <f>MIN('02_Данные'!AR215,CQ215)</f>
        <v/>
      </c>
      <c r="CS215" s="10">
        <f>CQ215-CR215</f>
        <v/>
      </c>
      <c r="CT215" s="10">
        <f>MIN('02_Данные'!AS215,CS215)</f>
        <v/>
      </c>
      <c r="CU215" s="10">
        <f>CS215-CT215</f>
        <v/>
      </c>
      <c r="CV215" s="10">
        <f>MIN('02_Данные'!AT215,CU215)</f>
        <v/>
      </c>
      <c r="CW215" s="10">
        <f>CU215-CV215</f>
        <v/>
      </c>
      <c r="CX215" s="10">
        <f>MIN('02_Данные'!AY215,CW215)</f>
        <v/>
      </c>
      <c r="CY215" s="10">
        <f>CW215-CX215</f>
        <v/>
      </c>
      <c r="CZ215" s="10">
        <f>MIN('02_Данные'!AV215,CY215)</f>
        <v/>
      </c>
      <c r="DA215" s="10">
        <f>CY215-CZ215</f>
        <v/>
      </c>
      <c r="DB215" s="10">
        <f>MIN('02_Данные'!AU215,DA215)</f>
        <v/>
      </c>
      <c r="DC215" s="10">
        <f>DA215-DB215</f>
        <v/>
      </c>
      <c r="DD215" s="10">
        <f>MIN('02_Данные'!AW215,DC215)</f>
        <v/>
      </c>
      <c r="DE215" s="10">
        <f>DC215-DD215</f>
        <v/>
      </c>
      <c r="DF215" s="10">
        <f>MIN('02_Данные'!AX215,DE215)</f>
        <v/>
      </c>
      <c r="DG215" s="10">
        <f>DE215-DF215</f>
        <v/>
      </c>
    </row>
    <row r="216">
      <c r="A216" s="9">
        <f>'02_Данные'!B216</f>
        <v/>
      </c>
      <c r="B216" s="9">
        <f>'02_Данные'!E216</f>
        <v/>
      </c>
      <c r="C216" s="10">
        <f>'02_Данные'!F216+'02_Данные'!G216+'02_Данные'!H216+'02_Данные'!I216+'02_Данные'!J216+'02_Данные'!K216</f>
        <v/>
      </c>
      <c r="D216" s="10">
        <f>SUM('02_Данные'!L216:'02_Данные'!AY216)</f>
        <v/>
      </c>
      <c r="E216" s="10">
        <f>MAX(0,D216-C216)</f>
        <v/>
      </c>
      <c r="F216" s="15">
        <f>IF(E216&gt;0.0001,"ДЕФИЦИТ",IF(Y216&gt;0.0001,"ПРОФИЦИТ","БАЛАНС"))</f>
        <v/>
      </c>
      <c r="G216" s="10">
        <f>AB216+AS216+BJ216+CA216+CR216</f>
        <v/>
      </c>
      <c r="H216" s="10">
        <f>AD216+AU216+BL216+CC216+CT216</f>
        <v/>
      </c>
      <c r="I216" s="10">
        <f>AF216+AW216+BN216+CE216+CV216</f>
        <v/>
      </c>
      <c r="J216" s="10">
        <f>AL216+BC216+BT216+CK216+DB216</f>
        <v/>
      </c>
      <c r="K216" s="10">
        <f>AJ216+BA216+BR216+CI216+CZ216</f>
        <v/>
      </c>
      <c r="L216" s="10">
        <f>AN216+BE216+BV216+CM216+DD216</f>
        <v/>
      </c>
      <c r="M216" s="10">
        <f>AP216+BG216+BX216+CO216+DF216</f>
        <v/>
      </c>
      <c r="N216" s="10">
        <f>AH216+AY216+BP216+CG216+CX216</f>
        <v/>
      </c>
      <c r="O216" s="10">
        <f>SUM(G216:N216)</f>
        <v/>
      </c>
      <c r="P216" s="10">
        <f>IFERROR(G216*MIN(1,'01_Нормативы'!$C$4/SUM(G$2:G$429)),0)</f>
        <v/>
      </c>
      <c r="Q216" s="10">
        <f>IFERROR(H216*MIN(1,'01_Нормативы'!$C$5/SUM(H$2:H$429)),0)</f>
        <v/>
      </c>
      <c r="R216" s="10">
        <f>IFERROR(I216*MIN(1,'01_Нормативы'!$C$6/SUM(I$2:I$429)),0)</f>
        <v/>
      </c>
      <c r="S216" s="10">
        <f>IFERROR(J216*MIN(1,'01_Нормативы'!$C$7/SUM(J$2:J$429)),0)</f>
        <v/>
      </c>
      <c r="T216" s="10">
        <f>IFERROR(K216*MIN(1,'01_Нормативы'!$C$8/SUM(K$2:K$429)),0)</f>
        <v/>
      </c>
      <c r="U216" s="10">
        <f>IFERROR(L216*MIN(1,'01_Нормативы'!$C$9/SUM(L$2:L$429)),0)</f>
        <v/>
      </c>
      <c r="V216" s="10">
        <f>IFERROR(M216*MIN(1,'01_Нормативы'!$C$10/SUM(M$2:M$429)),0)</f>
        <v/>
      </c>
      <c r="W216" s="10">
        <f>IFERROR(N216*MIN(1,'01_Нормативы'!$C$11/SUM(N$2:N$429)),0)</f>
        <v/>
      </c>
      <c r="X216" s="10">
        <f>SUM(P216:W216)</f>
        <v/>
      </c>
      <c r="Y216" s="10">
        <f>MAX(0,C216-X216)</f>
        <v/>
      </c>
      <c r="Z216" s="10">
        <f>IF(D216=0,100,X216/D216*100)</f>
        <v/>
      </c>
      <c r="AA216" s="10">
        <f>'02_Данные'!F216+'02_Данные'!G216</f>
        <v/>
      </c>
      <c r="AB216" s="10">
        <f>MIN('02_Данные'!L216,AA216)</f>
        <v/>
      </c>
      <c r="AC216" s="10">
        <f>AA216-AB216</f>
        <v/>
      </c>
      <c r="AD216" s="10">
        <f>MIN('02_Данные'!M216,AC216)</f>
        <v/>
      </c>
      <c r="AE216" s="10">
        <f>AC216-AD216</f>
        <v/>
      </c>
      <c r="AF216" s="10">
        <f>MIN('02_Данные'!N216,AE216)</f>
        <v/>
      </c>
      <c r="AG216" s="10">
        <f>AE216-AF216</f>
        <v/>
      </c>
      <c r="AH216" s="10">
        <f>MIN('02_Данные'!S216,AG216)</f>
        <v/>
      </c>
      <c r="AI216" s="10">
        <f>AG216-AH216</f>
        <v/>
      </c>
      <c r="AJ216" s="10">
        <f>MIN('02_Данные'!P216,AI216)</f>
        <v/>
      </c>
      <c r="AK216" s="10">
        <f>AI216-AJ216</f>
        <v/>
      </c>
      <c r="AL216" s="10">
        <f>MIN('02_Данные'!O216,AK216)</f>
        <v/>
      </c>
      <c r="AM216" s="10">
        <f>AK216-AL216</f>
        <v/>
      </c>
      <c r="AN216" s="10">
        <f>MIN('02_Данные'!Q216,AM216)</f>
        <v/>
      </c>
      <c r="AO216" s="10">
        <f>AM216-AN216</f>
        <v/>
      </c>
      <c r="AP216" s="10">
        <f>MIN('02_Данные'!R216,AO216)</f>
        <v/>
      </c>
      <c r="AQ216" s="10">
        <f>AO216-AP216</f>
        <v/>
      </c>
      <c r="AR216" s="10">
        <f>AQ216+'02_Данные'!H216</f>
        <v/>
      </c>
      <c r="AS216" s="10">
        <f>MIN('02_Данные'!T216,AR216)</f>
        <v/>
      </c>
      <c r="AT216" s="10">
        <f>AR216-AS216</f>
        <v/>
      </c>
      <c r="AU216" s="10">
        <f>MIN('02_Данные'!U216,AT216)</f>
        <v/>
      </c>
      <c r="AV216" s="10">
        <f>AT216-AU216</f>
        <v/>
      </c>
      <c r="AW216" s="10">
        <f>MIN('02_Данные'!V216,AV216)</f>
        <v/>
      </c>
      <c r="AX216" s="10">
        <f>AV216-AW216</f>
        <v/>
      </c>
      <c r="AY216" s="10">
        <f>MIN('02_Данные'!AA216,AX216)</f>
        <v/>
      </c>
      <c r="AZ216" s="10">
        <f>AX216-AY216</f>
        <v/>
      </c>
      <c r="BA216" s="10">
        <f>MIN('02_Данные'!X216,AZ216)</f>
        <v/>
      </c>
      <c r="BB216" s="10">
        <f>AZ216-BA216</f>
        <v/>
      </c>
      <c r="BC216" s="10">
        <f>MIN('02_Данные'!W216,BB216)</f>
        <v/>
      </c>
      <c r="BD216" s="10">
        <f>BB216-BC216</f>
        <v/>
      </c>
      <c r="BE216" s="10">
        <f>MIN('02_Данные'!Y216,BD216)</f>
        <v/>
      </c>
      <c r="BF216" s="10">
        <f>BD216-BE216</f>
        <v/>
      </c>
      <c r="BG216" s="10">
        <f>MIN('02_Данные'!Z216,BF216)</f>
        <v/>
      </c>
      <c r="BH216" s="10">
        <f>BF216-BG216</f>
        <v/>
      </c>
      <c r="BI216" s="10">
        <f>BH216+'02_Данные'!I216</f>
        <v/>
      </c>
      <c r="BJ216" s="10">
        <f>MIN('02_Данные'!AB216,BI216)</f>
        <v/>
      </c>
      <c r="BK216" s="10">
        <f>BI216-BJ216</f>
        <v/>
      </c>
      <c r="BL216" s="10">
        <f>MIN('02_Данные'!AC216,BK216)</f>
        <v/>
      </c>
      <c r="BM216" s="10">
        <f>BK216-BL216</f>
        <v/>
      </c>
      <c r="BN216" s="10">
        <f>MIN('02_Данные'!AD216,BM216)</f>
        <v/>
      </c>
      <c r="BO216" s="10">
        <f>BM216-BN216</f>
        <v/>
      </c>
      <c r="BP216" s="10">
        <f>MIN('02_Данные'!AI216,BO216)</f>
        <v/>
      </c>
      <c r="BQ216" s="10">
        <f>BO216-BP216</f>
        <v/>
      </c>
      <c r="BR216" s="10">
        <f>MIN('02_Данные'!AF216,BQ216)</f>
        <v/>
      </c>
      <c r="BS216" s="10">
        <f>BQ216-BR216</f>
        <v/>
      </c>
      <c r="BT216" s="10">
        <f>MIN('02_Данные'!AE216,BS216)</f>
        <v/>
      </c>
      <c r="BU216" s="10">
        <f>BS216-BT216</f>
        <v/>
      </c>
      <c r="BV216" s="10">
        <f>MIN('02_Данные'!AG216,BU216)</f>
        <v/>
      </c>
      <c r="BW216" s="10">
        <f>BU216-BV216</f>
        <v/>
      </c>
      <c r="BX216" s="10">
        <f>MIN('02_Данные'!AH216,BW216)</f>
        <v/>
      </c>
      <c r="BY216" s="10">
        <f>BW216-BX216</f>
        <v/>
      </c>
      <c r="BZ216" s="10">
        <f>BY216+'02_Данные'!J216</f>
        <v/>
      </c>
      <c r="CA216" s="10">
        <f>MIN('02_Данные'!AJ216,BZ216)</f>
        <v/>
      </c>
      <c r="CB216" s="10">
        <f>BZ216-CA216</f>
        <v/>
      </c>
      <c r="CC216" s="10">
        <f>MIN('02_Данные'!AK216,CB216)</f>
        <v/>
      </c>
      <c r="CD216" s="10">
        <f>CB216-CC216</f>
        <v/>
      </c>
      <c r="CE216" s="10">
        <f>MIN('02_Данные'!AL216,CD216)</f>
        <v/>
      </c>
      <c r="CF216" s="10">
        <f>CD216-CE216</f>
        <v/>
      </c>
      <c r="CG216" s="10">
        <f>MIN('02_Данные'!AQ216,CF216)</f>
        <v/>
      </c>
      <c r="CH216" s="10">
        <f>CF216-CG216</f>
        <v/>
      </c>
      <c r="CI216" s="10">
        <f>MIN('02_Данные'!AN216,CH216)</f>
        <v/>
      </c>
      <c r="CJ216" s="10">
        <f>CH216-CI216</f>
        <v/>
      </c>
      <c r="CK216" s="10">
        <f>MIN('02_Данные'!AM216,CJ216)</f>
        <v/>
      </c>
      <c r="CL216" s="10">
        <f>CJ216-CK216</f>
        <v/>
      </c>
      <c r="CM216" s="10">
        <f>MIN('02_Данные'!AO216,CL216)</f>
        <v/>
      </c>
      <c r="CN216" s="10">
        <f>CL216-CM216</f>
        <v/>
      </c>
      <c r="CO216" s="10">
        <f>MIN('02_Данные'!AP216,CN216)</f>
        <v/>
      </c>
      <c r="CP216" s="10">
        <f>CN216-CO216</f>
        <v/>
      </c>
      <c r="CQ216" s="10">
        <f>CP216+'02_Данные'!K216</f>
        <v/>
      </c>
      <c r="CR216" s="10">
        <f>MIN('02_Данные'!AR216,CQ216)</f>
        <v/>
      </c>
      <c r="CS216" s="10">
        <f>CQ216-CR216</f>
        <v/>
      </c>
      <c r="CT216" s="10">
        <f>MIN('02_Данные'!AS216,CS216)</f>
        <v/>
      </c>
      <c r="CU216" s="10">
        <f>CS216-CT216</f>
        <v/>
      </c>
      <c r="CV216" s="10">
        <f>MIN('02_Данные'!AT216,CU216)</f>
        <v/>
      </c>
      <c r="CW216" s="10">
        <f>CU216-CV216</f>
        <v/>
      </c>
      <c r="CX216" s="10">
        <f>MIN('02_Данные'!AY216,CW216)</f>
        <v/>
      </c>
      <c r="CY216" s="10">
        <f>CW216-CX216</f>
        <v/>
      </c>
      <c r="CZ216" s="10">
        <f>MIN('02_Данные'!AV216,CY216)</f>
        <v/>
      </c>
      <c r="DA216" s="10">
        <f>CY216-CZ216</f>
        <v/>
      </c>
      <c r="DB216" s="10">
        <f>MIN('02_Данные'!AU216,DA216)</f>
        <v/>
      </c>
      <c r="DC216" s="10">
        <f>DA216-DB216</f>
        <v/>
      </c>
      <c r="DD216" s="10">
        <f>MIN('02_Данные'!AW216,DC216)</f>
        <v/>
      </c>
      <c r="DE216" s="10">
        <f>DC216-DD216</f>
        <v/>
      </c>
      <c r="DF216" s="10">
        <f>MIN('02_Данные'!AX216,DE216)</f>
        <v/>
      </c>
      <c r="DG216" s="10">
        <f>DE216-DF216</f>
        <v/>
      </c>
    </row>
    <row r="217">
      <c r="A217" s="9">
        <f>'02_Данные'!B217</f>
        <v/>
      </c>
      <c r="B217" s="9">
        <f>'02_Данные'!E217</f>
        <v/>
      </c>
      <c r="C217" s="10">
        <f>'02_Данные'!F217+'02_Данные'!G217+'02_Данные'!H217+'02_Данные'!I217+'02_Данные'!J217+'02_Данные'!K217</f>
        <v/>
      </c>
      <c r="D217" s="10">
        <f>SUM('02_Данные'!L217:'02_Данные'!AY217)</f>
        <v/>
      </c>
      <c r="E217" s="10">
        <f>MAX(0,D217-C217)</f>
        <v/>
      </c>
      <c r="F217" s="15">
        <f>IF(E217&gt;0.0001,"ДЕФИЦИТ",IF(Y217&gt;0.0001,"ПРОФИЦИТ","БАЛАНС"))</f>
        <v/>
      </c>
      <c r="G217" s="10">
        <f>AB217+AS217+BJ217+CA217+CR217</f>
        <v/>
      </c>
      <c r="H217" s="10">
        <f>AD217+AU217+BL217+CC217+CT217</f>
        <v/>
      </c>
      <c r="I217" s="10">
        <f>AF217+AW217+BN217+CE217+CV217</f>
        <v/>
      </c>
      <c r="J217" s="10">
        <f>AL217+BC217+BT217+CK217+DB217</f>
        <v/>
      </c>
      <c r="K217" s="10">
        <f>AJ217+BA217+BR217+CI217+CZ217</f>
        <v/>
      </c>
      <c r="L217" s="10">
        <f>AN217+BE217+BV217+CM217+DD217</f>
        <v/>
      </c>
      <c r="M217" s="10">
        <f>AP217+BG217+BX217+CO217+DF217</f>
        <v/>
      </c>
      <c r="N217" s="10">
        <f>AH217+AY217+BP217+CG217+CX217</f>
        <v/>
      </c>
      <c r="O217" s="10">
        <f>SUM(G217:N217)</f>
        <v/>
      </c>
      <c r="P217" s="10">
        <f>IFERROR(G217*MIN(1,'01_Нормативы'!$C$4/SUM(G$2:G$429)),0)</f>
        <v/>
      </c>
      <c r="Q217" s="10">
        <f>IFERROR(H217*MIN(1,'01_Нормативы'!$C$5/SUM(H$2:H$429)),0)</f>
        <v/>
      </c>
      <c r="R217" s="10">
        <f>IFERROR(I217*MIN(1,'01_Нормативы'!$C$6/SUM(I$2:I$429)),0)</f>
        <v/>
      </c>
      <c r="S217" s="10">
        <f>IFERROR(J217*MIN(1,'01_Нормативы'!$C$7/SUM(J$2:J$429)),0)</f>
        <v/>
      </c>
      <c r="T217" s="10">
        <f>IFERROR(K217*MIN(1,'01_Нормативы'!$C$8/SUM(K$2:K$429)),0)</f>
        <v/>
      </c>
      <c r="U217" s="10">
        <f>IFERROR(L217*MIN(1,'01_Нормативы'!$C$9/SUM(L$2:L$429)),0)</f>
        <v/>
      </c>
      <c r="V217" s="10">
        <f>IFERROR(M217*MIN(1,'01_Нормативы'!$C$10/SUM(M$2:M$429)),0)</f>
        <v/>
      </c>
      <c r="W217" s="10">
        <f>IFERROR(N217*MIN(1,'01_Нормативы'!$C$11/SUM(N$2:N$429)),0)</f>
        <v/>
      </c>
      <c r="X217" s="10">
        <f>SUM(P217:W217)</f>
        <v/>
      </c>
      <c r="Y217" s="10">
        <f>MAX(0,C217-X217)</f>
        <v/>
      </c>
      <c r="Z217" s="10">
        <f>IF(D217=0,100,X217/D217*100)</f>
        <v/>
      </c>
      <c r="AA217" s="10">
        <f>'02_Данные'!F217+'02_Данные'!G217</f>
        <v/>
      </c>
      <c r="AB217" s="10">
        <f>MIN('02_Данные'!L217,AA217)</f>
        <v/>
      </c>
      <c r="AC217" s="10">
        <f>AA217-AB217</f>
        <v/>
      </c>
      <c r="AD217" s="10">
        <f>MIN('02_Данные'!M217,AC217)</f>
        <v/>
      </c>
      <c r="AE217" s="10">
        <f>AC217-AD217</f>
        <v/>
      </c>
      <c r="AF217" s="10">
        <f>MIN('02_Данные'!N217,AE217)</f>
        <v/>
      </c>
      <c r="AG217" s="10">
        <f>AE217-AF217</f>
        <v/>
      </c>
      <c r="AH217" s="10">
        <f>MIN('02_Данные'!S217,AG217)</f>
        <v/>
      </c>
      <c r="AI217" s="10">
        <f>AG217-AH217</f>
        <v/>
      </c>
      <c r="AJ217" s="10">
        <f>MIN('02_Данные'!P217,AI217)</f>
        <v/>
      </c>
      <c r="AK217" s="10">
        <f>AI217-AJ217</f>
        <v/>
      </c>
      <c r="AL217" s="10">
        <f>MIN('02_Данные'!O217,AK217)</f>
        <v/>
      </c>
      <c r="AM217" s="10">
        <f>AK217-AL217</f>
        <v/>
      </c>
      <c r="AN217" s="10">
        <f>MIN('02_Данные'!Q217,AM217)</f>
        <v/>
      </c>
      <c r="AO217" s="10">
        <f>AM217-AN217</f>
        <v/>
      </c>
      <c r="AP217" s="10">
        <f>MIN('02_Данные'!R217,AO217)</f>
        <v/>
      </c>
      <c r="AQ217" s="10">
        <f>AO217-AP217</f>
        <v/>
      </c>
      <c r="AR217" s="10">
        <f>AQ217+'02_Данные'!H217</f>
        <v/>
      </c>
      <c r="AS217" s="10">
        <f>MIN('02_Данные'!T217,AR217)</f>
        <v/>
      </c>
      <c r="AT217" s="10">
        <f>AR217-AS217</f>
        <v/>
      </c>
      <c r="AU217" s="10">
        <f>MIN('02_Данные'!U217,AT217)</f>
        <v/>
      </c>
      <c r="AV217" s="10">
        <f>AT217-AU217</f>
        <v/>
      </c>
      <c r="AW217" s="10">
        <f>MIN('02_Данные'!V217,AV217)</f>
        <v/>
      </c>
      <c r="AX217" s="10">
        <f>AV217-AW217</f>
        <v/>
      </c>
      <c r="AY217" s="10">
        <f>MIN('02_Данные'!AA217,AX217)</f>
        <v/>
      </c>
      <c r="AZ217" s="10">
        <f>AX217-AY217</f>
        <v/>
      </c>
      <c r="BA217" s="10">
        <f>MIN('02_Данные'!X217,AZ217)</f>
        <v/>
      </c>
      <c r="BB217" s="10">
        <f>AZ217-BA217</f>
        <v/>
      </c>
      <c r="BC217" s="10">
        <f>MIN('02_Данные'!W217,BB217)</f>
        <v/>
      </c>
      <c r="BD217" s="10">
        <f>BB217-BC217</f>
        <v/>
      </c>
      <c r="BE217" s="10">
        <f>MIN('02_Данные'!Y217,BD217)</f>
        <v/>
      </c>
      <c r="BF217" s="10">
        <f>BD217-BE217</f>
        <v/>
      </c>
      <c r="BG217" s="10">
        <f>MIN('02_Данные'!Z217,BF217)</f>
        <v/>
      </c>
      <c r="BH217" s="10">
        <f>BF217-BG217</f>
        <v/>
      </c>
      <c r="BI217" s="10">
        <f>BH217+'02_Данные'!I217</f>
        <v/>
      </c>
      <c r="BJ217" s="10">
        <f>MIN('02_Данные'!AB217,BI217)</f>
        <v/>
      </c>
      <c r="BK217" s="10">
        <f>BI217-BJ217</f>
        <v/>
      </c>
      <c r="BL217" s="10">
        <f>MIN('02_Данные'!AC217,BK217)</f>
        <v/>
      </c>
      <c r="BM217" s="10">
        <f>BK217-BL217</f>
        <v/>
      </c>
      <c r="BN217" s="10">
        <f>MIN('02_Данные'!AD217,BM217)</f>
        <v/>
      </c>
      <c r="BO217" s="10">
        <f>BM217-BN217</f>
        <v/>
      </c>
      <c r="BP217" s="10">
        <f>MIN('02_Данные'!AI217,BO217)</f>
        <v/>
      </c>
      <c r="BQ217" s="10">
        <f>BO217-BP217</f>
        <v/>
      </c>
      <c r="BR217" s="10">
        <f>MIN('02_Данные'!AF217,BQ217)</f>
        <v/>
      </c>
      <c r="BS217" s="10">
        <f>BQ217-BR217</f>
        <v/>
      </c>
      <c r="BT217" s="10">
        <f>MIN('02_Данные'!AE217,BS217)</f>
        <v/>
      </c>
      <c r="BU217" s="10">
        <f>BS217-BT217</f>
        <v/>
      </c>
      <c r="BV217" s="10">
        <f>MIN('02_Данные'!AG217,BU217)</f>
        <v/>
      </c>
      <c r="BW217" s="10">
        <f>BU217-BV217</f>
        <v/>
      </c>
      <c r="BX217" s="10">
        <f>MIN('02_Данные'!AH217,BW217)</f>
        <v/>
      </c>
      <c r="BY217" s="10">
        <f>BW217-BX217</f>
        <v/>
      </c>
      <c r="BZ217" s="10">
        <f>BY217+'02_Данные'!J217</f>
        <v/>
      </c>
      <c r="CA217" s="10">
        <f>MIN('02_Данные'!AJ217,BZ217)</f>
        <v/>
      </c>
      <c r="CB217" s="10">
        <f>BZ217-CA217</f>
        <v/>
      </c>
      <c r="CC217" s="10">
        <f>MIN('02_Данные'!AK217,CB217)</f>
        <v/>
      </c>
      <c r="CD217" s="10">
        <f>CB217-CC217</f>
        <v/>
      </c>
      <c r="CE217" s="10">
        <f>MIN('02_Данные'!AL217,CD217)</f>
        <v/>
      </c>
      <c r="CF217" s="10">
        <f>CD217-CE217</f>
        <v/>
      </c>
      <c r="CG217" s="10">
        <f>MIN('02_Данные'!AQ217,CF217)</f>
        <v/>
      </c>
      <c r="CH217" s="10">
        <f>CF217-CG217</f>
        <v/>
      </c>
      <c r="CI217" s="10">
        <f>MIN('02_Данные'!AN217,CH217)</f>
        <v/>
      </c>
      <c r="CJ217" s="10">
        <f>CH217-CI217</f>
        <v/>
      </c>
      <c r="CK217" s="10">
        <f>MIN('02_Данные'!AM217,CJ217)</f>
        <v/>
      </c>
      <c r="CL217" s="10">
        <f>CJ217-CK217</f>
        <v/>
      </c>
      <c r="CM217" s="10">
        <f>MIN('02_Данные'!AO217,CL217)</f>
        <v/>
      </c>
      <c r="CN217" s="10">
        <f>CL217-CM217</f>
        <v/>
      </c>
      <c r="CO217" s="10">
        <f>MIN('02_Данные'!AP217,CN217)</f>
        <v/>
      </c>
      <c r="CP217" s="10">
        <f>CN217-CO217</f>
        <v/>
      </c>
      <c r="CQ217" s="10">
        <f>CP217+'02_Данные'!K217</f>
        <v/>
      </c>
      <c r="CR217" s="10">
        <f>MIN('02_Данные'!AR217,CQ217)</f>
        <v/>
      </c>
      <c r="CS217" s="10">
        <f>CQ217-CR217</f>
        <v/>
      </c>
      <c r="CT217" s="10">
        <f>MIN('02_Данные'!AS217,CS217)</f>
        <v/>
      </c>
      <c r="CU217" s="10">
        <f>CS217-CT217</f>
        <v/>
      </c>
      <c r="CV217" s="10">
        <f>MIN('02_Данные'!AT217,CU217)</f>
        <v/>
      </c>
      <c r="CW217" s="10">
        <f>CU217-CV217</f>
        <v/>
      </c>
      <c r="CX217" s="10">
        <f>MIN('02_Данные'!AY217,CW217)</f>
        <v/>
      </c>
      <c r="CY217" s="10">
        <f>CW217-CX217</f>
        <v/>
      </c>
      <c r="CZ217" s="10">
        <f>MIN('02_Данные'!AV217,CY217)</f>
        <v/>
      </c>
      <c r="DA217" s="10">
        <f>CY217-CZ217</f>
        <v/>
      </c>
      <c r="DB217" s="10">
        <f>MIN('02_Данные'!AU217,DA217)</f>
        <v/>
      </c>
      <c r="DC217" s="10">
        <f>DA217-DB217</f>
        <v/>
      </c>
      <c r="DD217" s="10">
        <f>MIN('02_Данные'!AW217,DC217)</f>
        <v/>
      </c>
      <c r="DE217" s="10">
        <f>DC217-DD217</f>
        <v/>
      </c>
      <c r="DF217" s="10">
        <f>MIN('02_Данные'!AX217,DE217)</f>
        <v/>
      </c>
      <c r="DG217" s="10">
        <f>DE217-DF217</f>
        <v/>
      </c>
    </row>
    <row r="218">
      <c r="A218" s="9">
        <f>'02_Данные'!B218</f>
        <v/>
      </c>
      <c r="B218" s="9">
        <f>'02_Данные'!E218</f>
        <v/>
      </c>
      <c r="C218" s="10">
        <f>'02_Данные'!F218+'02_Данные'!G218+'02_Данные'!H218+'02_Данные'!I218+'02_Данные'!J218+'02_Данные'!K218</f>
        <v/>
      </c>
      <c r="D218" s="10">
        <f>SUM('02_Данные'!L218:'02_Данные'!AY218)</f>
        <v/>
      </c>
      <c r="E218" s="10">
        <f>MAX(0,D218-C218)</f>
        <v/>
      </c>
      <c r="F218" s="15">
        <f>IF(E218&gt;0.0001,"ДЕФИЦИТ",IF(Y218&gt;0.0001,"ПРОФИЦИТ","БАЛАНС"))</f>
        <v/>
      </c>
      <c r="G218" s="10">
        <f>AB218+AS218+BJ218+CA218+CR218</f>
        <v/>
      </c>
      <c r="H218" s="10">
        <f>AD218+AU218+BL218+CC218+CT218</f>
        <v/>
      </c>
      <c r="I218" s="10">
        <f>AF218+AW218+BN218+CE218+CV218</f>
        <v/>
      </c>
      <c r="J218" s="10">
        <f>AL218+BC218+BT218+CK218+DB218</f>
        <v/>
      </c>
      <c r="K218" s="10">
        <f>AJ218+BA218+BR218+CI218+CZ218</f>
        <v/>
      </c>
      <c r="L218" s="10">
        <f>AN218+BE218+BV218+CM218+DD218</f>
        <v/>
      </c>
      <c r="M218" s="10">
        <f>AP218+BG218+BX218+CO218+DF218</f>
        <v/>
      </c>
      <c r="N218" s="10">
        <f>AH218+AY218+BP218+CG218+CX218</f>
        <v/>
      </c>
      <c r="O218" s="10">
        <f>SUM(G218:N218)</f>
        <v/>
      </c>
      <c r="P218" s="10">
        <f>IFERROR(G218*MIN(1,'01_Нормативы'!$C$4/SUM(G$2:G$429)),0)</f>
        <v/>
      </c>
      <c r="Q218" s="10">
        <f>IFERROR(H218*MIN(1,'01_Нормативы'!$C$5/SUM(H$2:H$429)),0)</f>
        <v/>
      </c>
      <c r="R218" s="10">
        <f>IFERROR(I218*MIN(1,'01_Нормативы'!$C$6/SUM(I$2:I$429)),0)</f>
        <v/>
      </c>
      <c r="S218" s="10">
        <f>IFERROR(J218*MIN(1,'01_Нормативы'!$C$7/SUM(J$2:J$429)),0)</f>
        <v/>
      </c>
      <c r="T218" s="10">
        <f>IFERROR(K218*MIN(1,'01_Нормативы'!$C$8/SUM(K$2:K$429)),0)</f>
        <v/>
      </c>
      <c r="U218" s="10">
        <f>IFERROR(L218*MIN(1,'01_Нормативы'!$C$9/SUM(L$2:L$429)),0)</f>
        <v/>
      </c>
      <c r="V218" s="10">
        <f>IFERROR(M218*MIN(1,'01_Нормативы'!$C$10/SUM(M$2:M$429)),0)</f>
        <v/>
      </c>
      <c r="W218" s="10">
        <f>IFERROR(N218*MIN(1,'01_Нормативы'!$C$11/SUM(N$2:N$429)),0)</f>
        <v/>
      </c>
      <c r="X218" s="10">
        <f>SUM(P218:W218)</f>
        <v/>
      </c>
      <c r="Y218" s="10">
        <f>MAX(0,C218-X218)</f>
        <v/>
      </c>
      <c r="Z218" s="10">
        <f>IF(D218=0,100,X218/D218*100)</f>
        <v/>
      </c>
      <c r="AA218" s="10">
        <f>'02_Данные'!F218+'02_Данные'!G218</f>
        <v/>
      </c>
      <c r="AB218" s="10">
        <f>MIN('02_Данные'!L218,AA218)</f>
        <v/>
      </c>
      <c r="AC218" s="10">
        <f>AA218-AB218</f>
        <v/>
      </c>
      <c r="AD218" s="10">
        <f>MIN('02_Данные'!M218,AC218)</f>
        <v/>
      </c>
      <c r="AE218" s="10">
        <f>AC218-AD218</f>
        <v/>
      </c>
      <c r="AF218" s="10">
        <f>MIN('02_Данные'!N218,AE218)</f>
        <v/>
      </c>
      <c r="AG218" s="10">
        <f>AE218-AF218</f>
        <v/>
      </c>
      <c r="AH218" s="10">
        <f>MIN('02_Данные'!S218,AG218)</f>
        <v/>
      </c>
      <c r="AI218" s="10">
        <f>AG218-AH218</f>
        <v/>
      </c>
      <c r="AJ218" s="10">
        <f>MIN('02_Данные'!P218,AI218)</f>
        <v/>
      </c>
      <c r="AK218" s="10">
        <f>AI218-AJ218</f>
        <v/>
      </c>
      <c r="AL218" s="10">
        <f>MIN('02_Данные'!O218,AK218)</f>
        <v/>
      </c>
      <c r="AM218" s="10">
        <f>AK218-AL218</f>
        <v/>
      </c>
      <c r="AN218" s="10">
        <f>MIN('02_Данные'!Q218,AM218)</f>
        <v/>
      </c>
      <c r="AO218" s="10">
        <f>AM218-AN218</f>
        <v/>
      </c>
      <c r="AP218" s="10">
        <f>MIN('02_Данные'!R218,AO218)</f>
        <v/>
      </c>
      <c r="AQ218" s="10">
        <f>AO218-AP218</f>
        <v/>
      </c>
      <c r="AR218" s="10">
        <f>AQ218+'02_Данные'!H218</f>
        <v/>
      </c>
      <c r="AS218" s="10">
        <f>MIN('02_Данные'!T218,AR218)</f>
        <v/>
      </c>
      <c r="AT218" s="10">
        <f>AR218-AS218</f>
        <v/>
      </c>
      <c r="AU218" s="10">
        <f>MIN('02_Данные'!U218,AT218)</f>
        <v/>
      </c>
      <c r="AV218" s="10">
        <f>AT218-AU218</f>
        <v/>
      </c>
      <c r="AW218" s="10">
        <f>MIN('02_Данные'!V218,AV218)</f>
        <v/>
      </c>
      <c r="AX218" s="10">
        <f>AV218-AW218</f>
        <v/>
      </c>
      <c r="AY218" s="10">
        <f>MIN('02_Данные'!AA218,AX218)</f>
        <v/>
      </c>
      <c r="AZ218" s="10">
        <f>AX218-AY218</f>
        <v/>
      </c>
      <c r="BA218" s="10">
        <f>MIN('02_Данные'!X218,AZ218)</f>
        <v/>
      </c>
      <c r="BB218" s="10">
        <f>AZ218-BA218</f>
        <v/>
      </c>
      <c r="BC218" s="10">
        <f>MIN('02_Данные'!W218,BB218)</f>
        <v/>
      </c>
      <c r="BD218" s="10">
        <f>BB218-BC218</f>
        <v/>
      </c>
      <c r="BE218" s="10">
        <f>MIN('02_Данные'!Y218,BD218)</f>
        <v/>
      </c>
      <c r="BF218" s="10">
        <f>BD218-BE218</f>
        <v/>
      </c>
      <c r="BG218" s="10">
        <f>MIN('02_Данные'!Z218,BF218)</f>
        <v/>
      </c>
      <c r="BH218" s="10">
        <f>BF218-BG218</f>
        <v/>
      </c>
      <c r="BI218" s="10">
        <f>BH218+'02_Данные'!I218</f>
        <v/>
      </c>
      <c r="BJ218" s="10">
        <f>MIN('02_Данные'!AB218,BI218)</f>
        <v/>
      </c>
      <c r="BK218" s="10">
        <f>BI218-BJ218</f>
        <v/>
      </c>
      <c r="BL218" s="10">
        <f>MIN('02_Данные'!AC218,BK218)</f>
        <v/>
      </c>
      <c r="BM218" s="10">
        <f>BK218-BL218</f>
        <v/>
      </c>
      <c r="BN218" s="10">
        <f>MIN('02_Данные'!AD218,BM218)</f>
        <v/>
      </c>
      <c r="BO218" s="10">
        <f>BM218-BN218</f>
        <v/>
      </c>
      <c r="BP218" s="10">
        <f>MIN('02_Данные'!AI218,BO218)</f>
        <v/>
      </c>
      <c r="BQ218" s="10">
        <f>BO218-BP218</f>
        <v/>
      </c>
      <c r="BR218" s="10">
        <f>MIN('02_Данные'!AF218,BQ218)</f>
        <v/>
      </c>
      <c r="BS218" s="10">
        <f>BQ218-BR218</f>
        <v/>
      </c>
      <c r="BT218" s="10">
        <f>MIN('02_Данные'!AE218,BS218)</f>
        <v/>
      </c>
      <c r="BU218" s="10">
        <f>BS218-BT218</f>
        <v/>
      </c>
      <c r="BV218" s="10">
        <f>MIN('02_Данные'!AG218,BU218)</f>
        <v/>
      </c>
      <c r="BW218" s="10">
        <f>BU218-BV218</f>
        <v/>
      </c>
      <c r="BX218" s="10">
        <f>MIN('02_Данные'!AH218,BW218)</f>
        <v/>
      </c>
      <c r="BY218" s="10">
        <f>BW218-BX218</f>
        <v/>
      </c>
      <c r="BZ218" s="10">
        <f>BY218+'02_Данные'!J218</f>
        <v/>
      </c>
      <c r="CA218" s="10">
        <f>MIN('02_Данные'!AJ218,BZ218)</f>
        <v/>
      </c>
      <c r="CB218" s="10">
        <f>BZ218-CA218</f>
        <v/>
      </c>
      <c r="CC218" s="10">
        <f>MIN('02_Данные'!AK218,CB218)</f>
        <v/>
      </c>
      <c r="CD218" s="10">
        <f>CB218-CC218</f>
        <v/>
      </c>
      <c r="CE218" s="10">
        <f>MIN('02_Данные'!AL218,CD218)</f>
        <v/>
      </c>
      <c r="CF218" s="10">
        <f>CD218-CE218</f>
        <v/>
      </c>
      <c r="CG218" s="10">
        <f>MIN('02_Данные'!AQ218,CF218)</f>
        <v/>
      </c>
      <c r="CH218" s="10">
        <f>CF218-CG218</f>
        <v/>
      </c>
      <c r="CI218" s="10">
        <f>MIN('02_Данные'!AN218,CH218)</f>
        <v/>
      </c>
      <c r="CJ218" s="10">
        <f>CH218-CI218</f>
        <v/>
      </c>
      <c r="CK218" s="10">
        <f>MIN('02_Данные'!AM218,CJ218)</f>
        <v/>
      </c>
      <c r="CL218" s="10">
        <f>CJ218-CK218</f>
        <v/>
      </c>
      <c r="CM218" s="10">
        <f>MIN('02_Данные'!AO218,CL218)</f>
        <v/>
      </c>
      <c r="CN218" s="10">
        <f>CL218-CM218</f>
        <v/>
      </c>
      <c r="CO218" s="10">
        <f>MIN('02_Данные'!AP218,CN218)</f>
        <v/>
      </c>
      <c r="CP218" s="10">
        <f>CN218-CO218</f>
        <v/>
      </c>
      <c r="CQ218" s="10">
        <f>CP218+'02_Данные'!K218</f>
        <v/>
      </c>
      <c r="CR218" s="10">
        <f>MIN('02_Данные'!AR218,CQ218)</f>
        <v/>
      </c>
      <c r="CS218" s="10">
        <f>CQ218-CR218</f>
        <v/>
      </c>
      <c r="CT218" s="10">
        <f>MIN('02_Данные'!AS218,CS218)</f>
        <v/>
      </c>
      <c r="CU218" s="10">
        <f>CS218-CT218</f>
        <v/>
      </c>
      <c r="CV218" s="10">
        <f>MIN('02_Данные'!AT218,CU218)</f>
        <v/>
      </c>
      <c r="CW218" s="10">
        <f>CU218-CV218</f>
        <v/>
      </c>
      <c r="CX218" s="10">
        <f>MIN('02_Данные'!AY218,CW218)</f>
        <v/>
      </c>
      <c r="CY218" s="10">
        <f>CW218-CX218</f>
        <v/>
      </c>
      <c r="CZ218" s="10">
        <f>MIN('02_Данные'!AV218,CY218)</f>
        <v/>
      </c>
      <c r="DA218" s="10">
        <f>CY218-CZ218</f>
        <v/>
      </c>
      <c r="DB218" s="10">
        <f>MIN('02_Данные'!AU218,DA218)</f>
        <v/>
      </c>
      <c r="DC218" s="10">
        <f>DA218-DB218</f>
        <v/>
      </c>
      <c r="DD218" s="10">
        <f>MIN('02_Данные'!AW218,DC218)</f>
        <v/>
      </c>
      <c r="DE218" s="10">
        <f>DC218-DD218</f>
        <v/>
      </c>
      <c r="DF218" s="10">
        <f>MIN('02_Данные'!AX218,DE218)</f>
        <v/>
      </c>
      <c r="DG218" s="10">
        <f>DE218-DF218</f>
        <v/>
      </c>
    </row>
    <row r="219">
      <c r="A219" s="9">
        <f>'02_Данные'!B219</f>
        <v/>
      </c>
      <c r="B219" s="9">
        <f>'02_Данные'!E219</f>
        <v/>
      </c>
      <c r="C219" s="10">
        <f>'02_Данные'!F219+'02_Данные'!G219+'02_Данные'!H219+'02_Данные'!I219+'02_Данные'!J219+'02_Данные'!K219</f>
        <v/>
      </c>
      <c r="D219" s="10">
        <f>SUM('02_Данные'!L219:'02_Данные'!AY219)</f>
        <v/>
      </c>
      <c r="E219" s="10">
        <f>MAX(0,D219-C219)</f>
        <v/>
      </c>
      <c r="F219" s="15">
        <f>IF(E219&gt;0.0001,"ДЕФИЦИТ",IF(Y219&gt;0.0001,"ПРОФИЦИТ","БАЛАНС"))</f>
        <v/>
      </c>
      <c r="G219" s="10">
        <f>AB219+AS219+BJ219+CA219+CR219</f>
        <v/>
      </c>
      <c r="H219" s="10">
        <f>AD219+AU219+BL219+CC219+CT219</f>
        <v/>
      </c>
      <c r="I219" s="10">
        <f>AF219+AW219+BN219+CE219+CV219</f>
        <v/>
      </c>
      <c r="J219" s="10">
        <f>AL219+BC219+BT219+CK219+DB219</f>
        <v/>
      </c>
      <c r="K219" s="10">
        <f>AJ219+BA219+BR219+CI219+CZ219</f>
        <v/>
      </c>
      <c r="L219" s="10">
        <f>AN219+BE219+BV219+CM219+DD219</f>
        <v/>
      </c>
      <c r="M219" s="10">
        <f>AP219+BG219+BX219+CO219+DF219</f>
        <v/>
      </c>
      <c r="N219" s="10">
        <f>AH219+AY219+BP219+CG219+CX219</f>
        <v/>
      </c>
      <c r="O219" s="10">
        <f>SUM(G219:N219)</f>
        <v/>
      </c>
      <c r="P219" s="10">
        <f>IFERROR(G219*MIN(1,'01_Нормативы'!$C$4/SUM(G$2:G$429)),0)</f>
        <v/>
      </c>
      <c r="Q219" s="10">
        <f>IFERROR(H219*MIN(1,'01_Нормативы'!$C$5/SUM(H$2:H$429)),0)</f>
        <v/>
      </c>
      <c r="R219" s="10">
        <f>IFERROR(I219*MIN(1,'01_Нормативы'!$C$6/SUM(I$2:I$429)),0)</f>
        <v/>
      </c>
      <c r="S219" s="10">
        <f>IFERROR(J219*MIN(1,'01_Нормативы'!$C$7/SUM(J$2:J$429)),0)</f>
        <v/>
      </c>
      <c r="T219" s="10">
        <f>IFERROR(K219*MIN(1,'01_Нормативы'!$C$8/SUM(K$2:K$429)),0)</f>
        <v/>
      </c>
      <c r="U219" s="10">
        <f>IFERROR(L219*MIN(1,'01_Нормативы'!$C$9/SUM(L$2:L$429)),0)</f>
        <v/>
      </c>
      <c r="V219" s="10">
        <f>IFERROR(M219*MIN(1,'01_Нормативы'!$C$10/SUM(M$2:M$429)),0)</f>
        <v/>
      </c>
      <c r="W219" s="10">
        <f>IFERROR(N219*MIN(1,'01_Нормативы'!$C$11/SUM(N$2:N$429)),0)</f>
        <v/>
      </c>
      <c r="X219" s="10">
        <f>SUM(P219:W219)</f>
        <v/>
      </c>
      <c r="Y219" s="10">
        <f>MAX(0,C219-X219)</f>
        <v/>
      </c>
      <c r="Z219" s="10">
        <f>IF(D219=0,100,X219/D219*100)</f>
        <v/>
      </c>
      <c r="AA219" s="10">
        <f>'02_Данные'!F219+'02_Данные'!G219</f>
        <v/>
      </c>
      <c r="AB219" s="10">
        <f>MIN('02_Данные'!L219,AA219)</f>
        <v/>
      </c>
      <c r="AC219" s="10">
        <f>AA219-AB219</f>
        <v/>
      </c>
      <c r="AD219" s="10">
        <f>MIN('02_Данные'!M219,AC219)</f>
        <v/>
      </c>
      <c r="AE219" s="10">
        <f>AC219-AD219</f>
        <v/>
      </c>
      <c r="AF219" s="10">
        <f>MIN('02_Данные'!N219,AE219)</f>
        <v/>
      </c>
      <c r="AG219" s="10">
        <f>AE219-AF219</f>
        <v/>
      </c>
      <c r="AH219" s="10">
        <f>MIN('02_Данные'!S219,AG219)</f>
        <v/>
      </c>
      <c r="AI219" s="10">
        <f>AG219-AH219</f>
        <v/>
      </c>
      <c r="AJ219" s="10">
        <f>MIN('02_Данные'!P219,AI219)</f>
        <v/>
      </c>
      <c r="AK219" s="10">
        <f>AI219-AJ219</f>
        <v/>
      </c>
      <c r="AL219" s="10">
        <f>MIN('02_Данные'!O219,AK219)</f>
        <v/>
      </c>
      <c r="AM219" s="10">
        <f>AK219-AL219</f>
        <v/>
      </c>
      <c r="AN219" s="10">
        <f>MIN('02_Данные'!Q219,AM219)</f>
        <v/>
      </c>
      <c r="AO219" s="10">
        <f>AM219-AN219</f>
        <v/>
      </c>
      <c r="AP219" s="10">
        <f>MIN('02_Данные'!R219,AO219)</f>
        <v/>
      </c>
      <c r="AQ219" s="10">
        <f>AO219-AP219</f>
        <v/>
      </c>
      <c r="AR219" s="10">
        <f>AQ219+'02_Данные'!H219</f>
        <v/>
      </c>
      <c r="AS219" s="10">
        <f>MIN('02_Данные'!T219,AR219)</f>
        <v/>
      </c>
      <c r="AT219" s="10">
        <f>AR219-AS219</f>
        <v/>
      </c>
      <c r="AU219" s="10">
        <f>MIN('02_Данные'!U219,AT219)</f>
        <v/>
      </c>
      <c r="AV219" s="10">
        <f>AT219-AU219</f>
        <v/>
      </c>
      <c r="AW219" s="10">
        <f>MIN('02_Данные'!V219,AV219)</f>
        <v/>
      </c>
      <c r="AX219" s="10">
        <f>AV219-AW219</f>
        <v/>
      </c>
      <c r="AY219" s="10">
        <f>MIN('02_Данные'!AA219,AX219)</f>
        <v/>
      </c>
      <c r="AZ219" s="10">
        <f>AX219-AY219</f>
        <v/>
      </c>
      <c r="BA219" s="10">
        <f>MIN('02_Данные'!X219,AZ219)</f>
        <v/>
      </c>
      <c r="BB219" s="10">
        <f>AZ219-BA219</f>
        <v/>
      </c>
      <c r="BC219" s="10">
        <f>MIN('02_Данные'!W219,BB219)</f>
        <v/>
      </c>
      <c r="BD219" s="10">
        <f>BB219-BC219</f>
        <v/>
      </c>
      <c r="BE219" s="10">
        <f>MIN('02_Данные'!Y219,BD219)</f>
        <v/>
      </c>
      <c r="BF219" s="10">
        <f>BD219-BE219</f>
        <v/>
      </c>
      <c r="BG219" s="10">
        <f>MIN('02_Данные'!Z219,BF219)</f>
        <v/>
      </c>
      <c r="BH219" s="10">
        <f>BF219-BG219</f>
        <v/>
      </c>
      <c r="BI219" s="10">
        <f>BH219+'02_Данные'!I219</f>
        <v/>
      </c>
      <c r="BJ219" s="10">
        <f>MIN('02_Данные'!AB219,BI219)</f>
        <v/>
      </c>
      <c r="BK219" s="10">
        <f>BI219-BJ219</f>
        <v/>
      </c>
      <c r="BL219" s="10">
        <f>MIN('02_Данные'!AC219,BK219)</f>
        <v/>
      </c>
      <c r="BM219" s="10">
        <f>BK219-BL219</f>
        <v/>
      </c>
      <c r="BN219" s="10">
        <f>MIN('02_Данные'!AD219,BM219)</f>
        <v/>
      </c>
      <c r="BO219" s="10">
        <f>BM219-BN219</f>
        <v/>
      </c>
      <c r="BP219" s="10">
        <f>MIN('02_Данные'!AI219,BO219)</f>
        <v/>
      </c>
      <c r="BQ219" s="10">
        <f>BO219-BP219</f>
        <v/>
      </c>
      <c r="BR219" s="10">
        <f>MIN('02_Данные'!AF219,BQ219)</f>
        <v/>
      </c>
      <c r="BS219" s="10">
        <f>BQ219-BR219</f>
        <v/>
      </c>
      <c r="BT219" s="10">
        <f>MIN('02_Данные'!AE219,BS219)</f>
        <v/>
      </c>
      <c r="BU219" s="10">
        <f>BS219-BT219</f>
        <v/>
      </c>
      <c r="BV219" s="10">
        <f>MIN('02_Данные'!AG219,BU219)</f>
        <v/>
      </c>
      <c r="BW219" s="10">
        <f>BU219-BV219</f>
        <v/>
      </c>
      <c r="BX219" s="10">
        <f>MIN('02_Данные'!AH219,BW219)</f>
        <v/>
      </c>
      <c r="BY219" s="10">
        <f>BW219-BX219</f>
        <v/>
      </c>
      <c r="BZ219" s="10">
        <f>BY219+'02_Данные'!J219</f>
        <v/>
      </c>
      <c r="CA219" s="10">
        <f>MIN('02_Данные'!AJ219,BZ219)</f>
        <v/>
      </c>
      <c r="CB219" s="10">
        <f>BZ219-CA219</f>
        <v/>
      </c>
      <c r="CC219" s="10">
        <f>MIN('02_Данные'!AK219,CB219)</f>
        <v/>
      </c>
      <c r="CD219" s="10">
        <f>CB219-CC219</f>
        <v/>
      </c>
      <c r="CE219" s="10">
        <f>MIN('02_Данные'!AL219,CD219)</f>
        <v/>
      </c>
      <c r="CF219" s="10">
        <f>CD219-CE219</f>
        <v/>
      </c>
      <c r="CG219" s="10">
        <f>MIN('02_Данные'!AQ219,CF219)</f>
        <v/>
      </c>
      <c r="CH219" s="10">
        <f>CF219-CG219</f>
        <v/>
      </c>
      <c r="CI219" s="10">
        <f>MIN('02_Данные'!AN219,CH219)</f>
        <v/>
      </c>
      <c r="CJ219" s="10">
        <f>CH219-CI219</f>
        <v/>
      </c>
      <c r="CK219" s="10">
        <f>MIN('02_Данные'!AM219,CJ219)</f>
        <v/>
      </c>
      <c r="CL219" s="10">
        <f>CJ219-CK219</f>
        <v/>
      </c>
      <c r="CM219" s="10">
        <f>MIN('02_Данные'!AO219,CL219)</f>
        <v/>
      </c>
      <c r="CN219" s="10">
        <f>CL219-CM219</f>
        <v/>
      </c>
      <c r="CO219" s="10">
        <f>MIN('02_Данные'!AP219,CN219)</f>
        <v/>
      </c>
      <c r="CP219" s="10">
        <f>CN219-CO219</f>
        <v/>
      </c>
      <c r="CQ219" s="10">
        <f>CP219+'02_Данные'!K219</f>
        <v/>
      </c>
      <c r="CR219" s="10">
        <f>MIN('02_Данные'!AR219,CQ219)</f>
        <v/>
      </c>
      <c r="CS219" s="10">
        <f>CQ219-CR219</f>
        <v/>
      </c>
      <c r="CT219" s="10">
        <f>MIN('02_Данные'!AS219,CS219)</f>
        <v/>
      </c>
      <c r="CU219" s="10">
        <f>CS219-CT219</f>
        <v/>
      </c>
      <c r="CV219" s="10">
        <f>MIN('02_Данные'!AT219,CU219)</f>
        <v/>
      </c>
      <c r="CW219" s="10">
        <f>CU219-CV219</f>
        <v/>
      </c>
      <c r="CX219" s="10">
        <f>MIN('02_Данные'!AY219,CW219)</f>
        <v/>
      </c>
      <c r="CY219" s="10">
        <f>CW219-CX219</f>
        <v/>
      </c>
      <c r="CZ219" s="10">
        <f>MIN('02_Данные'!AV219,CY219)</f>
        <v/>
      </c>
      <c r="DA219" s="10">
        <f>CY219-CZ219</f>
        <v/>
      </c>
      <c r="DB219" s="10">
        <f>MIN('02_Данные'!AU219,DA219)</f>
        <v/>
      </c>
      <c r="DC219" s="10">
        <f>DA219-DB219</f>
        <v/>
      </c>
      <c r="DD219" s="10">
        <f>MIN('02_Данные'!AW219,DC219)</f>
        <v/>
      </c>
      <c r="DE219" s="10">
        <f>DC219-DD219</f>
        <v/>
      </c>
      <c r="DF219" s="10">
        <f>MIN('02_Данные'!AX219,DE219)</f>
        <v/>
      </c>
      <c r="DG219" s="10">
        <f>DE219-DF219</f>
        <v/>
      </c>
    </row>
    <row r="220">
      <c r="A220" s="9">
        <f>'02_Данные'!B220</f>
        <v/>
      </c>
      <c r="B220" s="9">
        <f>'02_Данные'!E220</f>
        <v/>
      </c>
      <c r="C220" s="10">
        <f>'02_Данные'!F220+'02_Данные'!G220+'02_Данные'!H220+'02_Данные'!I220+'02_Данные'!J220+'02_Данные'!K220</f>
        <v/>
      </c>
      <c r="D220" s="10">
        <f>SUM('02_Данные'!L220:'02_Данные'!AY220)</f>
        <v/>
      </c>
      <c r="E220" s="10">
        <f>MAX(0,D220-C220)</f>
        <v/>
      </c>
      <c r="F220" s="15">
        <f>IF(E220&gt;0.0001,"ДЕФИЦИТ",IF(Y220&gt;0.0001,"ПРОФИЦИТ","БАЛАНС"))</f>
        <v/>
      </c>
      <c r="G220" s="10">
        <f>AB220+AS220+BJ220+CA220+CR220</f>
        <v/>
      </c>
      <c r="H220" s="10">
        <f>AD220+AU220+BL220+CC220+CT220</f>
        <v/>
      </c>
      <c r="I220" s="10">
        <f>AF220+AW220+BN220+CE220+CV220</f>
        <v/>
      </c>
      <c r="J220" s="10">
        <f>AL220+BC220+BT220+CK220+DB220</f>
        <v/>
      </c>
      <c r="K220" s="10">
        <f>AJ220+BA220+BR220+CI220+CZ220</f>
        <v/>
      </c>
      <c r="L220" s="10">
        <f>AN220+BE220+BV220+CM220+DD220</f>
        <v/>
      </c>
      <c r="M220" s="10">
        <f>AP220+BG220+BX220+CO220+DF220</f>
        <v/>
      </c>
      <c r="N220" s="10">
        <f>AH220+AY220+BP220+CG220+CX220</f>
        <v/>
      </c>
      <c r="O220" s="10">
        <f>SUM(G220:N220)</f>
        <v/>
      </c>
      <c r="P220" s="10">
        <f>IFERROR(G220*MIN(1,'01_Нормативы'!$C$4/SUM(G$2:G$429)),0)</f>
        <v/>
      </c>
      <c r="Q220" s="10">
        <f>IFERROR(H220*MIN(1,'01_Нормативы'!$C$5/SUM(H$2:H$429)),0)</f>
        <v/>
      </c>
      <c r="R220" s="10">
        <f>IFERROR(I220*MIN(1,'01_Нормативы'!$C$6/SUM(I$2:I$429)),0)</f>
        <v/>
      </c>
      <c r="S220" s="10">
        <f>IFERROR(J220*MIN(1,'01_Нормативы'!$C$7/SUM(J$2:J$429)),0)</f>
        <v/>
      </c>
      <c r="T220" s="10">
        <f>IFERROR(K220*MIN(1,'01_Нормативы'!$C$8/SUM(K$2:K$429)),0)</f>
        <v/>
      </c>
      <c r="U220" s="10">
        <f>IFERROR(L220*MIN(1,'01_Нормативы'!$C$9/SUM(L$2:L$429)),0)</f>
        <v/>
      </c>
      <c r="V220" s="10">
        <f>IFERROR(M220*MIN(1,'01_Нормативы'!$C$10/SUM(M$2:M$429)),0)</f>
        <v/>
      </c>
      <c r="W220" s="10">
        <f>IFERROR(N220*MIN(1,'01_Нормативы'!$C$11/SUM(N$2:N$429)),0)</f>
        <v/>
      </c>
      <c r="X220" s="10">
        <f>SUM(P220:W220)</f>
        <v/>
      </c>
      <c r="Y220" s="10">
        <f>MAX(0,C220-X220)</f>
        <v/>
      </c>
      <c r="Z220" s="10">
        <f>IF(D220=0,100,X220/D220*100)</f>
        <v/>
      </c>
      <c r="AA220" s="10">
        <f>'02_Данные'!F220+'02_Данные'!G220</f>
        <v/>
      </c>
      <c r="AB220" s="10">
        <f>MIN('02_Данные'!L220,AA220)</f>
        <v/>
      </c>
      <c r="AC220" s="10">
        <f>AA220-AB220</f>
        <v/>
      </c>
      <c r="AD220" s="10">
        <f>MIN('02_Данные'!M220,AC220)</f>
        <v/>
      </c>
      <c r="AE220" s="10">
        <f>AC220-AD220</f>
        <v/>
      </c>
      <c r="AF220" s="10">
        <f>MIN('02_Данные'!N220,AE220)</f>
        <v/>
      </c>
      <c r="AG220" s="10">
        <f>AE220-AF220</f>
        <v/>
      </c>
      <c r="AH220" s="10">
        <f>MIN('02_Данные'!S220,AG220)</f>
        <v/>
      </c>
      <c r="AI220" s="10">
        <f>AG220-AH220</f>
        <v/>
      </c>
      <c r="AJ220" s="10">
        <f>MIN('02_Данные'!P220,AI220)</f>
        <v/>
      </c>
      <c r="AK220" s="10">
        <f>AI220-AJ220</f>
        <v/>
      </c>
      <c r="AL220" s="10">
        <f>MIN('02_Данные'!O220,AK220)</f>
        <v/>
      </c>
      <c r="AM220" s="10">
        <f>AK220-AL220</f>
        <v/>
      </c>
      <c r="AN220" s="10">
        <f>MIN('02_Данные'!Q220,AM220)</f>
        <v/>
      </c>
      <c r="AO220" s="10">
        <f>AM220-AN220</f>
        <v/>
      </c>
      <c r="AP220" s="10">
        <f>MIN('02_Данные'!R220,AO220)</f>
        <v/>
      </c>
      <c r="AQ220" s="10">
        <f>AO220-AP220</f>
        <v/>
      </c>
      <c r="AR220" s="10">
        <f>AQ220+'02_Данные'!H220</f>
        <v/>
      </c>
      <c r="AS220" s="10">
        <f>MIN('02_Данные'!T220,AR220)</f>
        <v/>
      </c>
      <c r="AT220" s="10">
        <f>AR220-AS220</f>
        <v/>
      </c>
      <c r="AU220" s="10">
        <f>MIN('02_Данные'!U220,AT220)</f>
        <v/>
      </c>
      <c r="AV220" s="10">
        <f>AT220-AU220</f>
        <v/>
      </c>
      <c r="AW220" s="10">
        <f>MIN('02_Данные'!V220,AV220)</f>
        <v/>
      </c>
      <c r="AX220" s="10">
        <f>AV220-AW220</f>
        <v/>
      </c>
      <c r="AY220" s="10">
        <f>MIN('02_Данные'!AA220,AX220)</f>
        <v/>
      </c>
      <c r="AZ220" s="10">
        <f>AX220-AY220</f>
        <v/>
      </c>
      <c r="BA220" s="10">
        <f>MIN('02_Данные'!X220,AZ220)</f>
        <v/>
      </c>
      <c r="BB220" s="10">
        <f>AZ220-BA220</f>
        <v/>
      </c>
      <c r="BC220" s="10">
        <f>MIN('02_Данные'!W220,BB220)</f>
        <v/>
      </c>
      <c r="BD220" s="10">
        <f>BB220-BC220</f>
        <v/>
      </c>
      <c r="BE220" s="10">
        <f>MIN('02_Данные'!Y220,BD220)</f>
        <v/>
      </c>
      <c r="BF220" s="10">
        <f>BD220-BE220</f>
        <v/>
      </c>
      <c r="BG220" s="10">
        <f>MIN('02_Данные'!Z220,BF220)</f>
        <v/>
      </c>
      <c r="BH220" s="10">
        <f>BF220-BG220</f>
        <v/>
      </c>
      <c r="BI220" s="10">
        <f>BH220+'02_Данные'!I220</f>
        <v/>
      </c>
      <c r="BJ220" s="10">
        <f>MIN('02_Данные'!AB220,BI220)</f>
        <v/>
      </c>
      <c r="BK220" s="10">
        <f>BI220-BJ220</f>
        <v/>
      </c>
      <c r="BL220" s="10">
        <f>MIN('02_Данные'!AC220,BK220)</f>
        <v/>
      </c>
      <c r="BM220" s="10">
        <f>BK220-BL220</f>
        <v/>
      </c>
      <c r="BN220" s="10">
        <f>MIN('02_Данные'!AD220,BM220)</f>
        <v/>
      </c>
      <c r="BO220" s="10">
        <f>BM220-BN220</f>
        <v/>
      </c>
      <c r="BP220" s="10">
        <f>MIN('02_Данные'!AI220,BO220)</f>
        <v/>
      </c>
      <c r="BQ220" s="10">
        <f>BO220-BP220</f>
        <v/>
      </c>
      <c r="BR220" s="10">
        <f>MIN('02_Данные'!AF220,BQ220)</f>
        <v/>
      </c>
      <c r="BS220" s="10">
        <f>BQ220-BR220</f>
        <v/>
      </c>
      <c r="BT220" s="10">
        <f>MIN('02_Данные'!AE220,BS220)</f>
        <v/>
      </c>
      <c r="BU220" s="10">
        <f>BS220-BT220</f>
        <v/>
      </c>
      <c r="BV220" s="10">
        <f>MIN('02_Данные'!AG220,BU220)</f>
        <v/>
      </c>
      <c r="BW220" s="10">
        <f>BU220-BV220</f>
        <v/>
      </c>
      <c r="BX220" s="10">
        <f>MIN('02_Данные'!AH220,BW220)</f>
        <v/>
      </c>
      <c r="BY220" s="10">
        <f>BW220-BX220</f>
        <v/>
      </c>
      <c r="BZ220" s="10">
        <f>BY220+'02_Данные'!J220</f>
        <v/>
      </c>
      <c r="CA220" s="10">
        <f>MIN('02_Данные'!AJ220,BZ220)</f>
        <v/>
      </c>
      <c r="CB220" s="10">
        <f>BZ220-CA220</f>
        <v/>
      </c>
      <c r="CC220" s="10">
        <f>MIN('02_Данные'!AK220,CB220)</f>
        <v/>
      </c>
      <c r="CD220" s="10">
        <f>CB220-CC220</f>
        <v/>
      </c>
      <c r="CE220" s="10">
        <f>MIN('02_Данные'!AL220,CD220)</f>
        <v/>
      </c>
      <c r="CF220" s="10">
        <f>CD220-CE220</f>
        <v/>
      </c>
      <c r="CG220" s="10">
        <f>MIN('02_Данные'!AQ220,CF220)</f>
        <v/>
      </c>
      <c r="CH220" s="10">
        <f>CF220-CG220</f>
        <v/>
      </c>
      <c r="CI220" s="10">
        <f>MIN('02_Данные'!AN220,CH220)</f>
        <v/>
      </c>
      <c r="CJ220" s="10">
        <f>CH220-CI220</f>
        <v/>
      </c>
      <c r="CK220" s="10">
        <f>MIN('02_Данные'!AM220,CJ220)</f>
        <v/>
      </c>
      <c r="CL220" s="10">
        <f>CJ220-CK220</f>
        <v/>
      </c>
      <c r="CM220" s="10">
        <f>MIN('02_Данные'!AO220,CL220)</f>
        <v/>
      </c>
      <c r="CN220" s="10">
        <f>CL220-CM220</f>
        <v/>
      </c>
      <c r="CO220" s="10">
        <f>MIN('02_Данные'!AP220,CN220)</f>
        <v/>
      </c>
      <c r="CP220" s="10">
        <f>CN220-CO220</f>
        <v/>
      </c>
      <c r="CQ220" s="10">
        <f>CP220+'02_Данные'!K220</f>
        <v/>
      </c>
      <c r="CR220" s="10">
        <f>MIN('02_Данные'!AR220,CQ220)</f>
        <v/>
      </c>
      <c r="CS220" s="10">
        <f>CQ220-CR220</f>
        <v/>
      </c>
      <c r="CT220" s="10">
        <f>MIN('02_Данные'!AS220,CS220)</f>
        <v/>
      </c>
      <c r="CU220" s="10">
        <f>CS220-CT220</f>
        <v/>
      </c>
      <c r="CV220" s="10">
        <f>MIN('02_Данные'!AT220,CU220)</f>
        <v/>
      </c>
      <c r="CW220" s="10">
        <f>CU220-CV220</f>
        <v/>
      </c>
      <c r="CX220" s="10">
        <f>MIN('02_Данные'!AY220,CW220)</f>
        <v/>
      </c>
      <c r="CY220" s="10">
        <f>CW220-CX220</f>
        <v/>
      </c>
      <c r="CZ220" s="10">
        <f>MIN('02_Данные'!AV220,CY220)</f>
        <v/>
      </c>
      <c r="DA220" s="10">
        <f>CY220-CZ220</f>
        <v/>
      </c>
      <c r="DB220" s="10">
        <f>MIN('02_Данные'!AU220,DA220)</f>
        <v/>
      </c>
      <c r="DC220" s="10">
        <f>DA220-DB220</f>
        <v/>
      </c>
      <c r="DD220" s="10">
        <f>MIN('02_Данные'!AW220,DC220)</f>
        <v/>
      </c>
      <c r="DE220" s="10">
        <f>DC220-DD220</f>
        <v/>
      </c>
      <c r="DF220" s="10">
        <f>MIN('02_Данные'!AX220,DE220)</f>
        <v/>
      </c>
      <c r="DG220" s="10">
        <f>DE220-DF220</f>
        <v/>
      </c>
    </row>
    <row r="221">
      <c r="A221" s="9">
        <f>'02_Данные'!B221</f>
        <v/>
      </c>
      <c r="B221" s="9">
        <f>'02_Данные'!E221</f>
        <v/>
      </c>
      <c r="C221" s="10">
        <f>'02_Данные'!F221+'02_Данные'!G221+'02_Данные'!H221+'02_Данные'!I221+'02_Данные'!J221+'02_Данные'!K221</f>
        <v/>
      </c>
      <c r="D221" s="10">
        <f>SUM('02_Данные'!L221:'02_Данные'!AY221)</f>
        <v/>
      </c>
      <c r="E221" s="10">
        <f>MAX(0,D221-C221)</f>
        <v/>
      </c>
      <c r="F221" s="15">
        <f>IF(E221&gt;0.0001,"ДЕФИЦИТ",IF(Y221&gt;0.0001,"ПРОФИЦИТ","БАЛАНС"))</f>
        <v/>
      </c>
      <c r="G221" s="10">
        <f>AB221+AS221+BJ221+CA221+CR221</f>
        <v/>
      </c>
      <c r="H221" s="10">
        <f>AD221+AU221+BL221+CC221+CT221</f>
        <v/>
      </c>
      <c r="I221" s="10">
        <f>AF221+AW221+BN221+CE221+CV221</f>
        <v/>
      </c>
      <c r="J221" s="10">
        <f>AL221+BC221+BT221+CK221+DB221</f>
        <v/>
      </c>
      <c r="K221" s="10">
        <f>AJ221+BA221+BR221+CI221+CZ221</f>
        <v/>
      </c>
      <c r="L221" s="10">
        <f>AN221+BE221+BV221+CM221+DD221</f>
        <v/>
      </c>
      <c r="M221" s="10">
        <f>AP221+BG221+BX221+CO221+DF221</f>
        <v/>
      </c>
      <c r="N221" s="10">
        <f>AH221+AY221+BP221+CG221+CX221</f>
        <v/>
      </c>
      <c r="O221" s="10">
        <f>SUM(G221:N221)</f>
        <v/>
      </c>
      <c r="P221" s="10">
        <f>IFERROR(G221*MIN(1,'01_Нормативы'!$C$4/SUM(G$2:G$429)),0)</f>
        <v/>
      </c>
      <c r="Q221" s="10">
        <f>IFERROR(H221*MIN(1,'01_Нормативы'!$C$5/SUM(H$2:H$429)),0)</f>
        <v/>
      </c>
      <c r="R221" s="10">
        <f>IFERROR(I221*MIN(1,'01_Нормативы'!$C$6/SUM(I$2:I$429)),0)</f>
        <v/>
      </c>
      <c r="S221" s="10">
        <f>IFERROR(J221*MIN(1,'01_Нормативы'!$C$7/SUM(J$2:J$429)),0)</f>
        <v/>
      </c>
      <c r="T221" s="10">
        <f>IFERROR(K221*MIN(1,'01_Нормативы'!$C$8/SUM(K$2:K$429)),0)</f>
        <v/>
      </c>
      <c r="U221" s="10">
        <f>IFERROR(L221*MIN(1,'01_Нормативы'!$C$9/SUM(L$2:L$429)),0)</f>
        <v/>
      </c>
      <c r="V221" s="10">
        <f>IFERROR(M221*MIN(1,'01_Нормативы'!$C$10/SUM(M$2:M$429)),0)</f>
        <v/>
      </c>
      <c r="W221" s="10">
        <f>IFERROR(N221*MIN(1,'01_Нормативы'!$C$11/SUM(N$2:N$429)),0)</f>
        <v/>
      </c>
      <c r="X221" s="10">
        <f>SUM(P221:W221)</f>
        <v/>
      </c>
      <c r="Y221" s="10">
        <f>MAX(0,C221-X221)</f>
        <v/>
      </c>
      <c r="Z221" s="10">
        <f>IF(D221=0,100,X221/D221*100)</f>
        <v/>
      </c>
      <c r="AA221" s="10">
        <f>'02_Данные'!F221+'02_Данные'!G221</f>
        <v/>
      </c>
      <c r="AB221" s="10">
        <f>MIN('02_Данные'!L221,AA221)</f>
        <v/>
      </c>
      <c r="AC221" s="10">
        <f>AA221-AB221</f>
        <v/>
      </c>
      <c r="AD221" s="10">
        <f>MIN('02_Данные'!M221,AC221)</f>
        <v/>
      </c>
      <c r="AE221" s="10">
        <f>AC221-AD221</f>
        <v/>
      </c>
      <c r="AF221" s="10">
        <f>MIN('02_Данные'!N221,AE221)</f>
        <v/>
      </c>
      <c r="AG221" s="10">
        <f>AE221-AF221</f>
        <v/>
      </c>
      <c r="AH221" s="10">
        <f>MIN('02_Данные'!S221,AG221)</f>
        <v/>
      </c>
      <c r="AI221" s="10">
        <f>AG221-AH221</f>
        <v/>
      </c>
      <c r="AJ221" s="10">
        <f>MIN('02_Данные'!P221,AI221)</f>
        <v/>
      </c>
      <c r="AK221" s="10">
        <f>AI221-AJ221</f>
        <v/>
      </c>
      <c r="AL221" s="10">
        <f>MIN('02_Данные'!O221,AK221)</f>
        <v/>
      </c>
      <c r="AM221" s="10">
        <f>AK221-AL221</f>
        <v/>
      </c>
      <c r="AN221" s="10">
        <f>MIN('02_Данные'!Q221,AM221)</f>
        <v/>
      </c>
      <c r="AO221" s="10">
        <f>AM221-AN221</f>
        <v/>
      </c>
      <c r="AP221" s="10">
        <f>MIN('02_Данные'!R221,AO221)</f>
        <v/>
      </c>
      <c r="AQ221" s="10">
        <f>AO221-AP221</f>
        <v/>
      </c>
      <c r="AR221" s="10">
        <f>AQ221+'02_Данные'!H221</f>
        <v/>
      </c>
      <c r="AS221" s="10">
        <f>MIN('02_Данные'!T221,AR221)</f>
        <v/>
      </c>
      <c r="AT221" s="10">
        <f>AR221-AS221</f>
        <v/>
      </c>
      <c r="AU221" s="10">
        <f>MIN('02_Данные'!U221,AT221)</f>
        <v/>
      </c>
      <c r="AV221" s="10">
        <f>AT221-AU221</f>
        <v/>
      </c>
      <c r="AW221" s="10">
        <f>MIN('02_Данные'!V221,AV221)</f>
        <v/>
      </c>
      <c r="AX221" s="10">
        <f>AV221-AW221</f>
        <v/>
      </c>
      <c r="AY221" s="10">
        <f>MIN('02_Данные'!AA221,AX221)</f>
        <v/>
      </c>
      <c r="AZ221" s="10">
        <f>AX221-AY221</f>
        <v/>
      </c>
      <c r="BA221" s="10">
        <f>MIN('02_Данные'!X221,AZ221)</f>
        <v/>
      </c>
      <c r="BB221" s="10">
        <f>AZ221-BA221</f>
        <v/>
      </c>
      <c r="BC221" s="10">
        <f>MIN('02_Данные'!W221,BB221)</f>
        <v/>
      </c>
      <c r="BD221" s="10">
        <f>BB221-BC221</f>
        <v/>
      </c>
      <c r="BE221" s="10">
        <f>MIN('02_Данные'!Y221,BD221)</f>
        <v/>
      </c>
      <c r="BF221" s="10">
        <f>BD221-BE221</f>
        <v/>
      </c>
      <c r="BG221" s="10">
        <f>MIN('02_Данные'!Z221,BF221)</f>
        <v/>
      </c>
      <c r="BH221" s="10">
        <f>BF221-BG221</f>
        <v/>
      </c>
      <c r="BI221" s="10">
        <f>BH221+'02_Данные'!I221</f>
        <v/>
      </c>
      <c r="BJ221" s="10">
        <f>MIN('02_Данные'!AB221,BI221)</f>
        <v/>
      </c>
      <c r="BK221" s="10">
        <f>BI221-BJ221</f>
        <v/>
      </c>
      <c r="BL221" s="10">
        <f>MIN('02_Данные'!AC221,BK221)</f>
        <v/>
      </c>
      <c r="BM221" s="10">
        <f>BK221-BL221</f>
        <v/>
      </c>
      <c r="BN221" s="10">
        <f>MIN('02_Данные'!AD221,BM221)</f>
        <v/>
      </c>
      <c r="BO221" s="10">
        <f>BM221-BN221</f>
        <v/>
      </c>
      <c r="BP221" s="10">
        <f>MIN('02_Данные'!AI221,BO221)</f>
        <v/>
      </c>
      <c r="BQ221" s="10">
        <f>BO221-BP221</f>
        <v/>
      </c>
      <c r="BR221" s="10">
        <f>MIN('02_Данные'!AF221,BQ221)</f>
        <v/>
      </c>
      <c r="BS221" s="10">
        <f>BQ221-BR221</f>
        <v/>
      </c>
      <c r="BT221" s="10">
        <f>MIN('02_Данные'!AE221,BS221)</f>
        <v/>
      </c>
      <c r="BU221" s="10">
        <f>BS221-BT221</f>
        <v/>
      </c>
      <c r="BV221" s="10">
        <f>MIN('02_Данные'!AG221,BU221)</f>
        <v/>
      </c>
      <c r="BW221" s="10">
        <f>BU221-BV221</f>
        <v/>
      </c>
      <c r="BX221" s="10">
        <f>MIN('02_Данные'!AH221,BW221)</f>
        <v/>
      </c>
      <c r="BY221" s="10">
        <f>BW221-BX221</f>
        <v/>
      </c>
      <c r="BZ221" s="10">
        <f>BY221+'02_Данные'!J221</f>
        <v/>
      </c>
      <c r="CA221" s="10">
        <f>MIN('02_Данные'!AJ221,BZ221)</f>
        <v/>
      </c>
      <c r="CB221" s="10">
        <f>BZ221-CA221</f>
        <v/>
      </c>
      <c r="CC221" s="10">
        <f>MIN('02_Данные'!AK221,CB221)</f>
        <v/>
      </c>
      <c r="CD221" s="10">
        <f>CB221-CC221</f>
        <v/>
      </c>
      <c r="CE221" s="10">
        <f>MIN('02_Данные'!AL221,CD221)</f>
        <v/>
      </c>
      <c r="CF221" s="10">
        <f>CD221-CE221</f>
        <v/>
      </c>
      <c r="CG221" s="10">
        <f>MIN('02_Данные'!AQ221,CF221)</f>
        <v/>
      </c>
      <c r="CH221" s="10">
        <f>CF221-CG221</f>
        <v/>
      </c>
      <c r="CI221" s="10">
        <f>MIN('02_Данные'!AN221,CH221)</f>
        <v/>
      </c>
      <c r="CJ221" s="10">
        <f>CH221-CI221</f>
        <v/>
      </c>
      <c r="CK221" s="10">
        <f>MIN('02_Данные'!AM221,CJ221)</f>
        <v/>
      </c>
      <c r="CL221" s="10">
        <f>CJ221-CK221</f>
        <v/>
      </c>
      <c r="CM221" s="10">
        <f>MIN('02_Данные'!AO221,CL221)</f>
        <v/>
      </c>
      <c r="CN221" s="10">
        <f>CL221-CM221</f>
        <v/>
      </c>
      <c r="CO221" s="10">
        <f>MIN('02_Данные'!AP221,CN221)</f>
        <v/>
      </c>
      <c r="CP221" s="10">
        <f>CN221-CO221</f>
        <v/>
      </c>
      <c r="CQ221" s="10">
        <f>CP221+'02_Данные'!K221</f>
        <v/>
      </c>
      <c r="CR221" s="10">
        <f>MIN('02_Данные'!AR221,CQ221)</f>
        <v/>
      </c>
      <c r="CS221" s="10">
        <f>CQ221-CR221</f>
        <v/>
      </c>
      <c r="CT221" s="10">
        <f>MIN('02_Данные'!AS221,CS221)</f>
        <v/>
      </c>
      <c r="CU221" s="10">
        <f>CS221-CT221</f>
        <v/>
      </c>
      <c r="CV221" s="10">
        <f>MIN('02_Данные'!AT221,CU221)</f>
        <v/>
      </c>
      <c r="CW221" s="10">
        <f>CU221-CV221</f>
        <v/>
      </c>
      <c r="CX221" s="10">
        <f>MIN('02_Данные'!AY221,CW221)</f>
        <v/>
      </c>
      <c r="CY221" s="10">
        <f>CW221-CX221</f>
        <v/>
      </c>
      <c r="CZ221" s="10">
        <f>MIN('02_Данные'!AV221,CY221)</f>
        <v/>
      </c>
      <c r="DA221" s="10">
        <f>CY221-CZ221</f>
        <v/>
      </c>
      <c r="DB221" s="10">
        <f>MIN('02_Данные'!AU221,DA221)</f>
        <v/>
      </c>
      <c r="DC221" s="10">
        <f>DA221-DB221</f>
        <v/>
      </c>
      <c r="DD221" s="10">
        <f>MIN('02_Данные'!AW221,DC221)</f>
        <v/>
      </c>
      <c r="DE221" s="10">
        <f>DC221-DD221</f>
        <v/>
      </c>
      <c r="DF221" s="10">
        <f>MIN('02_Данные'!AX221,DE221)</f>
        <v/>
      </c>
      <c r="DG221" s="10">
        <f>DE221-DF221</f>
        <v/>
      </c>
    </row>
    <row r="222">
      <c r="A222" s="9">
        <f>'02_Данные'!B222</f>
        <v/>
      </c>
      <c r="B222" s="9">
        <f>'02_Данные'!E222</f>
        <v/>
      </c>
      <c r="C222" s="10">
        <f>'02_Данные'!F222+'02_Данные'!G222+'02_Данные'!H222+'02_Данные'!I222+'02_Данные'!J222+'02_Данные'!K222</f>
        <v/>
      </c>
      <c r="D222" s="10">
        <f>SUM('02_Данные'!L222:'02_Данные'!AY222)</f>
        <v/>
      </c>
      <c r="E222" s="10">
        <f>MAX(0,D222-C222)</f>
        <v/>
      </c>
      <c r="F222" s="15">
        <f>IF(E222&gt;0.0001,"ДЕФИЦИТ",IF(Y222&gt;0.0001,"ПРОФИЦИТ","БАЛАНС"))</f>
        <v/>
      </c>
      <c r="G222" s="10">
        <f>AB222+AS222+BJ222+CA222+CR222</f>
        <v/>
      </c>
      <c r="H222" s="10">
        <f>AD222+AU222+BL222+CC222+CT222</f>
        <v/>
      </c>
      <c r="I222" s="10">
        <f>AF222+AW222+BN222+CE222+CV222</f>
        <v/>
      </c>
      <c r="J222" s="10">
        <f>AL222+BC222+BT222+CK222+DB222</f>
        <v/>
      </c>
      <c r="K222" s="10">
        <f>AJ222+BA222+BR222+CI222+CZ222</f>
        <v/>
      </c>
      <c r="L222" s="10">
        <f>AN222+BE222+BV222+CM222+DD222</f>
        <v/>
      </c>
      <c r="M222" s="10">
        <f>AP222+BG222+BX222+CO222+DF222</f>
        <v/>
      </c>
      <c r="N222" s="10">
        <f>AH222+AY222+BP222+CG222+CX222</f>
        <v/>
      </c>
      <c r="O222" s="10">
        <f>SUM(G222:N222)</f>
        <v/>
      </c>
      <c r="P222" s="10">
        <f>IFERROR(G222*MIN(1,'01_Нормативы'!$C$4/SUM(G$2:G$429)),0)</f>
        <v/>
      </c>
      <c r="Q222" s="10">
        <f>IFERROR(H222*MIN(1,'01_Нормативы'!$C$5/SUM(H$2:H$429)),0)</f>
        <v/>
      </c>
      <c r="R222" s="10">
        <f>IFERROR(I222*MIN(1,'01_Нормативы'!$C$6/SUM(I$2:I$429)),0)</f>
        <v/>
      </c>
      <c r="S222" s="10">
        <f>IFERROR(J222*MIN(1,'01_Нормативы'!$C$7/SUM(J$2:J$429)),0)</f>
        <v/>
      </c>
      <c r="T222" s="10">
        <f>IFERROR(K222*MIN(1,'01_Нормативы'!$C$8/SUM(K$2:K$429)),0)</f>
        <v/>
      </c>
      <c r="U222" s="10">
        <f>IFERROR(L222*MIN(1,'01_Нормативы'!$C$9/SUM(L$2:L$429)),0)</f>
        <v/>
      </c>
      <c r="V222" s="10">
        <f>IFERROR(M222*MIN(1,'01_Нормативы'!$C$10/SUM(M$2:M$429)),0)</f>
        <v/>
      </c>
      <c r="W222" s="10">
        <f>IFERROR(N222*MIN(1,'01_Нормативы'!$C$11/SUM(N$2:N$429)),0)</f>
        <v/>
      </c>
      <c r="X222" s="10">
        <f>SUM(P222:W222)</f>
        <v/>
      </c>
      <c r="Y222" s="10">
        <f>MAX(0,C222-X222)</f>
        <v/>
      </c>
      <c r="Z222" s="10">
        <f>IF(D222=0,100,X222/D222*100)</f>
        <v/>
      </c>
      <c r="AA222" s="10">
        <f>'02_Данные'!F222+'02_Данные'!G222</f>
        <v/>
      </c>
      <c r="AB222" s="10">
        <f>MIN('02_Данные'!L222,AA222)</f>
        <v/>
      </c>
      <c r="AC222" s="10">
        <f>AA222-AB222</f>
        <v/>
      </c>
      <c r="AD222" s="10">
        <f>MIN('02_Данные'!M222,AC222)</f>
        <v/>
      </c>
      <c r="AE222" s="10">
        <f>AC222-AD222</f>
        <v/>
      </c>
      <c r="AF222" s="10">
        <f>MIN('02_Данные'!N222,AE222)</f>
        <v/>
      </c>
      <c r="AG222" s="10">
        <f>AE222-AF222</f>
        <v/>
      </c>
      <c r="AH222" s="10">
        <f>MIN('02_Данные'!S222,AG222)</f>
        <v/>
      </c>
      <c r="AI222" s="10">
        <f>AG222-AH222</f>
        <v/>
      </c>
      <c r="AJ222" s="10">
        <f>MIN('02_Данные'!P222,AI222)</f>
        <v/>
      </c>
      <c r="AK222" s="10">
        <f>AI222-AJ222</f>
        <v/>
      </c>
      <c r="AL222" s="10">
        <f>MIN('02_Данные'!O222,AK222)</f>
        <v/>
      </c>
      <c r="AM222" s="10">
        <f>AK222-AL222</f>
        <v/>
      </c>
      <c r="AN222" s="10">
        <f>MIN('02_Данные'!Q222,AM222)</f>
        <v/>
      </c>
      <c r="AO222" s="10">
        <f>AM222-AN222</f>
        <v/>
      </c>
      <c r="AP222" s="10">
        <f>MIN('02_Данные'!R222,AO222)</f>
        <v/>
      </c>
      <c r="AQ222" s="10">
        <f>AO222-AP222</f>
        <v/>
      </c>
      <c r="AR222" s="10">
        <f>AQ222+'02_Данные'!H222</f>
        <v/>
      </c>
      <c r="AS222" s="10">
        <f>MIN('02_Данные'!T222,AR222)</f>
        <v/>
      </c>
      <c r="AT222" s="10">
        <f>AR222-AS222</f>
        <v/>
      </c>
      <c r="AU222" s="10">
        <f>MIN('02_Данные'!U222,AT222)</f>
        <v/>
      </c>
      <c r="AV222" s="10">
        <f>AT222-AU222</f>
        <v/>
      </c>
      <c r="AW222" s="10">
        <f>MIN('02_Данные'!V222,AV222)</f>
        <v/>
      </c>
      <c r="AX222" s="10">
        <f>AV222-AW222</f>
        <v/>
      </c>
      <c r="AY222" s="10">
        <f>MIN('02_Данные'!AA222,AX222)</f>
        <v/>
      </c>
      <c r="AZ222" s="10">
        <f>AX222-AY222</f>
        <v/>
      </c>
      <c r="BA222" s="10">
        <f>MIN('02_Данные'!X222,AZ222)</f>
        <v/>
      </c>
      <c r="BB222" s="10">
        <f>AZ222-BA222</f>
        <v/>
      </c>
      <c r="BC222" s="10">
        <f>MIN('02_Данные'!W222,BB222)</f>
        <v/>
      </c>
      <c r="BD222" s="10">
        <f>BB222-BC222</f>
        <v/>
      </c>
      <c r="BE222" s="10">
        <f>MIN('02_Данные'!Y222,BD222)</f>
        <v/>
      </c>
      <c r="BF222" s="10">
        <f>BD222-BE222</f>
        <v/>
      </c>
      <c r="BG222" s="10">
        <f>MIN('02_Данные'!Z222,BF222)</f>
        <v/>
      </c>
      <c r="BH222" s="10">
        <f>BF222-BG222</f>
        <v/>
      </c>
      <c r="BI222" s="10">
        <f>BH222+'02_Данные'!I222</f>
        <v/>
      </c>
      <c r="BJ222" s="10">
        <f>MIN('02_Данные'!AB222,BI222)</f>
        <v/>
      </c>
      <c r="BK222" s="10">
        <f>BI222-BJ222</f>
        <v/>
      </c>
      <c r="BL222" s="10">
        <f>MIN('02_Данные'!AC222,BK222)</f>
        <v/>
      </c>
      <c r="BM222" s="10">
        <f>BK222-BL222</f>
        <v/>
      </c>
      <c r="BN222" s="10">
        <f>MIN('02_Данные'!AD222,BM222)</f>
        <v/>
      </c>
      <c r="BO222" s="10">
        <f>BM222-BN222</f>
        <v/>
      </c>
      <c r="BP222" s="10">
        <f>MIN('02_Данные'!AI222,BO222)</f>
        <v/>
      </c>
      <c r="BQ222" s="10">
        <f>BO222-BP222</f>
        <v/>
      </c>
      <c r="BR222" s="10">
        <f>MIN('02_Данные'!AF222,BQ222)</f>
        <v/>
      </c>
      <c r="BS222" s="10">
        <f>BQ222-BR222</f>
        <v/>
      </c>
      <c r="BT222" s="10">
        <f>MIN('02_Данные'!AE222,BS222)</f>
        <v/>
      </c>
      <c r="BU222" s="10">
        <f>BS222-BT222</f>
        <v/>
      </c>
      <c r="BV222" s="10">
        <f>MIN('02_Данные'!AG222,BU222)</f>
        <v/>
      </c>
      <c r="BW222" s="10">
        <f>BU222-BV222</f>
        <v/>
      </c>
      <c r="BX222" s="10">
        <f>MIN('02_Данные'!AH222,BW222)</f>
        <v/>
      </c>
      <c r="BY222" s="10">
        <f>BW222-BX222</f>
        <v/>
      </c>
      <c r="BZ222" s="10">
        <f>BY222+'02_Данные'!J222</f>
        <v/>
      </c>
      <c r="CA222" s="10">
        <f>MIN('02_Данные'!AJ222,BZ222)</f>
        <v/>
      </c>
      <c r="CB222" s="10">
        <f>BZ222-CA222</f>
        <v/>
      </c>
      <c r="CC222" s="10">
        <f>MIN('02_Данные'!AK222,CB222)</f>
        <v/>
      </c>
      <c r="CD222" s="10">
        <f>CB222-CC222</f>
        <v/>
      </c>
      <c r="CE222" s="10">
        <f>MIN('02_Данные'!AL222,CD222)</f>
        <v/>
      </c>
      <c r="CF222" s="10">
        <f>CD222-CE222</f>
        <v/>
      </c>
      <c r="CG222" s="10">
        <f>MIN('02_Данные'!AQ222,CF222)</f>
        <v/>
      </c>
      <c r="CH222" s="10">
        <f>CF222-CG222</f>
        <v/>
      </c>
      <c r="CI222" s="10">
        <f>MIN('02_Данные'!AN222,CH222)</f>
        <v/>
      </c>
      <c r="CJ222" s="10">
        <f>CH222-CI222</f>
        <v/>
      </c>
      <c r="CK222" s="10">
        <f>MIN('02_Данные'!AM222,CJ222)</f>
        <v/>
      </c>
      <c r="CL222" s="10">
        <f>CJ222-CK222</f>
        <v/>
      </c>
      <c r="CM222" s="10">
        <f>MIN('02_Данные'!AO222,CL222)</f>
        <v/>
      </c>
      <c r="CN222" s="10">
        <f>CL222-CM222</f>
        <v/>
      </c>
      <c r="CO222" s="10">
        <f>MIN('02_Данные'!AP222,CN222)</f>
        <v/>
      </c>
      <c r="CP222" s="10">
        <f>CN222-CO222</f>
        <v/>
      </c>
      <c r="CQ222" s="10">
        <f>CP222+'02_Данные'!K222</f>
        <v/>
      </c>
      <c r="CR222" s="10">
        <f>MIN('02_Данные'!AR222,CQ222)</f>
        <v/>
      </c>
      <c r="CS222" s="10">
        <f>CQ222-CR222</f>
        <v/>
      </c>
      <c r="CT222" s="10">
        <f>MIN('02_Данные'!AS222,CS222)</f>
        <v/>
      </c>
      <c r="CU222" s="10">
        <f>CS222-CT222</f>
        <v/>
      </c>
      <c r="CV222" s="10">
        <f>MIN('02_Данные'!AT222,CU222)</f>
        <v/>
      </c>
      <c r="CW222" s="10">
        <f>CU222-CV222</f>
        <v/>
      </c>
      <c r="CX222" s="10">
        <f>MIN('02_Данные'!AY222,CW222)</f>
        <v/>
      </c>
      <c r="CY222" s="10">
        <f>CW222-CX222</f>
        <v/>
      </c>
      <c r="CZ222" s="10">
        <f>MIN('02_Данные'!AV222,CY222)</f>
        <v/>
      </c>
      <c r="DA222" s="10">
        <f>CY222-CZ222</f>
        <v/>
      </c>
      <c r="DB222" s="10">
        <f>MIN('02_Данные'!AU222,DA222)</f>
        <v/>
      </c>
      <c r="DC222" s="10">
        <f>DA222-DB222</f>
        <v/>
      </c>
      <c r="DD222" s="10">
        <f>MIN('02_Данные'!AW222,DC222)</f>
        <v/>
      </c>
      <c r="DE222" s="10">
        <f>DC222-DD222</f>
        <v/>
      </c>
      <c r="DF222" s="10">
        <f>MIN('02_Данные'!AX222,DE222)</f>
        <v/>
      </c>
      <c r="DG222" s="10">
        <f>DE222-DF222</f>
        <v/>
      </c>
    </row>
    <row r="223">
      <c r="A223" s="9">
        <f>'02_Данные'!B223</f>
        <v/>
      </c>
      <c r="B223" s="9">
        <f>'02_Данные'!E223</f>
        <v/>
      </c>
      <c r="C223" s="10">
        <f>'02_Данные'!F223+'02_Данные'!G223+'02_Данные'!H223+'02_Данные'!I223+'02_Данные'!J223+'02_Данные'!K223</f>
        <v/>
      </c>
      <c r="D223" s="10">
        <f>SUM('02_Данные'!L223:'02_Данные'!AY223)</f>
        <v/>
      </c>
      <c r="E223" s="10">
        <f>MAX(0,D223-C223)</f>
        <v/>
      </c>
      <c r="F223" s="15">
        <f>IF(E223&gt;0.0001,"ДЕФИЦИТ",IF(Y223&gt;0.0001,"ПРОФИЦИТ","БАЛАНС"))</f>
        <v/>
      </c>
      <c r="G223" s="10">
        <f>AB223+AS223+BJ223+CA223+CR223</f>
        <v/>
      </c>
      <c r="H223" s="10">
        <f>AD223+AU223+BL223+CC223+CT223</f>
        <v/>
      </c>
      <c r="I223" s="10">
        <f>AF223+AW223+BN223+CE223+CV223</f>
        <v/>
      </c>
      <c r="J223" s="10">
        <f>AL223+BC223+BT223+CK223+DB223</f>
        <v/>
      </c>
      <c r="K223" s="10">
        <f>AJ223+BA223+BR223+CI223+CZ223</f>
        <v/>
      </c>
      <c r="L223" s="10">
        <f>AN223+BE223+BV223+CM223+DD223</f>
        <v/>
      </c>
      <c r="M223" s="10">
        <f>AP223+BG223+BX223+CO223+DF223</f>
        <v/>
      </c>
      <c r="N223" s="10">
        <f>AH223+AY223+BP223+CG223+CX223</f>
        <v/>
      </c>
      <c r="O223" s="10">
        <f>SUM(G223:N223)</f>
        <v/>
      </c>
      <c r="P223" s="10">
        <f>IFERROR(G223*MIN(1,'01_Нормативы'!$C$4/SUM(G$2:G$429)),0)</f>
        <v/>
      </c>
      <c r="Q223" s="10">
        <f>IFERROR(H223*MIN(1,'01_Нормативы'!$C$5/SUM(H$2:H$429)),0)</f>
        <v/>
      </c>
      <c r="R223" s="10">
        <f>IFERROR(I223*MIN(1,'01_Нормативы'!$C$6/SUM(I$2:I$429)),0)</f>
        <v/>
      </c>
      <c r="S223" s="10">
        <f>IFERROR(J223*MIN(1,'01_Нормативы'!$C$7/SUM(J$2:J$429)),0)</f>
        <v/>
      </c>
      <c r="T223" s="10">
        <f>IFERROR(K223*MIN(1,'01_Нормативы'!$C$8/SUM(K$2:K$429)),0)</f>
        <v/>
      </c>
      <c r="U223" s="10">
        <f>IFERROR(L223*MIN(1,'01_Нормативы'!$C$9/SUM(L$2:L$429)),0)</f>
        <v/>
      </c>
      <c r="V223" s="10">
        <f>IFERROR(M223*MIN(1,'01_Нормативы'!$C$10/SUM(M$2:M$429)),0)</f>
        <v/>
      </c>
      <c r="W223" s="10">
        <f>IFERROR(N223*MIN(1,'01_Нормативы'!$C$11/SUM(N$2:N$429)),0)</f>
        <v/>
      </c>
      <c r="X223" s="10">
        <f>SUM(P223:W223)</f>
        <v/>
      </c>
      <c r="Y223" s="10">
        <f>MAX(0,C223-X223)</f>
        <v/>
      </c>
      <c r="Z223" s="10">
        <f>IF(D223=0,100,X223/D223*100)</f>
        <v/>
      </c>
      <c r="AA223" s="10">
        <f>'02_Данные'!F223+'02_Данные'!G223</f>
        <v/>
      </c>
      <c r="AB223" s="10">
        <f>MIN('02_Данные'!L223,AA223)</f>
        <v/>
      </c>
      <c r="AC223" s="10">
        <f>AA223-AB223</f>
        <v/>
      </c>
      <c r="AD223" s="10">
        <f>MIN('02_Данные'!M223,AC223)</f>
        <v/>
      </c>
      <c r="AE223" s="10">
        <f>AC223-AD223</f>
        <v/>
      </c>
      <c r="AF223" s="10">
        <f>MIN('02_Данные'!N223,AE223)</f>
        <v/>
      </c>
      <c r="AG223" s="10">
        <f>AE223-AF223</f>
        <v/>
      </c>
      <c r="AH223" s="10">
        <f>MIN('02_Данные'!S223,AG223)</f>
        <v/>
      </c>
      <c r="AI223" s="10">
        <f>AG223-AH223</f>
        <v/>
      </c>
      <c r="AJ223" s="10">
        <f>MIN('02_Данные'!P223,AI223)</f>
        <v/>
      </c>
      <c r="AK223" s="10">
        <f>AI223-AJ223</f>
        <v/>
      </c>
      <c r="AL223" s="10">
        <f>MIN('02_Данные'!O223,AK223)</f>
        <v/>
      </c>
      <c r="AM223" s="10">
        <f>AK223-AL223</f>
        <v/>
      </c>
      <c r="AN223" s="10">
        <f>MIN('02_Данные'!Q223,AM223)</f>
        <v/>
      </c>
      <c r="AO223" s="10">
        <f>AM223-AN223</f>
        <v/>
      </c>
      <c r="AP223" s="10">
        <f>MIN('02_Данные'!R223,AO223)</f>
        <v/>
      </c>
      <c r="AQ223" s="10">
        <f>AO223-AP223</f>
        <v/>
      </c>
      <c r="AR223" s="10">
        <f>AQ223+'02_Данные'!H223</f>
        <v/>
      </c>
      <c r="AS223" s="10">
        <f>MIN('02_Данные'!T223,AR223)</f>
        <v/>
      </c>
      <c r="AT223" s="10">
        <f>AR223-AS223</f>
        <v/>
      </c>
      <c r="AU223" s="10">
        <f>MIN('02_Данные'!U223,AT223)</f>
        <v/>
      </c>
      <c r="AV223" s="10">
        <f>AT223-AU223</f>
        <v/>
      </c>
      <c r="AW223" s="10">
        <f>MIN('02_Данные'!V223,AV223)</f>
        <v/>
      </c>
      <c r="AX223" s="10">
        <f>AV223-AW223</f>
        <v/>
      </c>
      <c r="AY223" s="10">
        <f>MIN('02_Данные'!AA223,AX223)</f>
        <v/>
      </c>
      <c r="AZ223" s="10">
        <f>AX223-AY223</f>
        <v/>
      </c>
      <c r="BA223" s="10">
        <f>MIN('02_Данные'!X223,AZ223)</f>
        <v/>
      </c>
      <c r="BB223" s="10">
        <f>AZ223-BA223</f>
        <v/>
      </c>
      <c r="BC223" s="10">
        <f>MIN('02_Данные'!W223,BB223)</f>
        <v/>
      </c>
      <c r="BD223" s="10">
        <f>BB223-BC223</f>
        <v/>
      </c>
      <c r="BE223" s="10">
        <f>MIN('02_Данные'!Y223,BD223)</f>
        <v/>
      </c>
      <c r="BF223" s="10">
        <f>BD223-BE223</f>
        <v/>
      </c>
      <c r="BG223" s="10">
        <f>MIN('02_Данные'!Z223,BF223)</f>
        <v/>
      </c>
      <c r="BH223" s="10">
        <f>BF223-BG223</f>
        <v/>
      </c>
      <c r="BI223" s="10">
        <f>BH223+'02_Данные'!I223</f>
        <v/>
      </c>
      <c r="BJ223" s="10">
        <f>MIN('02_Данные'!AB223,BI223)</f>
        <v/>
      </c>
      <c r="BK223" s="10">
        <f>BI223-BJ223</f>
        <v/>
      </c>
      <c r="BL223" s="10">
        <f>MIN('02_Данные'!AC223,BK223)</f>
        <v/>
      </c>
      <c r="BM223" s="10">
        <f>BK223-BL223</f>
        <v/>
      </c>
      <c r="BN223" s="10">
        <f>MIN('02_Данные'!AD223,BM223)</f>
        <v/>
      </c>
      <c r="BO223" s="10">
        <f>BM223-BN223</f>
        <v/>
      </c>
      <c r="BP223" s="10">
        <f>MIN('02_Данные'!AI223,BO223)</f>
        <v/>
      </c>
      <c r="BQ223" s="10">
        <f>BO223-BP223</f>
        <v/>
      </c>
      <c r="BR223" s="10">
        <f>MIN('02_Данные'!AF223,BQ223)</f>
        <v/>
      </c>
      <c r="BS223" s="10">
        <f>BQ223-BR223</f>
        <v/>
      </c>
      <c r="BT223" s="10">
        <f>MIN('02_Данные'!AE223,BS223)</f>
        <v/>
      </c>
      <c r="BU223" s="10">
        <f>BS223-BT223</f>
        <v/>
      </c>
      <c r="BV223" s="10">
        <f>MIN('02_Данные'!AG223,BU223)</f>
        <v/>
      </c>
      <c r="BW223" s="10">
        <f>BU223-BV223</f>
        <v/>
      </c>
      <c r="BX223" s="10">
        <f>MIN('02_Данные'!AH223,BW223)</f>
        <v/>
      </c>
      <c r="BY223" s="10">
        <f>BW223-BX223</f>
        <v/>
      </c>
      <c r="BZ223" s="10">
        <f>BY223+'02_Данные'!J223</f>
        <v/>
      </c>
      <c r="CA223" s="10">
        <f>MIN('02_Данные'!AJ223,BZ223)</f>
        <v/>
      </c>
      <c r="CB223" s="10">
        <f>BZ223-CA223</f>
        <v/>
      </c>
      <c r="CC223" s="10">
        <f>MIN('02_Данные'!AK223,CB223)</f>
        <v/>
      </c>
      <c r="CD223" s="10">
        <f>CB223-CC223</f>
        <v/>
      </c>
      <c r="CE223" s="10">
        <f>MIN('02_Данные'!AL223,CD223)</f>
        <v/>
      </c>
      <c r="CF223" s="10">
        <f>CD223-CE223</f>
        <v/>
      </c>
      <c r="CG223" s="10">
        <f>MIN('02_Данные'!AQ223,CF223)</f>
        <v/>
      </c>
      <c r="CH223" s="10">
        <f>CF223-CG223</f>
        <v/>
      </c>
      <c r="CI223" s="10">
        <f>MIN('02_Данные'!AN223,CH223)</f>
        <v/>
      </c>
      <c r="CJ223" s="10">
        <f>CH223-CI223</f>
        <v/>
      </c>
      <c r="CK223" s="10">
        <f>MIN('02_Данные'!AM223,CJ223)</f>
        <v/>
      </c>
      <c r="CL223" s="10">
        <f>CJ223-CK223</f>
        <v/>
      </c>
      <c r="CM223" s="10">
        <f>MIN('02_Данные'!AO223,CL223)</f>
        <v/>
      </c>
      <c r="CN223" s="10">
        <f>CL223-CM223</f>
        <v/>
      </c>
      <c r="CO223" s="10">
        <f>MIN('02_Данные'!AP223,CN223)</f>
        <v/>
      </c>
      <c r="CP223" s="10">
        <f>CN223-CO223</f>
        <v/>
      </c>
      <c r="CQ223" s="10">
        <f>CP223+'02_Данные'!K223</f>
        <v/>
      </c>
      <c r="CR223" s="10">
        <f>MIN('02_Данные'!AR223,CQ223)</f>
        <v/>
      </c>
      <c r="CS223" s="10">
        <f>CQ223-CR223</f>
        <v/>
      </c>
      <c r="CT223" s="10">
        <f>MIN('02_Данные'!AS223,CS223)</f>
        <v/>
      </c>
      <c r="CU223" s="10">
        <f>CS223-CT223</f>
        <v/>
      </c>
      <c r="CV223" s="10">
        <f>MIN('02_Данные'!AT223,CU223)</f>
        <v/>
      </c>
      <c r="CW223" s="10">
        <f>CU223-CV223</f>
        <v/>
      </c>
      <c r="CX223" s="10">
        <f>MIN('02_Данные'!AY223,CW223)</f>
        <v/>
      </c>
      <c r="CY223" s="10">
        <f>CW223-CX223</f>
        <v/>
      </c>
      <c r="CZ223" s="10">
        <f>MIN('02_Данные'!AV223,CY223)</f>
        <v/>
      </c>
      <c r="DA223" s="10">
        <f>CY223-CZ223</f>
        <v/>
      </c>
      <c r="DB223" s="10">
        <f>MIN('02_Данные'!AU223,DA223)</f>
        <v/>
      </c>
      <c r="DC223" s="10">
        <f>DA223-DB223</f>
        <v/>
      </c>
      <c r="DD223" s="10">
        <f>MIN('02_Данные'!AW223,DC223)</f>
        <v/>
      </c>
      <c r="DE223" s="10">
        <f>DC223-DD223</f>
        <v/>
      </c>
      <c r="DF223" s="10">
        <f>MIN('02_Данные'!AX223,DE223)</f>
        <v/>
      </c>
      <c r="DG223" s="10">
        <f>DE223-DF223</f>
        <v/>
      </c>
    </row>
    <row r="224">
      <c r="A224" s="9">
        <f>'02_Данные'!B224</f>
        <v/>
      </c>
      <c r="B224" s="9">
        <f>'02_Данные'!E224</f>
        <v/>
      </c>
      <c r="C224" s="10">
        <f>'02_Данные'!F224+'02_Данные'!G224+'02_Данные'!H224+'02_Данные'!I224+'02_Данные'!J224+'02_Данные'!K224</f>
        <v/>
      </c>
      <c r="D224" s="10">
        <f>SUM('02_Данные'!L224:'02_Данные'!AY224)</f>
        <v/>
      </c>
      <c r="E224" s="10">
        <f>MAX(0,D224-C224)</f>
        <v/>
      </c>
      <c r="F224" s="15">
        <f>IF(E224&gt;0.0001,"ДЕФИЦИТ",IF(Y224&gt;0.0001,"ПРОФИЦИТ","БАЛАНС"))</f>
        <v/>
      </c>
      <c r="G224" s="10">
        <f>AB224+AS224+BJ224+CA224+CR224</f>
        <v/>
      </c>
      <c r="H224" s="10">
        <f>AD224+AU224+BL224+CC224+CT224</f>
        <v/>
      </c>
      <c r="I224" s="10">
        <f>AF224+AW224+BN224+CE224+CV224</f>
        <v/>
      </c>
      <c r="J224" s="10">
        <f>AL224+BC224+BT224+CK224+DB224</f>
        <v/>
      </c>
      <c r="K224" s="10">
        <f>AJ224+BA224+BR224+CI224+CZ224</f>
        <v/>
      </c>
      <c r="L224" s="10">
        <f>AN224+BE224+BV224+CM224+DD224</f>
        <v/>
      </c>
      <c r="M224" s="10">
        <f>AP224+BG224+BX224+CO224+DF224</f>
        <v/>
      </c>
      <c r="N224" s="10">
        <f>AH224+AY224+BP224+CG224+CX224</f>
        <v/>
      </c>
      <c r="O224" s="10">
        <f>SUM(G224:N224)</f>
        <v/>
      </c>
      <c r="P224" s="10">
        <f>IFERROR(G224*MIN(1,'01_Нормативы'!$C$4/SUM(G$2:G$429)),0)</f>
        <v/>
      </c>
      <c r="Q224" s="10">
        <f>IFERROR(H224*MIN(1,'01_Нормативы'!$C$5/SUM(H$2:H$429)),0)</f>
        <v/>
      </c>
      <c r="R224" s="10">
        <f>IFERROR(I224*MIN(1,'01_Нормативы'!$C$6/SUM(I$2:I$429)),0)</f>
        <v/>
      </c>
      <c r="S224" s="10">
        <f>IFERROR(J224*MIN(1,'01_Нормативы'!$C$7/SUM(J$2:J$429)),0)</f>
        <v/>
      </c>
      <c r="T224" s="10">
        <f>IFERROR(K224*MIN(1,'01_Нормативы'!$C$8/SUM(K$2:K$429)),0)</f>
        <v/>
      </c>
      <c r="U224" s="10">
        <f>IFERROR(L224*MIN(1,'01_Нормативы'!$C$9/SUM(L$2:L$429)),0)</f>
        <v/>
      </c>
      <c r="V224" s="10">
        <f>IFERROR(M224*MIN(1,'01_Нормативы'!$C$10/SUM(M$2:M$429)),0)</f>
        <v/>
      </c>
      <c r="W224" s="10">
        <f>IFERROR(N224*MIN(1,'01_Нормативы'!$C$11/SUM(N$2:N$429)),0)</f>
        <v/>
      </c>
      <c r="X224" s="10">
        <f>SUM(P224:W224)</f>
        <v/>
      </c>
      <c r="Y224" s="10">
        <f>MAX(0,C224-X224)</f>
        <v/>
      </c>
      <c r="Z224" s="10">
        <f>IF(D224=0,100,X224/D224*100)</f>
        <v/>
      </c>
      <c r="AA224" s="10">
        <f>'02_Данные'!F224+'02_Данные'!G224</f>
        <v/>
      </c>
      <c r="AB224" s="10">
        <f>MIN('02_Данные'!L224,AA224)</f>
        <v/>
      </c>
      <c r="AC224" s="10">
        <f>AA224-AB224</f>
        <v/>
      </c>
      <c r="AD224" s="10">
        <f>MIN('02_Данные'!M224,AC224)</f>
        <v/>
      </c>
      <c r="AE224" s="10">
        <f>AC224-AD224</f>
        <v/>
      </c>
      <c r="AF224" s="10">
        <f>MIN('02_Данные'!N224,AE224)</f>
        <v/>
      </c>
      <c r="AG224" s="10">
        <f>AE224-AF224</f>
        <v/>
      </c>
      <c r="AH224" s="10">
        <f>MIN('02_Данные'!S224,AG224)</f>
        <v/>
      </c>
      <c r="AI224" s="10">
        <f>AG224-AH224</f>
        <v/>
      </c>
      <c r="AJ224" s="10">
        <f>MIN('02_Данные'!P224,AI224)</f>
        <v/>
      </c>
      <c r="AK224" s="10">
        <f>AI224-AJ224</f>
        <v/>
      </c>
      <c r="AL224" s="10">
        <f>MIN('02_Данные'!O224,AK224)</f>
        <v/>
      </c>
      <c r="AM224" s="10">
        <f>AK224-AL224</f>
        <v/>
      </c>
      <c r="AN224" s="10">
        <f>MIN('02_Данные'!Q224,AM224)</f>
        <v/>
      </c>
      <c r="AO224" s="10">
        <f>AM224-AN224</f>
        <v/>
      </c>
      <c r="AP224" s="10">
        <f>MIN('02_Данные'!R224,AO224)</f>
        <v/>
      </c>
      <c r="AQ224" s="10">
        <f>AO224-AP224</f>
        <v/>
      </c>
      <c r="AR224" s="10">
        <f>AQ224+'02_Данные'!H224</f>
        <v/>
      </c>
      <c r="AS224" s="10">
        <f>MIN('02_Данные'!T224,AR224)</f>
        <v/>
      </c>
      <c r="AT224" s="10">
        <f>AR224-AS224</f>
        <v/>
      </c>
      <c r="AU224" s="10">
        <f>MIN('02_Данные'!U224,AT224)</f>
        <v/>
      </c>
      <c r="AV224" s="10">
        <f>AT224-AU224</f>
        <v/>
      </c>
      <c r="AW224" s="10">
        <f>MIN('02_Данные'!V224,AV224)</f>
        <v/>
      </c>
      <c r="AX224" s="10">
        <f>AV224-AW224</f>
        <v/>
      </c>
      <c r="AY224" s="10">
        <f>MIN('02_Данные'!AA224,AX224)</f>
        <v/>
      </c>
      <c r="AZ224" s="10">
        <f>AX224-AY224</f>
        <v/>
      </c>
      <c r="BA224" s="10">
        <f>MIN('02_Данные'!X224,AZ224)</f>
        <v/>
      </c>
      <c r="BB224" s="10">
        <f>AZ224-BA224</f>
        <v/>
      </c>
      <c r="BC224" s="10">
        <f>MIN('02_Данные'!W224,BB224)</f>
        <v/>
      </c>
      <c r="BD224" s="10">
        <f>BB224-BC224</f>
        <v/>
      </c>
      <c r="BE224" s="10">
        <f>MIN('02_Данные'!Y224,BD224)</f>
        <v/>
      </c>
      <c r="BF224" s="10">
        <f>BD224-BE224</f>
        <v/>
      </c>
      <c r="BG224" s="10">
        <f>MIN('02_Данные'!Z224,BF224)</f>
        <v/>
      </c>
      <c r="BH224" s="10">
        <f>BF224-BG224</f>
        <v/>
      </c>
      <c r="BI224" s="10">
        <f>BH224+'02_Данные'!I224</f>
        <v/>
      </c>
      <c r="BJ224" s="10">
        <f>MIN('02_Данные'!AB224,BI224)</f>
        <v/>
      </c>
      <c r="BK224" s="10">
        <f>BI224-BJ224</f>
        <v/>
      </c>
      <c r="BL224" s="10">
        <f>MIN('02_Данные'!AC224,BK224)</f>
        <v/>
      </c>
      <c r="BM224" s="10">
        <f>BK224-BL224</f>
        <v/>
      </c>
      <c r="BN224" s="10">
        <f>MIN('02_Данные'!AD224,BM224)</f>
        <v/>
      </c>
      <c r="BO224" s="10">
        <f>BM224-BN224</f>
        <v/>
      </c>
      <c r="BP224" s="10">
        <f>MIN('02_Данные'!AI224,BO224)</f>
        <v/>
      </c>
      <c r="BQ224" s="10">
        <f>BO224-BP224</f>
        <v/>
      </c>
      <c r="BR224" s="10">
        <f>MIN('02_Данные'!AF224,BQ224)</f>
        <v/>
      </c>
      <c r="BS224" s="10">
        <f>BQ224-BR224</f>
        <v/>
      </c>
      <c r="BT224" s="10">
        <f>MIN('02_Данные'!AE224,BS224)</f>
        <v/>
      </c>
      <c r="BU224" s="10">
        <f>BS224-BT224</f>
        <v/>
      </c>
      <c r="BV224" s="10">
        <f>MIN('02_Данные'!AG224,BU224)</f>
        <v/>
      </c>
      <c r="BW224" s="10">
        <f>BU224-BV224</f>
        <v/>
      </c>
      <c r="BX224" s="10">
        <f>MIN('02_Данные'!AH224,BW224)</f>
        <v/>
      </c>
      <c r="BY224" s="10">
        <f>BW224-BX224</f>
        <v/>
      </c>
      <c r="BZ224" s="10">
        <f>BY224+'02_Данные'!J224</f>
        <v/>
      </c>
      <c r="CA224" s="10">
        <f>MIN('02_Данные'!AJ224,BZ224)</f>
        <v/>
      </c>
      <c r="CB224" s="10">
        <f>BZ224-CA224</f>
        <v/>
      </c>
      <c r="CC224" s="10">
        <f>MIN('02_Данные'!AK224,CB224)</f>
        <v/>
      </c>
      <c r="CD224" s="10">
        <f>CB224-CC224</f>
        <v/>
      </c>
      <c r="CE224" s="10">
        <f>MIN('02_Данные'!AL224,CD224)</f>
        <v/>
      </c>
      <c r="CF224" s="10">
        <f>CD224-CE224</f>
        <v/>
      </c>
      <c r="CG224" s="10">
        <f>MIN('02_Данные'!AQ224,CF224)</f>
        <v/>
      </c>
      <c r="CH224" s="10">
        <f>CF224-CG224</f>
        <v/>
      </c>
      <c r="CI224" s="10">
        <f>MIN('02_Данные'!AN224,CH224)</f>
        <v/>
      </c>
      <c r="CJ224" s="10">
        <f>CH224-CI224</f>
        <v/>
      </c>
      <c r="CK224" s="10">
        <f>MIN('02_Данные'!AM224,CJ224)</f>
        <v/>
      </c>
      <c r="CL224" s="10">
        <f>CJ224-CK224</f>
        <v/>
      </c>
      <c r="CM224" s="10">
        <f>MIN('02_Данные'!AO224,CL224)</f>
        <v/>
      </c>
      <c r="CN224" s="10">
        <f>CL224-CM224</f>
        <v/>
      </c>
      <c r="CO224" s="10">
        <f>MIN('02_Данные'!AP224,CN224)</f>
        <v/>
      </c>
      <c r="CP224" s="10">
        <f>CN224-CO224</f>
        <v/>
      </c>
      <c r="CQ224" s="10">
        <f>CP224+'02_Данные'!K224</f>
        <v/>
      </c>
      <c r="CR224" s="10">
        <f>MIN('02_Данные'!AR224,CQ224)</f>
        <v/>
      </c>
      <c r="CS224" s="10">
        <f>CQ224-CR224</f>
        <v/>
      </c>
      <c r="CT224" s="10">
        <f>MIN('02_Данные'!AS224,CS224)</f>
        <v/>
      </c>
      <c r="CU224" s="10">
        <f>CS224-CT224</f>
        <v/>
      </c>
      <c r="CV224" s="10">
        <f>MIN('02_Данные'!AT224,CU224)</f>
        <v/>
      </c>
      <c r="CW224" s="10">
        <f>CU224-CV224</f>
        <v/>
      </c>
      <c r="CX224" s="10">
        <f>MIN('02_Данные'!AY224,CW224)</f>
        <v/>
      </c>
      <c r="CY224" s="10">
        <f>CW224-CX224</f>
        <v/>
      </c>
      <c r="CZ224" s="10">
        <f>MIN('02_Данные'!AV224,CY224)</f>
        <v/>
      </c>
      <c r="DA224" s="10">
        <f>CY224-CZ224</f>
        <v/>
      </c>
      <c r="DB224" s="10">
        <f>MIN('02_Данные'!AU224,DA224)</f>
        <v/>
      </c>
      <c r="DC224" s="10">
        <f>DA224-DB224</f>
        <v/>
      </c>
      <c r="DD224" s="10">
        <f>MIN('02_Данные'!AW224,DC224)</f>
        <v/>
      </c>
      <c r="DE224" s="10">
        <f>DC224-DD224</f>
        <v/>
      </c>
      <c r="DF224" s="10">
        <f>MIN('02_Данные'!AX224,DE224)</f>
        <v/>
      </c>
      <c r="DG224" s="10">
        <f>DE224-DF224</f>
        <v/>
      </c>
    </row>
    <row r="225">
      <c r="A225" s="9">
        <f>'02_Данные'!B225</f>
        <v/>
      </c>
      <c r="B225" s="9">
        <f>'02_Данные'!E225</f>
        <v/>
      </c>
      <c r="C225" s="10">
        <f>'02_Данные'!F225+'02_Данные'!G225+'02_Данные'!H225+'02_Данные'!I225+'02_Данные'!J225+'02_Данные'!K225</f>
        <v/>
      </c>
      <c r="D225" s="10">
        <f>SUM('02_Данные'!L225:'02_Данные'!AY225)</f>
        <v/>
      </c>
      <c r="E225" s="10">
        <f>MAX(0,D225-C225)</f>
        <v/>
      </c>
      <c r="F225" s="15">
        <f>IF(E225&gt;0.0001,"ДЕФИЦИТ",IF(Y225&gt;0.0001,"ПРОФИЦИТ","БАЛАНС"))</f>
        <v/>
      </c>
      <c r="G225" s="10">
        <f>AB225+AS225+BJ225+CA225+CR225</f>
        <v/>
      </c>
      <c r="H225" s="10">
        <f>AD225+AU225+BL225+CC225+CT225</f>
        <v/>
      </c>
      <c r="I225" s="10">
        <f>AF225+AW225+BN225+CE225+CV225</f>
        <v/>
      </c>
      <c r="J225" s="10">
        <f>AL225+BC225+BT225+CK225+DB225</f>
        <v/>
      </c>
      <c r="K225" s="10">
        <f>AJ225+BA225+BR225+CI225+CZ225</f>
        <v/>
      </c>
      <c r="L225" s="10">
        <f>AN225+BE225+BV225+CM225+DD225</f>
        <v/>
      </c>
      <c r="M225" s="10">
        <f>AP225+BG225+BX225+CO225+DF225</f>
        <v/>
      </c>
      <c r="N225" s="10">
        <f>AH225+AY225+BP225+CG225+CX225</f>
        <v/>
      </c>
      <c r="O225" s="10">
        <f>SUM(G225:N225)</f>
        <v/>
      </c>
      <c r="P225" s="10">
        <f>IFERROR(G225*MIN(1,'01_Нормативы'!$C$4/SUM(G$2:G$429)),0)</f>
        <v/>
      </c>
      <c r="Q225" s="10">
        <f>IFERROR(H225*MIN(1,'01_Нормативы'!$C$5/SUM(H$2:H$429)),0)</f>
        <v/>
      </c>
      <c r="R225" s="10">
        <f>IFERROR(I225*MIN(1,'01_Нормативы'!$C$6/SUM(I$2:I$429)),0)</f>
        <v/>
      </c>
      <c r="S225" s="10">
        <f>IFERROR(J225*MIN(1,'01_Нормативы'!$C$7/SUM(J$2:J$429)),0)</f>
        <v/>
      </c>
      <c r="T225" s="10">
        <f>IFERROR(K225*MIN(1,'01_Нормативы'!$C$8/SUM(K$2:K$429)),0)</f>
        <v/>
      </c>
      <c r="U225" s="10">
        <f>IFERROR(L225*MIN(1,'01_Нормативы'!$C$9/SUM(L$2:L$429)),0)</f>
        <v/>
      </c>
      <c r="V225" s="10">
        <f>IFERROR(M225*MIN(1,'01_Нормативы'!$C$10/SUM(M$2:M$429)),0)</f>
        <v/>
      </c>
      <c r="W225" s="10">
        <f>IFERROR(N225*MIN(1,'01_Нормативы'!$C$11/SUM(N$2:N$429)),0)</f>
        <v/>
      </c>
      <c r="X225" s="10">
        <f>SUM(P225:W225)</f>
        <v/>
      </c>
      <c r="Y225" s="10">
        <f>MAX(0,C225-X225)</f>
        <v/>
      </c>
      <c r="Z225" s="10">
        <f>IF(D225=0,100,X225/D225*100)</f>
        <v/>
      </c>
      <c r="AA225" s="10">
        <f>'02_Данные'!F225+'02_Данные'!G225</f>
        <v/>
      </c>
      <c r="AB225" s="10">
        <f>MIN('02_Данные'!L225,AA225)</f>
        <v/>
      </c>
      <c r="AC225" s="10">
        <f>AA225-AB225</f>
        <v/>
      </c>
      <c r="AD225" s="10">
        <f>MIN('02_Данные'!M225,AC225)</f>
        <v/>
      </c>
      <c r="AE225" s="10">
        <f>AC225-AD225</f>
        <v/>
      </c>
      <c r="AF225" s="10">
        <f>MIN('02_Данные'!N225,AE225)</f>
        <v/>
      </c>
      <c r="AG225" s="10">
        <f>AE225-AF225</f>
        <v/>
      </c>
      <c r="AH225" s="10">
        <f>MIN('02_Данные'!S225,AG225)</f>
        <v/>
      </c>
      <c r="AI225" s="10">
        <f>AG225-AH225</f>
        <v/>
      </c>
      <c r="AJ225" s="10">
        <f>MIN('02_Данные'!P225,AI225)</f>
        <v/>
      </c>
      <c r="AK225" s="10">
        <f>AI225-AJ225</f>
        <v/>
      </c>
      <c r="AL225" s="10">
        <f>MIN('02_Данные'!O225,AK225)</f>
        <v/>
      </c>
      <c r="AM225" s="10">
        <f>AK225-AL225</f>
        <v/>
      </c>
      <c r="AN225" s="10">
        <f>MIN('02_Данные'!Q225,AM225)</f>
        <v/>
      </c>
      <c r="AO225" s="10">
        <f>AM225-AN225</f>
        <v/>
      </c>
      <c r="AP225" s="10">
        <f>MIN('02_Данные'!R225,AO225)</f>
        <v/>
      </c>
      <c r="AQ225" s="10">
        <f>AO225-AP225</f>
        <v/>
      </c>
      <c r="AR225" s="10">
        <f>AQ225+'02_Данные'!H225</f>
        <v/>
      </c>
      <c r="AS225" s="10">
        <f>MIN('02_Данные'!T225,AR225)</f>
        <v/>
      </c>
      <c r="AT225" s="10">
        <f>AR225-AS225</f>
        <v/>
      </c>
      <c r="AU225" s="10">
        <f>MIN('02_Данные'!U225,AT225)</f>
        <v/>
      </c>
      <c r="AV225" s="10">
        <f>AT225-AU225</f>
        <v/>
      </c>
      <c r="AW225" s="10">
        <f>MIN('02_Данные'!V225,AV225)</f>
        <v/>
      </c>
      <c r="AX225" s="10">
        <f>AV225-AW225</f>
        <v/>
      </c>
      <c r="AY225" s="10">
        <f>MIN('02_Данные'!AA225,AX225)</f>
        <v/>
      </c>
      <c r="AZ225" s="10">
        <f>AX225-AY225</f>
        <v/>
      </c>
      <c r="BA225" s="10">
        <f>MIN('02_Данные'!X225,AZ225)</f>
        <v/>
      </c>
      <c r="BB225" s="10">
        <f>AZ225-BA225</f>
        <v/>
      </c>
      <c r="BC225" s="10">
        <f>MIN('02_Данные'!W225,BB225)</f>
        <v/>
      </c>
      <c r="BD225" s="10">
        <f>BB225-BC225</f>
        <v/>
      </c>
      <c r="BE225" s="10">
        <f>MIN('02_Данные'!Y225,BD225)</f>
        <v/>
      </c>
      <c r="BF225" s="10">
        <f>BD225-BE225</f>
        <v/>
      </c>
      <c r="BG225" s="10">
        <f>MIN('02_Данные'!Z225,BF225)</f>
        <v/>
      </c>
      <c r="BH225" s="10">
        <f>BF225-BG225</f>
        <v/>
      </c>
      <c r="BI225" s="10">
        <f>BH225+'02_Данные'!I225</f>
        <v/>
      </c>
      <c r="BJ225" s="10">
        <f>MIN('02_Данные'!AB225,BI225)</f>
        <v/>
      </c>
      <c r="BK225" s="10">
        <f>BI225-BJ225</f>
        <v/>
      </c>
      <c r="BL225" s="10">
        <f>MIN('02_Данные'!AC225,BK225)</f>
        <v/>
      </c>
      <c r="BM225" s="10">
        <f>BK225-BL225</f>
        <v/>
      </c>
      <c r="BN225" s="10">
        <f>MIN('02_Данные'!AD225,BM225)</f>
        <v/>
      </c>
      <c r="BO225" s="10">
        <f>BM225-BN225</f>
        <v/>
      </c>
      <c r="BP225" s="10">
        <f>MIN('02_Данные'!AI225,BO225)</f>
        <v/>
      </c>
      <c r="BQ225" s="10">
        <f>BO225-BP225</f>
        <v/>
      </c>
      <c r="BR225" s="10">
        <f>MIN('02_Данные'!AF225,BQ225)</f>
        <v/>
      </c>
      <c r="BS225" s="10">
        <f>BQ225-BR225</f>
        <v/>
      </c>
      <c r="BT225" s="10">
        <f>MIN('02_Данные'!AE225,BS225)</f>
        <v/>
      </c>
      <c r="BU225" s="10">
        <f>BS225-BT225</f>
        <v/>
      </c>
      <c r="BV225" s="10">
        <f>MIN('02_Данные'!AG225,BU225)</f>
        <v/>
      </c>
      <c r="BW225" s="10">
        <f>BU225-BV225</f>
        <v/>
      </c>
      <c r="BX225" s="10">
        <f>MIN('02_Данные'!AH225,BW225)</f>
        <v/>
      </c>
      <c r="BY225" s="10">
        <f>BW225-BX225</f>
        <v/>
      </c>
      <c r="BZ225" s="10">
        <f>BY225+'02_Данные'!J225</f>
        <v/>
      </c>
      <c r="CA225" s="10">
        <f>MIN('02_Данные'!AJ225,BZ225)</f>
        <v/>
      </c>
      <c r="CB225" s="10">
        <f>BZ225-CA225</f>
        <v/>
      </c>
      <c r="CC225" s="10">
        <f>MIN('02_Данные'!AK225,CB225)</f>
        <v/>
      </c>
      <c r="CD225" s="10">
        <f>CB225-CC225</f>
        <v/>
      </c>
      <c r="CE225" s="10">
        <f>MIN('02_Данные'!AL225,CD225)</f>
        <v/>
      </c>
      <c r="CF225" s="10">
        <f>CD225-CE225</f>
        <v/>
      </c>
      <c r="CG225" s="10">
        <f>MIN('02_Данные'!AQ225,CF225)</f>
        <v/>
      </c>
      <c r="CH225" s="10">
        <f>CF225-CG225</f>
        <v/>
      </c>
      <c r="CI225" s="10">
        <f>MIN('02_Данные'!AN225,CH225)</f>
        <v/>
      </c>
      <c r="CJ225" s="10">
        <f>CH225-CI225</f>
        <v/>
      </c>
      <c r="CK225" s="10">
        <f>MIN('02_Данные'!AM225,CJ225)</f>
        <v/>
      </c>
      <c r="CL225" s="10">
        <f>CJ225-CK225</f>
        <v/>
      </c>
      <c r="CM225" s="10">
        <f>MIN('02_Данные'!AO225,CL225)</f>
        <v/>
      </c>
      <c r="CN225" s="10">
        <f>CL225-CM225</f>
        <v/>
      </c>
      <c r="CO225" s="10">
        <f>MIN('02_Данные'!AP225,CN225)</f>
        <v/>
      </c>
      <c r="CP225" s="10">
        <f>CN225-CO225</f>
        <v/>
      </c>
      <c r="CQ225" s="10">
        <f>CP225+'02_Данные'!K225</f>
        <v/>
      </c>
      <c r="CR225" s="10">
        <f>MIN('02_Данные'!AR225,CQ225)</f>
        <v/>
      </c>
      <c r="CS225" s="10">
        <f>CQ225-CR225</f>
        <v/>
      </c>
      <c r="CT225" s="10">
        <f>MIN('02_Данные'!AS225,CS225)</f>
        <v/>
      </c>
      <c r="CU225" s="10">
        <f>CS225-CT225</f>
        <v/>
      </c>
      <c r="CV225" s="10">
        <f>MIN('02_Данные'!AT225,CU225)</f>
        <v/>
      </c>
      <c r="CW225" s="10">
        <f>CU225-CV225</f>
        <v/>
      </c>
      <c r="CX225" s="10">
        <f>MIN('02_Данные'!AY225,CW225)</f>
        <v/>
      </c>
      <c r="CY225" s="10">
        <f>CW225-CX225</f>
        <v/>
      </c>
      <c r="CZ225" s="10">
        <f>MIN('02_Данные'!AV225,CY225)</f>
        <v/>
      </c>
      <c r="DA225" s="10">
        <f>CY225-CZ225</f>
        <v/>
      </c>
      <c r="DB225" s="10">
        <f>MIN('02_Данные'!AU225,DA225)</f>
        <v/>
      </c>
      <c r="DC225" s="10">
        <f>DA225-DB225</f>
        <v/>
      </c>
      <c r="DD225" s="10">
        <f>MIN('02_Данные'!AW225,DC225)</f>
        <v/>
      </c>
      <c r="DE225" s="10">
        <f>DC225-DD225</f>
        <v/>
      </c>
      <c r="DF225" s="10">
        <f>MIN('02_Данные'!AX225,DE225)</f>
        <v/>
      </c>
      <c r="DG225" s="10">
        <f>DE225-DF225</f>
        <v/>
      </c>
    </row>
    <row r="226">
      <c r="A226" s="9">
        <f>'02_Данные'!B226</f>
        <v/>
      </c>
      <c r="B226" s="9">
        <f>'02_Данные'!E226</f>
        <v/>
      </c>
      <c r="C226" s="10">
        <f>'02_Данные'!F226+'02_Данные'!G226+'02_Данные'!H226+'02_Данные'!I226+'02_Данные'!J226+'02_Данные'!K226</f>
        <v/>
      </c>
      <c r="D226" s="10">
        <f>SUM('02_Данные'!L226:'02_Данные'!AY226)</f>
        <v/>
      </c>
      <c r="E226" s="10">
        <f>MAX(0,D226-C226)</f>
        <v/>
      </c>
      <c r="F226" s="15">
        <f>IF(E226&gt;0.0001,"ДЕФИЦИТ",IF(Y226&gt;0.0001,"ПРОФИЦИТ","БАЛАНС"))</f>
        <v/>
      </c>
      <c r="G226" s="10">
        <f>AB226+AS226+BJ226+CA226+CR226</f>
        <v/>
      </c>
      <c r="H226" s="10">
        <f>AD226+AU226+BL226+CC226+CT226</f>
        <v/>
      </c>
      <c r="I226" s="10">
        <f>AF226+AW226+BN226+CE226+CV226</f>
        <v/>
      </c>
      <c r="J226" s="10">
        <f>AL226+BC226+BT226+CK226+DB226</f>
        <v/>
      </c>
      <c r="K226" s="10">
        <f>AJ226+BA226+BR226+CI226+CZ226</f>
        <v/>
      </c>
      <c r="L226" s="10">
        <f>AN226+BE226+BV226+CM226+DD226</f>
        <v/>
      </c>
      <c r="M226" s="10">
        <f>AP226+BG226+BX226+CO226+DF226</f>
        <v/>
      </c>
      <c r="N226" s="10">
        <f>AH226+AY226+BP226+CG226+CX226</f>
        <v/>
      </c>
      <c r="O226" s="10">
        <f>SUM(G226:N226)</f>
        <v/>
      </c>
      <c r="P226" s="10">
        <f>IFERROR(G226*MIN(1,'01_Нормативы'!$C$4/SUM(G$2:G$429)),0)</f>
        <v/>
      </c>
      <c r="Q226" s="10">
        <f>IFERROR(H226*MIN(1,'01_Нормативы'!$C$5/SUM(H$2:H$429)),0)</f>
        <v/>
      </c>
      <c r="R226" s="10">
        <f>IFERROR(I226*MIN(1,'01_Нормативы'!$C$6/SUM(I$2:I$429)),0)</f>
        <v/>
      </c>
      <c r="S226" s="10">
        <f>IFERROR(J226*MIN(1,'01_Нормативы'!$C$7/SUM(J$2:J$429)),0)</f>
        <v/>
      </c>
      <c r="T226" s="10">
        <f>IFERROR(K226*MIN(1,'01_Нормативы'!$C$8/SUM(K$2:K$429)),0)</f>
        <v/>
      </c>
      <c r="U226" s="10">
        <f>IFERROR(L226*MIN(1,'01_Нормативы'!$C$9/SUM(L$2:L$429)),0)</f>
        <v/>
      </c>
      <c r="V226" s="10">
        <f>IFERROR(M226*MIN(1,'01_Нормативы'!$C$10/SUM(M$2:M$429)),0)</f>
        <v/>
      </c>
      <c r="W226" s="10">
        <f>IFERROR(N226*MIN(1,'01_Нормативы'!$C$11/SUM(N$2:N$429)),0)</f>
        <v/>
      </c>
      <c r="X226" s="10">
        <f>SUM(P226:W226)</f>
        <v/>
      </c>
      <c r="Y226" s="10">
        <f>MAX(0,C226-X226)</f>
        <v/>
      </c>
      <c r="Z226" s="10">
        <f>IF(D226=0,100,X226/D226*100)</f>
        <v/>
      </c>
      <c r="AA226" s="10">
        <f>'02_Данные'!F226+'02_Данные'!G226</f>
        <v/>
      </c>
      <c r="AB226" s="10">
        <f>MIN('02_Данные'!L226,AA226)</f>
        <v/>
      </c>
      <c r="AC226" s="10">
        <f>AA226-AB226</f>
        <v/>
      </c>
      <c r="AD226" s="10">
        <f>MIN('02_Данные'!M226,AC226)</f>
        <v/>
      </c>
      <c r="AE226" s="10">
        <f>AC226-AD226</f>
        <v/>
      </c>
      <c r="AF226" s="10">
        <f>MIN('02_Данные'!N226,AE226)</f>
        <v/>
      </c>
      <c r="AG226" s="10">
        <f>AE226-AF226</f>
        <v/>
      </c>
      <c r="AH226" s="10">
        <f>MIN('02_Данные'!S226,AG226)</f>
        <v/>
      </c>
      <c r="AI226" s="10">
        <f>AG226-AH226</f>
        <v/>
      </c>
      <c r="AJ226" s="10">
        <f>MIN('02_Данные'!P226,AI226)</f>
        <v/>
      </c>
      <c r="AK226" s="10">
        <f>AI226-AJ226</f>
        <v/>
      </c>
      <c r="AL226" s="10">
        <f>MIN('02_Данные'!O226,AK226)</f>
        <v/>
      </c>
      <c r="AM226" s="10">
        <f>AK226-AL226</f>
        <v/>
      </c>
      <c r="AN226" s="10">
        <f>MIN('02_Данные'!Q226,AM226)</f>
        <v/>
      </c>
      <c r="AO226" s="10">
        <f>AM226-AN226</f>
        <v/>
      </c>
      <c r="AP226" s="10">
        <f>MIN('02_Данные'!R226,AO226)</f>
        <v/>
      </c>
      <c r="AQ226" s="10">
        <f>AO226-AP226</f>
        <v/>
      </c>
      <c r="AR226" s="10">
        <f>AQ226+'02_Данные'!H226</f>
        <v/>
      </c>
      <c r="AS226" s="10">
        <f>MIN('02_Данные'!T226,AR226)</f>
        <v/>
      </c>
      <c r="AT226" s="10">
        <f>AR226-AS226</f>
        <v/>
      </c>
      <c r="AU226" s="10">
        <f>MIN('02_Данные'!U226,AT226)</f>
        <v/>
      </c>
      <c r="AV226" s="10">
        <f>AT226-AU226</f>
        <v/>
      </c>
      <c r="AW226" s="10">
        <f>MIN('02_Данные'!V226,AV226)</f>
        <v/>
      </c>
      <c r="AX226" s="10">
        <f>AV226-AW226</f>
        <v/>
      </c>
      <c r="AY226" s="10">
        <f>MIN('02_Данные'!AA226,AX226)</f>
        <v/>
      </c>
      <c r="AZ226" s="10">
        <f>AX226-AY226</f>
        <v/>
      </c>
      <c r="BA226" s="10">
        <f>MIN('02_Данные'!X226,AZ226)</f>
        <v/>
      </c>
      <c r="BB226" s="10">
        <f>AZ226-BA226</f>
        <v/>
      </c>
      <c r="BC226" s="10">
        <f>MIN('02_Данные'!W226,BB226)</f>
        <v/>
      </c>
      <c r="BD226" s="10">
        <f>BB226-BC226</f>
        <v/>
      </c>
      <c r="BE226" s="10">
        <f>MIN('02_Данные'!Y226,BD226)</f>
        <v/>
      </c>
      <c r="BF226" s="10">
        <f>BD226-BE226</f>
        <v/>
      </c>
      <c r="BG226" s="10">
        <f>MIN('02_Данные'!Z226,BF226)</f>
        <v/>
      </c>
      <c r="BH226" s="10">
        <f>BF226-BG226</f>
        <v/>
      </c>
      <c r="BI226" s="10">
        <f>BH226+'02_Данные'!I226</f>
        <v/>
      </c>
      <c r="BJ226" s="10">
        <f>MIN('02_Данные'!AB226,BI226)</f>
        <v/>
      </c>
      <c r="BK226" s="10">
        <f>BI226-BJ226</f>
        <v/>
      </c>
      <c r="BL226" s="10">
        <f>MIN('02_Данные'!AC226,BK226)</f>
        <v/>
      </c>
      <c r="BM226" s="10">
        <f>BK226-BL226</f>
        <v/>
      </c>
      <c r="BN226" s="10">
        <f>MIN('02_Данные'!AD226,BM226)</f>
        <v/>
      </c>
      <c r="BO226" s="10">
        <f>BM226-BN226</f>
        <v/>
      </c>
      <c r="BP226" s="10">
        <f>MIN('02_Данные'!AI226,BO226)</f>
        <v/>
      </c>
      <c r="BQ226" s="10">
        <f>BO226-BP226</f>
        <v/>
      </c>
      <c r="BR226" s="10">
        <f>MIN('02_Данные'!AF226,BQ226)</f>
        <v/>
      </c>
      <c r="BS226" s="10">
        <f>BQ226-BR226</f>
        <v/>
      </c>
      <c r="BT226" s="10">
        <f>MIN('02_Данные'!AE226,BS226)</f>
        <v/>
      </c>
      <c r="BU226" s="10">
        <f>BS226-BT226</f>
        <v/>
      </c>
      <c r="BV226" s="10">
        <f>MIN('02_Данные'!AG226,BU226)</f>
        <v/>
      </c>
      <c r="BW226" s="10">
        <f>BU226-BV226</f>
        <v/>
      </c>
      <c r="BX226" s="10">
        <f>MIN('02_Данные'!AH226,BW226)</f>
        <v/>
      </c>
      <c r="BY226" s="10">
        <f>BW226-BX226</f>
        <v/>
      </c>
      <c r="BZ226" s="10">
        <f>BY226+'02_Данные'!J226</f>
        <v/>
      </c>
      <c r="CA226" s="10">
        <f>MIN('02_Данные'!AJ226,BZ226)</f>
        <v/>
      </c>
      <c r="CB226" s="10">
        <f>BZ226-CA226</f>
        <v/>
      </c>
      <c r="CC226" s="10">
        <f>MIN('02_Данные'!AK226,CB226)</f>
        <v/>
      </c>
      <c r="CD226" s="10">
        <f>CB226-CC226</f>
        <v/>
      </c>
      <c r="CE226" s="10">
        <f>MIN('02_Данные'!AL226,CD226)</f>
        <v/>
      </c>
      <c r="CF226" s="10">
        <f>CD226-CE226</f>
        <v/>
      </c>
      <c r="CG226" s="10">
        <f>MIN('02_Данные'!AQ226,CF226)</f>
        <v/>
      </c>
      <c r="CH226" s="10">
        <f>CF226-CG226</f>
        <v/>
      </c>
      <c r="CI226" s="10">
        <f>MIN('02_Данные'!AN226,CH226)</f>
        <v/>
      </c>
      <c r="CJ226" s="10">
        <f>CH226-CI226</f>
        <v/>
      </c>
      <c r="CK226" s="10">
        <f>MIN('02_Данные'!AM226,CJ226)</f>
        <v/>
      </c>
      <c r="CL226" s="10">
        <f>CJ226-CK226</f>
        <v/>
      </c>
      <c r="CM226" s="10">
        <f>MIN('02_Данные'!AO226,CL226)</f>
        <v/>
      </c>
      <c r="CN226" s="10">
        <f>CL226-CM226</f>
        <v/>
      </c>
      <c r="CO226" s="10">
        <f>MIN('02_Данные'!AP226,CN226)</f>
        <v/>
      </c>
      <c r="CP226" s="10">
        <f>CN226-CO226</f>
        <v/>
      </c>
      <c r="CQ226" s="10">
        <f>CP226+'02_Данные'!K226</f>
        <v/>
      </c>
      <c r="CR226" s="10">
        <f>MIN('02_Данные'!AR226,CQ226)</f>
        <v/>
      </c>
      <c r="CS226" s="10">
        <f>CQ226-CR226</f>
        <v/>
      </c>
      <c r="CT226" s="10">
        <f>MIN('02_Данные'!AS226,CS226)</f>
        <v/>
      </c>
      <c r="CU226" s="10">
        <f>CS226-CT226</f>
        <v/>
      </c>
      <c r="CV226" s="10">
        <f>MIN('02_Данные'!AT226,CU226)</f>
        <v/>
      </c>
      <c r="CW226" s="10">
        <f>CU226-CV226</f>
        <v/>
      </c>
      <c r="CX226" s="10">
        <f>MIN('02_Данные'!AY226,CW226)</f>
        <v/>
      </c>
      <c r="CY226" s="10">
        <f>CW226-CX226</f>
        <v/>
      </c>
      <c r="CZ226" s="10">
        <f>MIN('02_Данные'!AV226,CY226)</f>
        <v/>
      </c>
      <c r="DA226" s="10">
        <f>CY226-CZ226</f>
        <v/>
      </c>
      <c r="DB226" s="10">
        <f>MIN('02_Данные'!AU226,DA226)</f>
        <v/>
      </c>
      <c r="DC226" s="10">
        <f>DA226-DB226</f>
        <v/>
      </c>
      <c r="DD226" s="10">
        <f>MIN('02_Данные'!AW226,DC226)</f>
        <v/>
      </c>
      <c r="DE226" s="10">
        <f>DC226-DD226</f>
        <v/>
      </c>
      <c r="DF226" s="10">
        <f>MIN('02_Данные'!AX226,DE226)</f>
        <v/>
      </c>
      <c r="DG226" s="10">
        <f>DE226-DF226</f>
        <v/>
      </c>
    </row>
    <row r="227">
      <c r="A227" s="9">
        <f>'02_Данные'!B227</f>
        <v/>
      </c>
      <c r="B227" s="9">
        <f>'02_Данные'!E227</f>
        <v/>
      </c>
      <c r="C227" s="10">
        <f>'02_Данные'!F227+'02_Данные'!G227+'02_Данные'!H227+'02_Данные'!I227+'02_Данные'!J227+'02_Данные'!K227</f>
        <v/>
      </c>
      <c r="D227" s="10">
        <f>SUM('02_Данные'!L227:'02_Данные'!AY227)</f>
        <v/>
      </c>
      <c r="E227" s="10">
        <f>MAX(0,D227-C227)</f>
        <v/>
      </c>
      <c r="F227" s="15">
        <f>IF(E227&gt;0.0001,"ДЕФИЦИТ",IF(Y227&gt;0.0001,"ПРОФИЦИТ","БАЛАНС"))</f>
        <v/>
      </c>
      <c r="G227" s="10">
        <f>AB227+AS227+BJ227+CA227+CR227</f>
        <v/>
      </c>
      <c r="H227" s="10">
        <f>AD227+AU227+BL227+CC227+CT227</f>
        <v/>
      </c>
      <c r="I227" s="10">
        <f>AF227+AW227+BN227+CE227+CV227</f>
        <v/>
      </c>
      <c r="J227" s="10">
        <f>AL227+BC227+BT227+CK227+DB227</f>
        <v/>
      </c>
      <c r="K227" s="10">
        <f>AJ227+BA227+BR227+CI227+CZ227</f>
        <v/>
      </c>
      <c r="L227" s="10">
        <f>AN227+BE227+BV227+CM227+DD227</f>
        <v/>
      </c>
      <c r="M227" s="10">
        <f>AP227+BG227+BX227+CO227+DF227</f>
        <v/>
      </c>
      <c r="N227" s="10">
        <f>AH227+AY227+BP227+CG227+CX227</f>
        <v/>
      </c>
      <c r="O227" s="10">
        <f>SUM(G227:N227)</f>
        <v/>
      </c>
      <c r="P227" s="10">
        <f>IFERROR(G227*MIN(1,'01_Нормативы'!$C$4/SUM(G$2:G$429)),0)</f>
        <v/>
      </c>
      <c r="Q227" s="10">
        <f>IFERROR(H227*MIN(1,'01_Нормативы'!$C$5/SUM(H$2:H$429)),0)</f>
        <v/>
      </c>
      <c r="R227" s="10">
        <f>IFERROR(I227*MIN(1,'01_Нормативы'!$C$6/SUM(I$2:I$429)),0)</f>
        <v/>
      </c>
      <c r="S227" s="10">
        <f>IFERROR(J227*MIN(1,'01_Нормативы'!$C$7/SUM(J$2:J$429)),0)</f>
        <v/>
      </c>
      <c r="T227" s="10">
        <f>IFERROR(K227*MIN(1,'01_Нормативы'!$C$8/SUM(K$2:K$429)),0)</f>
        <v/>
      </c>
      <c r="U227" s="10">
        <f>IFERROR(L227*MIN(1,'01_Нормативы'!$C$9/SUM(L$2:L$429)),0)</f>
        <v/>
      </c>
      <c r="V227" s="10">
        <f>IFERROR(M227*MIN(1,'01_Нормативы'!$C$10/SUM(M$2:M$429)),0)</f>
        <v/>
      </c>
      <c r="W227" s="10">
        <f>IFERROR(N227*MIN(1,'01_Нормативы'!$C$11/SUM(N$2:N$429)),0)</f>
        <v/>
      </c>
      <c r="X227" s="10">
        <f>SUM(P227:W227)</f>
        <v/>
      </c>
      <c r="Y227" s="10">
        <f>MAX(0,C227-X227)</f>
        <v/>
      </c>
      <c r="Z227" s="10">
        <f>IF(D227=0,100,X227/D227*100)</f>
        <v/>
      </c>
      <c r="AA227" s="10">
        <f>'02_Данные'!F227+'02_Данные'!G227</f>
        <v/>
      </c>
      <c r="AB227" s="10">
        <f>MIN('02_Данные'!L227,AA227)</f>
        <v/>
      </c>
      <c r="AC227" s="10">
        <f>AA227-AB227</f>
        <v/>
      </c>
      <c r="AD227" s="10">
        <f>MIN('02_Данные'!M227,AC227)</f>
        <v/>
      </c>
      <c r="AE227" s="10">
        <f>AC227-AD227</f>
        <v/>
      </c>
      <c r="AF227" s="10">
        <f>MIN('02_Данные'!N227,AE227)</f>
        <v/>
      </c>
      <c r="AG227" s="10">
        <f>AE227-AF227</f>
        <v/>
      </c>
      <c r="AH227" s="10">
        <f>MIN('02_Данные'!S227,AG227)</f>
        <v/>
      </c>
      <c r="AI227" s="10">
        <f>AG227-AH227</f>
        <v/>
      </c>
      <c r="AJ227" s="10">
        <f>MIN('02_Данные'!P227,AI227)</f>
        <v/>
      </c>
      <c r="AK227" s="10">
        <f>AI227-AJ227</f>
        <v/>
      </c>
      <c r="AL227" s="10">
        <f>MIN('02_Данные'!O227,AK227)</f>
        <v/>
      </c>
      <c r="AM227" s="10">
        <f>AK227-AL227</f>
        <v/>
      </c>
      <c r="AN227" s="10">
        <f>MIN('02_Данные'!Q227,AM227)</f>
        <v/>
      </c>
      <c r="AO227" s="10">
        <f>AM227-AN227</f>
        <v/>
      </c>
      <c r="AP227" s="10">
        <f>MIN('02_Данные'!R227,AO227)</f>
        <v/>
      </c>
      <c r="AQ227" s="10">
        <f>AO227-AP227</f>
        <v/>
      </c>
      <c r="AR227" s="10">
        <f>AQ227+'02_Данные'!H227</f>
        <v/>
      </c>
      <c r="AS227" s="10">
        <f>MIN('02_Данные'!T227,AR227)</f>
        <v/>
      </c>
      <c r="AT227" s="10">
        <f>AR227-AS227</f>
        <v/>
      </c>
      <c r="AU227" s="10">
        <f>MIN('02_Данные'!U227,AT227)</f>
        <v/>
      </c>
      <c r="AV227" s="10">
        <f>AT227-AU227</f>
        <v/>
      </c>
      <c r="AW227" s="10">
        <f>MIN('02_Данные'!V227,AV227)</f>
        <v/>
      </c>
      <c r="AX227" s="10">
        <f>AV227-AW227</f>
        <v/>
      </c>
      <c r="AY227" s="10">
        <f>MIN('02_Данные'!AA227,AX227)</f>
        <v/>
      </c>
      <c r="AZ227" s="10">
        <f>AX227-AY227</f>
        <v/>
      </c>
      <c r="BA227" s="10">
        <f>MIN('02_Данные'!X227,AZ227)</f>
        <v/>
      </c>
      <c r="BB227" s="10">
        <f>AZ227-BA227</f>
        <v/>
      </c>
      <c r="BC227" s="10">
        <f>MIN('02_Данные'!W227,BB227)</f>
        <v/>
      </c>
      <c r="BD227" s="10">
        <f>BB227-BC227</f>
        <v/>
      </c>
      <c r="BE227" s="10">
        <f>MIN('02_Данные'!Y227,BD227)</f>
        <v/>
      </c>
      <c r="BF227" s="10">
        <f>BD227-BE227</f>
        <v/>
      </c>
      <c r="BG227" s="10">
        <f>MIN('02_Данные'!Z227,BF227)</f>
        <v/>
      </c>
      <c r="BH227" s="10">
        <f>BF227-BG227</f>
        <v/>
      </c>
      <c r="BI227" s="10">
        <f>BH227+'02_Данные'!I227</f>
        <v/>
      </c>
      <c r="BJ227" s="10">
        <f>MIN('02_Данные'!AB227,BI227)</f>
        <v/>
      </c>
      <c r="BK227" s="10">
        <f>BI227-BJ227</f>
        <v/>
      </c>
      <c r="BL227" s="10">
        <f>MIN('02_Данные'!AC227,BK227)</f>
        <v/>
      </c>
      <c r="BM227" s="10">
        <f>BK227-BL227</f>
        <v/>
      </c>
      <c r="BN227" s="10">
        <f>MIN('02_Данные'!AD227,BM227)</f>
        <v/>
      </c>
      <c r="BO227" s="10">
        <f>BM227-BN227</f>
        <v/>
      </c>
      <c r="BP227" s="10">
        <f>MIN('02_Данные'!AI227,BO227)</f>
        <v/>
      </c>
      <c r="BQ227" s="10">
        <f>BO227-BP227</f>
        <v/>
      </c>
      <c r="BR227" s="10">
        <f>MIN('02_Данные'!AF227,BQ227)</f>
        <v/>
      </c>
      <c r="BS227" s="10">
        <f>BQ227-BR227</f>
        <v/>
      </c>
      <c r="BT227" s="10">
        <f>MIN('02_Данные'!AE227,BS227)</f>
        <v/>
      </c>
      <c r="BU227" s="10">
        <f>BS227-BT227</f>
        <v/>
      </c>
      <c r="BV227" s="10">
        <f>MIN('02_Данные'!AG227,BU227)</f>
        <v/>
      </c>
      <c r="BW227" s="10">
        <f>BU227-BV227</f>
        <v/>
      </c>
      <c r="BX227" s="10">
        <f>MIN('02_Данные'!AH227,BW227)</f>
        <v/>
      </c>
      <c r="BY227" s="10">
        <f>BW227-BX227</f>
        <v/>
      </c>
      <c r="BZ227" s="10">
        <f>BY227+'02_Данные'!J227</f>
        <v/>
      </c>
      <c r="CA227" s="10">
        <f>MIN('02_Данные'!AJ227,BZ227)</f>
        <v/>
      </c>
      <c r="CB227" s="10">
        <f>BZ227-CA227</f>
        <v/>
      </c>
      <c r="CC227" s="10">
        <f>MIN('02_Данные'!AK227,CB227)</f>
        <v/>
      </c>
      <c r="CD227" s="10">
        <f>CB227-CC227</f>
        <v/>
      </c>
      <c r="CE227" s="10">
        <f>MIN('02_Данные'!AL227,CD227)</f>
        <v/>
      </c>
      <c r="CF227" s="10">
        <f>CD227-CE227</f>
        <v/>
      </c>
      <c r="CG227" s="10">
        <f>MIN('02_Данные'!AQ227,CF227)</f>
        <v/>
      </c>
      <c r="CH227" s="10">
        <f>CF227-CG227</f>
        <v/>
      </c>
      <c r="CI227" s="10">
        <f>MIN('02_Данные'!AN227,CH227)</f>
        <v/>
      </c>
      <c r="CJ227" s="10">
        <f>CH227-CI227</f>
        <v/>
      </c>
      <c r="CK227" s="10">
        <f>MIN('02_Данные'!AM227,CJ227)</f>
        <v/>
      </c>
      <c r="CL227" s="10">
        <f>CJ227-CK227</f>
        <v/>
      </c>
      <c r="CM227" s="10">
        <f>MIN('02_Данные'!AO227,CL227)</f>
        <v/>
      </c>
      <c r="CN227" s="10">
        <f>CL227-CM227</f>
        <v/>
      </c>
      <c r="CO227" s="10">
        <f>MIN('02_Данные'!AP227,CN227)</f>
        <v/>
      </c>
      <c r="CP227" s="10">
        <f>CN227-CO227</f>
        <v/>
      </c>
      <c r="CQ227" s="10">
        <f>CP227+'02_Данные'!K227</f>
        <v/>
      </c>
      <c r="CR227" s="10">
        <f>MIN('02_Данные'!AR227,CQ227)</f>
        <v/>
      </c>
      <c r="CS227" s="10">
        <f>CQ227-CR227</f>
        <v/>
      </c>
      <c r="CT227" s="10">
        <f>MIN('02_Данные'!AS227,CS227)</f>
        <v/>
      </c>
      <c r="CU227" s="10">
        <f>CS227-CT227</f>
        <v/>
      </c>
      <c r="CV227" s="10">
        <f>MIN('02_Данные'!AT227,CU227)</f>
        <v/>
      </c>
      <c r="CW227" s="10">
        <f>CU227-CV227</f>
        <v/>
      </c>
      <c r="CX227" s="10">
        <f>MIN('02_Данные'!AY227,CW227)</f>
        <v/>
      </c>
      <c r="CY227" s="10">
        <f>CW227-CX227</f>
        <v/>
      </c>
      <c r="CZ227" s="10">
        <f>MIN('02_Данные'!AV227,CY227)</f>
        <v/>
      </c>
      <c r="DA227" s="10">
        <f>CY227-CZ227</f>
        <v/>
      </c>
      <c r="DB227" s="10">
        <f>MIN('02_Данные'!AU227,DA227)</f>
        <v/>
      </c>
      <c r="DC227" s="10">
        <f>DA227-DB227</f>
        <v/>
      </c>
      <c r="DD227" s="10">
        <f>MIN('02_Данные'!AW227,DC227)</f>
        <v/>
      </c>
      <c r="DE227" s="10">
        <f>DC227-DD227</f>
        <v/>
      </c>
      <c r="DF227" s="10">
        <f>MIN('02_Данные'!AX227,DE227)</f>
        <v/>
      </c>
      <c r="DG227" s="10">
        <f>DE227-DF227</f>
        <v/>
      </c>
    </row>
    <row r="228">
      <c r="A228" s="9">
        <f>'02_Данные'!B228</f>
        <v/>
      </c>
      <c r="B228" s="9">
        <f>'02_Данные'!E228</f>
        <v/>
      </c>
      <c r="C228" s="10">
        <f>'02_Данные'!F228+'02_Данные'!G228+'02_Данные'!H228+'02_Данные'!I228+'02_Данные'!J228+'02_Данные'!K228</f>
        <v/>
      </c>
      <c r="D228" s="10">
        <f>SUM('02_Данные'!L228:'02_Данные'!AY228)</f>
        <v/>
      </c>
      <c r="E228" s="10">
        <f>MAX(0,D228-C228)</f>
        <v/>
      </c>
      <c r="F228" s="15">
        <f>IF(E228&gt;0.0001,"ДЕФИЦИТ",IF(Y228&gt;0.0001,"ПРОФИЦИТ","БАЛАНС"))</f>
        <v/>
      </c>
      <c r="G228" s="10">
        <f>AB228+AS228+BJ228+CA228+CR228</f>
        <v/>
      </c>
      <c r="H228" s="10">
        <f>AD228+AU228+BL228+CC228+CT228</f>
        <v/>
      </c>
      <c r="I228" s="10">
        <f>AF228+AW228+BN228+CE228+CV228</f>
        <v/>
      </c>
      <c r="J228" s="10">
        <f>AL228+BC228+BT228+CK228+DB228</f>
        <v/>
      </c>
      <c r="K228" s="10">
        <f>AJ228+BA228+BR228+CI228+CZ228</f>
        <v/>
      </c>
      <c r="L228" s="10">
        <f>AN228+BE228+BV228+CM228+DD228</f>
        <v/>
      </c>
      <c r="M228" s="10">
        <f>AP228+BG228+BX228+CO228+DF228</f>
        <v/>
      </c>
      <c r="N228" s="10">
        <f>AH228+AY228+BP228+CG228+CX228</f>
        <v/>
      </c>
      <c r="O228" s="10">
        <f>SUM(G228:N228)</f>
        <v/>
      </c>
      <c r="P228" s="10">
        <f>IFERROR(G228*MIN(1,'01_Нормативы'!$C$4/SUM(G$2:G$429)),0)</f>
        <v/>
      </c>
      <c r="Q228" s="10">
        <f>IFERROR(H228*MIN(1,'01_Нормативы'!$C$5/SUM(H$2:H$429)),0)</f>
        <v/>
      </c>
      <c r="R228" s="10">
        <f>IFERROR(I228*MIN(1,'01_Нормативы'!$C$6/SUM(I$2:I$429)),0)</f>
        <v/>
      </c>
      <c r="S228" s="10">
        <f>IFERROR(J228*MIN(1,'01_Нормативы'!$C$7/SUM(J$2:J$429)),0)</f>
        <v/>
      </c>
      <c r="T228" s="10">
        <f>IFERROR(K228*MIN(1,'01_Нормативы'!$C$8/SUM(K$2:K$429)),0)</f>
        <v/>
      </c>
      <c r="U228" s="10">
        <f>IFERROR(L228*MIN(1,'01_Нормативы'!$C$9/SUM(L$2:L$429)),0)</f>
        <v/>
      </c>
      <c r="V228" s="10">
        <f>IFERROR(M228*MIN(1,'01_Нормативы'!$C$10/SUM(M$2:M$429)),0)</f>
        <v/>
      </c>
      <c r="W228" s="10">
        <f>IFERROR(N228*MIN(1,'01_Нормативы'!$C$11/SUM(N$2:N$429)),0)</f>
        <v/>
      </c>
      <c r="X228" s="10">
        <f>SUM(P228:W228)</f>
        <v/>
      </c>
      <c r="Y228" s="10">
        <f>MAX(0,C228-X228)</f>
        <v/>
      </c>
      <c r="Z228" s="10">
        <f>IF(D228=0,100,X228/D228*100)</f>
        <v/>
      </c>
      <c r="AA228" s="10">
        <f>'02_Данные'!F228+'02_Данные'!G228</f>
        <v/>
      </c>
      <c r="AB228" s="10">
        <f>MIN('02_Данные'!L228,AA228)</f>
        <v/>
      </c>
      <c r="AC228" s="10">
        <f>AA228-AB228</f>
        <v/>
      </c>
      <c r="AD228" s="10">
        <f>MIN('02_Данные'!M228,AC228)</f>
        <v/>
      </c>
      <c r="AE228" s="10">
        <f>AC228-AD228</f>
        <v/>
      </c>
      <c r="AF228" s="10">
        <f>MIN('02_Данные'!N228,AE228)</f>
        <v/>
      </c>
      <c r="AG228" s="10">
        <f>AE228-AF228</f>
        <v/>
      </c>
      <c r="AH228" s="10">
        <f>MIN('02_Данные'!S228,AG228)</f>
        <v/>
      </c>
      <c r="AI228" s="10">
        <f>AG228-AH228</f>
        <v/>
      </c>
      <c r="AJ228" s="10">
        <f>MIN('02_Данные'!P228,AI228)</f>
        <v/>
      </c>
      <c r="AK228" s="10">
        <f>AI228-AJ228</f>
        <v/>
      </c>
      <c r="AL228" s="10">
        <f>MIN('02_Данные'!O228,AK228)</f>
        <v/>
      </c>
      <c r="AM228" s="10">
        <f>AK228-AL228</f>
        <v/>
      </c>
      <c r="AN228" s="10">
        <f>MIN('02_Данные'!Q228,AM228)</f>
        <v/>
      </c>
      <c r="AO228" s="10">
        <f>AM228-AN228</f>
        <v/>
      </c>
      <c r="AP228" s="10">
        <f>MIN('02_Данные'!R228,AO228)</f>
        <v/>
      </c>
      <c r="AQ228" s="10">
        <f>AO228-AP228</f>
        <v/>
      </c>
      <c r="AR228" s="10">
        <f>AQ228+'02_Данные'!H228</f>
        <v/>
      </c>
      <c r="AS228" s="10">
        <f>MIN('02_Данные'!T228,AR228)</f>
        <v/>
      </c>
      <c r="AT228" s="10">
        <f>AR228-AS228</f>
        <v/>
      </c>
      <c r="AU228" s="10">
        <f>MIN('02_Данные'!U228,AT228)</f>
        <v/>
      </c>
      <c r="AV228" s="10">
        <f>AT228-AU228</f>
        <v/>
      </c>
      <c r="AW228" s="10">
        <f>MIN('02_Данные'!V228,AV228)</f>
        <v/>
      </c>
      <c r="AX228" s="10">
        <f>AV228-AW228</f>
        <v/>
      </c>
      <c r="AY228" s="10">
        <f>MIN('02_Данные'!AA228,AX228)</f>
        <v/>
      </c>
      <c r="AZ228" s="10">
        <f>AX228-AY228</f>
        <v/>
      </c>
      <c r="BA228" s="10">
        <f>MIN('02_Данные'!X228,AZ228)</f>
        <v/>
      </c>
      <c r="BB228" s="10">
        <f>AZ228-BA228</f>
        <v/>
      </c>
      <c r="BC228" s="10">
        <f>MIN('02_Данные'!W228,BB228)</f>
        <v/>
      </c>
      <c r="BD228" s="10">
        <f>BB228-BC228</f>
        <v/>
      </c>
      <c r="BE228" s="10">
        <f>MIN('02_Данные'!Y228,BD228)</f>
        <v/>
      </c>
      <c r="BF228" s="10">
        <f>BD228-BE228</f>
        <v/>
      </c>
      <c r="BG228" s="10">
        <f>MIN('02_Данные'!Z228,BF228)</f>
        <v/>
      </c>
      <c r="BH228" s="10">
        <f>BF228-BG228</f>
        <v/>
      </c>
      <c r="BI228" s="10">
        <f>BH228+'02_Данные'!I228</f>
        <v/>
      </c>
      <c r="BJ228" s="10">
        <f>MIN('02_Данные'!AB228,BI228)</f>
        <v/>
      </c>
      <c r="BK228" s="10">
        <f>BI228-BJ228</f>
        <v/>
      </c>
      <c r="BL228" s="10">
        <f>MIN('02_Данные'!AC228,BK228)</f>
        <v/>
      </c>
      <c r="BM228" s="10">
        <f>BK228-BL228</f>
        <v/>
      </c>
      <c r="BN228" s="10">
        <f>MIN('02_Данные'!AD228,BM228)</f>
        <v/>
      </c>
      <c r="BO228" s="10">
        <f>BM228-BN228</f>
        <v/>
      </c>
      <c r="BP228" s="10">
        <f>MIN('02_Данные'!AI228,BO228)</f>
        <v/>
      </c>
      <c r="BQ228" s="10">
        <f>BO228-BP228</f>
        <v/>
      </c>
      <c r="BR228" s="10">
        <f>MIN('02_Данные'!AF228,BQ228)</f>
        <v/>
      </c>
      <c r="BS228" s="10">
        <f>BQ228-BR228</f>
        <v/>
      </c>
      <c r="BT228" s="10">
        <f>MIN('02_Данные'!AE228,BS228)</f>
        <v/>
      </c>
      <c r="BU228" s="10">
        <f>BS228-BT228</f>
        <v/>
      </c>
      <c r="BV228" s="10">
        <f>MIN('02_Данные'!AG228,BU228)</f>
        <v/>
      </c>
      <c r="BW228" s="10">
        <f>BU228-BV228</f>
        <v/>
      </c>
      <c r="BX228" s="10">
        <f>MIN('02_Данные'!AH228,BW228)</f>
        <v/>
      </c>
      <c r="BY228" s="10">
        <f>BW228-BX228</f>
        <v/>
      </c>
      <c r="BZ228" s="10">
        <f>BY228+'02_Данные'!J228</f>
        <v/>
      </c>
      <c r="CA228" s="10">
        <f>MIN('02_Данные'!AJ228,BZ228)</f>
        <v/>
      </c>
      <c r="CB228" s="10">
        <f>BZ228-CA228</f>
        <v/>
      </c>
      <c r="CC228" s="10">
        <f>MIN('02_Данные'!AK228,CB228)</f>
        <v/>
      </c>
      <c r="CD228" s="10">
        <f>CB228-CC228</f>
        <v/>
      </c>
      <c r="CE228" s="10">
        <f>MIN('02_Данные'!AL228,CD228)</f>
        <v/>
      </c>
      <c r="CF228" s="10">
        <f>CD228-CE228</f>
        <v/>
      </c>
      <c r="CG228" s="10">
        <f>MIN('02_Данные'!AQ228,CF228)</f>
        <v/>
      </c>
      <c r="CH228" s="10">
        <f>CF228-CG228</f>
        <v/>
      </c>
      <c r="CI228" s="10">
        <f>MIN('02_Данные'!AN228,CH228)</f>
        <v/>
      </c>
      <c r="CJ228" s="10">
        <f>CH228-CI228</f>
        <v/>
      </c>
      <c r="CK228" s="10">
        <f>MIN('02_Данные'!AM228,CJ228)</f>
        <v/>
      </c>
      <c r="CL228" s="10">
        <f>CJ228-CK228</f>
        <v/>
      </c>
      <c r="CM228" s="10">
        <f>MIN('02_Данные'!AO228,CL228)</f>
        <v/>
      </c>
      <c r="CN228" s="10">
        <f>CL228-CM228</f>
        <v/>
      </c>
      <c r="CO228" s="10">
        <f>MIN('02_Данные'!AP228,CN228)</f>
        <v/>
      </c>
      <c r="CP228" s="10">
        <f>CN228-CO228</f>
        <v/>
      </c>
      <c r="CQ228" s="10">
        <f>CP228+'02_Данные'!K228</f>
        <v/>
      </c>
      <c r="CR228" s="10">
        <f>MIN('02_Данные'!AR228,CQ228)</f>
        <v/>
      </c>
      <c r="CS228" s="10">
        <f>CQ228-CR228</f>
        <v/>
      </c>
      <c r="CT228" s="10">
        <f>MIN('02_Данные'!AS228,CS228)</f>
        <v/>
      </c>
      <c r="CU228" s="10">
        <f>CS228-CT228</f>
        <v/>
      </c>
      <c r="CV228" s="10">
        <f>MIN('02_Данные'!AT228,CU228)</f>
        <v/>
      </c>
      <c r="CW228" s="10">
        <f>CU228-CV228</f>
        <v/>
      </c>
      <c r="CX228" s="10">
        <f>MIN('02_Данные'!AY228,CW228)</f>
        <v/>
      </c>
      <c r="CY228" s="10">
        <f>CW228-CX228</f>
        <v/>
      </c>
      <c r="CZ228" s="10">
        <f>MIN('02_Данные'!AV228,CY228)</f>
        <v/>
      </c>
      <c r="DA228" s="10">
        <f>CY228-CZ228</f>
        <v/>
      </c>
      <c r="DB228" s="10">
        <f>MIN('02_Данные'!AU228,DA228)</f>
        <v/>
      </c>
      <c r="DC228" s="10">
        <f>DA228-DB228</f>
        <v/>
      </c>
      <c r="DD228" s="10">
        <f>MIN('02_Данные'!AW228,DC228)</f>
        <v/>
      </c>
      <c r="DE228" s="10">
        <f>DC228-DD228</f>
        <v/>
      </c>
      <c r="DF228" s="10">
        <f>MIN('02_Данные'!AX228,DE228)</f>
        <v/>
      </c>
      <c r="DG228" s="10">
        <f>DE228-DF228</f>
        <v/>
      </c>
    </row>
    <row r="229">
      <c r="A229" s="9">
        <f>'02_Данные'!B229</f>
        <v/>
      </c>
      <c r="B229" s="9">
        <f>'02_Данные'!E229</f>
        <v/>
      </c>
      <c r="C229" s="10">
        <f>'02_Данные'!F229+'02_Данные'!G229+'02_Данные'!H229+'02_Данные'!I229+'02_Данные'!J229+'02_Данные'!K229</f>
        <v/>
      </c>
      <c r="D229" s="10">
        <f>SUM('02_Данные'!L229:'02_Данные'!AY229)</f>
        <v/>
      </c>
      <c r="E229" s="10">
        <f>MAX(0,D229-C229)</f>
        <v/>
      </c>
      <c r="F229" s="15">
        <f>IF(E229&gt;0.0001,"ДЕФИЦИТ",IF(Y229&gt;0.0001,"ПРОФИЦИТ","БАЛАНС"))</f>
        <v/>
      </c>
      <c r="G229" s="10">
        <f>AB229+AS229+BJ229+CA229+CR229</f>
        <v/>
      </c>
      <c r="H229" s="10">
        <f>AD229+AU229+BL229+CC229+CT229</f>
        <v/>
      </c>
      <c r="I229" s="10">
        <f>AF229+AW229+BN229+CE229+CV229</f>
        <v/>
      </c>
      <c r="J229" s="10">
        <f>AL229+BC229+BT229+CK229+DB229</f>
        <v/>
      </c>
      <c r="K229" s="10">
        <f>AJ229+BA229+BR229+CI229+CZ229</f>
        <v/>
      </c>
      <c r="L229" s="10">
        <f>AN229+BE229+BV229+CM229+DD229</f>
        <v/>
      </c>
      <c r="M229" s="10">
        <f>AP229+BG229+BX229+CO229+DF229</f>
        <v/>
      </c>
      <c r="N229" s="10">
        <f>AH229+AY229+BP229+CG229+CX229</f>
        <v/>
      </c>
      <c r="O229" s="10">
        <f>SUM(G229:N229)</f>
        <v/>
      </c>
      <c r="P229" s="10">
        <f>IFERROR(G229*MIN(1,'01_Нормативы'!$C$4/SUM(G$2:G$429)),0)</f>
        <v/>
      </c>
      <c r="Q229" s="10">
        <f>IFERROR(H229*MIN(1,'01_Нормативы'!$C$5/SUM(H$2:H$429)),0)</f>
        <v/>
      </c>
      <c r="R229" s="10">
        <f>IFERROR(I229*MIN(1,'01_Нормативы'!$C$6/SUM(I$2:I$429)),0)</f>
        <v/>
      </c>
      <c r="S229" s="10">
        <f>IFERROR(J229*MIN(1,'01_Нормативы'!$C$7/SUM(J$2:J$429)),0)</f>
        <v/>
      </c>
      <c r="T229" s="10">
        <f>IFERROR(K229*MIN(1,'01_Нормативы'!$C$8/SUM(K$2:K$429)),0)</f>
        <v/>
      </c>
      <c r="U229" s="10">
        <f>IFERROR(L229*MIN(1,'01_Нормативы'!$C$9/SUM(L$2:L$429)),0)</f>
        <v/>
      </c>
      <c r="V229" s="10">
        <f>IFERROR(M229*MIN(1,'01_Нормативы'!$C$10/SUM(M$2:M$429)),0)</f>
        <v/>
      </c>
      <c r="W229" s="10">
        <f>IFERROR(N229*MIN(1,'01_Нормативы'!$C$11/SUM(N$2:N$429)),0)</f>
        <v/>
      </c>
      <c r="X229" s="10">
        <f>SUM(P229:W229)</f>
        <v/>
      </c>
      <c r="Y229" s="10">
        <f>MAX(0,C229-X229)</f>
        <v/>
      </c>
      <c r="Z229" s="10">
        <f>IF(D229=0,100,X229/D229*100)</f>
        <v/>
      </c>
      <c r="AA229" s="10">
        <f>'02_Данные'!F229+'02_Данные'!G229</f>
        <v/>
      </c>
      <c r="AB229" s="10">
        <f>MIN('02_Данные'!L229,AA229)</f>
        <v/>
      </c>
      <c r="AC229" s="10">
        <f>AA229-AB229</f>
        <v/>
      </c>
      <c r="AD229" s="10">
        <f>MIN('02_Данные'!M229,AC229)</f>
        <v/>
      </c>
      <c r="AE229" s="10">
        <f>AC229-AD229</f>
        <v/>
      </c>
      <c r="AF229" s="10">
        <f>MIN('02_Данные'!N229,AE229)</f>
        <v/>
      </c>
      <c r="AG229" s="10">
        <f>AE229-AF229</f>
        <v/>
      </c>
      <c r="AH229" s="10">
        <f>MIN('02_Данные'!S229,AG229)</f>
        <v/>
      </c>
      <c r="AI229" s="10">
        <f>AG229-AH229</f>
        <v/>
      </c>
      <c r="AJ229" s="10">
        <f>MIN('02_Данные'!P229,AI229)</f>
        <v/>
      </c>
      <c r="AK229" s="10">
        <f>AI229-AJ229</f>
        <v/>
      </c>
      <c r="AL229" s="10">
        <f>MIN('02_Данные'!O229,AK229)</f>
        <v/>
      </c>
      <c r="AM229" s="10">
        <f>AK229-AL229</f>
        <v/>
      </c>
      <c r="AN229" s="10">
        <f>MIN('02_Данные'!Q229,AM229)</f>
        <v/>
      </c>
      <c r="AO229" s="10">
        <f>AM229-AN229</f>
        <v/>
      </c>
      <c r="AP229" s="10">
        <f>MIN('02_Данные'!R229,AO229)</f>
        <v/>
      </c>
      <c r="AQ229" s="10">
        <f>AO229-AP229</f>
        <v/>
      </c>
      <c r="AR229" s="10">
        <f>AQ229+'02_Данные'!H229</f>
        <v/>
      </c>
      <c r="AS229" s="10">
        <f>MIN('02_Данные'!T229,AR229)</f>
        <v/>
      </c>
      <c r="AT229" s="10">
        <f>AR229-AS229</f>
        <v/>
      </c>
      <c r="AU229" s="10">
        <f>MIN('02_Данные'!U229,AT229)</f>
        <v/>
      </c>
      <c r="AV229" s="10">
        <f>AT229-AU229</f>
        <v/>
      </c>
      <c r="AW229" s="10">
        <f>MIN('02_Данные'!V229,AV229)</f>
        <v/>
      </c>
      <c r="AX229" s="10">
        <f>AV229-AW229</f>
        <v/>
      </c>
      <c r="AY229" s="10">
        <f>MIN('02_Данные'!AA229,AX229)</f>
        <v/>
      </c>
      <c r="AZ229" s="10">
        <f>AX229-AY229</f>
        <v/>
      </c>
      <c r="BA229" s="10">
        <f>MIN('02_Данные'!X229,AZ229)</f>
        <v/>
      </c>
      <c r="BB229" s="10">
        <f>AZ229-BA229</f>
        <v/>
      </c>
      <c r="BC229" s="10">
        <f>MIN('02_Данные'!W229,BB229)</f>
        <v/>
      </c>
      <c r="BD229" s="10">
        <f>BB229-BC229</f>
        <v/>
      </c>
      <c r="BE229" s="10">
        <f>MIN('02_Данные'!Y229,BD229)</f>
        <v/>
      </c>
      <c r="BF229" s="10">
        <f>BD229-BE229</f>
        <v/>
      </c>
      <c r="BG229" s="10">
        <f>MIN('02_Данные'!Z229,BF229)</f>
        <v/>
      </c>
      <c r="BH229" s="10">
        <f>BF229-BG229</f>
        <v/>
      </c>
      <c r="BI229" s="10">
        <f>BH229+'02_Данные'!I229</f>
        <v/>
      </c>
      <c r="BJ229" s="10">
        <f>MIN('02_Данные'!AB229,BI229)</f>
        <v/>
      </c>
      <c r="BK229" s="10">
        <f>BI229-BJ229</f>
        <v/>
      </c>
      <c r="BL229" s="10">
        <f>MIN('02_Данные'!AC229,BK229)</f>
        <v/>
      </c>
      <c r="BM229" s="10">
        <f>BK229-BL229</f>
        <v/>
      </c>
      <c r="BN229" s="10">
        <f>MIN('02_Данные'!AD229,BM229)</f>
        <v/>
      </c>
      <c r="BO229" s="10">
        <f>BM229-BN229</f>
        <v/>
      </c>
      <c r="BP229" s="10">
        <f>MIN('02_Данные'!AI229,BO229)</f>
        <v/>
      </c>
      <c r="BQ229" s="10">
        <f>BO229-BP229</f>
        <v/>
      </c>
      <c r="BR229" s="10">
        <f>MIN('02_Данные'!AF229,BQ229)</f>
        <v/>
      </c>
      <c r="BS229" s="10">
        <f>BQ229-BR229</f>
        <v/>
      </c>
      <c r="BT229" s="10">
        <f>MIN('02_Данные'!AE229,BS229)</f>
        <v/>
      </c>
      <c r="BU229" s="10">
        <f>BS229-BT229</f>
        <v/>
      </c>
      <c r="BV229" s="10">
        <f>MIN('02_Данные'!AG229,BU229)</f>
        <v/>
      </c>
      <c r="BW229" s="10">
        <f>BU229-BV229</f>
        <v/>
      </c>
      <c r="BX229" s="10">
        <f>MIN('02_Данные'!AH229,BW229)</f>
        <v/>
      </c>
      <c r="BY229" s="10">
        <f>BW229-BX229</f>
        <v/>
      </c>
      <c r="BZ229" s="10">
        <f>BY229+'02_Данные'!J229</f>
        <v/>
      </c>
      <c r="CA229" s="10">
        <f>MIN('02_Данные'!AJ229,BZ229)</f>
        <v/>
      </c>
      <c r="CB229" s="10">
        <f>BZ229-CA229</f>
        <v/>
      </c>
      <c r="CC229" s="10">
        <f>MIN('02_Данные'!AK229,CB229)</f>
        <v/>
      </c>
      <c r="CD229" s="10">
        <f>CB229-CC229</f>
        <v/>
      </c>
      <c r="CE229" s="10">
        <f>MIN('02_Данные'!AL229,CD229)</f>
        <v/>
      </c>
      <c r="CF229" s="10">
        <f>CD229-CE229</f>
        <v/>
      </c>
      <c r="CG229" s="10">
        <f>MIN('02_Данные'!AQ229,CF229)</f>
        <v/>
      </c>
      <c r="CH229" s="10">
        <f>CF229-CG229</f>
        <v/>
      </c>
      <c r="CI229" s="10">
        <f>MIN('02_Данные'!AN229,CH229)</f>
        <v/>
      </c>
      <c r="CJ229" s="10">
        <f>CH229-CI229</f>
        <v/>
      </c>
      <c r="CK229" s="10">
        <f>MIN('02_Данные'!AM229,CJ229)</f>
        <v/>
      </c>
      <c r="CL229" s="10">
        <f>CJ229-CK229</f>
        <v/>
      </c>
      <c r="CM229" s="10">
        <f>MIN('02_Данные'!AO229,CL229)</f>
        <v/>
      </c>
      <c r="CN229" s="10">
        <f>CL229-CM229</f>
        <v/>
      </c>
      <c r="CO229" s="10">
        <f>MIN('02_Данные'!AP229,CN229)</f>
        <v/>
      </c>
      <c r="CP229" s="10">
        <f>CN229-CO229</f>
        <v/>
      </c>
      <c r="CQ229" s="10">
        <f>CP229+'02_Данные'!K229</f>
        <v/>
      </c>
      <c r="CR229" s="10">
        <f>MIN('02_Данные'!AR229,CQ229)</f>
        <v/>
      </c>
      <c r="CS229" s="10">
        <f>CQ229-CR229</f>
        <v/>
      </c>
      <c r="CT229" s="10">
        <f>MIN('02_Данные'!AS229,CS229)</f>
        <v/>
      </c>
      <c r="CU229" s="10">
        <f>CS229-CT229</f>
        <v/>
      </c>
      <c r="CV229" s="10">
        <f>MIN('02_Данные'!AT229,CU229)</f>
        <v/>
      </c>
      <c r="CW229" s="10">
        <f>CU229-CV229</f>
        <v/>
      </c>
      <c r="CX229" s="10">
        <f>MIN('02_Данные'!AY229,CW229)</f>
        <v/>
      </c>
      <c r="CY229" s="10">
        <f>CW229-CX229</f>
        <v/>
      </c>
      <c r="CZ229" s="10">
        <f>MIN('02_Данные'!AV229,CY229)</f>
        <v/>
      </c>
      <c r="DA229" s="10">
        <f>CY229-CZ229</f>
        <v/>
      </c>
      <c r="DB229" s="10">
        <f>MIN('02_Данные'!AU229,DA229)</f>
        <v/>
      </c>
      <c r="DC229" s="10">
        <f>DA229-DB229</f>
        <v/>
      </c>
      <c r="DD229" s="10">
        <f>MIN('02_Данные'!AW229,DC229)</f>
        <v/>
      </c>
      <c r="DE229" s="10">
        <f>DC229-DD229</f>
        <v/>
      </c>
      <c r="DF229" s="10">
        <f>MIN('02_Данные'!AX229,DE229)</f>
        <v/>
      </c>
      <c r="DG229" s="10">
        <f>DE229-DF229</f>
        <v/>
      </c>
    </row>
    <row r="230">
      <c r="A230" s="9">
        <f>'02_Данные'!B230</f>
        <v/>
      </c>
      <c r="B230" s="9">
        <f>'02_Данные'!E230</f>
        <v/>
      </c>
      <c r="C230" s="10">
        <f>'02_Данные'!F230+'02_Данные'!G230+'02_Данные'!H230+'02_Данные'!I230+'02_Данные'!J230+'02_Данные'!K230</f>
        <v/>
      </c>
      <c r="D230" s="10">
        <f>SUM('02_Данные'!L230:'02_Данные'!AY230)</f>
        <v/>
      </c>
      <c r="E230" s="10">
        <f>MAX(0,D230-C230)</f>
        <v/>
      </c>
      <c r="F230" s="15">
        <f>IF(E230&gt;0.0001,"ДЕФИЦИТ",IF(Y230&gt;0.0001,"ПРОФИЦИТ","БАЛАНС"))</f>
        <v/>
      </c>
      <c r="G230" s="10">
        <f>AB230+AS230+BJ230+CA230+CR230</f>
        <v/>
      </c>
      <c r="H230" s="10">
        <f>AD230+AU230+BL230+CC230+CT230</f>
        <v/>
      </c>
      <c r="I230" s="10">
        <f>AF230+AW230+BN230+CE230+CV230</f>
        <v/>
      </c>
      <c r="J230" s="10">
        <f>AL230+BC230+BT230+CK230+DB230</f>
        <v/>
      </c>
      <c r="K230" s="10">
        <f>AJ230+BA230+BR230+CI230+CZ230</f>
        <v/>
      </c>
      <c r="L230" s="10">
        <f>AN230+BE230+BV230+CM230+DD230</f>
        <v/>
      </c>
      <c r="M230" s="10">
        <f>AP230+BG230+BX230+CO230+DF230</f>
        <v/>
      </c>
      <c r="N230" s="10">
        <f>AH230+AY230+BP230+CG230+CX230</f>
        <v/>
      </c>
      <c r="O230" s="10">
        <f>SUM(G230:N230)</f>
        <v/>
      </c>
      <c r="P230" s="10">
        <f>IFERROR(G230*MIN(1,'01_Нормативы'!$C$4/SUM(G$2:G$429)),0)</f>
        <v/>
      </c>
      <c r="Q230" s="10">
        <f>IFERROR(H230*MIN(1,'01_Нормативы'!$C$5/SUM(H$2:H$429)),0)</f>
        <v/>
      </c>
      <c r="R230" s="10">
        <f>IFERROR(I230*MIN(1,'01_Нормативы'!$C$6/SUM(I$2:I$429)),0)</f>
        <v/>
      </c>
      <c r="S230" s="10">
        <f>IFERROR(J230*MIN(1,'01_Нормативы'!$C$7/SUM(J$2:J$429)),0)</f>
        <v/>
      </c>
      <c r="T230" s="10">
        <f>IFERROR(K230*MIN(1,'01_Нормативы'!$C$8/SUM(K$2:K$429)),0)</f>
        <v/>
      </c>
      <c r="U230" s="10">
        <f>IFERROR(L230*MIN(1,'01_Нормативы'!$C$9/SUM(L$2:L$429)),0)</f>
        <v/>
      </c>
      <c r="V230" s="10">
        <f>IFERROR(M230*MIN(1,'01_Нормативы'!$C$10/SUM(M$2:M$429)),0)</f>
        <v/>
      </c>
      <c r="W230" s="10">
        <f>IFERROR(N230*MIN(1,'01_Нормативы'!$C$11/SUM(N$2:N$429)),0)</f>
        <v/>
      </c>
      <c r="X230" s="10">
        <f>SUM(P230:W230)</f>
        <v/>
      </c>
      <c r="Y230" s="10">
        <f>MAX(0,C230-X230)</f>
        <v/>
      </c>
      <c r="Z230" s="10">
        <f>IF(D230=0,100,X230/D230*100)</f>
        <v/>
      </c>
      <c r="AA230" s="10">
        <f>'02_Данные'!F230+'02_Данные'!G230</f>
        <v/>
      </c>
      <c r="AB230" s="10">
        <f>MIN('02_Данные'!L230,AA230)</f>
        <v/>
      </c>
      <c r="AC230" s="10">
        <f>AA230-AB230</f>
        <v/>
      </c>
      <c r="AD230" s="10">
        <f>MIN('02_Данные'!M230,AC230)</f>
        <v/>
      </c>
      <c r="AE230" s="10">
        <f>AC230-AD230</f>
        <v/>
      </c>
      <c r="AF230" s="10">
        <f>MIN('02_Данные'!N230,AE230)</f>
        <v/>
      </c>
      <c r="AG230" s="10">
        <f>AE230-AF230</f>
        <v/>
      </c>
      <c r="AH230" s="10">
        <f>MIN('02_Данные'!S230,AG230)</f>
        <v/>
      </c>
      <c r="AI230" s="10">
        <f>AG230-AH230</f>
        <v/>
      </c>
      <c r="AJ230" s="10">
        <f>MIN('02_Данные'!P230,AI230)</f>
        <v/>
      </c>
      <c r="AK230" s="10">
        <f>AI230-AJ230</f>
        <v/>
      </c>
      <c r="AL230" s="10">
        <f>MIN('02_Данные'!O230,AK230)</f>
        <v/>
      </c>
      <c r="AM230" s="10">
        <f>AK230-AL230</f>
        <v/>
      </c>
      <c r="AN230" s="10">
        <f>MIN('02_Данные'!Q230,AM230)</f>
        <v/>
      </c>
      <c r="AO230" s="10">
        <f>AM230-AN230</f>
        <v/>
      </c>
      <c r="AP230" s="10">
        <f>MIN('02_Данные'!R230,AO230)</f>
        <v/>
      </c>
      <c r="AQ230" s="10">
        <f>AO230-AP230</f>
        <v/>
      </c>
      <c r="AR230" s="10">
        <f>AQ230+'02_Данные'!H230</f>
        <v/>
      </c>
      <c r="AS230" s="10">
        <f>MIN('02_Данные'!T230,AR230)</f>
        <v/>
      </c>
      <c r="AT230" s="10">
        <f>AR230-AS230</f>
        <v/>
      </c>
      <c r="AU230" s="10">
        <f>MIN('02_Данные'!U230,AT230)</f>
        <v/>
      </c>
      <c r="AV230" s="10">
        <f>AT230-AU230</f>
        <v/>
      </c>
      <c r="AW230" s="10">
        <f>MIN('02_Данные'!V230,AV230)</f>
        <v/>
      </c>
      <c r="AX230" s="10">
        <f>AV230-AW230</f>
        <v/>
      </c>
      <c r="AY230" s="10">
        <f>MIN('02_Данные'!AA230,AX230)</f>
        <v/>
      </c>
      <c r="AZ230" s="10">
        <f>AX230-AY230</f>
        <v/>
      </c>
      <c r="BA230" s="10">
        <f>MIN('02_Данные'!X230,AZ230)</f>
        <v/>
      </c>
      <c r="BB230" s="10">
        <f>AZ230-BA230</f>
        <v/>
      </c>
      <c r="BC230" s="10">
        <f>MIN('02_Данные'!W230,BB230)</f>
        <v/>
      </c>
      <c r="BD230" s="10">
        <f>BB230-BC230</f>
        <v/>
      </c>
      <c r="BE230" s="10">
        <f>MIN('02_Данные'!Y230,BD230)</f>
        <v/>
      </c>
      <c r="BF230" s="10">
        <f>BD230-BE230</f>
        <v/>
      </c>
      <c r="BG230" s="10">
        <f>MIN('02_Данные'!Z230,BF230)</f>
        <v/>
      </c>
      <c r="BH230" s="10">
        <f>BF230-BG230</f>
        <v/>
      </c>
      <c r="BI230" s="10">
        <f>BH230+'02_Данные'!I230</f>
        <v/>
      </c>
      <c r="BJ230" s="10">
        <f>MIN('02_Данные'!AB230,BI230)</f>
        <v/>
      </c>
      <c r="BK230" s="10">
        <f>BI230-BJ230</f>
        <v/>
      </c>
      <c r="BL230" s="10">
        <f>MIN('02_Данные'!AC230,BK230)</f>
        <v/>
      </c>
      <c r="BM230" s="10">
        <f>BK230-BL230</f>
        <v/>
      </c>
      <c r="BN230" s="10">
        <f>MIN('02_Данные'!AD230,BM230)</f>
        <v/>
      </c>
      <c r="BO230" s="10">
        <f>BM230-BN230</f>
        <v/>
      </c>
      <c r="BP230" s="10">
        <f>MIN('02_Данные'!AI230,BO230)</f>
        <v/>
      </c>
      <c r="BQ230" s="10">
        <f>BO230-BP230</f>
        <v/>
      </c>
      <c r="BR230" s="10">
        <f>MIN('02_Данные'!AF230,BQ230)</f>
        <v/>
      </c>
      <c r="BS230" s="10">
        <f>BQ230-BR230</f>
        <v/>
      </c>
      <c r="BT230" s="10">
        <f>MIN('02_Данные'!AE230,BS230)</f>
        <v/>
      </c>
      <c r="BU230" s="10">
        <f>BS230-BT230</f>
        <v/>
      </c>
      <c r="BV230" s="10">
        <f>MIN('02_Данные'!AG230,BU230)</f>
        <v/>
      </c>
      <c r="BW230" s="10">
        <f>BU230-BV230</f>
        <v/>
      </c>
      <c r="BX230" s="10">
        <f>MIN('02_Данные'!AH230,BW230)</f>
        <v/>
      </c>
      <c r="BY230" s="10">
        <f>BW230-BX230</f>
        <v/>
      </c>
      <c r="BZ230" s="10">
        <f>BY230+'02_Данные'!J230</f>
        <v/>
      </c>
      <c r="CA230" s="10">
        <f>MIN('02_Данные'!AJ230,BZ230)</f>
        <v/>
      </c>
      <c r="CB230" s="10">
        <f>BZ230-CA230</f>
        <v/>
      </c>
      <c r="CC230" s="10">
        <f>MIN('02_Данные'!AK230,CB230)</f>
        <v/>
      </c>
      <c r="CD230" s="10">
        <f>CB230-CC230</f>
        <v/>
      </c>
      <c r="CE230" s="10">
        <f>MIN('02_Данные'!AL230,CD230)</f>
        <v/>
      </c>
      <c r="CF230" s="10">
        <f>CD230-CE230</f>
        <v/>
      </c>
      <c r="CG230" s="10">
        <f>MIN('02_Данные'!AQ230,CF230)</f>
        <v/>
      </c>
      <c r="CH230" s="10">
        <f>CF230-CG230</f>
        <v/>
      </c>
      <c r="CI230" s="10">
        <f>MIN('02_Данные'!AN230,CH230)</f>
        <v/>
      </c>
      <c r="CJ230" s="10">
        <f>CH230-CI230</f>
        <v/>
      </c>
      <c r="CK230" s="10">
        <f>MIN('02_Данные'!AM230,CJ230)</f>
        <v/>
      </c>
      <c r="CL230" s="10">
        <f>CJ230-CK230</f>
        <v/>
      </c>
      <c r="CM230" s="10">
        <f>MIN('02_Данные'!AO230,CL230)</f>
        <v/>
      </c>
      <c r="CN230" s="10">
        <f>CL230-CM230</f>
        <v/>
      </c>
      <c r="CO230" s="10">
        <f>MIN('02_Данные'!AP230,CN230)</f>
        <v/>
      </c>
      <c r="CP230" s="10">
        <f>CN230-CO230</f>
        <v/>
      </c>
      <c r="CQ230" s="10">
        <f>CP230+'02_Данные'!K230</f>
        <v/>
      </c>
      <c r="CR230" s="10">
        <f>MIN('02_Данные'!AR230,CQ230)</f>
        <v/>
      </c>
      <c r="CS230" s="10">
        <f>CQ230-CR230</f>
        <v/>
      </c>
      <c r="CT230" s="10">
        <f>MIN('02_Данные'!AS230,CS230)</f>
        <v/>
      </c>
      <c r="CU230" s="10">
        <f>CS230-CT230</f>
        <v/>
      </c>
      <c r="CV230" s="10">
        <f>MIN('02_Данные'!AT230,CU230)</f>
        <v/>
      </c>
      <c r="CW230" s="10">
        <f>CU230-CV230</f>
        <v/>
      </c>
      <c r="CX230" s="10">
        <f>MIN('02_Данные'!AY230,CW230)</f>
        <v/>
      </c>
      <c r="CY230" s="10">
        <f>CW230-CX230</f>
        <v/>
      </c>
      <c r="CZ230" s="10">
        <f>MIN('02_Данные'!AV230,CY230)</f>
        <v/>
      </c>
      <c r="DA230" s="10">
        <f>CY230-CZ230</f>
        <v/>
      </c>
      <c r="DB230" s="10">
        <f>MIN('02_Данные'!AU230,DA230)</f>
        <v/>
      </c>
      <c r="DC230" s="10">
        <f>DA230-DB230</f>
        <v/>
      </c>
      <c r="DD230" s="10">
        <f>MIN('02_Данные'!AW230,DC230)</f>
        <v/>
      </c>
      <c r="DE230" s="10">
        <f>DC230-DD230</f>
        <v/>
      </c>
      <c r="DF230" s="10">
        <f>MIN('02_Данные'!AX230,DE230)</f>
        <v/>
      </c>
      <c r="DG230" s="10">
        <f>DE230-DF230</f>
        <v/>
      </c>
    </row>
    <row r="231">
      <c r="A231" s="9">
        <f>'02_Данные'!B231</f>
        <v/>
      </c>
      <c r="B231" s="9">
        <f>'02_Данные'!E231</f>
        <v/>
      </c>
      <c r="C231" s="10">
        <f>'02_Данные'!F231+'02_Данные'!G231+'02_Данные'!H231+'02_Данные'!I231+'02_Данные'!J231+'02_Данные'!K231</f>
        <v/>
      </c>
      <c r="D231" s="10">
        <f>SUM('02_Данные'!L231:'02_Данные'!AY231)</f>
        <v/>
      </c>
      <c r="E231" s="10">
        <f>MAX(0,D231-C231)</f>
        <v/>
      </c>
      <c r="F231" s="15">
        <f>IF(E231&gt;0.0001,"ДЕФИЦИТ",IF(Y231&gt;0.0001,"ПРОФИЦИТ","БАЛАНС"))</f>
        <v/>
      </c>
      <c r="G231" s="10">
        <f>AB231+AS231+BJ231+CA231+CR231</f>
        <v/>
      </c>
      <c r="H231" s="10">
        <f>AD231+AU231+BL231+CC231+CT231</f>
        <v/>
      </c>
      <c r="I231" s="10">
        <f>AF231+AW231+BN231+CE231+CV231</f>
        <v/>
      </c>
      <c r="J231" s="10">
        <f>AL231+BC231+BT231+CK231+DB231</f>
        <v/>
      </c>
      <c r="K231" s="10">
        <f>AJ231+BA231+BR231+CI231+CZ231</f>
        <v/>
      </c>
      <c r="L231" s="10">
        <f>AN231+BE231+BV231+CM231+DD231</f>
        <v/>
      </c>
      <c r="M231" s="10">
        <f>AP231+BG231+BX231+CO231+DF231</f>
        <v/>
      </c>
      <c r="N231" s="10">
        <f>AH231+AY231+BP231+CG231+CX231</f>
        <v/>
      </c>
      <c r="O231" s="10">
        <f>SUM(G231:N231)</f>
        <v/>
      </c>
      <c r="P231" s="10">
        <f>IFERROR(G231*MIN(1,'01_Нормативы'!$C$4/SUM(G$2:G$429)),0)</f>
        <v/>
      </c>
      <c r="Q231" s="10">
        <f>IFERROR(H231*MIN(1,'01_Нормативы'!$C$5/SUM(H$2:H$429)),0)</f>
        <v/>
      </c>
      <c r="R231" s="10">
        <f>IFERROR(I231*MIN(1,'01_Нормативы'!$C$6/SUM(I$2:I$429)),0)</f>
        <v/>
      </c>
      <c r="S231" s="10">
        <f>IFERROR(J231*MIN(1,'01_Нормативы'!$C$7/SUM(J$2:J$429)),0)</f>
        <v/>
      </c>
      <c r="T231" s="10">
        <f>IFERROR(K231*MIN(1,'01_Нормативы'!$C$8/SUM(K$2:K$429)),0)</f>
        <v/>
      </c>
      <c r="U231" s="10">
        <f>IFERROR(L231*MIN(1,'01_Нормативы'!$C$9/SUM(L$2:L$429)),0)</f>
        <v/>
      </c>
      <c r="V231" s="10">
        <f>IFERROR(M231*MIN(1,'01_Нормативы'!$C$10/SUM(M$2:M$429)),0)</f>
        <v/>
      </c>
      <c r="W231" s="10">
        <f>IFERROR(N231*MIN(1,'01_Нормативы'!$C$11/SUM(N$2:N$429)),0)</f>
        <v/>
      </c>
      <c r="X231" s="10">
        <f>SUM(P231:W231)</f>
        <v/>
      </c>
      <c r="Y231" s="10">
        <f>MAX(0,C231-X231)</f>
        <v/>
      </c>
      <c r="Z231" s="10">
        <f>IF(D231=0,100,X231/D231*100)</f>
        <v/>
      </c>
      <c r="AA231" s="10">
        <f>'02_Данные'!F231+'02_Данные'!G231</f>
        <v/>
      </c>
      <c r="AB231" s="10">
        <f>MIN('02_Данные'!L231,AA231)</f>
        <v/>
      </c>
      <c r="AC231" s="10">
        <f>AA231-AB231</f>
        <v/>
      </c>
      <c r="AD231" s="10">
        <f>MIN('02_Данные'!M231,AC231)</f>
        <v/>
      </c>
      <c r="AE231" s="10">
        <f>AC231-AD231</f>
        <v/>
      </c>
      <c r="AF231" s="10">
        <f>MIN('02_Данные'!N231,AE231)</f>
        <v/>
      </c>
      <c r="AG231" s="10">
        <f>AE231-AF231</f>
        <v/>
      </c>
      <c r="AH231" s="10">
        <f>MIN('02_Данные'!S231,AG231)</f>
        <v/>
      </c>
      <c r="AI231" s="10">
        <f>AG231-AH231</f>
        <v/>
      </c>
      <c r="AJ231" s="10">
        <f>MIN('02_Данные'!P231,AI231)</f>
        <v/>
      </c>
      <c r="AK231" s="10">
        <f>AI231-AJ231</f>
        <v/>
      </c>
      <c r="AL231" s="10">
        <f>MIN('02_Данные'!O231,AK231)</f>
        <v/>
      </c>
      <c r="AM231" s="10">
        <f>AK231-AL231</f>
        <v/>
      </c>
      <c r="AN231" s="10">
        <f>MIN('02_Данные'!Q231,AM231)</f>
        <v/>
      </c>
      <c r="AO231" s="10">
        <f>AM231-AN231</f>
        <v/>
      </c>
      <c r="AP231" s="10">
        <f>MIN('02_Данные'!R231,AO231)</f>
        <v/>
      </c>
      <c r="AQ231" s="10">
        <f>AO231-AP231</f>
        <v/>
      </c>
      <c r="AR231" s="10">
        <f>AQ231+'02_Данные'!H231</f>
        <v/>
      </c>
      <c r="AS231" s="10">
        <f>MIN('02_Данные'!T231,AR231)</f>
        <v/>
      </c>
      <c r="AT231" s="10">
        <f>AR231-AS231</f>
        <v/>
      </c>
      <c r="AU231" s="10">
        <f>MIN('02_Данные'!U231,AT231)</f>
        <v/>
      </c>
      <c r="AV231" s="10">
        <f>AT231-AU231</f>
        <v/>
      </c>
      <c r="AW231" s="10">
        <f>MIN('02_Данные'!V231,AV231)</f>
        <v/>
      </c>
      <c r="AX231" s="10">
        <f>AV231-AW231</f>
        <v/>
      </c>
      <c r="AY231" s="10">
        <f>MIN('02_Данные'!AA231,AX231)</f>
        <v/>
      </c>
      <c r="AZ231" s="10">
        <f>AX231-AY231</f>
        <v/>
      </c>
      <c r="BA231" s="10">
        <f>MIN('02_Данные'!X231,AZ231)</f>
        <v/>
      </c>
      <c r="BB231" s="10">
        <f>AZ231-BA231</f>
        <v/>
      </c>
      <c r="BC231" s="10">
        <f>MIN('02_Данные'!W231,BB231)</f>
        <v/>
      </c>
      <c r="BD231" s="10">
        <f>BB231-BC231</f>
        <v/>
      </c>
      <c r="BE231" s="10">
        <f>MIN('02_Данные'!Y231,BD231)</f>
        <v/>
      </c>
      <c r="BF231" s="10">
        <f>BD231-BE231</f>
        <v/>
      </c>
      <c r="BG231" s="10">
        <f>MIN('02_Данные'!Z231,BF231)</f>
        <v/>
      </c>
      <c r="BH231" s="10">
        <f>BF231-BG231</f>
        <v/>
      </c>
      <c r="BI231" s="10">
        <f>BH231+'02_Данные'!I231</f>
        <v/>
      </c>
      <c r="BJ231" s="10">
        <f>MIN('02_Данные'!AB231,BI231)</f>
        <v/>
      </c>
      <c r="BK231" s="10">
        <f>BI231-BJ231</f>
        <v/>
      </c>
      <c r="BL231" s="10">
        <f>MIN('02_Данные'!AC231,BK231)</f>
        <v/>
      </c>
      <c r="BM231" s="10">
        <f>BK231-BL231</f>
        <v/>
      </c>
      <c r="BN231" s="10">
        <f>MIN('02_Данные'!AD231,BM231)</f>
        <v/>
      </c>
      <c r="BO231" s="10">
        <f>BM231-BN231</f>
        <v/>
      </c>
      <c r="BP231" s="10">
        <f>MIN('02_Данные'!AI231,BO231)</f>
        <v/>
      </c>
      <c r="BQ231" s="10">
        <f>BO231-BP231</f>
        <v/>
      </c>
      <c r="BR231" s="10">
        <f>MIN('02_Данные'!AF231,BQ231)</f>
        <v/>
      </c>
      <c r="BS231" s="10">
        <f>BQ231-BR231</f>
        <v/>
      </c>
      <c r="BT231" s="10">
        <f>MIN('02_Данные'!AE231,BS231)</f>
        <v/>
      </c>
      <c r="BU231" s="10">
        <f>BS231-BT231</f>
        <v/>
      </c>
      <c r="BV231" s="10">
        <f>MIN('02_Данные'!AG231,BU231)</f>
        <v/>
      </c>
      <c r="BW231" s="10">
        <f>BU231-BV231</f>
        <v/>
      </c>
      <c r="BX231" s="10">
        <f>MIN('02_Данные'!AH231,BW231)</f>
        <v/>
      </c>
      <c r="BY231" s="10">
        <f>BW231-BX231</f>
        <v/>
      </c>
      <c r="BZ231" s="10">
        <f>BY231+'02_Данные'!J231</f>
        <v/>
      </c>
      <c r="CA231" s="10">
        <f>MIN('02_Данные'!AJ231,BZ231)</f>
        <v/>
      </c>
      <c r="CB231" s="10">
        <f>BZ231-CA231</f>
        <v/>
      </c>
      <c r="CC231" s="10">
        <f>MIN('02_Данные'!AK231,CB231)</f>
        <v/>
      </c>
      <c r="CD231" s="10">
        <f>CB231-CC231</f>
        <v/>
      </c>
      <c r="CE231" s="10">
        <f>MIN('02_Данные'!AL231,CD231)</f>
        <v/>
      </c>
      <c r="CF231" s="10">
        <f>CD231-CE231</f>
        <v/>
      </c>
      <c r="CG231" s="10">
        <f>MIN('02_Данные'!AQ231,CF231)</f>
        <v/>
      </c>
      <c r="CH231" s="10">
        <f>CF231-CG231</f>
        <v/>
      </c>
      <c r="CI231" s="10">
        <f>MIN('02_Данные'!AN231,CH231)</f>
        <v/>
      </c>
      <c r="CJ231" s="10">
        <f>CH231-CI231</f>
        <v/>
      </c>
      <c r="CK231" s="10">
        <f>MIN('02_Данные'!AM231,CJ231)</f>
        <v/>
      </c>
      <c r="CL231" s="10">
        <f>CJ231-CK231</f>
        <v/>
      </c>
      <c r="CM231" s="10">
        <f>MIN('02_Данные'!AO231,CL231)</f>
        <v/>
      </c>
      <c r="CN231" s="10">
        <f>CL231-CM231</f>
        <v/>
      </c>
      <c r="CO231" s="10">
        <f>MIN('02_Данные'!AP231,CN231)</f>
        <v/>
      </c>
      <c r="CP231" s="10">
        <f>CN231-CO231</f>
        <v/>
      </c>
      <c r="CQ231" s="10">
        <f>CP231+'02_Данные'!K231</f>
        <v/>
      </c>
      <c r="CR231" s="10">
        <f>MIN('02_Данные'!AR231,CQ231)</f>
        <v/>
      </c>
      <c r="CS231" s="10">
        <f>CQ231-CR231</f>
        <v/>
      </c>
      <c r="CT231" s="10">
        <f>MIN('02_Данные'!AS231,CS231)</f>
        <v/>
      </c>
      <c r="CU231" s="10">
        <f>CS231-CT231</f>
        <v/>
      </c>
      <c r="CV231" s="10">
        <f>MIN('02_Данные'!AT231,CU231)</f>
        <v/>
      </c>
      <c r="CW231" s="10">
        <f>CU231-CV231</f>
        <v/>
      </c>
      <c r="CX231" s="10">
        <f>MIN('02_Данные'!AY231,CW231)</f>
        <v/>
      </c>
      <c r="CY231" s="10">
        <f>CW231-CX231</f>
        <v/>
      </c>
      <c r="CZ231" s="10">
        <f>MIN('02_Данные'!AV231,CY231)</f>
        <v/>
      </c>
      <c r="DA231" s="10">
        <f>CY231-CZ231</f>
        <v/>
      </c>
      <c r="DB231" s="10">
        <f>MIN('02_Данные'!AU231,DA231)</f>
        <v/>
      </c>
      <c r="DC231" s="10">
        <f>DA231-DB231</f>
        <v/>
      </c>
      <c r="DD231" s="10">
        <f>MIN('02_Данные'!AW231,DC231)</f>
        <v/>
      </c>
      <c r="DE231" s="10">
        <f>DC231-DD231</f>
        <v/>
      </c>
      <c r="DF231" s="10">
        <f>MIN('02_Данные'!AX231,DE231)</f>
        <v/>
      </c>
      <c r="DG231" s="10">
        <f>DE231-DF231</f>
        <v/>
      </c>
    </row>
    <row r="232">
      <c r="A232" s="9">
        <f>'02_Данные'!B232</f>
        <v/>
      </c>
      <c r="B232" s="9">
        <f>'02_Данные'!E232</f>
        <v/>
      </c>
      <c r="C232" s="10">
        <f>'02_Данные'!F232+'02_Данные'!G232+'02_Данные'!H232+'02_Данные'!I232+'02_Данные'!J232+'02_Данные'!K232</f>
        <v/>
      </c>
      <c r="D232" s="10">
        <f>SUM('02_Данные'!L232:'02_Данные'!AY232)</f>
        <v/>
      </c>
      <c r="E232" s="10">
        <f>MAX(0,D232-C232)</f>
        <v/>
      </c>
      <c r="F232" s="15">
        <f>IF(E232&gt;0.0001,"ДЕФИЦИТ",IF(Y232&gt;0.0001,"ПРОФИЦИТ","БАЛАНС"))</f>
        <v/>
      </c>
      <c r="G232" s="10">
        <f>AB232+AS232+BJ232+CA232+CR232</f>
        <v/>
      </c>
      <c r="H232" s="10">
        <f>AD232+AU232+BL232+CC232+CT232</f>
        <v/>
      </c>
      <c r="I232" s="10">
        <f>AF232+AW232+BN232+CE232+CV232</f>
        <v/>
      </c>
      <c r="J232" s="10">
        <f>AL232+BC232+BT232+CK232+DB232</f>
        <v/>
      </c>
      <c r="K232" s="10">
        <f>AJ232+BA232+BR232+CI232+CZ232</f>
        <v/>
      </c>
      <c r="L232" s="10">
        <f>AN232+BE232+BV232+CM232+DD232</f>
        <v/>
      </c>
      <c r="M232" s="10">
        <f>AP232+BG232+BX232+CO232+DF232</f>
        <v/>
      </c>
      <c r="N232" s="10">
        <f>AH232+AY232+BP232+CG232+CX232</f>
        <v/>
      </c>
      <c r="O232" s="10">
        <f>SUM(G232:N232)</f>
        <v/>
      </c>
      <c r="P232" s="10">
        <f>IFERROR(G232*MIN(1,'01_Нормативы'!$C$4/SUM(G$2:G$429)),0)</f>
        <v/>
      </c>
      <c r="Q232" s="10">
        <f>IFERROR(H232*MIN(1,'01_Нормативы'!$C$5/SUM(H$2:H$429)),0)</f>
        <v/>
      </c>
      <c r="R232" s="10">
        <f>IFERROR(I232*MIN(1,'01_Нормативы'!$C$6/SUM(I$2:I$429)),0)</f>
        <v/>
      </c>
      <c r="S232" s="10">
        <f>IFERROR(J232*MIN(1,'01_Нормативы'!$C$7/SUM(J$2:J$429)),0)</f>
        <v/>
      </c>
      <c r="T232" s="10">
        <f>IFERROR(K232*MIN(1,'01_Нормативы'!$C$8/SUM(K$2:K$429)),0)</f>
        <v/>
      </c>
      <c r="U232" s="10">
        <f>IFERROR(L232*MIN(1,'01_Нормативы'!$C$9/SUM(L$2:L$429)),0)</f>
        <v/>
      </c>
      <c r="V232" s="10">
        <f>IFERROR(M232*MIN(1,'01_Нормативы'!$C$10/SUM(M$2:M$429)),0)</f>
        <v/>
      </c>
      <c r="W232" s="10">
        <f>IFERROR(N232*MIN(1,'01_Нормативы'!$C$11/SUM(N$2:N$429)),0)</f>
        <v/>
      </c>
      <c r="X232" s="10">
        <f>SUM(P232:W232)</f>
        <v/>
      </c>
      <c r="Y232" s="10">
        <f>MAX(0,C232-X232)</f>
        <v/>
      </c>
      <c r="Z232" s="10">
        <f>IF(D232=0,100,X232/D232*100)</f>
        <v/>
      </c>
      <c r="AA232" s="10">
        <f>'02_Данные'!F232+'02_Данные'!G232</f>
        <v/>
      </c>
      <c r="AB232" s="10">
        <f>MIN('02_Данные'!L232,AA232)</f>
        <v/>
      </c>
      <c r="AC232" s="10">
        <f>AA232-AB232</f>
        <v/>
      </c>
      <c r="AD232" s="10">
        <f>MIN('02_Данные'!M232,AC232)</f>
        <v/>
      </c>
      <c r="AE232" s="10">
        <f>AC232-AD232</f>
        <v/>
      </c>
      <c r="AF232" s="10">
        <f>MIN('02_Данные'!N232,AE232)</f>
        <v/>
      </c>
      <c r="AG232" s="10">
        <f>AE232-AF232</f>
        <v/>
      </c>
      <c r="AH232" s="10">
        <f>MIN('02_Данные'!S232,AG232)</f>
        <v/>
      </c>
      <c r="AI232" s="10">
        <f>AG232-AH232</f>
        <v/>
      </c>
      <c r="AJ232" s="10">
        <f>MIN('02_Данные'!P232,AI232)</f>
        <v/>
      </c>
      <c r="AK232" s="10">
        <f>AI232-AJ232</f>
        <v/>
      </c>
      <c r="AL232" s="10">
        <f>MIN('02_Данные'!O232,AK232)</f>
        <v/>
      </c>
      <c r="AM232" s="10">
        <f>AK232-AL232</f>
        <v/>
      </c>
      <c r="AN232" s="10">
        <f>MIN('02_Данные'!Q232,AM232)</f>
        <v/>
      </c>
      <c r="AO232" s="10">
        <f>AM232-AN232</f>
        <v/>
      </c>
      <c r="AP232" s="10">
        <f>MIN('02_Данные'!R232,AO232)</f>
        <v/>
      </c>
      <c r="AQ232" s="10">
        <f>AO232-AP232</f>
        <v/>
      </c>
      <c r="AR232" s="10">
        <f>AQ232+'02_Данные'!H232</f>
        <v/>
      </c>
      <c r="AS232" s="10">
        <f>MIN('02_Данные'!T232,AR232)</f>
        <v/>
      </c>
      <c r="AT232" s="10">
        <f>AR232-AS232</f>
        <v/>
      </c>
      <c r="AU232" s="10">
        <f>MIN('02_Данные'!U232,AT232)</f>
        <v/>
      </c>
      <c r="AV232" s="10">
        <f>AT232-AU232</f>
        <v/>
      </c>
      <c r="AW232" s="10">
        <f>MIN('02_Данные'!V232,AV232)</f>
        <v/>
      </c>
      <c r="AX232" s="10">
        <f>AV232-AW232</f>
        <v/>
      </c>
      <c r="AY232" s="10">
        <f>MIN('02_Данные'!AA232,AX232)</f>
        <v/>
      </c>
      <c r="AZ232" s="10">
        <f>AX232-AY232</f>
        <v/>
      </c>
      <c r="BA232" s="10">
        <f>MIN('02_Данные'!X232,AZ232)</f>
        <v/>
      </c>
      <c r="BB232" s="10">
        <f>AZ232-BA232</f>
        <v/>
      </c>
      <c r="BC232" s="10">
        <f>MIN('02_Данные'!W232,BB232)</f>
        <v/>
      </c>
      <c r="BD232" s="10">
        <f>BB232-BC232</f>
        <v/>
      </c>
      <c r="BE232" s="10">
        <f>MIN('02_Данные'!Y232,BD232)</f>
        <v/>
      </c>
      <c r="BF232" s="10">
        <f>BD232-BE232</f>
        <v/>
      </c>
      <c r="BG232" s="10">
        <f>MIN('02_Данные'!Z232,BF232)</f>
        <v/>
      </c>
      <c r="BH232" s="10">
        <f>BF232-BG232</f>
        <v/>
      </c>
      <c r="BI232" s="10">
        <f>BH232+'02_Данные'!I232</f>
        <v/>
      </c>
      <c r="BJ232" s="10">
        <f>MIN('02_Данные'!AB232,BI232)</f>
        <v/>
      </c>
      <c r="BK232" s="10">
        <f>BI232-BJ232</f>
        <v/>
      </c>
      <c r="BL232" s="10">
        <f>MIN('02_Данные'!AC232,BK232)</f>
        <v/>
      </c>
      <c r="BM232" s="10">
        <f>BK232-BL232</f>
        <v/>
      </c>
      <c r="BN232" s="10">
        <f>MIN('02_Данные'!AD232,BM232)</f>
        <v/>
      </c>
      <c r="BO232" s="10">
        <f>BM232-BN232</f>
        <v/>
      </c>
      <c r="BP232" s="10">
        <f>MIN('02_Данные'!AI232,BO232)</f>
        <v/>
      </c>
      <c r="BQ232" s="10">
        <f>BO232-BP232</f>
        <v/>
      </c>
      <c r="BR232" s="10">
        <f>MIN('02_Данные'!AF232,BQ232)</f>
        <v/>
      </c>
      <c r="BS232" s="10">
        <f>BQ232-BR232</f>
        <v/>
      </c>
      <c r="BT232" s="10">
        <f>MIN('02_Данные'!AE232,BS232)</f>
        <v/>
      </c>
      <c r="BU232" s="10">
        <f>BS232-BT232</f>
        <v/>
      </c>
      <c r="BV232" s="10">
        <f>MIN('02_Данные'!AG232,BU232)</f>
        <v/>
      </c>
      <c r="BW232" s="10">
        <f>BU232-BV232</f>
        <v/>
      </c>
      <c r="BX232" s="10">
        <f>MIN('02_Данные'!AH232,BW232)</f>
        <v/>
      </c>
      <c r="BY232" s="10">
        <f>BW232-BX232</f>
        <v/>
      </c>
      <c r="BZ232" s="10">
        <f>BY232+'02_Данные'!J232</f>
        <v/>
      </c>
      <c r="CA232" s="10">
        <f>MIN('02_Данные'!AJ232,BZ232)</f>
        <v/>
      </c>
      <c r="CB232" s="10">
        <f>BZ232-CA232</f>
        <v/>
      </c>
      <c r="CC232" s="10">
        <f>MIN('02_Данные'!AK232,CB232)</f>
        <v/>
      </c>
      <c r="CD232" s="10">
        <f>CB232-CC232</f>
        <v/>
      </c>
      <c r="CE232" s="10">
        <f>MIN('02_Данные'!AL232,CD232)</f>
        <v/>
      </c>
      <c r="CF232" s="10">
        <f>CD232-CE232</f>
        <v/>
      </c>
      <c r="CG232" s="10">
        <f>MIN('02_Данные'!AQ232,CF232)</f>
        <v/>
      </c>
      <c r="CH232" s="10">
        <f>CF232-CG232</f>
        <v/>
      </c>
      <c r="CI232" s="10">
        <f>MIN('02_Данные'!AN232,CH232)</f>
        <v/>
      </c>
      <c r="CJ232" s="10">
        <f>CH232-CI232</f>
        <v/>
      </c>
      <c r="CK232" s="10">
        <f>MIN('02_Данные'!AM232,CJ232)</f>
        <v/>
      </c>
      <c r="CL232" s="10">
        <f>CJ232-CK232</f>
        <v/>
      </c>
      <c r="CM232" s="10">
        <f>MIN('02_Данные'!AO232,CL232)</f>
        <v/>
      </c>
      <c r="CN232" s="10">
        <f>CL232-CM232</f>
        <v/>
      </c>
      <c r="CO232" s="10">
        <f>MIN('02_Данные'!AP232,CN232)</f>
        <v/>
      </c>
      <c r="CP232" s="10">
        <f>CN232-CO232</f>
        <v/>
      </c>
      <c r="CQ232" s="10">
        <f>CP232+'02_Данные'!K232</f>
        <v/>
      </c>
      <c r="CR232" s="10">
        <f>MIN('02_Данные'!AR232,CQ232)</f>
        <v/>
      </c>
      <c r="CS232" s="10">
        <f>CQ232-CR232</f>
        <v/>
      </c>
      <c r="CT232" s="10">
        <f>MIN('02_Данные'!AS232,CS232)</f>
        <v/>
      </c>
      <c r="CU232" s="10">
        <f>CS232-CT232</f>
        <v/>
      </c>
      <c r="CV232" s="10">
        <f>MIN('02_Данные'!AT232,CU232)</f>
        <v/>
      </c>
      <c r="CW232" s="10">
        <f>CU232-CV232</f>
        <v/>
      </c>
      <c r="CX232" s="10">
        <f>MIN('02_Данные'!AY232,CW232)</f>
        <v/>
      </c>
      <c r="CY232" s="10">
        <f>CW232-CX232</f>
        <v/>
      </c>
      <c r="CZ232" s="10">
        <f>MIN('02_Данные'!AV232,CY232)</f>
        <v/>
      </c>
      <c r="DA232" s="10">
        <f>CY232-CZ232</f>
        <v/>
      </c>
      <c r="DB232" s="10">
        <f>MIN('02_Данные'!AU232,DA232)</f>
        <v/>
      </c>
      <c r="DC232" s="10">
        <f>DA232-DB232</f>
        <v/>
      </c>
      <c r="DD232" s="10">
        <f>MIN('02_Данные'!AW232,DC232)</f>
        <v/>
      </c>
      <c r="DE232" s="10">
        <f>DC232-DD232</f>
        <v/>
      </c>
      <c r="DF232" s="10">
        <f>MIN('02_Данные'!AX232,DE232)</f>
        <v/>
      </c>
      <c r="DG232" s="10">
        <f>DE232-DF232</f>
        <v/>
      </c>
    </row>
    <row r="233">
      <c r="A233" s="9">
        <f>'02_Данные'!B233</f>
        <v/>
      </c>
      <c r="B233" s="9">
        <f>'02_Данные'!E233</f>
        <v/>
      </c>
      <c r="C233" s="10">
        <f>'02_Данные'!F233+'02_Данные'!G233+'02_Данные'!H233+'02_Данные'!I233+'02_Данные'!J233+'02_Данные'!K233</f>
        <v/>
      </c>
      <c r="D233" s="10">
        <f>SUM('02_Данные'!L233:'02_Данные'!AY233)</f>
        <v/>
      </c>
      <c r="E233" s="10">
        <f>MAX(0,D233-C233)</f>
        <v/>
      </c>
      <c r="F233" s="15">
        <f>IF(E233&gt;0.0001,"ДЕФИЦИТ",IF(Y233&gt;0.0001,"ПРОФИЦИТ","БАЛАНС"))</f>
        <v/>
      </c>
      <c r="G233" s="10">
        <f>AB233+AS233+BJ233+CA233+CR233</f>
        <v/>
      </c>
      <c r="H233" s="10">
        <f>AD233+AU233+BL233+CC233+CT233</f>
        <v/>
      </c>
      <c r="I233" s="10">
        <f>AF233+AW233+BN233+CE233+CV233</f>
        <v/>
      </c>
      <c r="J233" s="10">
        <f>AL233+BC233+BT233+CK233+DB233</f>
        <v/>
      </c>
      <c r="K233" s="10">
        <f>AJ233+BA233+BR233+CI233+CZ233</f>
        <v/>
      </c>
      <c r="L233" s="10">
        <f>AN233+BE233+BV233+CM233+DD233</f>
        <v/>
      </c>
      <c r="M233" s="10">
        <f>AP233+BG233+BX233+CO233+DF233</f>
        <v/>
      </c>
      <c r="N233" s="10">
        <f>AH233+AY233+BP233+CG233+CX233</f>
        <v/>
      </c>
      <c r="O233" s="10">
        <f>SUM(G233:N233)</f>
        <v/>
      </c>
      <c r="P233" s="10">
        <f>IFERROR(G233*MIN(1,'01_Нормативы'!$C$4/SUM(G$2:G$429)),0)</f>
        <v/>
      </c>
      <c r="Q233" s="10">
        <f>IFERROR(H233*MIN(1,'01_Нормативы'!$C$5/SUM(H$2:H$429)),0)</f>
        <v/>
      </c>
      <c r="R233" s="10">
        <f>IFERROR(I233*MIN(1,'01_Нормативы'!$C$6/SUM(I$2:I$429)),0)</f>
        <v/>
      </c>
      <c r="S233" s="10">
        <f>IFERROR(J233*MIN(1,'01_Нормативы'!$C$7/SUM(J$2:J$429)),0)</f>
        <v/>
      </c>
      <c r="T233" s="10">
        <f>IFERROR(K233*MIN(1,'01_Нормативы'!$C$8/SUM(K$2:K$429)),0)</f>
        <v/>
      </c>
      <c r="U233" s="10">
        <f>IFERROR(L233*MIN(1,'01_Нормативы'!$C$9/SUM(L$2:L$429)),0)</f>
        <v/>
      </c>
      <c r="V233" s="10">
        <f>IFERROR(M233*MIN(1,'01_Нормативы'!$C$10/SUM(M$2:M$429)),0)</f>
        <v/>
      </c>
      <c r="W233" s="10">
        <f>IFERROR(N233*MIN(1,'01_Нормативы'!$C$11/SUM(N$2:N$429)),0)</f>
        <v/>
      </c>
      <c r="X233" s="10">
        <f>SUM(P233:W233)</f>
        <v/>
      </c>
      <c r="Y233" s="10">
        <f>MAX(0,C233-X233)</f>
        <v/>
      </c>
      <c r="Z233" s="10">
        <f>IF(D233=0,100,X233/D233*100)</f>
        <v/>
      </c>
      <c r="AA233" s="10">
        <f>'02_Данные'!F233+'02_Данные'!G233</f>
        <v/>
      </c>
      <c r="AB233" s="10">
        <f>MIN('02_Данные'!L233,AA233)</f>
        <v/>
      </c>
      <c r="AC233" s="10">
        <f>AA233-AB233</f>
        <v/>
      </c>
      <c r="AD233" s="10">
        <f>MIN('02_Данные'!M233,AC233)</f>
        <v/>
      </c>
      <c r="AE233" s="10">
        <f>AC233-AD233</f>
        <v/>
      </c>
      <c r="AF233" s="10">
        <f>MIN('02_Данные'!N233,AE233)</f>
        <v/>
      </c>
      <c r="AG233" s="10">
        <f>AE233-AF233</f>
        <v/>
      </c>
      <c r="AH233" s="10">
        <f>MIN('02_Данные'!S233,AG233)</f>
        <v/>
      </c>
      <c r="AI233" s="10">
        <f>AG233-AH233</f>
        <v/>
      </c>
      <c r="AJ233" s="10">
        <f>MIN('02_Данные'!P233,AI233)</f>
        <v/>
      </c>
      <c r="AK233" s="10">
        <f>AI233-AJ233</f>
        <v/>
      </c>
      <c r="AL233" s="10">
        <f>MIN('02_Данные'!O233,AK233)</f>
        <v/>
      </c>
      <c r="AM233" s="10">
        <f>AK233-AL233</f>
        <v/>
      </c>
      <c r="AN233" s="10">
        <f>MIN('02_Данные'!Q233,AM233)</f>
        <v/>
      </c>
      <c r="AO233" s="10">
        <f>AM233-AN233</f>
        <v/>
      </c>
      <c r="AP233" s="10">
        <f>MIN('02_Данные'!R233,AO233)</f>
        <v/>
      </c>
      <c r="AQ233" s="10">
        <f>AO233-AP233</f>
        <v/>
      </c>
      <c r="AR233" s="10">
        <f>AQ233+'02_Данные'!H233</f>
        <v/>
      </c>
      <c r="AS233" s="10">
        <f>MIN('02_Данные'!T233,AR233)</f>
        <v/>
      </c>
      <c r="AT233" s="10">
        <f>AR233-AS233</f>
        <v/>
      </c>
      <c r="AU233" s="10">
        <f>MIN('02_Данные'!U233,AT233)</f>
        <v/>
      </c>
      <c r="AV233" s="10">
        <f>AT233-AU233</f>
        <v/>
      </c>
      <c r="AW233" s="10">
        <f>MIN('02_Данные'!V233,AV233)</f>
        <v/>
      </c>
      <c r="AX233" s="10">
        <f>AV233-AW233</f>
        <v/>
      </c>
      <c r="AY233" s="10">
        <f>MIN('02_Данные'!AA233,AX233)</f>
        <v/>
      </c>
      <c r="AZ233" s="10">
        <f>AX233-AY233</f>
        <v/>
      </c>
      <c r="BA233" s="10">
        <f>MIN('02_Данные'!X233,AZ233)</f>
        <v/>
      </c>
      <c r="BB233" s="10">
        <f>AZ233-BA233</f>
        <v/>
      </c>
      <c r="BC233" s="10">
        <f>MIN('02_Данные'!W233,BB233)</f>
        <v/>
      </c>
      <c r="BD233" s="10">
        <f>BB233-BC233</f>
        <v/>
      </c>
      <c r="BE233" s="10">
        <f>MIN('02_Данные'!Y233,BD233)</f>
        <v/>
      </c>
      <c r="BF233" s="10">
        <f>BD233-BE233</f>
        <v/>
      </c>
      <c r="BG233" s="10">
        <f>MIN('02_Данные'!Z233,BF233)</f>
        <v/>
      </c>
      <c r="BH233" s="10">
        <f>BF233-BG233</f>
        <v/>
      </c>
      <c r="BI233" s="10">
        <f>BH233+'02_Данные'!I233</f>
        <v/>
      </c>
      <c r="BJ233" s="10">
        <f>MIN('02_Данные'!AB233,BI233)</f>
        <v/>
      </c>
      <c r="BK233" s="10">
        <f>BI233-BJ233</f>
        <v/>
      </c>
      <c r="BL233" s="10">
        <f>MIN('02_Данные'!AC233,BK233)</f>
        <v/>
      </c>
      <c r="BM233" s="10">
        <f>BK233-BL233</f>
        <v/>
      </c>
      <c r="BN233" s="10">
        <f>MIN('02_Данные'!AD233,BM233)</f>
        <v/>
      </c>
      <c r="BO233" s="10">
        <f>BM233-BN233</f>
        <v/>
      </c>
      <c r="BP233" s="10">
        <f>MIN('02_Данные'!AI233,BO233)</f>
        <v/>
      </c>
      <c r="BQ233" s="10">
        <f>BO233-BP233</f>
        <v/>
      </c>
      <c r="BR233" s="10">
        <f>MIN('02_Данные'!AF233,BQ233)</f>
        <v/>
      </c>
      <c r="BS233" s="10">
        <f>BQ233-BR233</f>
        <v/>
      </c>
      <c r="BT233" s="10">
        <f>MIN('02_Данные'!AE233,BS233)</f>
        <v/>
      </c>
      <c r="BU233" s="10">
        <f>BS233-BT233</f>
        <v/>
      </c>
      <c r="BV233" s="10">
        <f>MIN('02_Данные'!AG233,BU233)</f>
        <v/>
      </c>
      <c r="BW233" s="10">
        <f>BU233-BV233</f>
        <v/>
      </c>
      <c r="BX233" s="10">
        <f>MIN('02_Данные'!AH233,BW233)</f>
        <v/>
      </c>
      <c r="BY233" s="10">
        <f>BW233-BX233</f>
        <v/>
      </c>
      <c r="BZ233" s="10">
        <f>BY233+'02_Данные'!J233</f>
        <v/>
      </c>
      <c r="CA233" s="10">
        <f>MIN('02_Данные'!AJ233,BZ233)</f>
        <v/>
      </c>
      <c r="CB233" s="10">
        <f>BZ233-CA233</f>
        <v/>
      </c>
      <c r="CC233" s="10">
        <f>MIN('02_Данные'!AK233,CB233)</f>
        <v/>
      </c>
      <c r="CD233" s="10">
        <f>CB233-CC233</f>
        <v/>
      </c>
      <c r="CE233" s="10">
        <f>MIN('02_Данные'!AL233,CD233)</f>
        <v/>
      </c>
      <c r="CF233" s="10">
        <f>CD233-CE233</f>
        <v/>
      </c>
      <c r="CG233" s="10">
        <f>MIN('02_Данные'!AQ233,CF233)</f>
        <v/>
      </c>
      <c r="CH233" s="10">
        <f>CF233-CG233</f>
        <v/>
      </c>
      <c r="CI233" s="10">
        <f>MIN('02_Данные'!AN233,CH233)</f>
        <v/>
      </c>
      <c r="CJ233" s="10">
        <f>CH233-CI233</f>
        <v/>
      </c>
      <c r="CK233" s="10">
        <f>MIN('02_Данные'!AM233,CJ233)</f>
        <v/>
      </c>
      <c r="CL233" s="10">
        <f>CJ233-CK233</f>
        <v/>
      </c>
      <c r="CM233" s="10">
        <f>MIN('02_Данные'!AO233,CL233)</f>
        <v/>
      </c>
      <c r="CN233" s="10">
        <f>CL233-CM233</f>
        <v/>
      </c>
      <c r="CO233" s="10">
        <f>MIN('02_Данные'!AP233,CN233)</f>
        <v/>
      </c>
      <c r="CP233" s="10">
        <f>CN233-CO233</f>
        <v/>
      </c>
      <c r="CQ233" s="10">
        <f>CP233+'02_Данные'!K233</f>
        <v/>
      </c>
      <c r="CR233" s="10">
        <f>MIN('02_Данные'!AR233,CQ233)</f>
        <v/>
      </c>
      <c r="CS233" s="10">
        <f>CQ233-CR233</f>
        <v/>
      </c>
      <c r="CT233" s="10">
        <f>MIN('02_Данные'!AS233,CS233)</f>
        <v/>
      </c>
      <c r="CU233" s="10">
        <f>CS233-CT233</f>
        <v/>
      </c>
      <c r="CV233" s="10">
        <f>MIN('02_Данные'!AT233,CU233)</f>
        <v/>
      </c>
      <c r="CW233" s="10">
        <f>CU233-CV233</f>
        <v/>
      </c>
      <c r="CX233" s="10">
        <f>MIN('02_Данные'!AY233,CW233)</f>
        <v/>
      </c>
      <c r="CY233" s="10">
        <f>CW233-CX233</f>
        <v/>
      </c>
      <c r="CZ233" s="10">
        <f>MIN('02_Данные'!AV233,CY233)</f>
        <v/>
      </c>
      <c r="DA233" s="10">
        <f>CY233-CZ233</f>
        <v/>
      </c>
      <c r="DB233" s="10">
        <f>MIN('02_Данные'!AU233,DA233)</f>
        <v/>
      </c>
      <c r="DC233" s="10">
        <f>DA233-DB233</f>
        <v/>
      </c>
      <c r="DD233" s="10">
        <f>MIN('02_Данные'!AW233,DC233)</f>
        <v/>
      </c>
      <c r="DE233" s="10">
        <f>DC233-DD233</f>
        <v/>
      </c>
      <c r="DF233" s="10">
        <f>MIN('02_Данные'!AX233,DE233)</f>
        <v/>
      </c>
      <c r="DG233" s="10">
        <f>DE233-DF233</f>
        <v/>
      </c>
    </row>
    <row r="234">
      <c r="A234" s="9">
        <f>'02_Данные'!B234</f>
        <v/>
      </c>
      <c r="B234" s="9">
        <f>'02_Данные'!E234</f>
        <v/>
      </c>
      <c r="C234" s="10">
        <f>'02_Данные'!F234+'02_Данные'!G234+'02_Данные'!H234+'02_Данные'!I234+'02_Данные'!J234+'02_Данные'!K234</f>
        <v/>
      </c>
      <c r="D234" s="10">
        <f>SUM('02_Данные'!L234:'02_Данные'!AY234)</f>
        <v/>
      </c>
      <c r="E234" s="10">
        <f>MAX(0,D234-C234)</f>
        <v/>
      </c>
      <c r="F234" s="15">
        <f>IF(E234&gt;0.0001,"ДЕФИЦИТ",IF(Y234&gt;0.0001,"ПРОФИЦИТ","БАЛАНС"))</f>
        <v/>
      </c>
      <c r="G234" s="10">
        <f>AB234+AS234+BJ234+CA234+CR234</f>
        <v/>
      </c>
      <c r="H234" s="10">
        <f>AD234+AU234+BL234+CC234+CT234</f>
        <v/>
      </c>
      <c r="I234" s="10">
        <f>AF234+AW234+BN234+CE234+CV234</f>
        <v/>
      </c>
      <c r="J234" s="10">
        <f>AL234+BC234+BT234+CK234+DB234</f>
        <v/>
      </c>
      <c r="K234" s="10">
        <f>AJ234+BA234+BR234+CI234+CZ234</f>
        <v/>
      </c>
      <c r="L234" s="10">
        <f>AN234+BE234+BV234+CM234+DD234</f>
        <v/>
      </c>
      <c r="M234" s="10">
        <f>AP234+BG234+BX234+CO234+DF234</f>
        <v/>
      </c>
      <c r="N234" s="10">
        <f>AH234+AY234+BP234+CG234+CX234</f>
        <v/>
      </c>
      <c r="O234" s="10">
        <f>SUM(G234:N234)</f>
        <v/>
      </c>
      <c r="P234" s="10">
        <f>IFERROR(G234*MIN(1,'01_Нормативы'!$C$4/SUM(G$2:G$429)),0)</f>
        <v/>
      </c>
      <c r="Q234" s="10">
        <f>IFERROR(H234*MIN(1,'01_Нормативы'!$C$5/SUM(H$2:H$429)),0)</f>
        <v/>
      </c>
      <c r="R234" s="10">
        <f>IFERROR(I234*MIN(1,'01_Нормативы'!$C$6/SUM(I$2:I$429)),0)</f>
        <v/>
      </c>
      <c r="S234" s="10">
        <f>IFERROR(J234*MIN(1,'01_Нормативы'!$C$7/SUM(J$2:J$429)),0)</f>
        <v/>
      </c>
      <c r="T234" s="10">
        <f>IFERROR(K234*MIN(1,'01_Нормативы'!$C$8/SUM(K$2:K$429)),0)</f>
        <v/>
      </c>
      <c r="U234" s="10">
        <f>IFERROR(L234*MIN(1,'01_Нормативы'!$C$9/SUM(L$2:L$429)),0)</f>
        <v/>
      </c>
      <c r="V234" s="10">
        <f>IFERROR(M234*MIN(1,'01_Нормативы'!$C$10/SUM(M$2:M$429)),0)</f>
        <v/>
      </c>
      <c r="W234" s="10">
        <f>IFERROR(N234*MIN(1,'01_Нормативы'!$C$11/SUM(N$2:N$429)),0)</f>
        <v/>
      </c>
      <c r="X234" s="10">
        <f>SUM(P234:W234)</f>
        <v/>
      </c>
      <c r="Y234" s="10">
        <f>MAX(0,C234-X234)</f>
        <v/>
      </c>
      <c r="Z234" s="10">
        <f>IF(D234=0,100,X234/D234*100)</f>
        <v/>
      </c>
      <c r="AA234" s="10">
        <f>'02_Данные'!F234+'02_Данные'!G234</f>
        <v/>
      </c>
      <c r="AB234" s="10">
        <f>MIN('02_Данные'!L234,AA234)</f>
        <v/>
      </c>
      <c r="AC234" s="10">
        <f>AA234-AB234</f>
        <v/>
      </c>
      <c r="AD234" s="10">
        <f>MIN('02_Данные'!M234,AC234)</f>
        <v/>
      </c>
      <c r="AE234" s="10">
        <f>AC234-AD234</f>
        <v/>
      </c>
      <c r="AF234" s="10">
        <f>MIN('02_Данные'!N234,AE234)</f>
        <v/>
      </c>
      <c r="AG234" s="10">
        <f>AE234-AF234</f>
        <v/>
      </c>
      <c r="AH234" s="10">
        <f>MIN('02_Данные'!S234,AG234)</f>
        <v/>
      </c>
      <c r="AI234" s="10">
        <f>AG234-AH234</f>
        <v/>
      </c>
      <c r="AJ234" s="10">
        <f>MIN('02_Данные'!P234,AI234)</f>
        <v/>
      </c>
      <c r="AK234" s="10">
        <f>AI234-AJ234</f>
        <v/>
      </c>
      <c r="AL234" s="10">
        <f>MIN('02_Данные'!O234,AK234)</f>
        <v/>
      </c>
      <c r="AM234" s="10">
        <f>AK234-AL234</f>
        <v/>
      </c>
      <c r="AN234" s="10">
        <f>MIN('02_Данные'!Q234,AM234)</f>
        <v/>
      </c>
      <c r="AO234" s="10">
        <f>AM234-AN234</f>
        <v/>
      </c>
      <c r="AP234" s="10">
        <f>MIN('02_Данные'!R234,AO234)</f>
        <v/>
      </c>
      <c r="AQ234" s="10">
        <f>AO234-AP234</f>
        <v/>
      </c>
      <c r="AR234" s="10">
        <f>AQ234+'02_Данные'!H234</f>
        <v/>
      </c>
      <c r="AS234" s="10">
        <f>MIN('02_Данные'!T234,AR234)</f>
        <v/>
      </c>
      <c r="AT234" s="10">
        <f>AR234-AS234</f>
        <v/>
      </c>
      <c r="AU234" s="10">
        <f>MIN('02_Данные'!U234,AT234)</f>
        <v/>
      </c>
      <c r="AV234" s="10">
        <f>AT234-AU234</f>
        <v/>
      </c>
      <c r="AW234" s="10">
        <f>MIN('02_Данные'!V234,AV234)</f>
        <v/>
      </c>
      <c r="AX234" s="10">
        <f>AV234-AW234</f>
        <v/>
      </c>
      <c r="AY234" s="10">
        <f>MIN('02_Данные'!AA234,AX234)</f>
        <v/>
      </c>
      <c r="AZ234" s="10">
        <f>AX234-AY234</f>
        <v/>
      </c>
      <c r="BA234" s="10">
        <f>MIN('02_Данные'!X234,AZ234)</f>
        <v/>
      </c>
      <c r="BB234" s="10">
        <f>AZ234-BA234</f>
        <v/>
      </c>
      <c r="BC234" s="10">
        <f>MIN('02_Данные'!W234,BB234)</f>
        <v/>
      </c>
      <c r="BD234" s="10">
        <f>BB234-BC234</f>
        <v/>
      </c>
      <c r="BE234" s="10">
        <f>MIN('02_Данные'!Y234,BD234)</f>
        <v/>
      </c>
      <c r="BF234" s="10">
        <f>BD234-BE234</f>
        <v/>
      </c>
      <c r="BG234" s="10">
        <f>MIN('02_Данные'!Z234,BF234)</f>
        <v/>
      </c>
      <c r="BH234" s="10">
        <f>BF234-BG234</f>
        <v/>
      </c>
      <c r="BI234" s="10">
        <f>BH234+'02_Данные'!I234</f>
        <v/>
      </c>
      <c r="BJ234" s="10">
        <f>MIN('02_Данные'!AB234,BI234)</f>
        <v/>
      </c>
      <c r="BK234" s="10">
        <f>BI234-BJ234</f>
        <v/>
      </c>
      <c r="BL234" s="10">
        <f>MIN('02_Данные'!AC234,BK234)</f>
        <v/>
      </c>
      <c r="BM234" s="10">
        <f>BK234-BL234</f>
        <v/>
      </c>
      <c r="BN234" s="10">
        <f>MIN('02_Данные'!AD234,BM234)</f>
        <v/>
      </c>
      <c r="BO234" s="10">
        <f>BM234-BN234</f>
        <v/>
      </c>
      <c r="BP234" s="10">
        <f>MIN('02_Данные'!AI234,BO234)</f>
        <v/>
      </c>
      <c r="BQ234" s="10">
        <f>BO234-BP234</f>
        <v/>
      </c>
      <c r="BR234" s="10">
        <f>MIN('02_Данные'!AF234,BQ234)</f>
        <v/>
      </c>
      <c r="BS234" s="10">
        <f>BQ234-BR234</f>
        <v/>
      </c>
      <c r="BT234" s="10">
        <f>MIN('02_Данные'!AE234,BS234)</f>
        <v/>
      </c>
      <c r="BU234" s="10">
        <f>BS234-BT234</f>
        <v/>
      </c>
      <c r="BV234" s="10">
        <f>MIN('02_Данные'!AG234,BU234)</f>
        <v/>
      </c>
      <c r="BW234" s="10">
        <f>BU234-BV234</f>
        <v/>
      </c>
      <c r="BX234" s="10">
        <f>MIN('02_Данные'!AH234,BW234)</f>
        <v/>
      </c>
      <c r="BY234" s="10">
        <f>BW234-BX234</f>
        <v/>
      </c>
      <c r="BZ234" s="10">
        <f>BY234+'02_Данные'!J234</f>
        <v/>
      </c>
      <c r="CA234" s="10">
        <f>MIN('02_Данные'!AJ234,BZ234)</f>
        <v/>
      </c>
      <c r="CB234" s="10">
        <f>BZ234-CA234</f>
        <v/>
      </c>
      <c r="CC234" s="10">
        <f>MIN('02_Данные'!AK234,CB234)</f>
        <v/>
      </c>
      <c r="CD234" s="10">
        <f>CB234-CC234</f>
        <v/>
      </c>
      <c r="CE234" s="10">
        <f>MIN('02_Данные'!AL234,CD234)</f>
        <v/>
      </c>
      <c r="CF234" s="10">
        <f>CD234-CE234</f>
        <v/>
      </c>
      <c r="CG234" s="10">
        <f>MIN('02_Данные'!AQ234,CF234)</f>
        <v/>
      </c>
      <c r="CH234" s="10">
        <f>CF234-CG234</f>
        <v/>
      </c>
      <c r="CI234" s="10">
        <f>MIN('02_Данные'!AN234,CH234)</f>
        <v/>
      </c>
      <c r="CJ234" s="10">
        <f>CH234-CI234</f>
        <v/>
      </c>
      <c r="CK234" s="10">
        <f>MIN('02_Данные'!AM234,CJ234)</f>
        <v/>
      </c>
      <c r="CL234" s="10">
        <f>CJ234-CK234</f>
        <v/>
      </c>
      <c r="CM234" s="10">
        <f>MIN('02_Данные'!AO234,CL234)</f>
        <v/>
      </c>
      <c r="CN234" s="10">
        <f>CL234-CM234</f>
        <v/>
      </c>
      <c r="CO234" s="10">
        <f>MIN('02_Данные'!AP234,CN234)</f>
        <v/>
      </c>
      <c r="CP234" s="10">
        <f>CN234-CO234</f>
        <v/>
      </c>
      <c r="CQ234" s="10">
        <f>CP234+'02_Данные'!K234</f>
        <v/>
      </c>
      <c r="CR234" s="10">
        <f>MIN('02_Данные'!AR234,CQ234)</f>
        <v/>
      </c>
      <c r="CS234" s="10">
        <f>CQ234-CR234</f>
        <v/>
      </c>
      <c r="CT234" s="10">
        <f>MIN('02_Данные'!AS234,CS234)</f>
        <v/>
      </c>
      <c r="CU234" s="10">
        <f>CS234-CT234</f>
        <v/>
      </c>
      <c r="CV234" s="10">
        <f>MIN('02_Данные'!AT234,CU234)</f>
        <v/>
      </c>
      <c r="CW234" s="10">
        <f>CU234-CV234</f>
        <v/>
      </c>
      <c r="CX234" s="10">
        <f>MIN('02_Данные'!AY234,CW234)</f>
        <v/>
      </c>
      <c r="CY234" s="10">
        <f>CW234-CX234</f>
        <v/>
      </c>
      <c r="CZ234" s="10">
        <f>MIN('02_Данные'!AV234,CY234)</f>
        <v/>
      </c>
      <c r="DA234" s="10">
        <f>CY234-CZ234</f>
        <v/>
      </c>
      <c r="DB234" s="10">
        <f>MIN('02_Данные'!AU234,DA234)</f>
        <v/>
      </c>
      <c r="DC234" s="10">
        <f>DA234-DB234</f>
        <v/>
      </c>
      <c r="DD234" s="10">
        <f>MIN('02_Данные'!AW234,DC234)</f>
        <v/>
      </c>
      <c r="DE234" s="10">
        <f>DC234-DD234</f>
        <v/>
      </c>
      <c r="DF234" s="10">
        <f>MIN('02_Данные'!AX234,DE234)</f>
        <v/>
      </c>
      <c r="DG234" s="10">
        <f>DE234-DF234</f>
        <v/>
      </c>
    </row>
    <row r="235">
      <c r="A235" s="9">
        <f>'02_Данные'!B235</f>
        <v/>
      </c>
      <c r="B235" s="9">
        <f>'02_Данные'!E235</f>
        <v/>
      </c>
      <c r="C235" s="10">
        <f>'02_Данные'!F235+'02_Данные'!G235+'02_Данные'!H235+'02_Данные'!I235+'02_Данные'!J235+'02_Данные'!K235</f>
        <v/>
      </c>
      <c r="D235" s="10">
        <f>SUM('02_Данные'!L235:'02_Данные'!AY235)</f>
        <v/>
      </c>
      <c r="E235" s="10">
        <f>MAX(0,D235-C235)</f>
        <v/>
      </c>
      <c r="F235" s="15">
        <f>IF(E235&gt;0.0001,"ДЕФИЦИТ",IF(Y235&gt;0.0001,"ПРОФИЦИТ","БАЛАНС"))</f>
        <v/>
      </c>
      <c r="G235" s="10">
        <f>AB235+AS235+BJ235+CA235+CR235</f>
        <v/>
      </c>
      <c r="H235" s="10">
        <f>AD235+AU235+BL235+CC235+CT235</f>
        <v/>
      </c>
      <c r="I235" s="10">
        <f>AF235+AW235+BN235+CE235+CV235</f>
        <v/>
      </c>
      <c r="J235" s="10">
        <f>AL235+BC235+BT235+CK235+DB235</f>
        <v/>
      </c>
      <c r="K235" s="10">
        <f>AJ235+BA235+BR235+CI235+CZ235</f>
        <v/>
      </c>
      <c r="L235" s="10">
        <f>AN235+BE235+BV235+CM235+DD235</f>
        <v/>
      </c>
      <c r="M235" s="10">
        <f>AP235+BG235+BX235+CO235+DF235</f>
        <v/>
      </c>
      <c r="N235" s="10">
        <f>AH235+AY235+BP235+CG235+CX235</f>
        <v/>
      </c>
      <c r="O235" s="10">
        <f>SUM(G235:N235)</f>
        <v/>
      </c>
      <c r="P235" s="10">
        <f>IFERROR(G235*MIN(1,'01_Нормативы'!$C$4/SUM(G$2:G$429)),0)</f>
        <v/>
      </c>
      <c r="Q235" s="10">
        <f>IFERROR(H235*MIN(1,'01_Нормативы'!$C$5/SUM(H$2:H$429)),0)</f>
        <v/>
      </c>
      <c r="R235" s="10">
        <f>IFERROR(I235*MIN(1,'01_Нормативы'!$C$6/SUM(I$2:I$429)),0)</f>
        <v/>
      </c>
      <c r="S235" s="10">
        <f>IFERROR(J235*MIN(1,'01_Нормативы'!$C$7/SUM(J$2:J$429)),0)</f>
        <v/>
      </c>
      <c r="T235" s="10">
        <f>IFERROR(K235*MIN(1,'01_Нормативы'!$C$8/SUM(K$2:K$429)),0)</f>
        <v/>
      </c>
      <c r="U235" s="10">
        <f>IFERROR(L235*MIN(1,'01_Нормативы'!$C$9/SUM(L$2:L$429)),0)</f>
        <v/>
      </c>
      <c r="V235" s="10">
        <f>IFERROR(M235*MIN(1,'01_Нормативы'!$C$10/SUM(M$2:M$429)),0)</f>
        <v/>
      </c>
      <c r="W235" s="10">
        <f>IFERROR(N235*MIN(1,'01_Нормативы'!$C$11/SUM(N$2:N$429)),0)</f>
        <v/>
      </c>
      <c r="X235" s="10">
        <f>SUM(P235:W235)</f>
        <v/>
      </c>
      <c r="Y235" s="10">
        <f>MAX(0,C235-X235)</f>
        <v/>
      </c>
      <c r="Z235" s="10">
        <f>IF(D235=0,100,X235/D235*100)</f>
        <v/>
      </c>
      <c r="AA235" s="10">
        <f>'02_Данные'!F235+'02_Данные'!G235</f>
        <v/>
      </c>
      <c r="AB235" s="10">
        <f>MIN('02_Данные'!L235,AA235)</f>
        <v/>
      </c>
      <c r="AC235" s="10">
        <f>AA235-AB235</f>
        <v/>
      </c>
      <c r="AD235" s="10">
        <f>MIN('02_Данные'!M235,AC235)</f>
        <v/>
      </c>
      <c r="AE235" s="10">
        <f>AC235-AD235</f>
        <v/>
      </c>
      <c r="AF235" s="10">
        <f>MIN('02_Данные'!N235,AE235)</f>
        <v/>
      </c>
      <c r="AG235" s="10">
        <f>AE235-AF235</f>
        <v/>
      </c>
      <c r="AH235" s="10">
        <f>MIN('02_Данные'!S235,AG235)</f>
        <v/>
      </c>
      <c r="AI235" s="10">
        <f>AG235-AH235</f>
        <v/>
      </c>
      <c r="AJ235" s="10">
        <f>MIN('02_Данные'!P235,AI235)</f>
        <v/>
      </c>
      <c r="AK235" s="10">
        <f>AI235-AJ235</f>
        <v/>
      </c>
      <c r="AL235" s="10">
        <f>MIN('02_Данные'!O235,AK235)</f>
        <v/>
      </c>
      <c r="AM235" s="10">
        <f>AK235-AL235</f>
        <v/>
      </c>
      <c r="AN235" s="10">
        <f>MIN('02_Данные'!Q235,AM235)</f>
        <v/>
      </c>
      <c r="AO235" s="10">
        <f>AM235-AN235</f>
        <v/>
      </c>
      <c r="AP235" s="10">
        <f>MIN('02_Данные'!R235,AO235)</f>
        <v/>
      </c>
      <c r="AQ235" s="10">
        <f>AO235-AP235</f>
        <v/>
      </c>
      <c r="AR235" s="10">
        <f>AQ235+'02_Данные'!H235</f>
        <v/>
      </c>
      <c r="AS235" s="10">
        <f>MIN('02_Данные'!T235,AR235)</f>
        <v/>
      </c>
      <c r="AT235" s="10">
        <f>AR235-AS235</f>
        <v/>
      </c>
      <c r="AU235" s="10">
        <f>MIN('02_Данные'!U235,AT235)</f>
        <v/>
      </c>
      <c r="AV235" s="10">
        <f>AT235-AU235</f>
        <v/>
      </c>
      <c r="AW235" s="10">
        <f>MIN('02_Данные'!V235,AV235)</f>
        <v/>
      </c>
      <c r="AX235" s="10">
        <f>AV235-AW235</f>
        <v/>
      </c>
      <c r="AY235" s="10">
        <f>MIN('02_Данные'!AA235,AX235)</f>
        <v/>
      </c>
      <c r="AZ235" s="10">
        <f>AX235-AY235</f>
        <v/>
      </c>
      <c r="BA235" s="10">
        <f>MIN('02_Данные'!X235,AZ235)</f>
        <v/>
      </c>
      <c r="BB235" s="10">
        <f>AZ235-BA235</f>
        <v/>
      </c>
      <c r="BC235" s="10">
        <f>MIN('02_Данные'!W235,BB235)</f>
        <v/>
      </c>
      <c r="BD235" s="10">
        <f>BB235-BC235</f>
        <v/>
      </c>
      <c r="BE235" s="10">
        <f>MIN('02_Данные'!Y235,BD235)</f>
        <v/>
      </c>
      <c r="BF235" s="10">
        <f>BD235-BE235</f>
        <v/>
      </c>
      <c r="BG235" s="10">
        <f>MIN('02_Данные'!Z235,BF235)</f>
        <v/>
      </c>
      <c r="BH235" s="10">
        <f>BF235-BG235</f>
        <v/>
      </c>
      <c r="BI235" s="10">
        <f>BH235+'02_Данные'!I235</f>
        <v/>
      </c>
      <c r="BJ235" s="10">
        <f>MIN('02_Данные'!AB235,BI235)</f>
        <v/>
      </c>
      <c r="BK235" s="10">
        <f>BI235-BJ235</f>
        <v/>
      </c>
      <c r="BL235" s="10">
        <f>MIN('02_Данные'!AC235,BK235)</f>
        <v/>
      </c>
      <c r="BM235" s="10">
        <f>BK235-BL235</f>
        <v/>
      </c>
      <c r="BN235" s="10">
        <f>MIN('02_Данные'!AD235,BM235)</f>
        <v/>
      </c>
      <c r="BO235" s="10">
        <f>BM235-BN235</f>
        <v/>
      </c>
      <c r="BP235" s="10">
        <f>MIN('02_Данные'!AI235,BO235)</f>
        <v/>
      </c>
      <c r="BQ235" s="10">
        <f>BO235-BP235</f>
        <v/>
      </c>
      <c r="BR235" s="10">
        <f>MIN('02_Данные'!AF235,BQ235)</f>
        <v/>
      </c>
      <c r="BS235" s="10">
        <f>BQ235-BR235</f>
        <v/>
      </c>
      <c r="BT235" s="10">
        <f>MIN('02_Данные'!AE235,BS235)</f>
        <v/>
      </c>
      <c r="BU235" s="10">
        <f>BS235-BT235</f>
        <v/>
      </c>
      <c r="BV235" s="10">
        <f>MIN('02_Данные'!AG235,BU235)</f>
        <v/>
      </c>
      <c r="BW235" s="10">
        <f>BU235-BV235</f>
        <v/>
      </c>
      <c r="BX235" s="10">
        <f>MIN('02_Данные'!AH235,BW235)</f>
        <v/>
      </c>
      <c r="BY235" s="10">
        <f>BW235-BX235</f>
        <v/>
      </c>
      <c r="BZ235" s="10">
        <f>BY235+'02_Данные'!J235</f>
        <v/>
      </c>
      <c r="CA235" s="10">
        <f>MIN('02_Данные'!AJ235,BZ235)</f>
        <v/>
      </c>
      <c r="CB235" s="10">
        <f>BZ235-CA235</f>
        <v/>
      </c>
      <c r="CC235" s="10">
        <f>MIN('02_Данные'!AK235,CB235)</f>
        <v/>
      </c>
      <c r="CD235" s="10">
        <f>CB235-CC235</f>
        <v/>
      </c>
      <c r="CE235" s="10">
        <f>MIN('02_Данные'!AL235,CD235)</f>
        <v/>
      </c>
      <c r="CF235" s="10">
        <f>CD235-CE235</f>
        <v/>
      </c>
      <c r="CG235" s="10">
        <f>MIN('02_Данные'!AQ235,CF235)</f>
        <v/>
      </c>
      <c r="CH235" s="10">
        <f>CF235-CG235</f>
        <v/>
      </c>
      <c r="CI235" s="10">
        <f>MIN('02_Данные'!AN235,CH235)</f>
        <v/>
      </c>
      <c r="CJ235" s="10">
        <f>CH235-CI235</f>
        <v/>
      </c>
      <c r="CK235" s="10">
        <f>MIN('02_Данные'!AM235,CJ235)</f>
        <v/>
      </c>
      <c r="CL235" s="10">
        <f>CJ235-CK235</f>
        <v/>
      </c>
      <c r="CM235" s="10">
        <f>MIN('02_Данные'!AO235,CL235)</f>
        <v/>
      </c>
      <c r="CN235" s="10">
        <f>CL235-CM235</f>
        <v/>
      </c>
      <c r="CO235" s="10">
        <f>MIN('02_Данные'!AP235,CN235)</f>
        <v/>
      </c>
      <c r="CP235" s="10">
        <f>CN235-CO235</f>
        <v/>
      </c>
      <c r="CQ235" s="10">
        <f>CP235+'02_Данные'!K235</f>
        <v/>
      </c>
      <c r="CR235" s="10">
        <f>MIN('02_Данные'!AR235,CQ235)</f>
        <v/>
      </c>
      <c r="CS235" s="10">
        <f>CQ235-CR235</f>
        <v/>
      </c>
      <c r="CT235" s="10">
        <f>MIN('02_Данные'!AS235,CS235)</f>
        <v/>
      </c>
      <c r="CU235" s="10">
        <f>CS235-CT235</f>
        <v/>
      </c>
      <c r="CV235" s="10">
        <f>MIN('02_Данные'!AT235,CU235)</f>
        <v/>
      </c>
      <c r="CW235" s="10">
        <f>CU235-CV235</f>
        <v/>
      </c>
      <c r="CX235" s="10">
        <f>MIN('02_Данные'!AY235,CW235)</f>
        <v/>
      </c>
      <c r="CY235" s="10">
        <f>CW235-CX235</f>
        <v/>
      </c>
      <c r="CZ235" s="10">
        <f>MIN('02_Данные'!AV235,CY235)</f>
        <v/>
      </c>
      <c r="DA235" s="10">
        <f>CY235-CZ235</f>
        <v/>
      </c>
      <c r="DB235" s="10">
        <f>MIN('02_Данные'!AU235,DA235)</f>
        <v/>
      </c>
      <c r="DC235" s="10">
        <f>DA235-DB235</f>
        <v/>
      </c>
      <c r="DD235" s="10">
        <f>MIN('02_Данные'!AW235,DC235)</f>
        <v/>
      </c>
      <c r="DE235" s="10">
        <f>DC235-DD235</f>
        <v/>
      </c>
      <c r="DF235" s="10">
        <f>MIN('02_Данные'!AX235,DE235)</f>
        <v/>
      </c>
      <c r="DG235" s="10">
        <f>DE235-DF235</f>
        <v/>
      </c>
    </row>
    <row r="236">
      <c r="A236" s="9">
        <f>'02_Данные'!B236</f>
        <v/>
      </c>
      <c r="B236" s="9">
        <f>'02_Данные'!E236</f>
        <v/>
      </c>
      <c r="C236" s="10">
        <f>'02_Данные'!F236+'02_Данные'!G236+'02_Данные'!H236+'02_Данные'!I236+'02_Данные'!J236+'02_Данные'!K236</f>
        <v/>
      </c>
      <c r="D236" s="10">
        <f>SUM('02_Данные'!L236:'02_Данные'!AY236)</f>
        <v/>
      </c>
      <c r="E236" s="10">
        <f>MAX(0,D236-C236)</f>
        <v/>
      </c>
      <c r="F236" s="15">
        <f>IF(E236&gt;0.0001,"ДЕФИЦИТ",IF(Y236&gt;0.0001,"ПРОФИЦИТ","БАЛАНС"))</f>
        <v/>
      </c>
      <c r="G236" s="10">
        <f>AB236+AS236+BJ236+CA236+CR236</f>
        <v/>
      </c>
      <c r="H236" s="10">
        <f>AD236+AU236+BL236+CC236+CT236</f>
        <v/>
      </c>
      <c r="I236" s="10">
        <f>AF236+AW236+BN236+CE236+CV236</f>
        <v/>
      </c>
      <c r="J236" s="10">
        <f>AL236+BC236+BT236+CK236+DB236</f>
        <v/>
      </c>
      <c r="K236" s="10">
        <f>AJ236+BA236+BR236+CI236+CZ236</f>
        <v/>
      </c>
      <c r="L236" s="10">
        <f>AN236+BE236+BV236+CM236+DD236</f>
        <v/>
      </c>
      <c r="M236" s="10">
        <f>AP236+BG236+BX236+CO236+DF236</f>
        <v/>
      </c>
      <c r="N236" s="10">
        <f>AH236+AY236+BP236+CG236+CX236</f>
        <v/>
      </c>
      <c r="O236" s="10">
        <f>SUM(G236:N236)</f>
        <v/>
      </c>
      <c r="P236" s="10">
        <f>IFERROR(G236*MIN(1,'01_Нормативы'!$C$4/SUM(G$2:G$429)),0)</f>
        <v/>
      </c>
      <c r="Q236" s="10">
        <f>IFERROR(H236*MIN(1,'01_Нормативы'!$C$5/SUM(H$2:H$429)),0)</f>
        <v/>
      </c>
      <c r="R236" s="10">
        <f>IFERROR(I236*MIN(1,'01_Нормативы'!$C$6/SUM(I$2:I$429)),0)</f>
        <v/>
      </c>
      <c r="S236" s="10">
        <f>IFERROR(J236*MIN(1,'01_Нормативы'!$C$7/SUM(J$2:J$429)),0)</f>
        <v/>
      </c>
      <c r="T236" s="10">
        <f>IFERROR(K236*MIN(1,'01_Нормативы'!$C$8/SUM(K$2:K$429)),0)</f>
        <v/>
      </c>
      <c r="U236" s="10">
        <f>IFERROR(L236*MIN(1,'01_Нормативы'!$C$9/SUM(L$2:L$429)),0)</f>
        <v/>
      </c>
      <c r="V236" s="10">
        <f>IFERROR(M236*MIN(1,'01_Нормативы'!$C$10/SUM(M$2:M$429)),0)</f>
        <v/>
      </c>
      <c r="W236" s="10">
        <f>IFERROR(N236*MIN(1,'01_Нормативы'!$C$11/SUM(N$2:N$429)),0)</f>
        <v/>
      </c>
      <c r="X236" s="10">
        <f>SUM(P236:W236)</f>
        <v/>
      </c>
      <c r="Y236" s="10">
        <f>MAX(0,C236-X236)</f>
        <v/>
      </c>
      <c r="Z236" s="10">
        <f>IF(D236=0,100,X236/D236*100)</f>
        <v/>
      </c>
      <c r="AA236" s="10">
        <f>'02_Данные'!F236+'02_Данные'!G236</f>
        <v/>
      </c>
      <c r="AB236" s="10">
        <f>MIN('02_Данные'!L236,AA236)</f>
        <v/>
      </c>
      <c r="AC236" s="10">
        <f>AA236-AB236</f>
        <v/>
      </c>
      <c r="AD236" s="10">
        <f>MIN('02_Данные'!M236,AC236)</f>
        <v/>
      </c>
      <c r="AE236" s="10">
        <f>AC236-AD236</f>
        <v/>
      </c>
      <c r="AF236" s="10">
        <f>MIN('02_Данные'!N236,AE236)</f>
        <v/>
      </c>
      <c r="AG236" s="10">
        <f>AE236-AF236</f>
        <v/>
      </c>
      <c r="AH236" s="10">
        <f>MIN('02_Данные'!S236,AG236)</f>
        <v/>
      </c>
      <c r="AI236" s="10">
        <f>AG236-AH236</f>
        <v/>
      </c>
      <c r="AJ236" s="10">
        <f>MIN('02_Данные'!P236,AI236)</f>
        <v/>
      </c>
      <c r="AK236" s="10">
        <f>AI236-AJ236</f>
        <v/>
      </c>
      <c r="AL236" s="10">
        <f>MIN('02_Данные'!O236,AK236)</f>
        <v/>
      </c>
      <c r="AM236" s="10">
        <f>AK236-AL236</f>
        <v/>
      </c>
      <c r="AN236" s="10">
        <f>MIN('02_Данные'!Q236,AM236)</f>
        <v/>
      </c>
      <c r="AO236" s="10">
        <f>AM236-AN236</f>
        <v/>
      </c>
      <c r="AP236" s="10">
        <f>MIN('02_Данные'!R236,AO236)</f>
        <v/>
      </c>
      <c r="AQ236" s="10">
        <f>AO236-AP236</f>
        <v/>
      </c>
      <c r="AR236" s="10">
        <f>AQ236+'02_Данные'!H236</f>
        <v/>
      </c>
      <c r="AS236" s="10">
        <f>MIN('02_Данные'!T236,AR236)</f>
        <v/>
      </c>
      <c r="AT236" s="10">
        <f>AR236-AS236</f>
        <v/>
      </c>
      <c r="AU236" s="10">
        <f>MIN('02_Данные'!U236,AT236)</f>
        <v/>
      </c>
      <c r="AV236" s="10">
        <f>AT236-AU236</f>
        <v/>
      </c>
      <c r="AW236" s="10">
        <f>MIN('02_Данные'!V236,AV236)</f>
        <v/>
      </c>
      <c r="AX236" s="10">
        <f>AV236-AW236</f>
        <v/>
      </c>
      <c r="AY236" s="10">
        <f>MIN('02_Данные'!AA236,AX236)</f>
        <v/>
      </c>
      <c r="AZ236" s="10">
        <f>AX236-AY236</f>
        <v/>
      </c>
      <c r="BA236" s="10">
        <f>MIN('02_Данные'!X236,AZ236)</f>
        <v/>
      </c>
      <c r="BB236" s="10">
        <f>AZ236-BA236</f>
        <v/>
      </c>
      <c r="BC236" s="10">
        <f>MIN('02_Данные'!W236,BB236)</f>
        <v/>
      </c>
      <c r="BD236" s="10">
        <f>BB236-BC236</f>
        <v/>
      </c>
      <c r="BE236" s="10">
        <f>MIN('02_Данные'!Y236,BD236)</f>
        <v/>
      </c>
      <c r="BF236" s="10">
        <f>BD236-BE236</f>
        <v/>
      </c>
      <c r="BG236" s="10">
        <f>MIN('02_Данные'!Z236,BF236)</f>
        <v/>
      </c>
      <c r="BH236" s="10">
        <f>BF236-BG236</f>
        <v/>
      </c>
      <c r="BI236" s="10">
        <f>BH236+'02_Данные'!I236</f>
        <v/>
      </c>
      <c r="BJ236" s="10">
        <f>MIN('02_Данные'!AB236,BI236)</f>
        <v/>
      </c>
      <c r="BK236" s="10">
        <f>BI236-BJ236</f>
        <v/>
      </c>
      <c r="BL236" s="10">
        <f>MIN('02_Данные'!AC236,BK236)</f>
        <v/>
      </c>
      <c r="BM236" s="10">
        <f>BK236-BL236</f>
        <v/>
      </c>
      <c r="BN236" s="10">
        <f>MIN('02_Данные'!AD236,BM236)</f>
        <v/>
      </c>
      <c r="BO236" s="10">
        <f>BM236-BN236</f>
        <v/>
      </c>
      <c r="BP236" s="10">
        <f>MIN('02_Данные'!AI236,BO236)</f>
        <v/>
      </c>
      <c r="BQ236" s="10">
        <f>BO236-BP236</f>
        <v/>
      </c>
      <c r="BR236" s="10">
        <f>MIN('02_Данные'!AF236,BQ236)</f>
        <v/>
      </c>
      <c r="BS236" s="10">
        <f>BQ236-BR236</f>
        <v/>
      </c>
      <c r="BT236" s="10">
        <f>MIN('02_Данные'!AE236,BS236)</f>
        <v/>
      </c>
      <c r="BU236" s="10">
        <f>BS236-BT236</f>
        <v/>
      </c>
      <c r="BV236" s="10">
        <f>MIN('02_Данные'!AG236,BU236)</f>
        <v/>
      </c>
      <c r="BW236" s="10">
        <f>BU236-BV236</f>
        <v/>
      </c>
      <c r="BX236" s="10">
        <f>MIN('02_Данные'!AH236,BW236)</f>
        <v/>
      </c>
      <c r="BY236" s="10">
        <f>BW236-BX236</f>
        <v/>
      </c>
      <c r="BZ236" s="10">
        <f>BY236+'02_Данные'!J236</f>
        <v/>
      </c>
      <c r="CA236" s="10">
        <f>MIN('02_Данные'!AJ236,BZ236)</f>
        <v/>
      </c>
      <c r="CB236" s="10">
        <f>BZ236-CA236</f>
        <v/>
      </c>
      <c r="CC236" s="10">
        <f>MIN('02_Данные'!AK236,CB236)</f>
        <v/>
      </c>
      <c r="CD236" s="10">
        <f>CB236-CC236</f>
        <v/>
      </c>
      <c r="CE236" s="10">
        <f>MIN('02_Данные'!AL236,CD236)</f>
        <v/>
      </c>
      <c r="CF236" s="10">
        <f>CD236-CE236</f>
        <v/>
      </c>
      <c r="CG236" s="10">
        <f>MIN('02_Данные'!AQ236,CF236)</f>
        <v/>
      </c>
      <c r="CH236" s="10">
        <f>CF236-CG236</f>
        <v/>
      </c>
      <c r="CI236" s="10">
        <f>MIN('02_Данные'!AN236,CH236)</f>
        <v/>
      </c>
      <c r="CJ236" s="10">
        <f>CH236-CI236</f>
        <v/>
      </c>
      <c r="CK236" s="10">
        <f>MIN('02_Данные'!AM236,CJ236)</f>
        <v/>
      </c>
      <c r="CL236" s="10">
        <f>CJ236-CK236</f>
        <v/>
      </c>
      <c r="CM236" s="10">
        <f>MIN('02_Данные'!AO236,CL236)</f>
        <v/>
      </c>
      <c r="CN236" s="10">
        <f>CL236-CM236</f>
        <v/>
      </c>
      <c r="CO236" s="10">
        <f>MIN('02_Данные'!AP236,CN236)</f>
        <v/>
      </c>
      <c r="CP236" s="10">
        <f>CN236-CO236</f>
        <v/>
      </c>
      <c r="CQ236" s="10">
        <f>CP236+'02_Данные'!K236</f>
        <v/>
      </c>
      <c r="CR236" s="10">
        <f>MIN('02_Данные'!AR236,CQ236)</f>
        <v/>
      </c>
      <c r="CS236" s="10">
        <f>CQ236-CR236</f>
        <v/>
      </c>
      <c r="CT236" s="10">
        <f>MIN('02_Данные'!AS236,CS236)</f>
        <v/>
      </c>
      <c r="CU236" s="10">
        <f>CS236-CT236</f>
        <v/>
      </c>
      <c r="CV236" s="10">
        <f>MIN('02_Данные'!AT236,CU236)</f>
        <v/>
      </c>
      <c r="CW236" s="10">
        <f>CU236-CV236</f>
        <v/>
      </c>
      <c r="CX236" s="10">
        <f>MIN('02_Данные'!AY236,CW236)</f>
        <v/>
      </c>
      <c r="CY236" s="10">
        <f>CW236-CX236</f>
        <v/>
      </c>
      <c r="CZ236" s="10">
        <f>MIN('02_Данные'!AV236,CY236)</f>
        <v/>
      </c>
      <c r="DA236" s="10">
        <f>CY236-CZ236</f>
        <v/>
      </c>
      <c r="DB236" s="10">
        <f>MIN('02_Данные'!AU236,DA236)</f>
        <v/>
      </c>
      <c r="DC236" s="10">
        <f>DA236-DB236</f>
        <v/>
      </c>
      <c r="DD236" s="10">
        <f>MIN('02_Данные'!AW236,DC236)</f>
        <v/>
      </c>
      <c r="DE236" s="10">
        <f>DC236-DD236</f>
        <v/>
      </c>
      <c r="DF236" s="10">
        <f>MIN('02_Данные'!AX236,DE236)</f>
        <v/>
      </c>
      <c r="DG236" s="10">
        <f>DE236-DF236</f>
        <v/>
      </c>
    </row>
    <row r="237">
      <c r="A237" s="9">
        <f>'02_Данные'!B237</f>
        <v/>
      </c>
      <c r="B237" s="9">
        <f>'02_Данные'!E237</f>
        <v/>
      </c>
      <c r="C237" s="10">
        <f>'02_Данные'!F237+'02_Данные'!G237+'02_Данные'!H237+'02_Данные'!I237+'02_Данные'!J237+'02_Данные'!K237</f>
        <v/>
      </c>
      <c r="D237" s="10">
        <f>SUM('02_Данные'!L237:'02_Данные'!AY237)</f>
        <v/>
      </c>
      <c r="E237" s="10">
        <f>MAX(0,D237-C237)</f>
        <v/>
      </c>
      <c r="F237" s="15">
        <f>IF(E237&gt;0.0001,"ДЕФИЦИТ",IF(Y237&gt;0.0001,"ПРОФИЦИТ","БАЛАНС"))</f>
        <v/>
      </c>
      <c r="G237" s="10">
        <f>AB237+AS237+BJ237+CA237+CR237</f>
        <v/>
      </c>
      <c r="H237" s="10">
        <f>AD237+AU237+BL237+CC237+CT237</f>
        <v/>
      </c>
      <c r="I237" s="10">
        <f>AF237+AW237+BN237+CE237+CV237</f>
        <v/>
      </c>
      <c r="J237" s="10">
        <f>AL237+BC237+BT237+CK237+DB237</f>
        <v/>
      </c>
      <c r="K237" s="10">
        <f>AJ237+BA237+BR237+CI237+CZ237</f>
        <v/>
      </c>
      <c r="L237" s="10">
        <f>AN237+BE237+BV237+CM237+DD237</f>
        <v/>
      </c>
      <c r="M237" s="10">
        <f>AP237+BG237+BX237+CO237+DF237</f>
        <v/>
      </c>
      <c r="N237" s="10">
        <f>AH237+AY237+BP237+CG237+CX237</f>
        <v/>
      </c>
      <c r="O237" s="10">
        <f>SUM(G237:N237)</f>
        <v/>
      </c>
      <c r="P237" s="10">
        <f>IFERROR(G237*MIN(1,'01_Нормативы'!$C$4/SUM(G$2:G$429)),0)</f>
        <v/>
      </c>
      <c r="Q237" s="10">
        <f>IFERROR(H237*MIN(1,'01_Нормативы'!$C$5/SUM(H$2:H$429)),0)</f>
        <v/>
      </c>
      <c r="R237" s="10">
        <f>IFERROR(I237*MIN(1,'01_Нормативы'!$C$6/SUM(I$2:I$429)),0)</f>
        <v/>
      </c>
      <c r="S237" s="10">
        <f>IFERROR(J237*MIN(1,'01_Нормативы'!$C$7/SUM(J$2:J$429)),0)</f>
        <v/>
      </c>
      <c r="T237" s="10">
        <f>IFERROR(K237*MIN(1,'01_Нормативы'!$C$8/SUM(K$2:K$429)),0)</f>
        <v/>
      </c>
      <c r="U237" s="10">
        <f>IFERROR(L237*MIN(1,'01_Нормативы'!$C$9/SUM(L$2:L$429)),0)</f>
        <v/>
      </c>
      <c r="V237" s="10">
        <f>IFERROR(M237*MIN(1,'01_Нормативы'!$C$10/SUM(M$2:M$429)),0)</f>
        <v/>
      </c>
      <c r="W237" s="10">
        <f>IFERROR(N237*MIN(1,'01_Нормативы'!$C$11/SUM(N$2:N$429)),0)</f>
        <v/>
      </c>
      <c r="X237" s="10">
        <f>SUM(P237:W237)</f>
        <v/>
      </c>
      <c r="Y237" s="10">
        <f>MAX(0,C237-X237)</f>
        <v/>
      </c>
      <c r="Z237" s="10">
        <f>IF(D237=0,100,X237/D237*100)</f>
        <v/>
      </c>
      <c r="AA237" s="10">
        <f>'02_Данные'!F237+'02_Данные'!G237</f>
        <v/>
      </c>
      <c r="AB237" s="10">
        <f>MIN('02_Данные'!L237,AA237)</f>
        <v/>
      </c>
      <c r="AC237" s="10">
        <f>AA237-AB237</f>
        <v/>
      </c>
      <c r="AD237" s="10">
        <f>MIN('02_Данные'!M237,AC237)</f>
        <v/>
      </c>
      <c r="AE237" s="10">
        <f>AC237-AD237</f>
        <v/>
      </c>
      <c r="AF237" s="10">
        <f>MIN('02_Данные'!N237,AE237)</f>
        <v/>
      </c>
      <c r="AG237" s="10">
        <f>AE237-AF237</f>
        <v/>
      </c>
      <c r="AH237" s="10">
        <f>MIN('02_Данные'!S237,AG237)</f>
        <v/>
      </c>
      <c r="AI237" s="10">
        <f>AG237-AH237</f>
        <v/>
      </c>
      <c r="AJ237" s="10">
        <f>MIN('02_Данные'!P237,AI237)</f>
        <v/>
      </c>
      <c r="AK237" s="10">
        <f>AI237-AJ237</f>
        <v/>
      </c>
      <c r="AL237" s="10">
        <f>MIN('02_Данные'!O237,AK237)</f>
        <v/>
      </c>
      <c r="AM237" s="10">
        <f>AK237-AL237</f>
        <v/>
      </c>
      <c r="AN237" s="10">
        <f>MIN('02_Данные'!Q237,AM237)</f>
        <v/>
      </c>
      <c r="AO237" s="10">
        <f>AM237-AN237</f>
        <v/>
      </c>
      <c r="AP237" s="10">
        <f>MIN('02_Данные'!R237,AO237)</f>
        <v/>
      </c>
      <c r="AQ237" s="10">
        <f>AO237-AP237</f>
        <v/>
      </c>
      <c r="AR237" s="10">
        <f>AQ237+'02_Данные'!H237</f>
        <v/>
      </c>
      <c r="AS237" s="10">
        <f>MIN('02_Данные'!T237,AR237)</f>
        <v/>
      </c>
      <c r="AT237" s="10">
        <f>AR237-AS237</f>
        <v/>
      </c>
      <c r="AU237" s="10">
        <f>MIN('02_Данные'!U237,AT237)</f>
        <v/>
      </c>
      <c r="AV237" s="10">
        <f>AT237-AU237</f>
        <v/>
      </c>
      <c r="AW237" s="10">
        <f>MIN('02_Данные'!V237,AV237)</f>
        <v/>
      </c>
      <c r="AX237" s="10">
        <f>AV237-AW237</f>
        <v/>
      </c>
      <c r="AY237" s="10">
        <f>MIN('02_Данные'!AA237,AX237)</f>
        <v/>
      </c>
      <c r="AZ237" s="10">
        <f>AX237-AY237</f>
        <v/>
      </c>
      <c r="BA237" s="10">
        <f>MIN('02_Данные'!X237,AZ237)</f>
        <v/>
      </c>
      <c r="BB237" s="10">
        <f>AZ237-BA237</f>
        <v/>
      </c>
      <c r="BC237" s="10">
        <f>MIN('02_Данные'!W237,BB237)</f>
        <v/>
      </c>
      <c r="BD237" s="10">
        <f>BB237-BC237</f>
        <v/>
      </c>
      <c r="BE237" s="10">
        <f>MIN('02_Данные'!Y237,BD237)</f>
        <v/>
      </c>
      <c r="BF237" s="10">
        <f>BD237-BE237</f>
        <v/>
      </c>
      <c r="BG237" s="10">
        <f>MIN('02_Данные'!Z237,BF237)</f>
        <v/>
      </c>
      <c r="BH237" s="10">
        <f>BF237-BG237</f>
        <v/>
      </c>
      <c r="BI237" s="10">
        <f>BH237+'02_Данные'!I237</f>
        <v/>
      </c>
      <c r="BJ237" s="10">
        <f>MIN('02_Данные'!AB237,BI237)</f>
        <v/>
      </c>
      <c r="BK237" s="10">
        <f>BI237-BJ237</f>
        <v/>
      </c>
      <c r="BL237" s="10">
        <f>MIN('02_Данные'!AC237,BK237)</f>
        <v/>
      </c>
      <c r="BM237" s="10">
        <f>BK237-BL237</f>
        <v/>
      </c>
      <c r="BN237" s="10">
        <f>MIN('02_Данные'!AD237,BM237)</f>
        <v/>
      </c>
      <c r="BO237" s="10">
        <f>BM237-BN237</f>
        <v/>
      </c>
      <c r="BP237" s="10">
        <f>MIN('02_Данные'!AI237,BO237)</f>
        <v/>
      </c>
      <c r="BQ237" s="10">
        <f>BO237-BP237</f>
        <v/>
      </c>
      <c r="BR237" s="10">
        <f>MIN('02_Данные'!AF237,BQ237)</f>
        <v/>
      </c>
      <c r="BS237" s="10">
        <f>BQ237-BR237</f>
        <v/>
      </c>
      <c r="BT237" s="10">
        <f>MIN('02_Данные'!AE237,BS237)</f>
        <v/>
      </c>
      <c r="BU237" s="10">
        <f>BS237-BT237</f>
        <v/>
      </c>
      <c r="BV237" s="10">
        <f>MIN('02_Данные'!AG237,BU237)</f>
        <v/>
      </c>
      <c r="BW237" s="10">
        <f>BU237-BV237</f>
        <v/>
      </c>
      <c r="BX237" s="10">
        <f>MIN('02_Данные'!AH237,BW237)</f>
        <v/>
      </c>
      <c r="BY237" s="10">
        <f>BW237-BX237</f>
        <v/>
      </c>
      <c r="BZ237" s="10">
        <f>BY237+'02_Данные'!J237</f>
        <v/>
      </c>
      <c r="CA237" s="10">
        <f>MIN('02_Данные'!AJ237,BZ237)</f>
        <v/>
      </c>
      <c r="CB237" s="10">
        <f>BZ237-CA237</f>
        <v/>
      </c>
      <c r="CC237" s="10">
        <f>MIN('02_Данные'!AK237,CB237)</f>
        <v/>
      </c>
      <c r="CD237" s="10">
        <f>CB237-CC237</f>
        <v/>
      </c>
      <c r="CE237" s="10">
        <f>MIN('02_Данные'!AL237,CD237)</f>
        <v/>
      </c>
      <c r="CF237" s="10">
        <f>CD237-CE237</f>
        <v/>
      </c>
      <c r="CG237" s="10">
        <f>MIN('02_Данные'!AQ237,CF237)</f>
        <v/>
      </c>
      <c r="CH237" s="10">
        <f>CF237-CG237</f>
        <v/>
      </c>
      <c r="CI237" s="10">
        <f>MIN('02_Данные'!AN237,CH237)</f>
        <v/>
      </c>
      <c r="CJ237" s="10">
        <f>CH237-CI237</f>
        <v/>
      </c>
      <c r="CK237" s="10">
        <f>MIN('02_Данные'!AM237,CJ237)</f>
        <v/>
      </c>
      <c r="CL237" s="10">
        <f>CJ237-CK237</f>
        <v/>
      </c>
      <c r="CM237" s="10">
        <f>MIN('02_Данные'!AO237,CL237)</f>
        <v/>
      </c>
      <c r="CN237" s="10">
        <f>CL237-CM237</f>
        <v/>
      </c>
      <c r="CO237" s="10">
        <f>MIN('02_Данные'!AP237,CN237)</f>
        <v/>
      </c>
      <c r="CP237" s="10">
        <f>CN237-CO237</f>
        <v/>
      </c>
      <c r="CQ237" s="10">
        <f>CP237+'02_Данные'!K237</f>
        <v/>
      </c>
      <c r="CR237" s="10">
        <f>MIN('02_Данные'!AR237,CQ237)</f>
        <v/>
      </c>
      <c r="CS237" s="10">
        <f>CQ237-CR237</f>
        <v/>
      </c>
      <c r="CT237" s="10">
        <f>MIN('02_Данные'!AS237,CS237)</f>
        <v/>
      </c>
      <c r="CU237" s="10">
        <f>CS237-CT237</f>
        <v/>
      </c>
      <c r="CV237" s="10">
        <f>MIN('02_Данные'!AT237,CU237)</f>
        <v/>
      </c>
      <c r="CW237" s="10">
        <f>CU237-CV237</f>
        <v/>
      </c>
      <c r="CX237" s="10">
        <f>MIN('02_Данные'!AY237,CW237)</f>
        <v/>
      </c>
      <c r="CY237" s="10">
        <f>CW237-CX237</f>
        <v/>
      </c>
      <c r="CZ237" s="10">
        <f>MIN('02_Данные'!AV237,CY237)</f>
        <v/>
      </c>
      <c r="DA237" s="10">
        <f>CY237-CZ237</f>
        <v/>
      </c>
      <c r="DB237" s="10">
        <f>MIN('02_Данные'!AU237,DA237)</f>
        <v/>
      </c>
      <c r="DC237" s="10">
        <f>DA237-DB237</f>
        <v/>
      </c>
      <c r="DD237" s="10">
        <f>MIN('02_Данные'!AW237,DC237)</f>
        <v/>
      </c>
      <c r="DE237" s="10">
        <f>DC237-DD237</f>
        <v/>
      </c>
      <c r="DF237" s="10">
        <f>MIN('02_Данные'!AX237,DE237)</f>
        <v/>
      </c>
      <c r="DG237" s="10">
        <f>DE237-DF237</f>
        <v/>
      </c>
    </row>
    <row r="238">
      <c r="A238" s="9">
        <f>'02_Данные'!B238</f>
        <v/>
      </c>
      <c r="B238" s="9">
        <f>'02_Данные'!E238</f>
        <v/>
      </c>
      <c r="C238" s="10">
        <f>'02_Данные'!F238+'02_Данные'!G238+'02_Данные'!H238+'02_Данные'!I238+'02_Данные'!J238+'02_Данные'!K238</f>
        <v/>
      </c>
      <c r="D238" s="10">
        <f>SUM('02_Данные'!L238:'02_Данные'!AY238)</f>
        <v/>
      </c>
      <c r="E238" s="10">
        <f>MAX(0,D238-C238)</f>
        <v/>
      </c>
      <c r="F238" s="15">
        <f>IF(E238&gt;0.0001,"ДЕФИЦИТ",IF(Y238&gt;0.0001,"ПРОФИЦИТ","БАЛАНС"))</f>
        <v/>
      </c>
      <c r="G238" s="10">
        <f>AB238+AS238+BJ238+CA238+CR238</f>
        <v/>
      </c>
      <c r="H238" s="10">
        <f>AD238+AU238+BL238+CC238+CT238</f>
        <v/>
      </c>
      <c r="I238" s="10">
        <f>AF238+AW238+BN238+CE238+CV238</f>
        <v/>
      </c>
      <c r="J238" s="10">
        <f>AL238+BC238+BT238+CK238+DB238</f>
        <v/>
      </c>
      <c r="K238" s="10">
        <f>AJ238+BA238+BR238+CI238+CZ238</f>
        <v/>
      </c>
      <c r="L238" s="10">
        <f>AN238+BE238+BV238+CM238+DD238</f>
        <v/>
      </c>
      <c r="M238" s="10">
        <f>AP238+BG238+BX238+CO238+DF238</f>
        <v/>
      </c>
      <c r="N238" s="10">
        <f>AH238+AY238+BP238+CG238+CX238</f>
        <v/>
      </c>
      <c r="O238" s="10">
        <f>SUM(G238:N238)</f>
        <v/>
      </c>
      <c r="P238" s="10">
        <f>IFERROR(G238*MIN(1,'01_Нормативы'!$C$4/SUM(G$2:G$429)),0)</f>
        <v/>
      </c>
      <c r="Q238" s="10">
        <f>IFERROR(H238*MIN(1,'01_Нормативы'!$C$5/SUM(H$2:H$429)),0)</f>
        <v/>
      </c>
      <c r="R238" s="10">
        <f>IFERROR(I238*MIN(1,'01_Нормативы'!$C$6/SUM(I$2:I$429)),0)</f>
        <v/>
      </c>
      <c r="S238" s="10">
        <f>IFERROR(J238*MIN(1,'01_Нормативы'!$C$7/SUM(J$2:J$429)),0)</f>
        <v/>
      </c>
      <c r="T238" s="10">
        <f>IFERROR(K238*MIN(1,'01_Нормативы'!$C$8/SUM(K$2:K$429)),0)</f>
        <v/>
      </c>
      <c r="U238" s="10">
        <f>IFERROR(L238*MIN(1,'01_Нормативы'!$C$9/SUM(L$2:L$429)),0)</f>
        <v/>
      </c>
      <c r="V238" s="10">
        <f>IFERROR(M238*MIN(1,'01_Нормативы'!$C$10/SUM(M$2:M$429)),0)</f>
        <v/>
      </c>
      <c r="W238" s="10">
        <f>IFERROR(N238*MIN(1,'01_Нормативы'!$C$11/SUM(N$2:N$429)),0)</f>
        <v/>
      </c>
      <c r="X238" s="10">
        <f>SUM(P238:W238)</f>
        <v/>
      </c>
      <c r="Y238" s="10">
        <f>MAX(0,C238-X238)</f>
        <v/>
      </c>
      <c r="Z238" s="10">
        <f>IF(D238=0,100,X238/D238*100)</f>
        <v/>
      </c>
      <c r="AA238" s="10">
        <f>'02_Данные'!F238+'02_Данные'!G238</f>
        <v/>
      </c>
      <c r="AB238" s="10">
        <f>MIN('02_Данные'!L238,AA238)</f>
        <v/>
      </c>
      <c r="AC238" s="10">
        <f>AA238-AB238</f>
        <v/>
      </c>
      <c r="AD238" s="10">
        <f>MIN('02_Данные'!M238,AC238)</f>
        <v/>
      </c>
      <c r="AE238" s="10">
        <f>AC238-AD238</f>
        <v/>
      </c>
      <c r="AF238" s="10">
        <f>MIN('02_Данные'!N238,AE238)</f>
        <v/>
      </c>
      <c r="AG238" s="10">
        <f>AE238-AF238</f>
        <v/>
      </c>
      <c r="AH238" s="10">
        <f>MIN('02_Данные'!S238,AG238)</f>
        <v/>
      </c>
      <c r="AI238" s="10">
        <f>AG238-AH238</f>
        <v/>
      </c>
      <c r="AJ238" s="10">
        <f>MIN('02_Данные'!P238,AI238)</f>
        <v/>
      </c>
      <c r="AK238" s="10">
        <f>AI238-AJ238</f>
        <v/>
      </c>
      <c r="AL238" s="10">
        <f>MIN('02_Данные'!O238,AK238)</f>
        <v/>
      </c>
      <c r="AM238" s="10">
        <f>AK238-AL238</f>
        <v/>
      </c>
      <c r="AN238" s="10">
        <f>MIN('02_Данные'!Q238,AM238)</f>
        <v/>
      </c>
      <c r="AO238" s="10">
        <f>AM238-AN238</f>
        <v/>
      </c>
      <c r="AP238" s="10">
        <f>MIN('02_Данные'!R238,AO238)</f>
        <v/>
      </c>
      <c r="AQ238" s="10">
        <f>AO238-AP238</f>
        <v/>
      </c>
      <c r="AR238" s="10">
        <f>AQ238+'02_Данные'!H238</f>
        <v/>
      </c>
      <c r="AS238" s="10">
        <f>MIN('02_Данные'!T238,AR238)</f>
        <v/>
      </c>
      <c r="AT238" s="10">
        <f>AR238-AS238</f>
        <v/>
      </c>
      <c r="AU238" s="10">
        <f>MIN('02_Данные'!U238,AT238)</f>
        <v/>
      </c>
      <c r="AV238" s="10">
        <f>AT238-AU238</f>
        <v/>
      </c>
      <c r="AW238" s="10">
        <f>MIN('02_Данные'!V238,AV238)</f>
        <v/>
      </c>
      <c r="AX238" s="10">
        <f>AV238-AW238</f>
        <v/>
      </c>
      <c r="AY238" s="10">
        <f>MIN('02_Данные'!AA238,AX238)</f>
        <v/>
      </c>
      <c r="AZ238" s="10">
        <f>AX238-AY238</f>
        <v/>
      </c>
      <c r="BA238" s="10">
        <f>MIN('02_Данные'!X238,AZ238)</f>
        <v/>
      </c>
      <c r="BB238" s="10">
        <f>AZ238-BA238</f>
        <v/>
      </c>
      <c r="BC238" s="10">
        <f>MIN('02_Данные'!W238,BB238)</f>
        <v/>
      </c>
      <c r="BD238" s="10">
        <f>BB238-BC238</f>
        <v/>
      </c>
      <c r="BE238" s="10">
        <f>MIN('02_Данные'!Y238,BD238)</f>
        <v/>
      </c>
      <c r="BF238" s="10">
        <f>BD238-BE238</f>
        <v/>
      </c>
      <c r="BG238" s="10">
        <f>MIN('02_Данные'!Z238,BF238)</f>
        <v/>
      </c>
      <c r="BH238" s="10">
        <f>BF238-BG238</f>
        <v/>
      </c>
      <c r="BI238" s="10">
        <f>BH238+'02_Данные'!I238</f>
        <v/>
      </c>
      <c r="BJ238" s="10">
        <f>MIN('02_Данные'!AB238,BI238)</f>
        <v/>
      </c>
      <c r="BK238" s="10">
        <f>BI238-BJ238</f>
        <v/>
      </c>
      <c r="BL238" s="10">
        <f>MIN('02_Данные'!AC238,BK238)</f>
        <v/>
      </c>
      <c r="BM238" s="10">
        <f>BK238-BL238</f>
        <v/>
      </c>
      <c r="BN238" s="10">
        <f>MIN('02_Данные'!AD238,BM238)</f>
        <v/>
      </c>
      <c r="BO238" s="10">
        <f>BM238-BN238</f>
        <v/>
      </c>
      <c r="BP238" s="10">
        <f>MIN('02_Данные'!AI238,BO238)</f>
        <v/>
      </c>
      <c r="BQ238" s="10">
        <f>BO238-BP238</f>
        <v/>
      </c>
      <c r="BR238" s="10">
        <f>MIN('02_Данные'!AF238,BQ238)</f>
        <v/>
      </c>
      <c r="BS238" s="10">
        <f>BQ238-BR238</f>
        <v/>
      </c>
      <c r="BT238" s="10">
        <f>MIN('02_Данные'!AE238,BS238)</f>
        <v/>
      </c>
      <c r="BU238" s="10">
        <f>BS238-BT238</f>
        <v/>
      </c>
      <c r="BV238" s="10">
        <f>MIN('02_Данные'!AG238,BU238)</f>
        <v/>
      </c>
      <c r="BW238" s="10">
        <f>BU238-BV238</f>
        <v/>
      </c>
      <c r="BX238" s="10">
        <f>MIN('02_Данные'!AH238,BW238)</f>
        <v/>
      </c>
      <c r="BY238" s="10">
        <f>BW238-BX238</f>
        <v/>
      </c>
      <c r="BZ238" s="10">
        <f>BY238+'02_Данные'!J238</f>
        <v/>
      </c>
      <c r="CA238" s="10">
        <f>MIN('02_Данные'!AJ238,BZ238)</f>
        <v/>
      </c>
      <c r="CB238" s="10">
        <f>BZ238-CA238</f>
        <v/>
      </c>
      <c r="CC238" s="10">
        <f>MIN('02_Данные'!AK238,CB238)</f>
        <v/>
      </c>
      <c r="CD238" s="10">
        <f>CB238-CC238</f>
        <v/>
      </c>
      <c r="CE238" s="10">
        <f>MIN('02_Данные'!AL238,CD238)</f>
        <v/>
      </c>
      <c r="CF238" s="10">
        <f>CD238-CE238</f>
        <v/>
      </c>
      <c r="CG238" s="10">
        <f>MIN('02_Данные'!AQ238,CF238)</f>
        <v/>
      </c>
      <c r="CH238" s="10">
        <f>CF238-CG238</f>
        <v/>
      </c>
      <c r="CI238" s="10">
        <f>MIN('02_Данные'!AN238,CH238)</f>
        <v/>
      </c>
      <c r="CJ238" s="10">
        <f>CH238-CI238</f>
        <v/>
      </c>
      <c r="CK238" s="10">
        <f>MIN('02_Данные'!AM238,CJ238)</f>
        <v/>
      </c>
      <c r="CL238" s="10">
        <f>CJ238-CK238</f>
        <v/>
      </c>
      <c r="CM238" s="10">
        <f>MIN('02_Данные'!AO238,CL238)</f>
        <v/>
      </c>
      <c r="CN238" s="10">
        <f>CL238-CM238</f>
        <v/>
      </c>
      <c r="CO238" s="10">
        <f>MIN('02_Данные'!AP238,CN238)</f>
        <v/>
      </c>
      <c r="CP238" s="10">
        <f>CN238-CO238</f>
        <v/>
      </c>
      <c r="CQ238" s="10">
        <f>CP238+'02_Данные'!K238</f>
        <v/>
      </c>
      <c r="CR238" s="10">
        <f>MIN('02_Данные'!AR238,CQ238)</f>
        <v/>
      </c>
      <c r="CS238" s="10">
        <f>CQ238-CR238</f>
        <v/>
      </c>
      <c r="CT238" s="10">
        <f>MIN('02_Данные'!AS238,CS238)</f>
        <v/>
      </c>
      <c r="CU238" s="10">
        <f>CS238-CT238</f>
        <v/>
      </c>
      <c r="CV238" s="10">
        <f>MIN('02_Данные'!AT238,CU238)</f>
        <v/>
      </c>
      <c r="CW238" s="10">
        <f>CU238-CV238</f>
        <v/>
      </c>
      <c r="CX238" s="10">
        <f>MIN('02_Данные'!AY238,CW238)</f>
        <v/>
      </c>
      <c r="CY238" s="10">
        <f>CW238-CX238</f>
        <v/>
      </c>
      <c r="CZ238" s="10">
        <f>MIN('02_Данные'!AV238,CY238)</f>
        <v/>
      </c>
      <c r="DA238" s="10">
        <f>CY238-CZ238</f>
        <v/>
      </c>
      <c r="DB238" s="10">
        <f>MIN('02_Данные'!AU238,DA238)</f>
        <v/>
      </c>
      <c r="DC238" s="10">
        <f>DA238-DB238</f>
        <v/>
      </c>
      <c r="DD238" s="10">
        <f>MIN('02_Данные'!AW238,DC238)</f>
        <v/>
      </c>
      <c r="DE238" s="10">
        <f>DC238-DD238</f>
        <v/>
      </c>
      <c r="DF238" s="10">
        <f>MIN('02_Данные'!AX238,DE238)</f>
        <v/>
      </c>
      <c r="DG238" s="10">
        <f>DE238-DF238</f>
        <v/>
      </c>
    </row>
    <row r="239">
      <c r="A239" s="9">
        <f>'02_Данные'!B239</f>
        <v/>
      </c>
      <c r="B239" s="9">
        <f>'02_Данные'!E239</f>
        <v/>
      </c>
      <c r="C239" s="10">
        <f>'02_Данные'!F239+'02_Данные'!G239+'02_Данные'!H239+'02_Данные'!I239+'02_Данные'!J239+'02_Данные'!K239</f>
        <v/>
      </c>
      <c r="D239" s="10">
        <f>SUM('02_Данные'!L239:'02_Данные'!AY239)</f>
        <v/>
      </c>
      <c r="E239" s="10">
        <f>MAX(0,D239-C239)</f>
        <v/>
      </c>
      <c r="F239" s="15">
        <f>IF(E239&gt;0.0001,"ДЕФИЦИТ",IF(Y239&gt;0.0001,"ПРОФИЦИТ","БАЛАНС"))</f>
        <v/>
      </c>
      <c r="G239" s="10">
        <f>AB239+AS239+BJ239+CA239+CR239</f>
        <v/>
      </c>
      <c r="H239" s="10">
        <f>AD239+AU239+BL239+CC239+CT239</f>
        <v/>
      </c>
      <c r="I239" s="10">
        <f>AF239+AW239+BN239+CE239+CV239</f>
        <v/>
      </c>
      <c r="J239" s="10">
        <f>AL239+BC239+BT239+CK239+DB239</f>
        <v/>
      </c>
      <c r="K239" s="10">
        <f>AJ239+BA239+BR239+CI239+CZ239</f>
        <v/>
      </c>
      <c r="L239" s="10">
        <f>AN239+BE239+BV239+CM239+DD239</f>
        <v/>
      </c>
      <c r="M239" s="10">
        <f>AP239+BG239+BX239+CO239+DF239</f>
        <v/>
      </c>
      <c r="N239" s="10">
        <f>AH239+AY239+BP239+CG239+CX239</f>
        <v/>
      </c>
      <c r="O239" s="10">
        <f>SUM(G239:N239)</f>
        <v/>
      </c>
      <c r="P239" s="10">
        <f>IFERROR(G239*MIN(1,'01_Нормативы'!$C$4/SUM(G$2:G$429)),0)</f>
        <v/>
      </c>
      <c r="Q239" s="10">
        <f>IFERROR(H239*MIN(1,'01_Нормативы'!$C$5/SUM(H$2:H$429)),0)</f>
        <v/>
      </c>
      <c r="R239" s="10">
        <f>IFERROR(I239*MIN(1,'01_Нормативы'!$C$6/SUM(I$2:I$429)),0)</f>
        <v/>
      </c>
      <c r="S239" s="10">
        <f>IFERROR(J239*MIN(1,'01_Нормативы'!$C$7/SUM(J$2:J$429)),0)</f>
        <v/>
      </c>
      <c r="T239" s="10">
        <f>IFERROR(K239*MIN(1,'01_Нормативы'!$C$8/SUM(K$2:K$429)),0)</f>
        <v/>
      </c>
      <c r="U239" s="10">
        <f>IFERROR(L239*MIN(1,'01_Нормативы'!$C$9/SUM(L$2:L$429)),0)</f>
        <v/>
      </c>
      <c r="V239" s="10">
        <f>IFERROR(M239*MIN(1,'01_Нормативы'!$C$10/SUM(M$2:M$429)),0)</f>
        <v/>
      </c>
      <c r="W239" s="10">
        <f>IFERROR(N239*MIN(1,'01_Нормативы'!$C$11/SUM(N$2:N$429)),0)</f>
        <v/>
      </c>
      <c r="X239" s="10">
        <f>SUM(P239:W239)</f>
        <v/>
      </c>
      <c r="Y239" s="10">
        <f>MAX(0,C239-X239)</f>
        <v/>
      </c>
      <c r="Z239" s="10">
        <f>IF(D239=0,100,X239/D239*100)</f>
        <v/>
      </c>
      <c r="AA239" s="10">
        <f>'02_Данные'!F239+'02_Данные'!G239</f>
        <v/>
      </c>
      <c r="AB239" s="10">
        <f>MIN('02_Данные'!L239,AA239)</f>
        <v/>
      </c>
      <c r="AC239" s="10">
        <f>AA239-AB239</f>
        <v/>
      </c>
      <c r="AD239" s="10">
        <f>MIN('02_Данные'!M239,AC239)</f>
        <v/>
      </c>
      <c r="AE239" s="10">
        <f>AC239-AD239</f>
        <v/>
      </c>
      <c r="AF239" s="10">
        <f>MIN('02_Данные'!N239,AE239)</f>
        <v/>
      </c>
      <c r="AG239" s="10">
        <f>AE239-AF239</f>
        <v/>
      </c>
      <c r="AH239" s="10">
        <f>MIN('02_Данные'!S239,AG239)</f>
        <v/>
      </c>
      <c r="AI239" s="10">
        <f>AG239-AH239</f>
        <v/>
      </c>
      <c r="AJ239" s="10">
        <f>MIN('02_Данные'!P239,AI239)</f>
        <v/>
      </c>
      <c r="AK239" s="10">
        <f>AI239-AJ239</f>
        <v/>
      </c>
      <c r="AL239" s="10">
        <f>MIN('02_Данные'!O239,AK239)</f>
        <v/>
      </c>
      <c r="AM239" s="10">
        <f>AK239-AL239</f>
        <v/>
      </c>
      <c r="AN239" s="10">
        <f>MIN('02_Данные'!Q239,AM239)</f>
        <v/>
      </c>
      <c r="AO239" s="10">
        <f>AM239-AN239</f>
        <v/>
      </c>
      <c r="AP239" s="10">
        <f>MIN('02_Данные'!R239,AO239)</f>
        <v/>
      </c>
      <c r="AQ239" s="10">
        <f>AO239-AP239</f>
        <v/>
      </c>
      <c r="AR239" s="10">
        <f>AQ239+'02_Данные'!H239</f>
        <v/>
      </c>
      <c r="AS239" s="10">
        <f>MIN('02_Данные'!T239,AR239)</f>
        <v/>
      </c>
      <c r="AT239" s="10">
        <f>AR239-AS239</f>
        <v/>
      </c>
      <c r="AU239" s="10">
        <f>MIN('02_Данные'!U239,AT239)</f>
        <v/>
      </c>
      <c r="AV239" s="10">
        <f>AT239-AU239</f>
        <v/>
      </c>
      <c r="AW239" s="10">
        <f>MIN('02_Данные'!V239,AV239)</f>
        <v/>
      </c>
      <c r="AX239" s="10">
        <f>AV239-AW239</f>
        <v/>
      </c>
      <c r="AY239" s="10">
        <f>MIN('02_Данные'!AA239,AX239)</f>
        <v/>
      </c>
      <c r="AZ239" s="10">
        <f>AX239-AY239</f>
        <v/>
      </c>
      <c r="BA239" s="10">
        <f>MIN('02_Данные'!X239,AZ239)</f>
        <v/>
      </c>
      <c r="BB239" s="10">
        <f>AZ239-BA239</f>
        <v/>
      </c>
      <c r="BC239" s="10">
        <f>MIN('02_Данные'!W239,BB239)</f>
        <v/>
      </c>
      <c r="BD239" s="10">
        <f>BB239-BC239</f>
        <v/>
      </c>
      <c r="BE239" s="10">
        <f>MIN('02_Данные'!Y239,BD239)</f>
        <v/>
      </c>
      <c r="BF239" s="10">
        <f>BD239-BE239</f>
        <v/>
      </c>
      <c r="BG239" s="10">
        <f>MIN('02_Данные'!Z239,BF239)</f>
        <v/>
      </c>
      <c r="BH239" s="10">
        <f>BF239-BG239</f>
        <v/>
      </c>
      <c r="BI239" s="10">
        <f>BH239+'02_Данные'!I239</f>
        <v/>
      </c>
      <c r="BJ239" s="10">
        <f>MIN('02_Данные'!AB239,BI239)</f>
        <v/>
      </c>
      <c r="BK239" s="10">
        <f>BI239-BJ239</f>
        <v/>
      </c>
      <c r="BL239" s="10">
        <f>MIN('02_Данные'!AC239,BK239)</f>
        <v/>
      </c>
      <c r="BM239" s="10">
        <f>BK239-BL239</f>
        <v/>
      </c>
      <c r="BN239" s="10">
        <f>MIN('02_Данные'!AD239,BM239)</f>
        <v/>
      </c>
      <c r="BO239" s="10">
        <f>BM239-BN239</f>
        <v/>
      </c>
      <c r="BP239" s="10">
        <f>MIN('02_Данные'!AI239,BO239)</f>
        <v/>
      </c>
      <c r="BQ239" s="10">
        <f>BO239-BP239</f>
        <v/>
      </c>
      <c r="BR239" s="10">
        <f>MIN('02_Данные'!AF239,BQ239)</f>
        <v/>
      </c>
      <c r="BS239" s="10">
        <f>BQ239-BR239</f>
        <v/>
      </c>
      <c r="BT239" s="10">
        <f>MIN('02_Данные'!AE239,BS239)</f>
        <v/>
      </c>
      <c r="BU239" s="10">
        <f>BS239-BT239</f>
        <v/>
      </c>
      <c r="BV239" s="10">
        <f>MIN('02_Данные'!AG239,BU239)</f>
        <v/>
      </c>
      <c r="BW239" s="10">
        <f>BU239-BV239</f>
        <v/>
      </c>
      <c r="BX239" s="10">
        <f>MIN('02_Данные'!AH239,BW239)</f>
        <v/>
      </c>
      <c r="BY239" s="10">
        <f>BW239-BX239</f>
        <v/>
      </c>
      <c r="BZ239" s="10">
        <f>BY239+'02_Данные'!J239</f>
        <v/>
      </c>
      <c r="CA239" s="10">
        <f>MIN('02_Данные'!AJ239,BZ239)</f>
        <v/>
      </c>
      <c r="CB239" s="10">
        <f>BZ239-CA239</f>
        <v/>
      </c>
      <c r="CC239" s="10">
        <f>MIN('02_Данные'!AK239,CB239)</f>
        <v/>
      </c>
      <c r="CD239" s="10">
        <f>CB239-CC239</f>
        <v/>
      </c>
      <c r="CE239" s="10">
        <f>MIN('02_Данные'!AL239,CD239)</f>
        <v/>
      </c>
      <c r="CF239" s="10">
        <f>CD239-CE239</f>
        <v/>
      </c>
      <c r="CG239" s="10">
        <f>MIN('02_Данные'!AQ239,CF239)</f>
        <v/>
      </c>
      <c r="CH239" s="10">
        <f>CF239-CG239</f>
        <v/>
      </c>
      <c r="CI239" s="10">
        <f>MIN('02_Данные'!AN239,CH239)</f>
        <v/>
      </c>
      <c r="CJ239" s="10">
        <f>CH239-CI239</f>
        <v/>
      </c>
      <c r="CK239" s="10">
        <f>MIN('02_Данные'!AM239,CJ239)</f>
        <v/>
      </c>
      <c r="CL239" s="10">
        <f>CJ239-CK239</f>
        <v/>
      </c>
      <c r="CM239" s="10">
        <f>MIN('02_Данные'!AO239,CL239)</f>
        <v/>
      </c>
      <c r="CN239" s="10">
        <f>CL239-CM239</f>
        <v/>
      </c>
      <c r="CO239" s="10">
        <f>MIN('02_Данные'!AP239,CN239)</f>
        <v/>
      </c>
      <c r="CP239" s="10">
        <f>CN239-CO239</f>
        <v/>
      </c>
      <c r="CQ239" s="10">
        <f>CP239+'02_Данные'!K239</f>
        <v/>
      </c>
      <c r="CR239" s="10">
        <f>MIN('02_Данные'!AR239,CQ239)</f>
        <v/>
      </c>
      <c r="CS239" s="10">
        <f>CQ239-CR239</f>
        <v/>
      </c>
      <c r="CT239" s="10">
        <f>MIN('02_Данные'!AS239,CS239)</f>
        <v/>
      </c>
      <c r="CU239" s="10">
        <f>CS239-CT239</f>
        <v/>
      </c>
      <c r="CV239" s="10">
        <f>MIN('02_Данные'!AT239,CU239)</f>
        <v/>
      </c>
      <c r="CW239" s="10">
        <f>CU239-CV239</f>
        <v/>
      </c>
      <c r="CX239" s="10">
        <f>MIN('02_Данные'!AY239,CW239)</f>
        <v/>
      </c>
      <c r="CY239" s="10">
        <f>CW239-CX239</f>
        <v/>
      </c>
      <c r="CZ239" s="10">
        <f>MIN('02_Данные'!AV239,CY239)</f>
        <v/>
      </c>
      <c r="DA239" s="10">
        <f>CY239-CZ239</f>
        <v/>
      </c>
      <c r="DB239" s="10">
        <f>MIN('02_Данные'!AU239,DA239)</f>
        <v/>
      </c>
      <c r="DC239" s="10">
        <f>DA239-DB239</f>
        <v/>
      </c>
      <c r="DD239" s="10">
        <f>MIN('02_Данные'!AW239,DC239)</f>
        <v/>
      </c>
      <c r="DE239" s="10">
        <f>DC239-DD239</f>
        <v/>
      </c>
      <c r="DF239" s="10">
        <f>MIN('02_Данные'!AX239,DE239)</f>
        <v/>
      </c>
      <c r="DG239" s="10">
        <f>DE239-DF239</f>
        <v/>
      </c>
    </row>
    <row r="240">
      <c r="A240" s="9">
        <f>'02_Данные'!B240</f>
        <v/>
      </c>
      <c r="B240" s="9">
        <f>'02_Данные'!E240</f>
        <v/>
      </c>
      <c r="C240" s="10">
        <f>'02_Данные'!F240+'02_Данные'!G240+'02_Данные'!H240+'02_Данные'!I240+'02_Данные'!J240+'02_Данные'!K240</f>
        <v/>
      </c>
      <c r="D240" s="10">
        <f>SUM('02_Данные'!L240:'02_Данные'!AY240)</f>
        <v/>
      </c>
      <c r="E240" s="10">
        <f>MAX(0,D240-C240)</f>
        <v/>
      </c>
      <c r="F240" s="15">
        <f>IF(E240&gt;0.0001,"ДЕФИЦИТ",IF(Y240&gt;0.0001,"ПРОФИЦИТ","БАЛАНС"))</f>
        <v/>
      </c>
      <c r="G240" s="10">
        <f>AB240+AS240+BJ240+CA240+CR240</f>
        <v/>
      </c>
      <c r="H240" s="10">
        <f>AD240+AU240+BL240+CC240+CT240</f>
        <v/>
      </c>
      <c r="I240" s="10">
        <f>AF240+AW240+BN240+CE240+CV240</f>
        <v/>
      </c>
      <c r="J240" s="10">
        <f>AL240+BC240+BT240+CK240+DB240</f>
        <v/>
      </c>
      <c r="K240" s="10">
        <f>AJ240+BA240+BR240+CI240+CZ240</f>
        <v/>
      </c>
      <c r="L240" s="10">
        <f>AN240+BE240+BV240+CM240+DD240</f>
        <v/>
      </c>
      <c r="M240" s="10">
        <f>AP240+BG240+BX240+CO240+DF240</f>
        <v/>
      </c>
      <c r="N240" s="10">
        <f>AH240+AY240+BP240+CG240+CX240</f>
        <v/>
      </c>
      <c r="O240" s="10">
        <f>SUM(G240:N240)</f>
        <v/>
      </c>
      <c r="P240" s="10">
        <f>IFERROR(G240*MIN(1,'01_Нормативы'!$C$4/SUM(G$2:G$429)),0)</f>
        <v/>
      </c>
      <c r="Q240" s="10">
        <f>IFERROR(H240*MIN(1,'01_Нормативы'!$C$5/SUM(H$2:H$429)),0)</f>
        <v/>
      </c>
      <c r="R240" s="10">
        <f>IFERROR(I240*MIN(1,'01_Нормативы'!$C$6/SUM(I$2:I$429)),0)</f>
        <v/>
      </c>
      <c r="S240" s="10">
        <f>IFERROR(J240*MIN(1,'01_Нормативы'!$C$7/SUM(J$2:J$429)),0)</f>
        <v/>
      </c>
      <c r="T240" s="10">
        <f>IFERROR(K240*MIN(1,'01_Нормативы'!$C$8/SUM(K$2:K$429)),0)</f>
        <v/>
      </c>
      <c r="U240" s="10">
        <f>IFERROR(L240*MIN(1,'01_Нормативы'!$C$9/SUM(L$2:L$429)),0)</f>
        <v/>
      </c>
      <c r="V240" s="10">
        <f>IFERROR(M240*MIN(1,'01_Нормативы'!$C$10/SUM(M$2:M$429)),0)</f>
        <v/>
      </c>
      <c r="W240" s="10">
        <f>IFERROR(N240*MIN(1,'01_Нормативы'!$C$11/SUM(N$2:N$429)),0)</f>
        <v/>
      </c>
      <c r="X240" s="10">
        <f>SUM(P240:W240)</f>
        <v/>
      </c>
      <c r="Y240" s="10">
        <f>MAX(0,C240-X240)</f>
        <v/>
      </c>
      <c r="Z240" s="10">
        <f>IF(D240=0,100,X240/D240*100)</f>
        <v/>
      </c>
      <c r="AA240" s="10">
        <f>'02_Данные'!F240+'02_Данные'!G240</f>
        <v/>
      </c>
      <c r="AB240" s="10">
        <f>MIN('02_Данные'!L240,AA240)</f>
        <v/>
      </c>
      <c r="AC240" s="10">
        <f>AA240-AB240</f>
        <v/>
      </c>
      <c r="AD240" s="10">
        <f>MIN('02_Данные'!M240,AC240)</f>
        <v/>
      </c>
      <c r="AE240" s="10">
        <f>AC240-AD240</f>
        <v/>
      </c>
      <c r="AF240" s="10">
        <f>MIN('02_Данные'!N240,AE240)</f>
        <v/>
      </c>
      <c r="AG240" s="10">
        <f>AE240-AF240</f>
        <v/>
      </c>
      <c r="AH240" s="10">
        <f>MIN('02_Данные'!S240,AG240)</f>
        <v/>
      </c>
      <c r="AI240" s="10">
        <f>AG240-AH240</f>
        <v/>
      </c>
      <c r="AJ240" s="10">
        <f>MIN('02_Данные'!P240,AI240)</f>
        <v/>
      </c>
      <c r="AK240" s="10">
        <f>AI240-AJ240</f>
        <v/>
      </c>
      <c r="AL240" s="10">
        <f>MIN('02_Данные'!O240,AK240)</f>
        <v/>
      </c>
      <c r="AM240" s="10">
        <f>AK240-AL240</f>
        <v/>
      </c>
      <c r="AN240" s="10">
        <f>MIN('02_Данные'!Q240,AM240)</f>
        <v/>
      </c>
      <c r="AO240" s="10">
        <f>AM240-AN240</f>
        <v/>
      </c>
      <c r="AP240" s="10">
        <f>MIN('02_Данные'!R240,AO240)</f>
        <v/>
      </c>
      <c r="AQ240" s="10">
        <f>AO240-AP240</f>
        <v/>
      </c>
      <c r="AR240" s="10">
        <f>AQ240+'02_Данные'!H240</f>
        <v/>
      </c>
      <c r="AS240" s="10">
        <f>MIN('02_Данные'!T240,AR240)</f>
        <v/>
      </c>
      <c r="AT240" s="10">
        <f>AR240-AS240</f>
        <v/>
      </c>
      <c r="AU240" s="10">
        <f>MIN('02_Данные'!U240,AT240)</f>
        <v/>
      </c>
      <c r="AV240" s="10">
        <f>AT240-AU240</f>
        <v/>
      </c>
      <c r="AW240" s="10">
        <f>MIN('02_Данные'!V240,AV240)</f>
        <v/>
      </c>
      <c r="AX240" s="10">
        <f>AV240-AW240</f>
        <v/>
      </c>
      <c r="AY240" s="10">
        <f>MIN('02_Данные'!AA240,AX240)</f>
        <v/>
      </c>
      <c r="AZ240" s="10">
        <f>AX240-AY240</f>
        <v/>
      </c>
      <c r="BA240" s="10">
        <f>MIN('02_Данные'!X240,AZ240)</f>
        <v/>
      </c>
      <c r="BB240" s="10">
        <f>AZ240-BA240</f>
        <v/>
      </c>
      <c r="BC240" s="10">
        <f>MIN('02_Данные'!W240,BB240)</f>
        <v/>
      </c>
      <c r="BD240" s="10">
        <f>BB240-BC240</f>
        <v/>
      </c>
      <c r="BE240" s="10">
        <f>MIN('02_Данные'!Y240,BD240)</f>
        <v/>
      </c>
      <c r="BF240" s="10">
        <f>BD240-BE240</f>
        <v/>
      </c>
      <c r="BG240" s="10">
        <f>MIN('02_Данные'!Z240,BF240)</f>
        <v/>
      </c>
      <c r="BH240" s="10">
        <f>BF240-BG240</f>
        <v/>
      </c>
      <c r="BI240" s="10">
        <f>BH240+'02_Данные'!I240</f>
        <v/>
      </c>
      <c r="BJ240" s="10">
        <f>MIN('02_Данные'!AB240,BI240)</f>
        <v/>
      </c>
      <c r="BK240" s="10">
        <f>BI240-BJ240</f>
        <v/>
      </c>
      <c r="BL240" s="10">
        <f>MIN('02_Данные'!AC240,BK240)</f>
        <v/>
      </c>
      <c r="BM240" s="10">
        <f>BK240-BL240</f>
        <v/>
      </c>
      <c r="BN240" s="10">
        <f>MIN('02_Данные'!AD240,BM240)</f>
        <v/>
      </c>
      <c r="BO240" s="10">
        <f>BM240-BN240</f>
        <v/>
      </c>
      <c r="BP240" s="10">
        <f>MIN('02_Данные'!AI240,BO240)</f>
        <v/>
      </c>
      <c r="BQ240" s="10">
        <f>BO240-BP240</f>
        <v/>
      </c>
      <c r="BR240" s="10">
        <f>MIN('02_Данные'!AF240,BQ240)</f>
        <v/>
      </c>
      <c r="BS240" s="10">
        <f>BQ240-BR240</f>
        <v/>
      </c>
      <c r="BT240" s="10">
        <f>MIN('02_Данные'!AE240,BS240)</f>
        <v/>
      </c>
      <c r="BU240" s="10">
        <f>BS240-BT240</f>
        <v/>
      </c>
      <c r="BV240" s="10">
        <f>MIN('02_Данные'!AG240,BU240)</f>
        <v/>
      </c>
      <c r="BW240" s="10">
        <f>BU240-BV240</f>
        <v/>
      </c>
      <c r="BX240" s="10">
        <f>MIN('02_Данные'!AH240,BW240)</f>
        <v/>
      </c>
      <c r="BY240" s="10">
        <f>BW240-BX240</f>
        <v/>
      </c>
      <c r="BZ240" s="10">
        <f>BY240+'02_Данные'!J240</f>
        <v/>
      </c>
      <c r="CA240" s="10">
        <f>MIN('02_Данные'!AJ240,BZ240)</f>
        <v/>
      </c>
      <c r="CB240" s="10">
        <f>BZ240-CA240</f>
        <v/>
      </c>
      <c r="CC240" s="10">
        <f>MIN('02_Данные'!AK240,CB240)</f>
        <v/>
      </c>
      <c r="CD240" s="10">
        <f>CB240-CC240</f>
        <v/>
      </c>
      <c r="CE240" s="10">
        <f>MIN('02_Данные'!AL240,CD240)</f>
        <v/>
      </c>
      <c r="CF240" s="10">
        <f>CD240-CE240</f>
        <v/>
      </c>
      <c r="CG240" s="10">
        <f>MIN('02_Данные'!AQ240,CF240)</f>
        <v/>
      </c>
      <c r="CH240" s="10">
        <f>CF240-CG240</f>
        <v/>
      </c>
      <c r="CI240" s="10">
        <f>MIN('02_Данные'!AN240,CH240)</f>
        <v/>
      </c>
      <c r="CJ240" s="10">
        <f>CH240-CI240</f>
        <v/>
      </c>
      <c r="CK240" s="10">
        <f>MIN('02_Данные'!AM240,CJ240)</f>
        <v/>
      </c>
      <c r="CL240" s="10">
        <f>CJ240-CK240</f>
        <v/>
      </c>
      <c r="CM240" s="10">
        <f>MIN('02_Данные'!AO240,CL240)</f>
        <v/>
      </c>
      <c r="CN240" s="10">
        <f>CL240-CM240</f>
        <v/>
      </c>
      <c r="CO240" s="10">
        <f>MIN('02_Данные'!AP240,CN240)</f>
        <v/>
      </c>
      <c r="CP240" s="10">
        <f>CN240-CO240</f>
        <v/>
      </c>
      <c r="CQ240" s="10">
        <f>CP240+'02_Данные'!K240</f>
        <v/>
      </c>
      <c r="CR240" s="10">
        <f>MIN('02_Данные'!AR240,CQ240)</f>
        <v/>
      </c>
      <c r="CS240" s="10">
        <f>CQ240-CR240</f>
        <v/>
      </c>
      <c r="CT240" s="10">
        <f>MIN('02_Данные'!AS240,CS240)</f>
        <v/>
      </c>
      <c r="CU240" s="10">
        <f>CS240-CT240</f>
        <v/>
      </c>
      <c r="CV240" s="10">
        <f>MIN('02_Данные'!AT240,CU240)</f>
        <v/>
      </c>
      <c r="CW240" s="10">
        <f>CU240-CV240</f>
        <v/>
      </c>
      <c r="CX240" s="10">
        <f>MIN('02_Данные'!AY240,CW240)</f>
        <v/>
      </c>
      <c r="CY240" s="10">
        <f>CW240-CX240</f>
        <v/>
      </c>
      <c r="CZ240" s="10">
        <f>MIN('02_Данные'!AV240,CY240)</f>
        <v/>
      </c>
      <c r="DA240" s="10">
        <f>CY240-CZ240</f>
        <v/>
      </c>
      <c r="DB240" s="10">
        <f>MIN('02_Данные'!AU240,DA240)</f>
        <v/>
      </c>
      <c r="DC240" s="10">
        <f>DA240-DB240</f>
        <v/>
      </c>
      <c r="DD240" s="10">
        <f>MIN('02_Данные'!AW240,DC240)</f>
        <v/>
      </c>
      <c r="DE240" s="10">
        <f>DC240-DD240</f>
        <v/>
      </c>
      <c r="DF240" s="10">
        <f>MIN('02_Данные'!AX240,DE240)</f>
        <v/>
      </c>
      <c r="DG240" s="10">
        <f>DE240-DF240</f>
        <v/>
      </c>
    </row>
    <row r="241">
      <c r="A241" s="9">
        <f>'02_Данные'!B241</f>
        <v/>
      </c>
      <c r="B241" s="9">
        <f>'02_Данные'!E241</f>
        <v/>
      </c>
      <c r="C241" s="10">
        <f>'02_Данные'!F241+'02_Данные'!G241+'02_Данные'!H241+'02_Данные'!I241+'02_Данные'!J241+'02_Данные'!K241</f>
        <v/>
      </c>
      <c r="D241" s="10">
        <f>SUM('02_Данные'!L241:'02_Данные'!AY241)</f>
        <v/>
      </c>
      <c r="E241" s="10">
        <f>MAX(0,D241-C241)</f>
        <v/>
      </c>
      <c r="F241" s="15">
        <f>IF(E241&gt;0.0001,"ДЕФИЦИТ",IF(Y241&gt;0.0001,"ПРОФИЦИТ","БАЛАНС"))</f>
        <v/>
      </c>
      <c r="G241" s="10">
        <f>AB241+AS241+BJ241+CA241+CR241</f>
        <v/>
      </c>
      <c r="H241" s="10">
        <f>AD241+AU241+BL241+CC241+CT241</f>
        <v/>
      </c>
      <c r="I241" s="10">
        <f>AF241+AW241+BN241+CE241+CV241</f>
        <v/>
      </c>
      <c r="J241" s="10">
        <f>AL241+BC241+BT241+CK241+DB241</f>
        <v/>
      </c>
      <c r="K241" s="10">
        <f>AJ241+BA241+BR241+CI241+CZ241</f>
        <v/>
      </c>
      <c r="L241" s="10">
        <f>AN241+BE241+BV241+CM241+DD241</f>
        <v/>
      </c>
      <c r="M241" s="10">
        <f>AP241+BG241+BX241+CO241+DF241</f>
        <v/>
      </c>
      <c r="N241" s="10">
        <f>AH241+AY241+BP241+CG241+CX241</f>
        <v/>
      </c>
      <c r="O241" s="10">
        <f>SUM(G241:N241)</f>
        <v/>
      </c>
      <c r="P241" s="10">
        <f>IFERROR(G241*MIN(1,'01_Нормативы'!$C$4/SUM(G$2:G$429)),0)</f>
        <v/>
      </c>
      <c r="Q241" s="10">
        <f>IFERROR(H241*MIN(1,'01_Нормативы'!$C$5/SUM(H$2:H$429)),0)</f>
        <v/>
      </c>
      <c r="R241" s="10">
        <f>IFERROR(I241*MIN(1,'01_Нормативы'!$C$6/SUM(I$2:I$429)),0)</f>
        <v/>
      </c>
      <c r="S241" s="10">
        <f>IFERROR(J241*MIN(1,'01_Нормативы'!$C$7/SUM(J$2:J$429)),0)</f>
        <v/>
      </c>
      <c r="T241" s="10">
        <f>IFERROR(K241*MIN(1,'01_Нормативы'!$C$8/SUM(K$2:K$429)),0)</f>
        <v/>
      </c>
      <c r="U241" s="10">
        <f>IFERROR(L241*MIN(1,'01_Нормативы'!$C$9/SUM(L$2:L$429)),0)</f>
        <v/>
      </c>
      <c r="V241" s="10">
        <f>IFERROR(M241*MIN(1,'01_Нормативы'!$C$10/SUM(M$2:M$429)),0)</f>
        <v/>
      </c>
      <c r="W241" s="10">
        <f>IFERROR(N241*MIN(1,'01_Нормативы'!$C$11/SUM(N$2:N$429)),0)</f>
        <v/>
      </c>
      <c r="X241" s="10">
        <f>SUM(P241:W241)</f>
        <v/>
      </c>
      <c r="Y241" s="10">
        <f>MAX(0,C241-X241)</f>
        <v/>
      </c>
      <c r="Z241" s="10">
        <f>IF(D241=0,100,X241/D241*100)</f>
        <v/>
      </c>
      <c r="AA241" s="10">
        <f>'02_Данные'!F241+'02_Данные'!G241</f>
        <v/>
      </c>
      <c r="AB241" s="10">
        <f>MIN('02_Данные'!L241,AA241)</f>
        <v/>
      </c>
      <c r="AC241" s="10">
        <f>AA241-AB241</f>
        <v/>
      </c>
      <c r="AD241" s="10">
        <f>MIN('02_Данные'!M241,AC241)</f>
        <v/>
      </c>
      <c r="AE241" s="10">
        <f>AC241-AD241</f>
        <v/>
      </c>
      <c r="AF241" s="10">
        <f>MIN('02_Данные'!N241,AE241)</f>
        <v/>
      </c>
      <c r="AG241" s="10">
        <f>AE241-AF241</f>
        <v/>
      </c>
      <c r="AH241" s="10">
        <f>MIN('02_Данные'!S241,AG241)</f>
        <v/>
      </c>
      <c r="AI241" s="10">
        <f>AG241-AH241</f>
        <v/>
      </c>
      <c r="AJ241" s="10">
        <f>MIN('02_Данные'!P241,AI241)</f>
        <v/>
      </c>
      <c r="AK241" s="10">
        <f>AI241-AJ241</f>
        <v/>
      </c>
      <c r="AL241" s="10">
        <f>MIN('02_Данные'!O241,AK241)</f>
        <v/>
      </c>
      <c r="AM241" s="10">
        <f>AK241-AL241</f>
        <v/>
      </c>
      <c r="AN241" s="10">
        <f>MIN('02_Данные'!Q241,AM241)</f>
        <v/>
      </c>
      <c r="AO241" s="10">
        <f>AM241-AN241</f>
        <v/>
      </c>
      <c r="AP241" s="10">
        <f>MIN('02_Данные'!R241,AO241)</f>
        <v/>
      </c>
      <c r="AQ241" s="10">
        <f>AO241-AP241</f>
        <v/>
      </c>
      <c r="AR241" s="10">
        <f>AQ241+'02_Данные'!H241</f>
        <v/>
      </c>
      <c r="AS241" s="10">
        <f>MIN('02_Данные'!T241,AR241)</f>
        <v/>
      </c>
      <c r="AT241" s="10">
        <f>AR241-AS241</f>
        <v/>
      </c>
      <c r="AU241" s="10">
        <f>MIN('02_Данные'!U241,AT241)</f>
        <v/>
      </c>
      <c r="AV241" s="10">
        <f>AT241-AU241</f>
        <v/>
      </c>
      <c r="AW241" s="10">
        <f>MIN('02_Данные'!V241,AV241)</f>
        <v/>
      </c>
      <c r="AX241" s="10">
        <f>AV241-AW241</f>
        <v/>
      </c>
      <c r="AY241" s="10">
        <f>MIN('02_Данные'!AA241,AX241)</f>
        <v/>
      </c>
      <c r="AZ241" s="10">
        <f>AX241-AY241</f>
        <v/>
      </c>
      <c r="BA241" s="10">
        <f>MIN('02_Данные'!X241,AZ241)</f>
        <v/>
      </c>
      <c r="BB241" s="10">
        <f>AZ241-BA241</f>
        <v/>
      </c>
      <c r="BC241" s="10">
        <f>MIN('02_Данные'!W241,BB241)</f>
        <v/>
      </c>
      <c r="BD241" s="10">
        <f>BB241-BC241</f>
        <v/>
      </c>
      <c r="BE241" s="10">
        <f>MIN('02_Данные'!Y241,BD241)</f>
        <v/>
      </c>
      <c r="BF241" s="10">
        <f>BD241-BE241</f>
        <v/>
      </c>
      <c r="BG241" s="10">
        <f>MIN('02_Данные'!Z241,BF241)</f>
        <v/>
      </c>
      <c r="BH241" s="10">
        <f>BF241-BG241</f>
        <v/>
      </c>
      <c r="BI241" s="10">
        <f>BH241+'02_Данные'!I241</f>
        <v/>
      </c>
      <c r="BJ241" s="10">
        <f>MIN('02_Данные'!AB241,BI241)</f>
        <v/>
      </c>
      <c r="BK241" s="10">
        <f>BI241-BJ241</f>
        <v/>
      </c>
      <c r="BL241" s="10">
        <f>MIN('02_Данные'!AC241,BK241)</f>
        <v/>
      </c>
      <c r="BM241" s="10">
        <f>BK241-BL241</f>
        <v/>
      </c>
      <c r="BN241" s="10">
        <f>MIN('02_Данные'!AD241,BM241)</f>
        <v/>
      </c>
      <c r="BO241" s="10">
        <f>BM241-BN241</f>
        <v/>
      </c>
      <c r="BP241" s="10">
        <f>MIN('02_Данные'!AI241,BO241)</f>
        <v/>
      </c>
      <c r="BQ241" s="10">
        <f>BO241-BP241</f>
        <v/>
      </c>
      <c r="BR241" s="10">
        <f>MIN('02_Данные'!AF241,BQ241)</f>
        <v/>
      </c>
      <c r="BS241" s="10">
        <f>BQ241-BR241</f>
        <v/>
      </c>
      <c r="BT241" s="10">
        <f>MIN('02_Данные'!AE241,BS241)</f>
        <v/>
      </c>
      <c r="BU241" s="10">
        <f>BS241-BT241</f>
        <v/>
      </c>
      <c r="BV241" s="10">
        <f>MIN('02_Данные'!AG241,BU241)</f>
        <v/>
      </c>
      <c r="BW241" s="10">
        <f>BU241-BV241</f>
        <v/>
      </c>
      <c r="BX241" s="10">
        <f>MIN('02_Данные'!AH241,BW241)</f>
        <v/>
      </c>
      <c r="BY241" s="10">
        <f>BW241-BX241</f>
        <v/>
      </c>
      <c r="BZ241" s="10">
        <f>BY241+'02_Данные'!J241</f>
        <v/>
      </c>
      <c r="CA241" s="10">
        <f>MIN('02_Данные'!AJ241,BZ241)</f>
        <v/>
      </c>
      <c r="CB241" s="10">
        <f>BZ241-CA241</f>
        <v/>
      </c>
      <c r="CC241" s="10">
        <f>MIN('02_Данные'!AK241,CB241)</f>
        <v/>
      </c>
      <c r="CD241" s="10">
        <f>CB241-CC241</f>
        <v/>
      </c>
      <c r="CE241" s="10">
        <f>MIN('02_Данные'!AL241,CD241)</f>
        <v/>
      </c>
      <c r="CF241" s="10">
        <f>CD241-CE241</f>
        <v/>
      </c>
      <c r="CG241" s="10">
        <f>MIN('02_Данные'!AQ241,CF241)</f>
        <v/>
      </c>
      <c r="CH241" s="10">
        <f>CF241-CG241</f>
        <v/>
      </c>
      <c r="CI241" s="10">
        <f>MIN('02_Данные'!AN241,CH241)</f>
        <v/>
      </c>
      <c r="CJ241" s="10">
        <f>CH241-CI241</f>
        <v/>
      </c>
      <c r="CK241" s="10">
        <f>MIN('02_Данные'!AM241,CJ241)</f>
        <v/>
      </c>
      <c r="CL241" s="10">
        <f>CJ241-CK241</f>
        <v/>
      </c>
      <c r="CM241" s="10">
        <f>MIN('02_Данные'!AO241,CL241)</f>
        <v/>
      </c>
      <c r="CN241" s="10">
        <f>CL241-CM241</f>
        <v/>
      </c>
      <c r="CO241" s="10">
        <f>MIN('02_Данные'!AP241,CN241)</f>
        <v/>
      </c>
      <c r="CP241" s="10">
        <f>CN241-CO241</f>
        <v/>
      </c>
      <c r="CQ241" s="10">
        <f>CP241+'02_Данные'!K241</f>
        <v/>
      </c>
      <c r="CR241" s="10">
        <f>MIN('02_Данные'!AR241,CQ241)</f>
        <v/>
      </c>
      <c r="CS241" s="10">
        <f>CQ241-CR241</f>
        <v/>
      </c>
      <c r="CT241" s="10">
        <f>MIN('02_Данные'!AS241,CS241)</f>
        <v/>
      </c>
      <c r="CU241" s="10">
        <f>CS241-CT241</f>
        <v/>
      </c>
      <c r="CV241" s="10">
        <f>MIN('02_Данные'!AT241,CU241)</f>
        <v/>
      </c>
      <c r="CW241" s="10">
        <f>CU241-CV241</f>
        <v/>
      </c>
      <c r="CX241" s="10">
        <f>MIN('02_Данные'!AY241,CW241)</f>
        <v/>
      </c>
      <c r="CY241" s="10">
        <f>CW241-CX241</f>
        <v/>
      </c>
      <c r="CZ241" s="10">
        <f>MIN('02_Данные'!AV241,CY241)</f>
        <v/>
      </c>
      <c r="DA241" s="10">
        <f>CY241-CZ241</f>
        <v/>
      </c>
      <c r="DB241" s="10">
        <f>MIN('02_Данные'!AU241,DA241)</f>
        <v/>
      </c>
      <c r="DC241" s="10">
        <f>DA241-DB241</f>
        <v/>
      </c>
      <c r="DD241" s="10">
        <f>MIN('02_Данные'!AW241,DC241)</f>
        <v/>
      </c>
      <c r="DE241" s="10">
        <f>DC241-DD241</f>
        <v/>
      </c>
      <c r="DF241" s="10">
        <f>MIN('02_Данные'!AX241,DE241)</f>
        <v/>
      </c>
      <c r="DG241" s="10">
        <f>DE241-DF241</f>
        <v/>
      </c>
    </row>
    <row r="242">
      <c r="A242" s="9">
        <f>'02_Данные'!B242</f>
        <v/>
      </c>
      <c r="B242" s="9">
        <f>'02_Данные'!E242</f>
        <v/>
      </c>
      <c r="C242" s="10">
        <f>'02_Данные'!F242+'02_Данные'!G242+'02_Данные'!H242+'02_Данные'!I242+'02_Данные'!J242+'02_Данные'!K242</f>
        <v/>
      </c>
      <c r="D242" s="10">
        <f>SUM('02_Данные'!L242:'02_Данные'!AY242)</f>
        <v/>
      </c>
      <c r="E242" s="10">
        <f>MAX(0,D242-C242)</f>
        <v/>
      </c>
      <c r="F242" s="15">
        <f>IF(E242&gt;0.0001,"ДЕФИЦИТ",IF(Y242&gt;0.0001,"ПРОФИЦИТ","БАЛАНС"))</f>
        <v/>
      </c>
      <c r="G242" s="10">
        <f>AB242+AS242+BJ242+CA242+CR242</f>
        <v/>
      </c>
      <c r="H242" s="10">
        <f>AD242+AU242+BL242+CC242+CT242</f>
        <v/>
      </c>
      <c r="I242" s="10">
        <f>AF242+AW242+BN242+CE242+CV242</f>
        <v/>
      </c>
      <c r="J242" s="10">
        <f>AL242+BC242+BT242+CK242+DB242</f>
        <v/>
      </c>
      <c r="K242" s="10">
        <f>AJ242+BA242+BR242+CI242+CZ242</f>
        <v/>
      </c>
      <c r="L242" s="10">
        <f>AN242+BE242+BV242+CM242+DD242</f>
        <v/>
      </c>
      <c r="M242" s="10">
        <f>AP242+BG242+BX242+CO242+DF242</f>
        <v/>
      </c>
      <c r="N242" s="10">
        <f>AH242+AY242+BP242+CG242+CX242</f>
        <v/>
      </c>
      <c r="O242" s="10">
        <f>SUM(G242:N242)</f>
        <v/>
      </c>
      <c r="P242" s="10">
        <f>IFERROR(G242*MIN(1,'01_Нормативы'!$C$4/SUM(G$2:G$429)),0)</f>
        <v/>
      </c>
      <c r="Q242" s="10">
        <f>IFERROR(H242*MIN(1,'01_Нормативы'!$C$5/SUM(H$2:H$429)),0)</f>
        <v/>
      </c>
      <c r="R242" s="10">
        <f>IFERROR(I242*MIN(1,'01_Нормативы'!$C$6/SUM(I$2:I$429)),0)</f>
        <v/>
      </c>
      <c r="S242" s="10">
        <f>IFERROR(J242*MIN(1,'01_Нормативы'!$C$7/SUM(J$2:J$429)),0)</f>
        <v/>
      </c>
      <c r="T242" s="10">
        <f>IFERROR(K242*MIN(1,'01_Нормативы'!$C$8/SUM(K$2:K$429)),0)</f>
        <v/>
      </c>
      <c r="U242" s="10">
        <f>IFERROR(L242*MIN(1,'01_Нормативы'!$C$9/SUM(L$2:L$429)),0)</f>
        <v/>
      </c>
      <c r="V242" s="10">
        <f>IFERROR(M242*MIN(1,'01_Нормативы'!$C$10/SUM(M$2:M$429)),0)</f>
        <v/>
      </c>
      <c r="W242" s="10">
        <f>IFERROR(N242*MIN(1,'01_Нормативы'!$C$11/SUM(N$2:N$429)),0)</f>
        <v/>
      </c>
      <c r="X242" s="10">
        <f>SUM(P242:W242)</f>
        <v/>
      </c>
      <c r="Y242" s="10">
        <f>MAX(0,C242-X242)</f>
        <v/>
      </c>
      <c r="Z242" s="10">
        <f>IF(D242=0,100,X242/D242*100)</f>
        <v/>
      </c>
      <c r="AA242" s="10">
        <f>'02_Данные'!F242+'02_Данные'!G242</f>
        <v/>
      </c>
      <c r="AB242" s="10">
        <f>MIN('02_Данные'!L242,AA242)</f>
        <v/>
      </c>
      <c r="AC242" s="10">
        <f>AA242-AB242</f>
        <v/>
      </c>
      <c r="AD242" s="10">
        <f>MIN('02_Данные'!M242,AC242)</f>
        <v/>
      </c>
      <c r="AE242" s="10">
        <f>AC242-AD242</f>
        <v/>
      </c>
      <c r="AF242" s="10">
        <f>MIN('02_Данные'!N242,AE242)</f>
        <v/>
      </c>
      <c r="AG242" s="10">
        <f>AE242-AF242</f>
        <v/>
      </c>
      <c r="AH242" s="10">
        <f>MIN('02_Данные'!S242,AG242)</f>
        <v/>
      </c>
      <c r="AI242" s="10">
        <f>AG242-AH242</f>
        <v/>
      </c>
      <c r="AJ242" s="10">
        <f>MIN('02_Данные'!P242,AI242)</f>
        <v/>
      </c>
      <c r="AK242" s="10">
        <f>AI242-AJ242</f>
        <v/>
      </c>
      <c r="AL242" s="10">
        <f>MIN('02_Данные'!O242,AK242)</f>
        <v/>
      </c>
      <c r="AM242" s="10">
        <f>AK242-AL242</f>
        <v/>
      </c>
      <c r="AN242" s="10">
        <f>MIN('02_Данные'!Q242,AM242)</f>
        <v/>
      </c>
      <c r="AO242" s="10">
        <f>AM242-AN242</f>
        <v/>
      </c>
      <c r="AP242" s="10">
        <f>MIN('02_Данные'!R242,AO242)</f>
        <v/>
      </c>
      <c r="AQ242" s="10">
        <f>AO242-AP242</f>
        <v/>
      </c>
      <c r="AR242" s="10">
        <f>AQ242+'02_Данные'!H242</f>
        <v/>
      </c>
      <c r="AS242" s="10">
        <f>MIN('02_Данные'!T242,AR242)</f>
        <v/>
      </c>
      <c r="AT242" s="10">
        <f>AR242-AS242</f>
        <v/>
      </c>
      <c r="AU242" s="10">
        <f>MIN('02_Данные'!U242,AT242)</f>
        <v/>
      </c>
      <c r="AV242" s="10">
        <f>AT242-AU242</f>
        <v/>
      </c>
      <c r="AW242" s="10">
        <f>MIN('02_Данные'!V242,AV242)</f>
        <v/>
      </c>
      <c r="AX242" s="10">
        <f>AV242-AW242</f>
        <v/>
      </c>
      <c r="AY242" s="10">
        <f>MIN('02_Данные'!AA242,AX242)</f>
        <v/>
      </c>
      <c r="AZ242" s="10">
        <f>AX242-AY242</f>
        <v/>
      </c>
      <c r="BA242" s="10">
        <f>MIN('02_Данные'!X242,AZ242)</f>
        <v/>
      </c>
      <c r="BB242" s="10">
        <f>AZ242-BA242</f>
        <v/>
      </c>
      <c r="BC242" s="10">
        <f>MIN('02_Данные'!W242,BB242)</f>
        <v/>
      </c>
      <c r="BD242" s="10">
        <f>BB242-BC242</f>
        <v/>
      </c>
      <c r="BE242" s="10">
        <f>MIN('02_Данные'!Y242,BD242)</f>
        <v/>
      </c>
      <c r="BF242" s="10">
        <f>BD242-BE242</f>
        <v/>
      </c>
      <c r="BG242" s="10">
        <f>MIN('02_Данные'!Z242,BF242)</f>
        <v/>
      </c>
      <c r="BH242" s="10">
        <f>BF242-BG242</f>
        <v/>
      </c>
      <c r="BI242" s="10">
        <f>BH242+'02_Данные'!I242</f>
        <v/>
      </c>
      <c r="BJ242" s="10">
        <f>MIN('02_Данные'!AB242,BI242)</f>
        <v/>
      </c>
      <c r="BK242" s="10">
        <f>BI242-BJ242</f>
        <v/>
      </c>
      <c r="BL242" s="10">
        <f>MIN('02_Данные'!AC242,BK242)</f>
        <v/>
      </c>
      <c r="BM242" s="10">
        <f>BK242-BL242</f>
        <v/>
      </c>
      <c r="BN242" s="10">
        <f>MIN('02_Данные'!AD242,BM242)</f>
        <v/>
      </c>
      <c r="BO242" s="10">
        <f>BM242-BN242</f>
        <v/>
      </c>
      <c r="BP242" s="10">
        <f>MIN('02_Данные'!AI242,BO242)</f>
        <v/>
      </c>
      <c r="BQ242" s="10">
        <f>BO242-BP242</f>
        <v/>
      </c>
      <c r="BR242" s="10">
        <f>MIN('02_Данные'!AF242,BQ242)</f>
        <v/>
      </c>
      <c r="BS242" s="10">
        <f>BQ242-BR242</f>
        <v/>
      </c>
      <c r="BT242" s="10">
        <f>MIN('02_Данные'!AE242,BS242)</f>
        <v/>
      </c>
      <c r="BU242" s="10">
        <f>BS242-BT242</f>
        <v/>
      </c>
      <c r="BV242" s="10">
        <f>MIN('02_Данные'!AG242,BU242)</f>
        <v/>
      </c>
      <c r="BW242" s="10">
        <f>BU242-BV242</f>
        <v/>
      </c>
      <c r="BX242" s="10">
        <f>MIN('02_Данные'!AH242,BW242)</f>
        <v/>
      </c>
      <c r="BY242" s="10">
        <f>BW242-BX242</f>
        <v/>
      </c>
      <c r="BZ242" s="10">
        <f>BY242+'02_Данные'!J242</f>
        <v/>
      </c>
      <c r="CA242" s="10">
        <f>MIN('02_Данные'!AJ242,BZ242)</f>
        <v/>
      </c>
      <c r="CB242" s="10">
        <f>BZ242-CA242</f>
        <v/>
      </c>
      <c r="CC242" s="10">
        <f>MIN('02_Данные'!AK242,CB242)</f>
        <v/>
      </c>
      <c r="CD242" s="10">
        <f>CB242-CC242</f>
        <v/>
      </c>
      <c r="CE242" s="10">
        <f>MIN('02_Данные'!AL242,CD242)</f>
        <v/>
      </c>
      <c r="CF242" s="10">
        <f>CD242-CE242</f>
        <v/>
      </c>
      <c r="CG242" s="10">
        <f>MIN('02_Данные'!AQ242,CF242)</f>
        <v/>
      </c>
      <c r="CH242" s="10">
        <f>CF242-CG242</f>
        <v/>
      </c>
      <c r="CI242" s="10">
        <f>MIN('02_Данные'!AN242,CH242)</f>
        <v/>
      </c>
      <c r="CJ242" s="10">
        <f>CH242-CI242</f>
        <v/>
      </c>
      <c r="CK242" s="10">
        <f>MIN('02_Данные'!AM242,CJ242)</f>
        <v/>
      </c>
      <c r="CL242" s="10">
        <f>CJ242-CK242</f>
        <v/>
      </c>
      <c r="CM242" s="10">
        <f>MIN('02_Данные'!AO242,CL242)</f>
        <v/>
      </c>
      <c r="CN242" s="10">
        <f>CL242-CM242</f>
        <v/>
      </c>
      <c r="CO242" s="10">
        <f>MIN('02_Данные'!AP242,CN242)</f>
        <v/>
      </c>
      <c r="CP242" s="10">
        <f>CN242-CO242</f>
        <v/>
      </c>
      <c r="CQ242" s="10">
        <f>CP242+'02_Данные'!K242</f>
        <v/>
      </c>
      <c r="CR242" s="10">
        <f>MIN('02_Данные'!AR242,CQ242)</f>
        <v/>
      </c>
      <c r="CS242" s="10">
        <f>CQ242-CR242</f>
        <v/>
      </c>
      <c r="CT242" s="10">
        <f>MIN('02_Данные'!AS242,CS242)</f>
        <v/>
      </c>
      <c r="CU242" s="10">
        <f>CS242-CT242</f>
        <v/>
      </c>
      <c r="CV242" s="10">
        <f>MIN('02_Данные'!AT242,CU242)</f>
        <v/>
      </c>
      <c r="CW242" s="10">
        <f>CU242-CV242</f>
        <v/>
      </c>
      <c r="CX242" s="10">
        <f>MIN('02_Данные'!AY242,CW242)</f>
        <v/>
      </c>
      <c r="CY242" s="10">
        <f>CW242-CX242</f>
        <v/>
      </c>
      <c r="CZ242" s="10">
        <f>MIN('02_Данные'!AV242,CY242)</f>
        <v/>
      </c>
      <c r="DA242" s="10">
        <f>CY242-CZ242</f>
        <v/>
      </c>
      <c r="DB242" s="10">
        <f>MIN('02_Данные'!AU242,DA242)</f>
        <v/>
      </c>
      <c r="DC242" s="10">
        <f>DA242-DB242</f>
        <v/>
      </c>
      <c r="DD242" s="10">
        <f>MIN('02_Данные'!AW242,DC242)</f>
        <v/>
      </c>
      <c r="DE242" s="10">
        <f>DC242-DD242</f>
        <v/>
      </c>
      <c r="DF242" s="10">
        <f>MIN('02_Данные'!AX242,DE242)</f>
        <v/>
      </c>
      <c r="DG242" s="10">
        <f>DE242-DF242</f>
        <v/>
      </c>
    </row>
    <row r="243">
      <c r="A243" s="9">
        <f>'02_Данные'!B243</f>
        <v/>
      </c>
      <c r="B243" s="9">
        <f>'02_Данные'!E243</f>
        <v/>
      </c>
      <c r="C243" s="10">
        <f>'02_Данные'!F243+'02_Данные'!G243+'02_Данные'!H243+'02_Данные'!I243+'02_Данные'!J243+'02_Данные'!K243</f>
        <v/>
      </c>
      <c r="D243" s="10">
        <f>SUM('02_Данные'!L243:'02_Данные'!AY243)</f>
        <v/>
      </c>
      <c r="E243" s="10">
        <f>MAX(0,D243-C243)</f>
        <v/>
      </c>
      <c r="F243" s="15">
        <f>IF(E243&gt;0.0001,"ДЕФИЦИТ",IF(Y243&gt;0.0001,"ПРОФИЦИТ","БАЛАНС"))</f>
        <v/>
      </c>
      <c r="G243" s="10">
        <f>AB243+AS243+BJ243+CA243+CR243</f>
        <v/>
      </c>
      <c r="H243" s="10">
        <f>AD243+AU243+BL243+CC243+CT243</f>
        <v/>
      </c>
      <c r="I243" s="10">
        <f>AF243+AW243+BN243+CE243+CV243</f>
        <v/>
      </c>
      <c r="J243" s="10">
        <f>AL243+BC243+BT243+CK243+DB243</f>
        <v/>
      </c>
      <c r="K243" s="10">
        <f>AJ243+BA243+BR243+CI243+CZ243</f>
        <v/>
      </c>
      <c r="L243" s="10">
        <f>AN243+BE243+BV243+CM243+DD243</f>
        <v/>
      </c>
      <c r="M243" s="10">
        <f>AP243+BG243+BX243+CO243+DF243</f>
        <v/>
      </c>
      <c r="N243" s="10">
        <f>AH243+AY243+BP243+CG243+CX243</f>
        <v/>
      </c>
      <c r="O243" s="10">
        <f>SUM(G243:N243)</f>
        <v/>
      </c>
      <c r="P243" s="10">
        <f>IFERROR(G243*MIN(1,'01_Нормативы'!$C$4/SUM(G$2:G$429)),0)</f>
        <v/>
      </c>
      <c r="Q243" s="10">
        <f>IFERROR(H243*MIN(1,'01_Нормативы'!$C$5/SUM(H$2:H$429)),0)</f>
        <v/>
      </c>
      <c r="R243" s="10">
        <f>IFERROR(I243*MIN(1,'01_Нормативы'!$C$6/SUM(I$2:I$429)),0)</f>
        <v/>
      </c>
      <c r="S243" s="10">
        <f>IFERROR(J243*MIN(1,'01_Нормативы'!$C$7/SUM(J$2:J$429)),0)</f>
        <v/>
      </c>
      <c r="T243" s="10">
        <f>IFERROR(K243*MIN(1,'01_Нормативы'!$C$8/SUM(K$2:K$429)),0)</f>
        <v/>
      </c>
      <c r="U243" s="10">
        <f>IFERROR(L243*MIN(1,'01_Нормативы'!$C$9/SUM(L$2:L$429)),0)</f>
        <v/>
      </c>
      <c r="V243" s="10">
        <f>IFERROR(M243*MIN(1,'01_Нормативы'!$C$10/SUM(M$2:M$429)),0)</f>
        <v/>
      </c>
      <c r="W243" s="10">
        <f>IFERROR(N243*MIN(1,'01_Нормативы'!$C$11/SUM(N$2:N$429)),0)</f>
        <v/>
      </c>
      <c r="X243" s="10">
        <f>SUM(P243:W243)</f>
        <v/>
      </c>
      <c r="Y243" s="10">
        <f>MAX(0,C243-X243)</f>
        <v/>
      </c>
      <c r="Z243" s="10">
        <f>IF(D243=0,100,X243/D243*100)</f>
        <v/>
      </c>
      <c r="AA243" s="10">
        <f>'02_Данные'!F243+'02_Данные'!G243</f>
        <v/>
      </c>
      <c r="AB243" s="10">
        <f>MIN('02_Данные'!L243,AA243)</f>
        <v/>
      </c>
      <c r="AC243" s="10">
        <f>AA243-AB243</f>
        <v/>
      </c>
      <c r="AD243" s="10">
        <f>MIN('02_Данные'!M243,AC243)</f>
        <v/>
      </c>
      <c r="AE243" s="10">
        <f>AC243-AD243</f>
        <v/>
      </c>
      <c r="AF243" s="10">
        <f>MIN('02_Данные'!N243,AE243)</f>
        <v/>
      </c>
      <c r="AG243" s="10">
        <f>AE243-AF243</f>
        <v/>
      </c>
      <c r="AH243" s="10">
        <f>MIN('02_Данные'!S243,AG243)</f>
        <v/>
      </c>
      <c r="AI243" s="10">
        <f>AG243-AH243</f>
        <v/>
      </c>
      <c r="AJ243" s="10">
        <f>MIN('02_Данные'!P243,AI243)</f>
        <v/>
      </c>
      <c r="AK243" s="10">
        <f>AI243-AJ243</f>
        <v/>
      </c>
      <c r="AL243" s="10">
        <f>MIN('02_Данные'!O243,AK243)</f>
        <v/>
      </c>
      <c r="AM243" s="10">
        <f>AK243-AL243</f>
        <v/>
      </c>
      <c r="AN243" s="10">
        <f>MIN('02_Данные'!Q243,AM243)</f>
        <v/>
      </c>
      <c r="AO243" s="10">
        <f>AM243-AN243</f>
        <v/>
      </c>
      <c r="AP243" s="10">
        <f>MIN('02_Данные'!R243,AO243)</f>
        <v/>
      </c>
      <c r="AQ243" s="10">
        <f>AO243-AP243</f>
        <v/>
      </c>
      <c r="AR243" s="10">
        <f>AQ243+'02_Данные'!H243</f>
        <v/>
      </c>
      <c r="AS243" s="10">
        <f>MIN('02_Данные'!T243,AR243)</f>
        <v/>
      </c>
      <c r="AT243" s="10">
        <f>AR243-AS243</f>
        <v/>
      </c>
      <c r="AU243" s="10">
        <f>MIN('02_Данные'!U243,AT243)</f>
        <v/>
      </c>
      <c r="AV243" s="10">
        <f>AT243-AU243</f>
        <v/>
      </c>
      <c r="AW243" s="10">
        <f>MIN('02_Данные'!V243,AV243)</f>
        <v/>
      </c>
      <c r="AX243" s="10">
        <f>AV243-AW243</f>
        <v/>
      </c>
      <c r="AY243" s="10">
        <f>MIN('02_Данные'!AA243,AX243)</f>
        <v/>
      </c>
      <c r="AZ243" s="10">
        <f>AX243-AY243</f>
        <v/>
      </c>
      <c r="BA243" s="10">
        <f>MIN('02_Данные'!X243,AZ243)</f>
        <v/>
      </c>
      <c r="BB243" s="10">
        <f>AZ243-BA243</f>
        <v/>
      </c>
      <c r="BC243" s="10">
        <f>MIN('02_Данные'!W243,BB243)</f>
        <v/>
      </c>
      <c r="BD243" s="10">
        <f>BB243-BC243</f>
        <v/>
      </c>
      <c r="BE243" s="10">
        <f>MIN('02_Данные'!Y243,BD243)</f>
        <v/>
      </c>
      <c r="BF243" s="10">
        <f>BD243-BE243</f>
        <v/>
      </c>
      <c r="BG243" s="10">
        <f>MIN('02_Данные'!Z243,BF243)</f>
        <v/>
      </c>
      <c r="BH243" s="10">
        <f>BF243-BG243</f>
        <v/>
      </c>
      <c r="BI243" s="10">
        <f>BH243+'02_Данные'!I243</f>
        <v/>
      </c>
      <c r="BJ243" s="10">
        <f>MIN('02_Данные'!AB243,BI243)</f>
        <v/>
      </c>
      <c r="BK243" s="10">
        <f>BI243-BJ243</f>
        <v/>
      </c>
      <c r="BL243" s="10">
        <f>MIN('02_Данные'!AC243,BK243)</f>
        <v/>
      </c>
      <c r="BM243" s="10">
        <f>BK243-BL243</f>
        <v/>
      </c>
      <c r="BN243" s="10">
        <f>MIN('02_Данные'!AD243,BM243)</f>
        <v/>
      </c>
      <c r="BO243" s="10">
        <f>BM243-BN243</f>
        <v/>
      </c>
      <c r="BP243" s="10">
        <f>MIN('02_Данные'!AI243,BO243)</f>
        <v/>
      </c>
      <c r="BQ243" s="10">
        <f>BO243-BP243</f>
        <v/>
      </c>
      <c r="BR243" s="10">
        <f>MIN('02_Данные'!AF243,BQ243)</f>
        <v/>
      </c>
      <c r="BS243" s="10">
        <f>BQ243-BR243</f>
        <v/>
      </c>
      <c r="BT243" s="10">
        <f>MIN('02_Данные'!AE243,BS243)</f>
        <v/>
      </c>
      <c r="BU243" s="10">
        <f>BS243-BT243</f>
        <v/>
      </c>
      <c r="BV243" s="10">
        <f>MIN('02_Данные'!AG243,BU243)</f>
        <v/>
      </c>
      <c r="BW243" s="10">
        <f>BU243-BV243</f>
        <v/>
      </c>
      <c r="BX243" s="10">
        <f>MIN('02_Данные'!AH243,BW243)</f>
        <v/>
      </c>
      <c r="BY243" s="10">
        <f>BW243-BX243</f>
        <v/>
      </c>
      <c r="BZ243" s="10">
        <f>BY243+'02_Данные'!J243</f>
        <v/>
      </c>
      <c r="CA243" s="10">
        <f>MIN('02_Данные'!AJ243,BZ243)</f>
        <v/>
      </c>
      <c r="CB243" s="10">
        <f>BZ243-CA243</f>
        <v/>
      </c>
      <c r="CC243" s="10">
        <f>MIN('02_Данные'!AK243,CB243)</f>
        <v/>
      </c>
      <c r="CD243" s="10">
        <f>CB243-CC243</f>
        <v/>
      </c>
      <c r="CE243" s="10">
        <f>MIN('02_Данные'!AL243,CD243)</f>
        <v/>
      </c>
      <c r="CF243" s="10">
        <f>CD243-CE243</f>
        <v/>
      </c>
      <c r="CG243" s="10">
        <f>MIN('02_Данные'!AQ243,CF243)</f>
        <v/>
      </c>
      <c r="CH243" s="10">
        <f>CF243-CG243</f>
        <v/>
      </c>
      <c r="CI243" s="10">
        <f>MIN('02_Данные'!AN243,CH243)</f>
        <v/>
      </c>
      <c r="CJ243" s="10">
        <f>CH243-CI243</f>
        <v/>
      </c>
      <c r="CK243" s="10">
        <f>MIN('02_Данные'!AM243,CJ243)</f>
        <v/>
      </c>
      <c r="CL243" s="10">
        <f>CJ243-CK243</f>
        <v/>
      </c>
      <c r="CM243" s="10">
        <f>MIN('02_Данные'!AO243,CL243)</f>
        <v/>
      </c>
      <c r="CN243" s="10">
        <f>CL243-CM243</f>
        <v/>
      </c>
      <c r="CO243" s="10">
        <f>MIN('02_Данные'!AP243,CN243)</f>
        <v/>
      </c>
      <c r="CP243" s="10">
        <f>CN243-CO243</f>
        <v/>
      </c>
      <c r="CQ243" s="10">
        <f>CP243+'02_Данные'!K243</f>
        <v/>
      </c>
      <c r="CR243" s="10">
        <f>MIN('02_Данные'!AR243,CQ243)</f>
        <v/>
      </c>
      <c r="CS243" s="10">
        <f>CQ243-CR243</f>
        <v/>
      </c>
      <c r="CT243" s="10">
        <f>MIN('02_Данные'!AS243,CS243)</f>
        <v/>
      </c>
      <c r="CU243" s="10">
        <f>CS243-CT243</f>
        <v/>
      </c>
      <c r="CV243" s="10">
        <f>MIN('02_Данные'!AT243,CU243)</f>
        <v/>
      </c>
      <c r="CW243" s="10">
        <f>CU243-CV243</f>
        <v/>
      </c>
      <c r="CX243" s="10">
        <f>MIN('02_Данные'!AY243,CW243)</f>
        <v/>
      </c>
      <c r="CY243" s="10">
        <f>CW243-CX243</f>
        <v/>
      </c>
      <c r="CZ243" s="10">
        <f>MIN('02_Данные'!AV243,CY243)</f>
        <v/>
      </c>
      <c r="DA243" s="10">
        <f>CY243-CZ243</f>
        <v/>
      </c>
      <c r="DB243" s="10">
        <f>MIN('02_Данные'!AU243,DA243)</f>
        <v/>
      </c>
      <c r="DC243" s="10">
        <f>DA243-DB243</f>
        <v/>
      </c>
      <c r="DD243" s="10">
        <f>MIN('02_Данные'!AW243,DC243)</f>
        <v/>
      </c>
      <c r="DE243" s="10">
        <f>DC243-DD243</f>
        <v/>
      </c>
      <c r="DF243" s="10">
        <f>MIN('02_Данные'!AX243,DE243)</f>
        <v/>
      </c>
      <c r="DG243" s="10">
        <f>DE243-DF243</f>
        <v/>
      </c>
    </row>
    <row r="244">
      <c r="A244" s="9">
        <f>'02_Данные'!B244</f>
        <v/>
      </c>
      <c r="B244" s="9">
        <f>'02_Данные'!E244</f>
        <v/>
      </c>
      <c r="C244" s="10">
        <f>'02_Данные'!F244+'02_Данные'!G244+'02_Данные'!H244+'02_Данные'!I244+'02_Данные'!J244+'02_Данные'!K244</f>
        <v/>
      </c>
      <c r="D244" s="10">
        <f>SUM('02_Данные'!L244:'02_Данные'!AY244)</f>
        <v/>
      </c>
      <c r="E244" s="10">
        <f>MAX(0,D244-C244)</f>
        <v/>
      </c>
      <c r="F244" s="15">
        <f>IF(E244&gt;0.0001,"ДЕФИЦИТ",IF(Y244&gt;0.0001,"ПРОФИЦИТ","БАЛАНС"))</f>
        <v/>
      </c>
      <c r="G244" s="10">
        <f>AB244+AS244+BJ244+CA244+CR244</f>
        <v/>
      </c>
      <c r="H244" s="10">
        <f>AD244+AU244+BL244+CC244+CT244</f>
        <v/>
      </c>
      <c r="I244" s="10">
        <f>AF244+AW244+BN244+CE244+CV244</f>
        <v/>
      </c>
      <c r="J244" s="10">
        <f>AL244+BC244+BT244+CK244+DB244</f>
        <v/>
      </c>
      <c r="K244" s="10">
        <f>AJ244+BA244+BR244+CI244+CZ244</f>
        <v/>
      </c>
      <c r="L244" s="10">
        <f>AN244+BE244+BV244+CM244+DD244</f>
        <v/>
      </c>
      <c r="M244" s="10">
        <f>AP244+BG244+BX244+CO244+DF244</f>
        <v/>
      </c>
      <c r="N244" s="10">
        <f>AH244+AY244+BP244+CG244+CX244</f>
        <v/>
      </c>
      <c r="O244" s="10">
        <f>SUM(G244:N244)</f>
        <v/>
      </c>
      <c r="P244" s="10">
        <f>IFERROR(G244*MIN(1,'01_Нормативы'!$C$4/SUM(G$2:G$429)),0)</f>
        <v/>
      </c>
      <c r="Q244" s="10">
        <f>IFERROR(H244*MIN(1,'01_Нормативы'!$C$5/SUM(H$2:H$429)),0)</f>
        <v/>
      </c>
      <c r="R244" s="10">
        <f>IFERROR(I244*MIN(1,'01_Нормативы'!$C$6/SUM(I$2:I$429)),0)</f>
        <v/>
      </c>
      <c r="S244" s="10">
        <f>IFERROR(J244*MIN(1,'01_Нормативы'!$C$7/SUM(J$2:J$429)),0)</f>
        <v/>
      </c>
      <c r="T244" s="10">
        <f>IFERROR(K244*MIN(1,'01_Нормативы'!$C$8/SUM(K$2:K$429)),0)</f>
        <v/>
      </c>
      <c r="U244" s="10">
        <f>IFERROR(L244*MIN(1,'01_Нормативы'!$C$9/SUM(L$2:L$429)),0)</f>
        <v/>
      </c>
      <c r="V244" s="10">
        <f>IFERROR(M244*MIN(1,'01_Нормативы'!$C$10/SUM(M$2:M$429)),0)</f>
        <v/>
      </c>
      <c r="W244" s="10">
        <f>IFERROR(N244*MIN(1,'01_Нормативы'!$C$11/SUM(N$2:N$429)),0)</f>
        <v/>
      </c>
      <c r="X244" s="10">
        <f>SUM(P244:W244)</f>
        <v/>
      </c>
      <c r="Y244" s="10">
        <f>MAX(0,C244-X244)</f>
        <v/>
      </c>
      <c r="Z244" s="10">
        <f>IF(D244=0,100,X244/D244*100)</f>
        <v/>
      </c>
      <c r="AA244" s="10">
        <f>'02_Данные'!F244+'02_Данные'!G244</f>
        <v/>
      </c>
      <c r="AB244" s="10">
        <f>MIN('02_Данные'!L244,AA244)</f>
        <v/>
      </c>
      <c r="AC244" s="10">
        <f>AA244-AB244</f>
        <v/>
      </c>
      <c r="AD244" s="10">
        <f>MIN('02_Данные'!M244,AC244)</f>
        <v/>
      </c>
      <c r="AE244" s="10">
        <f>AC244-AD244</f>
        <v/>
      </c>
      <c r="AF244" s="10">
        <f>MIN('02_Данные'!N244,AE244)</f>
        <v/>
      </c>
      <c r="AG244" s="10">
        <f>AE244-AF244</f>
        <v/>
      </c>
      <c r="AH244" s="10">
        <f>MIN('02_Данные'!S244,AG244)</f>
        <v/>
      </c>
      <c r="AI244" s="10">
        <f>AG244-AH244</f>
        <v/>
      </c>
      <c r="AJ244" s="10">
        <f>MIN('02_Данные'!P244,AI244)</f>
        <v/>
      </c>
      <c r="AK244" s="10">
        <f>AI244-AJ244</f>
        <v/>
      </c>
      <c r="AL244" s="10">
        <f>MIN('02_Данные'!O244,AK244)</f>
        <v/>
      </c>
      <c r="AM244" s="10">
        <f>AK244-AL244</f>
        <v/>
      </c>
      <c r="AN244" s="10">
        <f>MIN('02_Данные'!Q244,AM244)</f>
        <v/>
      </c>
      <c r="AO244" s="10">
        <f>AM244-AN244</f>
        <v/>
      </c>
      <c r="AP244" s="10">
        <f>MIN('02_Данные'!R244,AO244)</f>
        <v/>
      </c>
      <c r="AQ244" s="10">
        <f>AO244-AP244</f>
        <v/>
      </c>
      <c r="AR244" s="10">
        <f>AQ244+'02_Данные'!H244</f>
        <v/>
      </c>
      <c r="AS244" s="10">
        <f>MIN('02_Данные'!T244,AR244)</f>
        <v/>
      </c>
      <c r="AT244" s="10">
        <f>AR244-AS244</f>
        <v/>
      </c>
      <c r="AU244" s="10">
        <f>MIN('02_Данные'!U244,AT244)</f>
        <v/>
      </c>
      <c r="AV244" s="10">
        <f>AT244-AU244</f>
        <v/>
      </c>
      <c r="AW244" s="10">
        <f>MIN('02_Данные'!V244,AV244)</f>
        <v/>
      </c>
      <c r="AX244" s="10">
        <f>AV244-AW244</f>
        <v/>
      </c>
      <c r="AY244" s="10">
        <f>MIN('02_Данные'!AA244,AX244)</f>
        <v/>
      </c>
      <c r="AZ244" s="10">
        <f>AX244-AY244</f>
        <v/>
      </c>
      <c r="BA244" s="10">
        <f>MIN('02_Данные'!X244,AZ244)</f>
        <v/>
      </c>
      <c r="BB244" s="10">
        <f>AZ244-BA244</f>
        <v/>
      </c>
      <c r="BC244" s="10">
        <f>MIN('02_Данные'!W244,BB244)</f>
        <v/>
      </c>
      <c r="BD244" s="10">
        <f>BB244-BC244</f>
        <v/>
      </c>
      <c r="BE244" s="10">
        <f>MIN('02_Данные'!Y244,BD244)</f>
        <v/>
      </c>
      <c r="BF244" s="10">
        <f>BD244-BE244</f>
        <v/>
      </c>
      <c r="BG244" s="10">
        <f>MIN('02_Данные'!Z244,BF244)</f>
        <v/>
      </c>
      <c r="BH244" s="10">
        <f>BF244-BG244</f>
        <v/>
      </c>
      <c r="BI244" s="10">
        <f>BH244+'02_Данные'!I244</f>
        <v/>
      </c>
      <c r="BJ244" s="10">
        <f>MIN('02_Данные'!AB244,BI244)</f>
        <v/>
      </c>
      <c r="BK244" s="10">
        <f>BI244-BJ244</f>
        <v/>
      </c>
      <c r="BL244" s="10">
        <f>MIN('02_Данные'!AC244,BK244)</f>
        <v/>
      </c>
      <c r="BM244" s="10">
        <f>BK244-BL244</f>
        <v/>
      </c>
      <c r="BN244" s="10">
        <f>MIN('02_Данные'!AD244,BM244)</f>
        <v/>
      </c>
      <c r="BO244" s="10">
        <f>BM244-BN244</f>
        <v/>
      </c>
      <c r="BP244" s="10">
        <f>MIN('02_Данные'!AI244,BO244)</f>
        <v/>
      </c>
      <c r="BQ244" s="10">
        <f>BO244-BP244</f>
        <v/>
      </c>
      <c r="BR244" s="10">
        <f>MIN('02_Данные'!AF244,BQ244)</f>
        <v/>
      </c>
      <c r="BS244" s="10">
        <f>BQ244-BR244</f>
        <v/>
      </c>
      <c r="BT244" s="10">
        <f>MIN('02_Данные'!AE244,BS244)</f>
        <v/>
      </c>
      <c r="BU244" s="10">
        <f>BS244-BT244</f>
        <v/>
      </c>
      <c r="BV244" s="10">
        <f>MIN('02_Данные'!AG244,BU244)</f>
        <v/>
      </c>
      <c r="BW244" s="10">
        <f>BU244-BV244</f>
        <v/>
      </c>
      <c r="BX244" s="10">
        <f>MIN('02_Данные'!AH244,BW244)</f>
        <v/>
      </c>
      <c r="BY244" s="10">
        <f>BW244-BX244</f>
        <v/>
      </c>
      <c r="BZ244" s="10">
        <f>BY244+'02_Данные'!J244</f>
        <v/>
      </c>
      <c r="CA244" s="10">
        <f>MIN('02_Данные'!AJ244,BZ244)</f>
        <v/>
      </c>
      <c r="CB244" s="10">
        <f>BZ244-CA244</f>
        <v/>
      </c>
      <c r="CC244" s="10">
        <f>MIN('02_Данные'!AK244,CB244)</f>
        <v/>
      </c>
      <c r="CD244" s="10">
        <f>CB244-CC244</f>
        <v/>
      </c>
      <c r="CE244" s="10">
        <f>MIN('02_Данные'!AL244,CD244)</f>
        <v/>
      </c>
      <c r="CF244" s="10">
        <f>CD244-CE244</f>
        <v/>
      </c>
      <c r="CG244" s="10">
        <f>MIN('02_Данные'!AQ244,CF244)</f>
        <v/>
      </c>
      <c r="CH244" s="10">
        <f>CF244-CG244</f>
        <v/>
      </c>
      <c r="CI244" s="10">
        <f>MIN('02_Данные'!AN244,CH244)</f>
        <v/>
      </c>
      <c r="CJ244" s="10">
        <f>CH244-CI244</f>
        <v/>
      </c>
      <c r="CK244" s="10">
        <f>MIN('02_Данные'!AM244,CJ244)</f>
        <v/>
      </c>
      <c r="CL244" s="10">
        <f>CJ244-CK244</f>
        <v/>
      </c>
      <c r="CM244" s="10">
        <f>MIN('02_Данные'!AO244,CL244)</f>
        <v/>
      </c>
      <c r="CN244" s="10">
        <f>CL244-CM244</f>
        <v/>
      </c>
      <c r="CO244" s="10">
        <f>MIN('02_Данные'!AP244,CN244)</f>
        <v/>
      </c>
      <c r="CP244" s="10">
        <f>CN244-CO244</f>
        <v/>
      </c>
      <c r="CQ244" s="10">
        <f>CP244+'02_Данные'!K244</f>
        <v/>
      </c>
      <c r="CR244" s="10">
        <f>MIN('02_Данные'!AR244,CQ244)</f>
        <v/>
      </c>
      <c r="CS244" s="10">
        <f>CQ244-CR244</f>
        <v/>
      </c>
      <c r="CT244" s="10">
        <f>MIN('02_Данные'!AS244,CS244)</f>
        <v/>
      </c>
      <c r="CU244" s="10">
        <f>CS244-CT244</f>
        <v/>
      </c>
      <c r="CV244" s="10">
        <f>MIN('02_Данные'!AT244,CU244)</f>
        <v/>
      </c>
      <c r="CW244" s="10">
        <f>CU244-CV244</f>
        <v/>
      </c>
      <c r="CX244" s="10">
        <f>MIN('02_Данные'!AY244,CW244)</f>
        <v/>
      </c>
      <c r="CY244" s="10">
        <f>CW244-CX244</f>
        <v/>
      </c>
      <c r="CZ244" s="10">
        <f>MIN('02_Данные'!AV244,CY244)</f>
        <v/>
      </c>
      <c r="DA244" s="10">
        <f>CY244-CZ244</f>
        <v/>
      </c>
      <c r="DB244" s="10">
        <f>MIN('02_Данные'!AU244,DA244)</f>
        <v/>
      </c>
      <c r="DC244" s="10">
        <f>DA244-DB244</f>
        <v/>
      </c>
      <c r="DD244" s="10">
        <f>MIN('02_Данные'!AW244,DC244)</f>
        <v/>
      </c>
      <c r="DE244" s="10">
        <f>DC244-DD244</f>
        <v/>
      </c>
      <c r="DF244" s="10">
        <f>MIN('02_Данные'!AX244,DE244)</f>
        <v/>
      </c>
      <c r="DG244" s="10">
        <f>DE244-DF244</f>
        <v/>
      </c>
    </row>
    <row r="245">
      <c r="A245" s="9">
        <f>'02_Данные'!B245</f>
        <v/>
      </c>
      <c r="B245" s="9">
        <f>'02_Данные'!E245</f>
        <v/>
      </c>
      <c r="C245" s="10">
        <f>'02_Данные'!F245+'02_Данные'!G245+'02_Данные'!H245+'02_Данные'!I245+'02_Данные'!J245+'02_Данные'!K245</f>
        <v/>
      </c>
      <c r="D245" s="10">
        <f>SUM('02_Данные'!L245:'02_Данные'!AY245)</f>
        <v/>
      </c>
      <c r="E245" s="10">
        <f>MAX(0,D245-C245)</f>
        <v/>
      </c>
      <c r="F245" s="15">
        <f>IF(E245&gt;0.0001,"ДЕФИЦИТ",IF(Y245&gt;0.0001,"ПРОФИЦИТ","БАЛАНС"))</f>
        <v/>
      </c>
      <c r="G245" s="10">
        <f>AB245+AS245+BJ245+CA245+CR245</f>
        <v/>
      </c>
      <c r="H245" s="10">
        <f>AD245+AU245+BL245+CC245+CT245</f>
        <v/>
      </c>
      <c r="I245" s="10">
        <f>AF245+AW245+BN245+CE245+CV245</f>
        <v/>
      </c>
      <c r="J245" s="10">
        <f>AL245+BC245+BT245+CK245+DB245</f>
        <v/>
      </c>
      <c r="K245" s="10">
        <f>AJ245+BA245+BR245+CI245+CZ245</f>
        <v/>
      </c>
      <c r="L245" s="10">
        <f>AN245+BE245+BV245+CM245+DD245</f>
        <v/>
      </c>
      <c r="M245" s="10">
        <f>AP245+BG245+BX245+CO245+DF245</f>
        <v/>
      </c>
      <c r="N245" s="10">
        <f>AH245+AY245+BP245+CG245+CX245</f>
        <v/>
      </c>
      <c r="O245" s="10">
        <f>SUM(G245:N245)</f>
        <v/>
      </c>
      <c r="P245" s="10">
        <f>IFERROR(G245*MIN(1,'01_Нормативы'!$C$4/SUM(G$2:G$429)),0)</f>
        <v/>
      </c>
      <c r="Q245" s="10">
        <f>IFERROR(H245*MIN(1,'01_Нормативы'!$C$5/SUM(H$2:H$429)),0)</f>
        <v/>
      </c>
      <c r="R245" s="10">
        <f>IFERROR(I245*MIN(1,'01_Нормативы'!$C$6/SUM(I$2:I$429)),0)</f>
        <v/>
      </c>
      <c r="S245" s="10">
        <f>IFERROR(J245*MIN(1,'01_Нормативы'!$C$7/SUM(J$2:J$429)),0)</f>
        <v/>
      </c>
      <c r="T245" s="10">
        <f>IFERROR(K245*MIN(1,'01_Нормативы'!$C$8/SUM(K$2:K$429)),0)</f>
        <v/>
      </c>
      <c r="U245" s="10">
        <f>IFERROR(L245*MIN(1,'01_Нормативы'!$C$9/SUM(L$2:L$429)),0)</f>
        <v/>
      </c>
      <c r="V245" s="10">
        <f>IFERROR(M245*MIN(1,'01_Нормативы'!$C$10/SUM(M$2:M$429)),0)</f>
        <v/>
      </c>
      <c r="W245" s="10">
        <f>IFERROR(N245*MIN(1,'01_Нормативы'!$C$11/SUM(N$2:N$429)),0)</f>
        <v/>
      </c>
      <c r="X245" s="10">
        <f>SUM(P245:W245)</f>
        <v/>
      </c>
      <c r="Y245" s="10">
        <f>MAX(0,C245-X245)</f>
        <v/>
      </c>
      <c r="Z245" s="10">
        <f>IF(D245=0,100,X245/D245*100)</f>
        <v/>
      </c>
      <c r="AA245" s="10">
        <f>'02_Данные'!F245+'02_Данные'!G245</f>
        <v/>
      </c>
      <c r="AB245" s="10">
        <f>MIN('02_Данные'!L245,AA245)</f>
        <v/>
      </c>
      <c r="AC245" s="10">
        <f>AA245-AB245</f>
        <v/>
      </c>
      <c r="AD245" s="10">
        <f>MIN('02_Данные'!M245,AC245)</f>
        <v/>
      </c>
      <c r="AE245" s="10">
        <f>AC245-AD245</f>
        <v/>
      </c>
      <c r="AF245" s="10">
        <f>MIN('02_Данные'!N245,AE245)</f>
        <v/>
      </c>
      <c r="AG245" s="10">
        <f>AE245-AF245</f>
        <v/>
      </c>
      <c r="AH245" s="10">
        <f>MIN('02_Данные'!S245,AG245)</f>
        <v/>
      </c>
      <c r="AI245" s="10">
        <f>AG245-AH245</f>
        <v/>
      </c>
      <c r="AJ245" s="10">
        <f>MIN('02_Данные'!P245,AI245)</f>
        <v/>
      </c>
      <c r="AK245" s="10">
        <f>AI245-AJ245</f>
        <v/>
      </c>
      <c r="AL245" s="10">
        <f>MIN('02_Данные'!O245,AK245)</f>
        <v/>
      </c>
      <c r="AM245" s="10">
        <f>AK245-AL245</f>
        <v/>
      </c>
      <c r="AN245" s="10">
        <f>MIN('02_Данные'!Q245,AM245)</f>
        <v/>
      </c>
      <c r="AO245" s="10">
        <f>AM245-AN245</f>
        <v/>
      </c>
      <c r="AP245" s="10">
        <f>MIN('02_Данные'!R245,AO245)</f>
        <v/>
      </c>
      <c r="AQ245" s="10">
        <f>AO245-AP245</f>
        <v/>
      </c>
      <c r="AR245" s="10">
        <f>AQ245+'02_Данные'!H245</f>
        <v/>
      </c>
      <c r="AS245" s="10">
        <f>MIN('02_Данные'!T245,AR245)</f>
        <v/>
      </c>
      <c r="AT245" s="10">
        <f>AR245-AS245</f>
        <v/>
      </c>
      <c r="AU245" s="10">
        <f>MIN('02_Данные'!U245,AT245)</f>
        <v/>
      </c>
      <c r="AV245" s="10">
        <f>AT245-AU245</f>
        <v/>
      </c>
      <c r="AW245" s="10">
        <f>MIN('02_Данные'!V245,AV245)</f>
        <v/>
      </c>
      <c r="AX245" s="10">
        <f>AV245-AW245</f>
        <v/>
      </c>
      <c r="AY245" s="10">
        <f>MIN('02_Данные'!AA245,AX245)</f>
        <v/>
      </c>
      <c r="AZ245" s="10">
        <f>AX245-AY245</f>
        <v/>
      </c>
      <c r="BA245" s="10">
        <f>MIN('02_Данные'!X245,AZ245)</f>
        <v/>
      </c>
      <c r="BB245" s="10">
        <f>AZ245-BA245</f>
        <v/>
      </c>
      <c r="BC245" s="10">
        <f>MIN('02_Данные'!W245,BB245)</f>
        <v/>
      </c>
      <c r="BD245" s="10">
        <f>BB245-BC245</f>
        <v/>
      </c>
      <c r="BE245" s="10">
        <f>MIN('02_Данные'!Y245,BD245)</f>
        <v/>
      </c>
      <c r="BF245" s="10">
        <f>BD245-BE245</f>
        <v/>
      </c>
      <c r="BG245" s="10">
        <f>MIN('02_Данные'!Z245,BF245)</f>
        <v/>
      </c>
      <c r="BH245" s="10">
        <f>BF245-BG245</f>
        <v/>
      </c>
      <c r="BI245" s="10">
        <f>BH245+'02_Данные'!I245</f>
        <v/>
      </c>
      <c r="BJ245" s="10">
        <f>MIN('02_Данные'!AB245,BI245)</f>
        <v/>
      </c>
      <c r="BK245" s="10">
        <f>BI245-BJ245</f>
        <v/>
      </c>
      <c r="BL245" s="10">
        <f>MIN('02_Данные'!AC245,BK245)</f>
        <v/>
      </c>
      <c r="BM245" s="10">
        <f>BK245-BL245</f>
        <v/>
      </c>
      <c r="BN245" s="10">
        <f>MIN('02_Данные'!AD245,BM245)</f>
        <v/>
      </c>
      <c r="BO245" s="10">
        <f>BM245-BN245</f>
        <v/>
      </c>
      <c r="BP245" s="10">
        <f>MIN('02_Данные'!AI245,BO245)</f>
        <v/>
      </c>
      <c r="BQ245" s="10">
        <f>BO245-BP245</f>
        <v/>
      </c>
      <c r="BR245" s="10">
        <f>MIN('02_Данные'!AF245,BQ245)</f>
        <v/>
      </c>
      <c r="BS245" s="10">
        <f>BQ245-BR245</f>
        <v/>
      </c>
      <c r="BT245" s="10">
        <f>MIN('02_Данные'!AE245,BS245)</f>
        <v/>
      </c>
      <c r="BU245" s="10">
        <f>BS245-BT245</f>
        <v/>
      </c>
      <c r="BV245" s="10">
        <f>MIN('02_Данные'!AG245,BU245)</f>
        <v/>
      </c>
      <c r="BW245" s="10">
        <f>BU245-BV245</f>
        <v/>
      </c>
      <c r="BX245" s="10">
        <f>MIN('02_Данные'!AH245,BW245)</f>
        <v/>
      </c>
      <c r="BY245" s="10">
        <f>BW245-BX245</f>
        <v/>
      </c>
      <c r="BZ245" s="10">
        <f>BY245+'02_Данные'!J245</f>
        <v/>
      </c>
      <c r="CA245" s="10">
        <f>MIN('02_Данные'!AJ245,BZ245)</f>
        <v/>
      </c>
      <c r="CB245" s="10">
        <f>BZ245-CA245</f>
        <v/>
      </c>
      <c r="CC245" s="10">
        <f>MIN('02_Данные'!AK245,CB245)</f>
        <v/>
      </c>
      <c r="CD245" s="10">
        <f>CB245-CC245</f>
        <v/>
      </c>
      <c r="CE245" s="10">
        <f>MIN('02_Данные'!AL245,CD245)</f>
        <v/>
      </c>
      <c r="CF245" s="10">
        <f>CD245-CE245</f>
        <v/>
      </c>
      <c r="CG245" s="10">
        <f>MIN('02_Данные'!AQ245,CF245)</f>
        <v/>
      </c>
      <c r="CH245" s="10">
        <f>CF245-CG245</f>
        <v/>
      </c>
      <c r="CI245" s="10">
        <f>MIN('02_Данные'!AN245,CH245)</f>
        <v/>
      </c>
      <c r="CJ245" s="10">
        <f>CH245-CI245</f>
        <v/>
      </c>
      <c r="CK245" s="10">
        <f>MIN('02_Данные'!AM245,CJ245)</f>
        <v/>
      </c>
      <c r="CL245" s="10">
        <f>CJ245-CK245</f>
        <v/>
      </c>
      <c r="CM245" s="10">
        <f>MIN('02_Данные'!AO245,CL245)</f>
        <v/>
      </c>
      <c r="CN245" s="10">
        <f>CL245-CM245</f>
        <v/>
      </c>
      <c r="CO245" s="10">
        <f>MIN('02_Данные'!AP245,CN245)</f>
        <v/>
      </c>
      <c r="CP245" s="10">
        <f>CN245-CO245</f>
        <v/>
      </c>
      <c r="CQ245" s="10">
        <f>CP245+'02_Данные'!K245</f>
        <v/>
      </c>
      <c r="CR245" s="10">
        <f>MIN('02_Данные'!AR245,CQ245)</f>
        <v/>
      </c>
      <c r="CS245" s="10">
        <f>CQ245-CR245</f>
        <v/>
      </c>
      <c r="CT245" s="10">
        <f>MIN('02_Данные'!AS245,CS245)</f>
        <v/>
      </c>
      <c r="CU245" s="10">
        <f>CS245-CT245</f>
        <v/>
      </c>
      <c r="CV245" s="10">
        <f>MIN('02_Данные'!AT245,CU245)</f>
        <v/>
      </c>
      <c r="CW245" s="10">
        <f>CU245-CV245</f>
        <v/>
      </c>
      <c r="CX245" s="10">
        <f>MIN('02_Данные'!AY245,CW245)</f>
        <v/>
      </c>
      <c r="CY245" s="10">
        <f>CW245-CX245</f>
        <v/>
      </c>
      <c r="CZ245" s="10">
        <f>MIN('02_Данные'!AV245,CY245)</f>
        <v/>
      </c>
      <c r="DA245" s="10">
        <f>CY245-CZ245</f>
        <v/>
      </c>
      <c r="DB245" s="10">
        <f>MIN('02_Данные'!AU245,DA245)</f>
        <v/>
      </c>
      <c r="DC245" s="10">
        <f>DA245-DB245</f>
        <v/>
      </c>
      <c r="DD245" s="10">
        <f>MIN('02_Данные'!AW245,DC245)</f>
        <v/>
      </c>
      <c r="DE245" s="10">
        <f>DC245-DD245</f>
        <v/>
      </c>
      <c r="DF245" s="10">
        <f>MIN('02_Данные'!AX245,DE245)</f>
        <v/>
      </c>
      <c r="DG245" s="10">
        <f>DE245-DF245</f>
        <v/>
      </c>
    </row>
    <row r="246">
      <c r="A246" s="9">
        <f>'02_Данные'!B246</f>
        <v/>
      </c>
      <c r="B246" s="9">
        <f>'02_Данные'!E246</f>
        <v/>
      </c>
      <c r="C246" s="10">
        <f>'02_Данные'!F246+'02_Данные'!G246+'02_Данные'!H246+'02_Данные'!I246+'02_Данные'!J246+'02_Данные'!K246</f>
        <v/>
      </c>
      <c r="D246" s="10">
        <f>SUM('02_Данные'!L246:'02_Данные'!AY246)</f>
        <v/>
      </c>
      <c r="E246" s="10">
        <f>MAX(0,D246-C246)</f>
        <v/>
      </c>
      <c r="F246" s="15">
        <f>IF(E246&gt;0.0001,"ДЕФИЦИТ",IF(Y246&gt;0.0001,"ПРОФИЦИТ","БАЛАНС"))</f>
        <v/>
      </c>
      <c r="G246" s="10">
        <f>AB246+AS246+BJ246+CA246+CR246</f>
        <v/>
      </c>
      <c r="H246" s="10">
        <f>AD246+AU246+BL246+CC246+CT246</f>
        <v/>
      </c>
      <c r="I246" s="10">
        <f>AF246+AW246+BN246+CE246+CV246</f>
        <v/>
      </c>
      <c r="J246" s="10">
        <f>AL246+BC246+BT246+CK246+DB246</f>
        <v/>
      </c>
      <c r="K246" s="10">
        <f>AJ246+BA246+BR246+CI246+CZ246</f>
        <v/>
      </c>
      <c r="L246" s="10">
        <f>AN246+BE246+BV246+CM246+DD246</f>
        <v/>
      </c>
      <c r="M246" s="10">
        <f>AP246+BG246+BX246+CO246+DF246</f>
        <v/>
      </c>
      <c r="N246" s="10">
        <f>AH246+AY246+BP246+CG246+CX246</f>
        <v/>
      </c>
      <c r="O246" s="10">
        <f>SUM(G246:N246)</f>
        <v/>
      </c>
      <c r="P246" s="10">
        <f>IFERROR(G246*MIN(1,'01_Нормативы'!$C$4/SUM(G$2:G$429)),0)</f>
        <v/>
      </c>
      <c r="Q246" s="10">
        <f>IFERROR(H246*MIN(1,'01_Нормативы'!$C$5/SUM(H$2:H$429)),0)</f>
        <v/>
      </c>
      <c r="R246" s="10">
        <f>IFERROR(I246*MIN(1,'01_Нормативы'!$C$6/SUM(I$2:I$429)),0)</f>
        <v/>
      </c>
      <c r="S246" s="10">
        <f>IFERROR(J246*MIN(1,'01_Нормативы'!$C$7/SUM(J$2:J$429)),0)</f>
        <v/>
      </c>
      <c r="T246" s="10">
        <f>IFERROR(K246*MIN(1,'01_Нормативы'!$C$8/SUM(K$2:K$429)),0)</f>
        <v/>
      </c>
      <c r="U246" s="10">
        <f>IFERROR(L246*MIN(1,'01_Нормативы'!$C$9/SUM(L$2:L$429)),0)</f>
        <v/>
      </c>
      <c r="V246" s="10">
        <f>IFERROR(M246*MIN(1,'01_Нормативы'!$C$10/SUM(M$2:M$429)),0)</f>
        <v/>
      </c>
      <c r="W246" s="10">
        <f>IFERROR(N246*MIN(1,'01_Нормативы'!$C$11/SUM(N$2:N$429)),0)</f>
        <v/>
      </c>
      <c r="X246" s="10">
        <f>SUM(P246:W246)</f>
        <v/>
      </c>
      <c r="Y246" s="10">
        <f>MAX(0,C246-X246)</f>
        <v/>
      </c>
      <c r="Z246" s="10">
        <f>IF(D246=0,100,X246/D246*100)</f>
        <v/>
      </c>
      <c r="AA246" s="10">
        <f>'02_Данные'!F246+'02_Данные'!G246</f>
        <v/>
      </c>
      <c r="AB246" s="10">
        <f>MIN('02_Данные'!L246,AA246)</f>
        <v/>
      </c>
      <c r="AC246" s="10">
        <f>AA246-AB246</f>
        <v/>
      </c>
      <c r="AD246" s="10">
        <f>MIN('02_Данные'!M246,AC246)</f>
        <v/>
      </c>
      <c r="AE246" s="10">
        <f>AC246-AD246</f>
        <v/>
      </c>
      <c r="AF246" s="10">
        <f>MIN('02_Данные'!N246,AE246)</f>
        <v/>
      </c>
      <c r="AG246" s="10">
        <f>AE246-AF246</f>
        <v/>
      </c>
      <c r="AH246" s="10">
        <f>MIN('02_Данные'!S246,AG246)</f>
        <v/>
      </c>
      <c r="AI246" s="10">
        <f>AG246-AH246</f>
        <v/>
      </c>
      <c r="AJ246" s="10">
        <f>MIN('02_Данные'!P246,AI246)</f>
        <v/>
      </c>
      <c r="AK246" s="10">
        <f>AI246-AJ246</f>
        <v/>
      </c>
      <c r="AL246" s="10">
        <f>MIN('02_Данные'!O246,AK246)</f>
        <v/>
      </c>
      <c r="AM246" s="10">
        <f>AK246-AL246</f>
        <v/>
      </c>
      <c r="AN246" s="10">
        <f>MIN('02_Данные'!Q246,AM246)</f>
        <v/>
      </c>
      <c r="AO246" s="10">
        <f>AM246-AN246</f>
        <v/>
      </c>
      <c r="AP246" s="10">
        <f>MIN('02_Данные'!R246,AO246)</f>
        <v/>
      </c>
      <c r="AQ246" s="10">
        <f>AO246-AP246</f>
        <v/>
      </c>
      <c r="AR246" s="10">
        <f>AQ246+'02_Данные'!H246</f>
        <v/>
      </c>
      <c r="AS246" s="10">
        <f>MIN('02_Данные'!T246,AR246)</f>
        <v/>
      </c>
      <c r="AT246" s="10">
        <f>AR246-AS246</f>
        <v/>
      </c>
      <c r="AU246" s="10">
        <f>MIN('02_Данные'!U246,AT246)</f>
        <v/>
      </c>
      <c r="AV246" s="10">
        <f>AT246-AU246</f>
        <v/>
      </c>
      <c r="AW246" s="10">
        <f>MIN('02_Данные'!V246,AV246)</f>
        <v/>
      </c>
      <c r="AX246" s="10">
        <f>AV246-AW246</f>
        <v/>
      </c>
      <c r="AY246" s="10">
        <f>MIN('02_Данные'!AA246,AX246)</f>
        <v/>
      </c>
      <c r="AZ246" s="10">
        <f>AX246-AY246</f>
        <v/>
      </c>
      <c r="BA246" s="10">
        <f>MIN('02_Данные'!X246,AZ246)</f>
        <v/>
      </c>
      <c r="BB246" s="10">
        <f>AZ246-BA246</f>
        <v/>
      </c>
      <c r="BC246" s="10">
        <f>MIN('02_Данные'!W246,BB246)</f>
        <v/>
      </c>
      <c r="BD246" s="10">
        <f>BB246-BC246</f>
        <v/>
      </c>
      <c r="BE246" s="10">
        <f>MIN('02_Данные'!Y246,BD246)</f>
        <v/>
      </c>
      <c r="BF246" s="10">
        <f>BD246-BE246</f>
        <v/>
      </c>
      <c r="BG246" s="10">
        <f>MIN('02_Данные'!Z246,BF246)</f>
        <v/>
      </c>
      <c r="BH246" s="10">
        <f>BF246-BG246</f>
        <v/>
      </c>
      <c r="BI246" s="10">
        <f>BH246+'02_Данные'!I246</f>
        <v/>
      </c>
      <c r="BJ246" s="10">
        <f>MIN('02_Данные'!AB246,BI246)</f>
        <v/>
      </c>
      <c r="BK246" s="10">
        <f>BI246-BJ246</f>
        <v/>
      </c>
      <c r="BL246" s="10">
        <f>MIN('02_Данные'!AC246,BK246)</f>
        <v/>
      </c>
      <c r="BM246" s="10">
        <f>BK246-BL246</f>
        <v/>
      </c>
      <c r="BN246" s="10">
        <f>MIN('02_Данные'!AD246,BM246)</f>
        <v/>
      </c>
      <c r="BO246" s="10">
        <f>BM246-BN246</f>
        <v/>
      </c>
      <c r="BP246" s="10">
        <f>MIN('02_Данные'!AI246,BO246)</f>
        <v/>
      </c>
      <c r="BQ246" s="10">
        <f>BO246-BP246</f>
        <v/>
      </c>
      <c r="BR246" s="10">
        <f>MIN('02_Данные'!AF246,BQ246)</f>
        <v/>
      </c>
      <c r="BS246" s="10">
        <f>BQ246-BR246</f>
        <v/>
      </c>
      <c r="BT246" s="10">
        <f>MIN('02_Данные'!AE246,BS246)</f>
        <v/>
      </c>
      <c r="BU246" s="10">
        <f>BS246-BT246</f>
        <v/>
      </c>
      <c r="BV246" s="10">
        <f>MIN('02_Данные'!AG246,BU246)</f>
        <v/>
      </c>
      <c r="BW246" s="10">
        <f>BU246-BV246</f>
        <v/>
      </c>
      <c r="BX246" s="10">
        <f>MIN('02_Данные'!AH246,BW246)</f>
        <v/>
      </c>
      <c r="BY246" s="10">
        <f>BW246-BX246</f>
        <v/>
      </c>
      <c r="BZ246" s="10">
        <f>BY246+'02_Данные'!J246</f>
        <v/>
      </c>
      <c r="CA246" s="10">
        <f>MIN('02_Данные'!AJ246,BZ246)</f>
        <v/>
      </c>
      <c r="CB246" s="10">
        <f>BZ246-CA246</f>
        <v/>
      </c>
      <c r="CC246" s="10">
        <f>MIN('02_Данные'!AK246,CB246)</f>
        <v/>
      </c>
      <c r="CD246" s="10">
        <f>CB246-CC246</f>
        <v/>
      </c>
      <c r="CE246" s="10">
        <f>MIN('02_Данные'!AL246,CD246)</f>
        <v/>
      </c>
      <c r="CF246" s="10">
        <f>CD246-CE246</f>
        <v/>
      </c>
      <c r="CG246" s="10">
        <f>MIN('02_Данные'!AQ246,CF246)</f>
        <v/>
      </c>
      <c r="CH246" s="10">
        <f>CF246-CG246</f>
        <v/>
      </c>
      <c r="CI246" s="10">
        <f>MIN('02_Данные'!AN246,CH246)</f>
        <v/>
      </c>
      <c r="CJ246" s="10">
        <f>CH246-CI246</f>
        <v/>
      </c>
      <c r="CK246" s="10">
        <f>MIN('02_Данные'!AM246,CJ246)</f>
        <v/>
      </c>
      <c r="CL246" s="10">
        <f>CJ246-CK246</f>
        <v/>
      </c>
      <c r="CM246" s="10">
        <f>MIN('02_Данные'!AO246,CL246)</f>
        <v/>
      </c>
      <c r="CN246" s="10">
        <f>CL246-CM246</f>
        <v/>
      </c>
      <c r="CO246" s="10">
        <f>MIN('02_Данные'!AP246,CN246)</f>
        <v/>
      </c>
      <c r="CP246" s="10">
        <f>CN246-CO246</f>
        <v/>
      </c>
      <c r="CQ246" s="10">
        <f>CP246+'02_Данные'!K246</f>
        <v/>
      </c>
      <c r="CR246" s="10">
        <f>MIN('02_Данные'!AR246,CQ246)</f>
        <v/>
      </c>
      <c r="CS246" s="10">
        <f>CQ246-CR246</f>
        <v/>
      </c>
      <c r="CT246" s="10">
        <f>MIN('02_Данные'!AS246,CS246)</f>
        <v/>
      </c>
      <c r="CU246" s="10">
        <f>CS246-CT246</f>
        <v/>
      </c>
      <c r="CV246" s="10">
        <f>MIN('02_Данные'!AT246,CU246)</f>
        <v/>
      </c>
      <c r="CW246" s="10">
        <f>CU246-CV246</f>
        <v/>
      </c>
      <c r="CX246" s="10">
        <f>MIN('02_Данные'!AY246,CW246)</f>
        <v/>
      </c>
      <c r="CY246" s="10">
        <f>CW246-CX246</f>
        <v/>
      </c>
      <c r="CZ246" s="10">
        <f>MIN('02_Данные'!AV246,CY246)</f>
        <v/>
      </c>
      <c r="DA246" s="10">
        <f>CY246-CZ246</f>
        <v/>
      </c>
      <c r="DB246" s="10">
        <f>MIN('02_Данные'!AU246,DA246)</f>
        <v/>
      </c>
      <c r="DC246" s="10">
        <f>DA246-DB246</f>
        <v/>
      </c>
      <c r="DD246" s="10">
        <f>MIN('02_Данные'!AW246,DC246)</f>
        <v/>
      </c>
      <c r="DE246" s="10">
        <f>DC246-DD246</f>
        <v/>
      </c>
      <c r="DF246" s="10">
        <f>MIN('02_Данные'!AX246,DE246)</f>
        <v/>
      </c>
      <c r="DG246" s="10">
        <f>DE246-DF246</f>
        <v/>
      </c>
    </row>
    <row r="247">
      <c r="A247" s="9">
        <f>'02_Данные'!B247</f>
        <v/>
      </c>
      <c r="B247" s="9">
        <f>'02_Данные'!E247</f>
        <v/>
      </c>
      <c r="C247" s="10">
        <f>'02_Данные'!F247+'02_Данные'!G247+'02_Данные'!H247+'02_Данные'!I247+'02_Данные'!J247+'02_Данные'!K247</f>
        <v/>
      </c>
      <c r="D247" s="10">
        <f>SUM('02_Данные'!L247:'02_Данные'!AY247)</f>
        <v/>
      </c>
      <c r="E247" s="10">
        <f>MAX(0,D247-C247)</f>
        <v/>
      </c>
      <c r="F247" s="15">
        <f>IF(E247&gt;0.0001,"ДЕФИЦИТ",IF(Y247&gt;0.0001,"ПРОФИЦИТ","БАЛАНС"))</f>
        <v/>
      </c>
      <c r="G247" s="10">
        <f>AB247+AS247+BJ247+CA247+CR247</f>
        <v/>
      </c>
      <c r="H247" s="10">
        <f>AD247+AU247+BL247+CC247+CT247</f>
        <v/>
      </c>
      <c r="I247" s="10">
        <f>AF247+AW247+BN247+CE247+CV247</f>
        <v/>
      </c>
      <c r="J247" s="10">
        <f>AL247+BC247+BT247+CK247+DB247</f>
        <v/>
      </c>
      <c r="K247" s="10">
        <f>AJ247+BA247+BR247+CI247+CZ247</f>
        <v/>
      </c>
      <c r="L247" s="10">
        <f>AN247+BE247+BV247+CM247+DD247</f>
        <v/>
      </c>
      <c r="M247" s="10">
        <f>AP247+BG247+BX247+CO247+DF247</f>
        <v/>
      </c>
      <c r="N247" s="10">
        <f>AH247+AY247+BP247+CG247+CX247</f>
        <v/>
      </c>
      <c r="O247" s="10">
        <f>SUM(G247:N247)</f>
        <v/>
      </c>
      <c r="P247" s="10">
        <f>IFERROR(G247*MIN(1,'01_Нормативы'!$C$4/SUM(G$2:G$429)),0)</f>
        <v/>
      </c>
      <c r="Q247" s="10">
        <f>IFERROR(H247*MIN(1,'01_Нормативы'!$C$5/SUM(H$2:H$429)),0)</f>
        <v/>
      </c>
      <c r="R247" s="10">
        <f>IFERROR(I247*MIN(1,'01_Нормативы'!$C$6/SUM(I$2:I$429)),0)</f>
        <v/>
      </c>
      <c r="S247" s="10">
        <f>IFERROR(J247*MIN(1,'01_Нормативы'!$C$7/SUM(J$2:J$429)),0)</f>
        <v/>
      </c>
      <c r="T247" s="10">
        <f>IFERROR(K247*MIN(1,'01_Нормативы'!$C$8/SUM(K$2:K$429)),0)</f>
        <v/>
      </c>
      <c r="U247" s="10">
        <f>IFERROR(L247*MIN(1,'01_Нормативы'!$C$9/SUM(L$2:L$429)),0)</f>
        <v/>
      </c>
      <c r="V247" s="10">
        <f>IFERROR(M247*MIN(1,'01_Нормативы'!$C$10/SUM(M$2:M$429)),0)</f>
        <v/>
      </c>
      <c r="W247" s="10">
        <f>IFERROR(N247*MIN(1,'01_Нормативы'!$C$11/SUM(N$2:N$429)),0)</f>
        <v/>
      </c>
      <c r="X247" s="10">
        <f>SUM(P247:W247)</f>
        <v/>
      </c>
      <c r="Y247" s="10">
        <f>MAX(0,C247-X247)</f>
        <v/>
      </c>
      <c r="Z247" s="10">
        <f>IF(D247=0,100,X247/D247*100)</f>
        <v/>
      </c>
      <c r="AA247" s="10">
        <f>'02_Данные'!F247+'02_Данные'!G247</f>
        <v/>
      </c>
      <c r="AB247" s="10">
        <f>MIN('02_Данные'!L247,AA247)</f>
        <v/>
      </c>
      <c r="AC247" s="10">
        <f>AA247-AB247</f>
        <v/>
      </c>
      <c r="AD247" s="10">
        <f>MIN('02_Данные'!M247,AC247)</f>
        <v/>
      </c>
      <c r="AE247" s="10">
        <f>AC247-AD247</f>
        <v/>
      </c>
      <c r="AF247" s="10">
        <f>MIN('02_Данные'!N247,AE247)</f>
        <v/>
      </c>
      <c r="AG247" s="10">
        <f>AE247-AF247</f>
        <v/>
      </c>
      <c r="AH247" s="10">
        <f>MIN('02_Данные'!S247,AG247)</f>
        <v/>
      </c>
      <c r="AI247" s="10">
        <f>AG247-AH247</f>
        <v/>
      </c>
      <c r="AJ247" s="10">
        <f>MIN('02_Данные'!P247,AI247)</f>
        <v/>
      </c>
      <c r="AK247" s="10">
        <f>AI247-AJ247</f>
        <v/>
      </c>
      <c r="AL247" s="10">
        <f>MIN('02_Данные'!O247,AK247)</f>
        <v/>
      </c>
      <c r="AM247" s="10">
        <f>AK247-AL247</f>
        <v/>
      </c>
      <c r="AN247" s="10">
        <f>MIN('02_Данные'!Q247,AM247)</f>
        <v/>
      </c>
      <c r="AO247" s="10">
        <f>AM247-AN247</f>
        <v/>
      </c>
      <c r="AP247" s="10">
        <f>MIN('02_Данные'!R247,AO247)</f>
        <v/>
      </c>
      <c r="AQ247" s="10">
        <f>AO247-AP247</f>
        <v/>
      </c>
      <c r="AR247" s="10">
        <f>AQ247+'02_Данные'!H247</f>
        <v/>
      </c>
      <c r="AS247" s="10">
        <f>MIN('02_Данные'!T247,AR247)</f>
        <v/>
      </c>
      <c r="AT247" s="10">
        <f>AR247-AS247</f>
        <v/>
      </c>
      <c r="AU247" s="10">
        <f>MIN('02_Данные'!U247,AT247)</f>
        <v/>
      </c>
      <c r="AV247" s="10">
        <f>AT247-AU247</f>
        <v/>
      </c>
      <c r="AW247" s="10">
        <f>MIN('02_Данные'!V247,AV247)</f>
        <v/>
      </c>
      <c r="AX247" s="10">
        <f>AV247-AW247</f>
        <v/>
      </c>
      <c r="AY247" s="10">
        <f>MIN('02_Данные'!AA247,AX247)</f>
        <v/>
      </c>
      <c r="AZ247" s="10">
        <f>AX247-AY247</f>
        <v/>
      </c>
      <c r="BA247" s="10">
        <f>MIN('02_Данные'!X247,AZ247)</f>
        <v/>
      </c>
      <c r="BB247" s="10">
        <f>AZ247-BA247</f>
        <v/>
      </c>
      <c r="BC247" s="10">
        <f>MIN('02_Данные'!W247,BB247)</f>
        <v/>
      </c>
      <c r="BD247" s="10">
        <f>BB247-BC247</f>
        <v/>
      </c>
      <c r="BE247" s="10">
        <f>MIN('02_Данные'!Y247,BD247)</f>
        <v/>
      </c>
      <c r="BF247" s="10">
        <f>BD247-BE247</f>
        <v/>
      </c>
      <c r="BG247" s="10">
        <f>MIN('02_Данные'!Z247,BF247)</f>
        <v/>
      </c>
      <c r="BH247" s="10">
        <f>BF247-BG247</f>
        <v/>
      </c>
      <c r="BI247" s="10">
        <f>BH247+'02_Данные'!I247</f>
        <v/>
      </c>
      <c r="BJ247" s="10">
        <f>MIN('02_Данные'!AB247,BI247)</f>
        <v/>
      </c>
      <c r="BK247" s="10">
        <f>BI247-BJ247</f>
        <v/>
      </c>
      <c r="BL247" s="10">
        <f>MIN('02_Данные'!AC247,BK247)</f>
        <v/>
      </c>
      <c r="BM247" s="10">
        <f>BK247-BL247</f>
        <v/>
      </c>
      <c r="BN247" s="10">
        <f>MIN('02_Данные'!AD247,BM247)</f>
        <v/>
      </c>
      <c r="BO247" s="10">
        <f>BM247-BN247</f>
        <v/>
      </c>
      <c r="BP247" s="10">
        <f>MIN('02_Данные'!AI247,BO247)</f>
        <v/>
      </c>
      <c r="BQ247" s="10">
        <f>BO247-BP247</f>
        <v/>
      </c>
      <c r="BR247" s="10">
        <f>MIN('02_Данные'!AF247,BQ247)</f>
        <v/>
      </c>
      <c r="BS247" s="10">
        <f>BQ247-BR247</f>
        <v/>
      </c>
      <c r="BT247" s="10">
        <f>MIN('02_Данные'!AE247,BS247)</f>
        <v/>
      </c>
      <c r="BU247" s="10">
        <f>BS247-BT247</f>
        <v/>
      </c>
      <c r="BV247" s="10">
        <f>MIN('02_Данные'!AG247,BU247)</f>
        <v/>
      </c>
      <c r="BW247" s="10">
        <f>BU247-BV247</f>
        <v/>
      </c>
      <c r="BX247" s="10">
        <f>MIN('02_Данные'!AH247,BW247)</f>
        <v/>
      </c>
      <c r="BY247" s="10">
        <f>BW247-BX247</f>
        <v/>
      </c>
      <c r="BZ247" s="10">
        <f>BY247+'02_Данные'!J247</f>
        <v/>
      </c>
      <c r="CA247" s="10">
        <f>MIN('02_Данные'!AJ247,BZ247)</f>
        <v/>
      </c>
      <c r="CB247" s="10">
        <f>BZ247-CA247</f>
        <v/>
      </c>
      <c r="CC247" s="10">
        <f>MIN('02_Данные'!AK247,CB247)</f>
        <v/>
      </c>
      <c r="CD247" s="10">
        <f>CB247-CC247</f>
        <v/>
      </c>
      <c r="CE247" s="10">
        <f>MIN('02_Данные'!AL247,CD247)</f>
        <v/>
      </c>
      <c r="CF247" s="10">
        <f>CD247-CE247</f>
        <v/>
      </c>
      <c r="CG247" s="10">
        <f>MIN('02_Данные'!AQ247,CF247)</f>
        <v/>
      </c>
      <c r="CH247" s="10">
        <f>CF247-CG247</f>
        <v/>
      </c>
      <c r="CI247" s="10">
        <f>MIN('02_Данные'!AN247,CH247)</f>
        <v/>
      </c>
      <c r="CJ247" s="10">
        <f>CH247-CI247</f>
        <v/>
      </c>
      <c r="CK247" s="10">
        <f>MIN('02_Данные'!AM247,CJ247)</f>
        <v/>
      </c>
      <c r="CL247" s="10">
        <f>CJ247-CK247</f>
        <v/>
      </c>
      <c r="CM247" s="10">
        <f>MIN('02_Данные'!AO247,CL247)</f>
        <v/>
      </c>
      <c r="CN247" s="10">
        <f>CL247-CM247</f>
        <v/>
      </c>
      <c r="CO247" s="10">
        <f>MIN('02_Данные'!AP247,CN247)</f>
        <v/>
      </c>
      <c r="CP247" s="10">
        <f>CN247-CO247</f>
        <v/>
      </c>
      <c r="CQ247" s="10">
        <f>CP247+'02_Данные'!K247</f>
        <v/>
      </c>
      <c r="CR247" s="10">
        <f>MIN('02_Данные'!AR247,CQ247)</f>
        <v/>
      </c>
      <c r="CS247" s="10">
        <f>CQ247-CR247</f>
        <v/>
      </c>
      <c r="CT247" s="10">
        <f>MIN('02_Данные'!AS247,CS247)</f>
        <v/>
      </c>
      <c r="CU247" s="10">
        <f>CS247-CT247</f>
        <v/>
      </c>
      <c r="CV247" s="10">
        <f>MIN('02_Данные'!AT247,CU247)</f>
        <v/>
      </c>
      <c r="CW247" s="10">
        <f>CU247-CV247</f>
        <v/>
      </c>
      <c r="CX247" s="10">
        <f>MIN('02_Данные'!AY247,CW247)</f>
        <v/>
      </c>
      <c r="CY247" s="10">
        <f>CW247-CX247</f>
        <v/>
      </c>
      <c r="CZ247" s="10">
        <f>MIN('02_Данные'!AV247,CY247)</f>
        <v/>
      </c>
      <c r="DA247" s="10">
        <f>CY247-CZ247</f>
        <v/>
      </c>
      <c r="DB247" s="10">
        <f>MIN('02_Данные'!AU247,DA247)</f>
        <v/>
      </c>
      <c r="DC247" s="10">
        <f>DA247-DB247</f>
        <v/>
      </c>
      <c r="DD247" s="10">
        <f>MIN('02_Данные'!AW247,DC247)</f>
        <v/>
      </c>
      <c r="DE247" s="10">
        <f>DC247-DD247</f>
        <v/>
      </c>
      <c r="DF247" s="10">
        <f>MIN('02_Данные'!AX247,DE247)</f>
        <v/>
      </c>
      <c r="DG247" s="10">
        <f>DE247-DF247</f>
        <v/>
      </c>
    </row>
    <row r="248">
      <c r="A248" s="9">
        <f>'02_Данные'!B248</f>
        <v/>
      </c>
      <c r="B248" s="9">
        <f>'02_Данные'!E248</f>
        <v/>
      </c>
      <c r="C248" s="10">
        <f>'02_Данные'!F248+'02_Данные'!G248+'02_Данные'!H248+'02_Данные'!I248+'02_Данные'!J248+'02_Данные'!K248</f>
        <v/>
      </c>
      <c r="D248" s="10">
        <f>SUM('02_Данные'!L248:'02_Данные'!AY248)</f>
        <v/>
      </c>
      <c r="E248" s="10">
        <f>MAX(0,D248-C248)</f>
        <v/>
      </c>
      <c r="F248" s="15">
        <f>IF(E248&gt;0.0001,"ДЕФИЦИТ",IF(Y248&gt;0.0001,"ПРОФИЦИТ","БАЛАНС"))</f>
        <v/>
      </c>
      <c r="G248" s="10">
        <f>AB248+AS248+BJ248+CA248+CR248</f>
        <v/>
      </c>
      <c r="H248" s="10">
        <f>AD248+AU248+BL248+CC248+CT248</f>
        <v/>
      </c>
      <c r="I248" s="10">
        <f>AF248+AW248+BN248+CE248+CV248</f>
        <v/>
      </c>
      <c r="J248" s="10">
        <f>AL248+BC248+BT248+CK248+DB248</f>
        <v/>
      </c>
      <c r="K248" s="10">
        <f>AJ248+BA248+BR248+CI248+CZ248</f>
        <v/>
      </c>
      <c r="L248" s="10">
        <f>AN248+BE248+BV248+CM248+DD248</f>
        <v/>
      </c>
      <c r="M248" s="10">
        <f>AP248+BG248+BX248+CO248+DF248</f>
        <v/>
      </c>
      <c r="N248" s="10">
        <f>AH248+AY248+BP248+CG248+CX248</f>
        <v/>
      </c>
      <c r="O248" s="10">
        <f>SUM(G248:N248)</f>
        <v/>
      </c>
      <c r="P248" s="10">
        <f>IFERROR(G248*MIN(1,'01_Нормативы'!$C$4/SUM(G$2:G$429)),0)</f>
        <v/>
      </c>
      <c r="Q248" s="10">
        <f>IFERROR(H248*MIN(1,'01_Нормативы'!$C$5/SUM(H$2:H$429)),0)</f>
        <v/>
      </c>
      <c r="R248" s="10">
        <f>IFERROR(I248*MIN(1,'01_Нормативы'!$C$6/SUM(I$2:I$429)),0)</f>
        <v/>
      </c>
      <c r="S248" s="10">
        <f>IFERROR(J248*MIN(1,'01_Нормативы'!$C$7/SUM(J$2:J$429)),0)</f>
        <v/>
      </c>
      <c r="T248" s="10">
        <f>IFERROR(K248*MIN(1,'01_Нормативы'!$C$8/SUM(K$2:K$429)),0)</f>
        <v/>
      </c>
      <c r="U248" s="10">
        <f>IFERROR(L248*MIN(1,'01_Нормативы'!$C$9/SUM(L$2:L$429)),0)</f>
        <v/>
      </c>
      <c r="V248" s="10">
        <f>IFERROR(M248*MIN(1,'01_Нормативы'!$C$10/SUM(M$2:M$429)),0)</f>
        <v/>
      </c>
      <c r="W248" s="10">
        <f>IFERROR(N248*MIN(1,'01_Нормативы'!$C$11/SUM(N$2:N$429)),0)</f>
        <v/>
      </c>
      <c r="X248" s="10">
        <f>SUM(P248:W248)</f>
        <v/>
      </c>
      <c r="Y248" s="10">
        <f>MAX(0,C248-X248)</f>
        <v/>
      </c>
      <c r="Z248" s="10">
        <f>IF(D248=0,100,X248/D248*100)</f>
        <v/>
      </c>
      <c r="AA248" s="10">
        <f>'02_Данные'!F248+'02_Данные'!G248</f>
        <v/>
      </c>
      <c r="AB248" s="10">
        <f>MIN('02_Данные'!L248,AA248)</f>
        <v/>
      </c>
      <c r="AC248" s="10">
        <f>AA248-AB248</f>
        <v/>
      </c>
      <c r="AD248" s="10">
        <f>MIN('02_Данные'!M248,AC248)</f>
        <v/>
      </c>
      <c r="AE248" s="10">
        <f>AC248-AD248</f>
        <v/>
      </c>
      <c r="AF248" s="10">
        <f>MIN('02_Данные'!N248,AE248)</f>
        <v/>
      </c>
      <c r="AG248" s="10">
        <f>AE248-AF248</f>
        <v/>
      </c>
      <c r="AH248" s="10">
        <f>MIN('02_Данные'!S248,AG248)</f>
        <v/>
      </c>
      <c r="AI248" s="10">
        <f>AG248-AH248</f>
        <v/>
      </c>
      <c r="AJ248" s="10">
        <f>MIN('02_Данные'!P248,AI248)</f>
        <v/>
      </c>
      <c r="AK248" s="10">
        <f>AI248-AJ248</f>
        <v/>
      </c>
      <c r="AL248" s="10">
        <f>MIN('02_Данные'!O248,AK248)</f>
        <v/>
      </c>
      <c r="AM248" s="10">
        <f>AK248-AL248</f>
        <v/>
      </c>
      <c r="AN248" s="10">
        <f>MIN('02_Данные'!Q248,AM248)</f>
        <v/>
      </c>
      <c r="AO248" s="10">
        <f>AM248-AN248</f>
        <v/>
      </c>
      <c r="AP248" s="10">
        <f>MIN('02_Данные'!R248,AO248)</f>
        <v/>
      </c>
      <c r="AQ248" s="10">
        <f>AO248-AP248</f>
        <v/>
      </c>
      <c r="AR248" s="10">
        <f>AQ248+'02_Данные'!H248</f>
        <v/>
      </c>
      <c r="AS248" s="10">
        <f>MIN('02_Данные'!T248,AR248)</f>
        <v/>
      </c>
      <c r="AT248" s="10">
        <f>AR248-AS248</f>
        <v/>
      </c>
      <c r="AU248" s="10">
        <f>MIN('02_Данные'!U248,AT248)</f>
        <v/>
      </c>
      <c r="AV248" s="10">
        <f>AT248-AU248</f>
        <v/>
      </c>
      <c r="AW248" s="10">
        <f>MIN('02_Данные'!V248,AV248)</f>
        <v/>
      </c>
      <c r="AX248" s="10">
        <f>AV248-AW248</f>
        <v/>
      </c>
      <c r="AY248" s="10">
        <f>MIN('02_Данные'!AA248,AX248)</f>
        <v/>
      </c>
      <c r="AZ248" s="10">
        <f>AX248-AY248</f>
        <v/>
      </c>
      <c r="BA248" s="10">
        <f>MIN('02_Данные'!X248,AZ248)</f>
        <v/>
      </c>
      <c r="BB248" s="10">
        <f>AZ248-BA248</f>
        <v/>
      </c>
      <c r="BC248" s="10">
        <f>MIN('02_Данные'!W248,BB248)</f>
        <v/>
      </c>
      <c r="BD248" s="10">
        <f>BB248-BC248</f>
        <v/>
      </c>
      <c r="BE248" s="10">
        <f>MIN('02_Данные'!Y248,BD248)</f>
        <v/>
      </c>
      <c r="BF248" s="10">
        <f>BD248-BE248</f>
        <v/>
      </c>
      <c r="BG248" s="10">
        <f>MIN('02_Данные'!Z248,BF248)</f>
        <v/>
      </c>
      <c r="BH248" s="10">
        <f>BF248-BG248</f>
        <v/>
      </c>
      <c r="BI248" s="10">
        <f>BH248+'02_Данные'!I248</f>
        <v/>
      </c>
      <c r="BJ248" s="10">
        <f>MIN('02_Данные'!AB248,BI248)</f>
        <v/>
      </c>
      <c r="BK248" s="10">
        <f>BI248-BJ248</f>
        <v/>
      </c>
      <c r="BL248" s="10">
        <f>MIN('02_Данные'!AC248,BK248)</f>
        <v/>
      </c>
      <c r="BM248" s="10">
        <f>BK248-BL248</f>
        <v/>
      </c>
      <c r="BN248" s="10">
        <f>MIN('02_Данные'!AD248,BM248)</f>
        <v/>
      </c>
      <c r="BO248" s="10">
        <f>BM248-BN248</f>
        <v/>
      </c>
      <c r="BP248" s="10">
        <f>MIN('02_Данные'!AI248,BO248)</f>
        <v/>
      </c>
      <c r="BQ248" s="10">
        <f>BO248-BP248</f>
        <v/>
      </c>
      <c r="BR248" s="10">
        <f>MIN('02_Данные'!AF248,BQ248)</f>
        <v/>
      </c>
      <c r="BS248" s="10">
        <f>BQ248-BR248</f>
        <v/>
      </c>
      <c r="BT248" s="10">
        <f>MIN('02_Данные'!AE248,BS248)</f>
        <v/>
      </c>
      <c r="BU248" s="10">
        <f>BS248-BT248</f>
        <v/>
      </c>
      <c r="BV248" s="10">
        <f>MIN('02_Данные'!AG248,BU248)</f>
        <v/>
      </c>
      <c r="BW248" s="10">
        <f>BU248-BV248</f>
        <v/>
      </c>
      <c r="BX248" s="10">
        <f>MIN('02_Данные'!AH248,BW248)</f>
        <v/>
      </c>
      <c r="BY248" s="10">
        <f>BW248-BX248</f>
        <v/>
      </c>
      <c r="BZ248" s="10">
        <f>BY248+'02_Данные'!J248</f>
        <v/>
      </c>
      <c r="CA248" s="10">
        <f>MIN('02_Данные'!AJ248,BZ248)</f>
        <v/>
      </c>
      <c r="CB248" s="10">
        <f>BZ248-CA248</f>
        <v/>
      </c>
      <c r="CC248" s="10">
        <f>MIN('02_Данные'!AK248,CB248)</f>
        <v/>
      </c>
      <c r="CD248" s="10">
        <f>CB248-CC248</f>
        <v/>
      </c>
      <c r="CE248" s="10">
        <f>MIN('02_Данные'!AL248,CD248)</f>
        <v/>
      </c>
      <c r="CF248" s="10">
        <f>CD248-CE248</f>
        <v/>
      </c>
      <c r="CG248" s="10">
        <f>MIN('02_Данные'!AQ248,CF248)</f>
        <v/>
      </c>
      <c r="CH248" s="10">
        <f>CF248-CG248</f>
        <v/>
      </c>
      <c r="CI248" s="10">
        <f>MIN('02_Данные'!AN248,CH248)</f>
        <v/>
      </c>
      <c r="CJ248" s="10">
        <f>CH248-CI248</f>
        <v/>
      </c>
      <c r="CK248" s="10">
        <f>MIN('02_Данные'!AM248,CJ248)</f>
        <v/>
      </c>
      <c r="CL248" s="10">
        <f>CJ248-CK248</f>
        <v/>
      </c>
      <c r="CM248" s="10">
        <f>MIN('02_Данные'!AO248,CL248)</f>
        <v/>
      </c>
      <c r="CN248" s="10">
        <f>CL248-CM248</f>
        <v/>
      </c>
      <c r="CO248" s="10">
        <f>MIN('02_Данные'!AP248,CN248)</f>
        <v/>
      </c>
      <c r="CP248" s="10">
        <f>CN248-CO248</f>
        <v/>
      </c>
      <c r="CQ248" s="10">
        <f>CP248+'02_Данные'!K248</f>
        <v/>
      </c>
      <c r="CR248" s="10">
        <f>MIN('02_Данные'!AR248,CQ248)</f>
        <v/>
      </c>
      <c r="CS248" s="10">
        <f>CQ248-CR248</f>
        <v/>
      </c>
      <c r="CT248" s="10">
        <f>MIN('02_Данные'!AS248,CS248)</f>
        <v/>
      </c>
      <c r="CU248" s="10">
        <f>CS248-CT248</f>
        <v/>
      </c>
      <c r="CV248" s="10">
        <f>MIN('02_Данные'!AT248,CU248)</f>
        <v/>
      </c>
      <c r="CW248" s="10">
        <f>CU248-CV248</f>
        <v/>
      </c>
      <c r="CX248" s="10">
        <f>MIN('02_Данные'!AY248,CW248)</f>
        <v/>
      </c>
      <c r="CY248" s="10">
        <f>CW248-CX248</f>
        <v/>
      </c>
      <c r="CZ248" s="10">
        <f>MIN('02_Данные'!AV248,CY248)</f>
        <v/>
      </c>
      <c r="DA248" s="10">
        <f>CY248-CZ248</f>
        <v/>
      </c>
      <c r="DB248" s="10">
        <f>MIN('02_Данные'!AU248,DA248)</f>
        <v/>
      </c>
      <c r="DC248" s="10">
        <f>DA248-DB248</f>
        <v/>
      </c>
      <c r="DD248" s="10">
        <f>MIN('02_Данные'!AW248,DC248)</f>
        <v/>
      </c>
      <c r="DE248" s="10">
        <f>DC248-DD248</f>
        <v/>
      </c>
      <c r="DF248" s="10">
        <f>MIN('02_Данные'!AX248,DE248)</f>
        <v/>
      </c>
      <c r="DG248" s="10">
        <f>DE248-DF248</f>
        <v/>
      </c>
    </row>
    <row r="249">
      <c r="A249" s="9">
        <f>'02_Данные'!B249</f>
        <v/>
      </c>
      <c r="B249" s="9">
        <f>'02_Данные'!E249</f>
        <v/>
      </c>
      <c r="C249" s="10">
        <f>'02_Данные'!F249+'02_Данные'!G249+'02_Данные'!H249+'02_Данные'!I249+'02_Данные'!J249+'02_Данные'!K249</f>
        <v/>
      </c>
      <c r="D249" s="10">
        <f>SUM('02_Данные'!L249:'02_Данные'!AY249)</f>
        <v/>
      </c>
      <c r="E249" s="10">
        <f>MAX(0,D249-C249)</f>
        <v/>
      </c>
      <c r="F249" s="15">
        <f>IF(E249&gt;0.0001,"ДЕФИЦИТ",IF(Y249&gt;0.0001,"ПРОФИЦИТ","БАЛАНС"))</f>
        <v/>
      </c>
      <c r="G249" s="10">
        <f>AB249+AS249+BJ249+CA249+CR249</f>
        <v/>
      </c>
      <c r="H249" s="10">
        <f>AD249+AU249+BL249+CC249+CT249</f>
        <v/>
      </c>
      <c r="I249" s="10">
        <f>AF249+AW249+BN249+CE249+CV249</f>
        <v/>
      </c>
      <c r="J249" s="10">
        <f>AL249+BC249+BT249+CK249+DB249</f>
        <v/>
      </c>
      <c r="K249" s="10">
        <f>AJ249+BA249+BR249+CI249+CZ249</f>
        <v/>
      </c>
      <c r="L249" s="10">
        <f>AN249+BE249+BV249+CM249+DD249</f>
        <v/>
      </c>
      <c r="M249" s="10">
        <f>AP249+BG249+BX249+CO249+DF249</f>
        <v/>
      </c>
      <c r="N249" s="10">
        <f>AH249+AY249+BP249+CG249+CX249</f>
        <v/>
      </c>
      <c r="O249" s="10">
        <f>SUM(G249:N249)</f>
        <v/>
      </c>
      <c r="P249" s="10">
        <f>IFERROR(G249*MIN(1,'01_Нормативы'!$C$4/SUM(G$2:G$429)),0)</f>
        <v/>
      </c>
      <c r="Q249" s="10">
        <f>IFERROR(H249*MIN(1,'01_Нормативы'!$C$5/SUM(H$2:H$429)),0)</f>
        <v/>
      </c>
      <c r="R249" s="10">
        <f>IFERROR(I249*MIN(1,'01_Нормативы'!$C$6/SUM(I$2:I$429)),0)</f>
        <v/>
      </c>
      <c r="S249" s="10">
        <f>IFERROR(J249*MIN(1,'01_Нормативы'!$C$7/SUM(J$2:J$429)),0)</f>
        <v/>
      </c>
      <c r="T249" s="10">
        <f>IFERROR(K249*MIN(1,'01_Нормативы'!$C$8/SUM(K$2:K$429)),0)</f>
        <v/>
      </c>
      <c r="U249" s="10">
        <f>IFERROR(L249*MIN(1,'01_Нормативы'!$C$9/SUM(L$2:L$429)),0)</f>
        <v/>
      </c>
      <c r="V249" s="10">
        <f>IFERROR(M249*MIN(1,'01_Нормативы'!$C$10/SUM(M$2:M$429)),0)</f>
        <v/>
      </c>
      <c r="W249" s="10">
        <f>IFERROR(N249*MIN(1,'01_Нормативы'!$C$11/SUM(N$2:N$429)),0)</f>
        <v/>
      </c>
      <c r="X249" s="10">
        <f>SUM(P249:W249)</f>
        <v/>
      </c>
      <c r="Y249" s="10">
        <f>MAX(0,C249-X249)</f>
        <v/>
      </c>
      <c r="Z249" s="10">
        <f>IF(D249=0,100,X249/D249*100)</f>
        <v/>
      </c>
      <c r="AA249" s="10">
        <f>'02_Данные'!F249+'02_Данные'!G249</f>
        <v/>
      </c>
      <c r="AB249" s="10">
        <f>MIN('02_Данные'!L249,AA249)</f>
        <v/>
      </c>
      <c r="AC249" s="10">
        <f>AA249-AB249</f>
        <v/>
      </c>
      <c r="AD249" s="10">
        <f>MIN('02_Данные'!M249,AC249)</f>
        <v/>
      </c>
      <c r="AE249" s="10">
        <f>AC249-AD249</f>
        <v/>
      </c>
      <c r="AF249" s="10">
        <f>MIN('02_Данные'!N249,AE249)</f>
        <v/>
      </c>
      <c r="AG249" s="10">
        <f>AE249-AF249</f>
        <v/>
      </c>
      <c r="AH249" s="10">
        <f>MIN('02_Данные'!S249,AG249)</f>
        <v/>
      </c>
      <c r="AI249" s="10">
        <f>AG249-AH249</f>
        <v/>
      </c>
      <c r="AJ249" s="10">
        <f>MIN('02_Данные'!P249,AI249)</f>
        <v/>
      </c>
      <c r="AK249" s="10">
        <f>AI249-AJ249</f>
        <v/>
      </c>
      <c r="AL249" s="10">
        <f>MIN('02_Данные'!O249,AK249)</f>
        <v/>
      </c>
      <c r="AM249" s="10">
        <f>AK249-AL249</f>
        <v/>
      </c>
      <c r="AN249" s="10">
        <f>MIN('02_Данные'!Q249,AM249)</f>
        <v/>
      </c>
      <c r="AO249" s="10">
        <f>AM249-AN249</f>
        <v/>
      </c>
      <c r="AP249" s="10">
        <f>MIN('02_Данные'!R249,AO249)</f>
        <v/>
      </c>
      <c r="AQ249" s="10">
        <f>AO249-AP249</f>
        <v/>
      </c>
      <c r="AR249" s="10">
        <f>AQ249+'02_Данные'!H249</f>
        <v/>
      </c>
      <c r="AS249" s="10">
        <f>MIN('02_Данные'!T249,AR249)</f>
        <v/>
      </c>
      <c r="AT249" s="10">
        <f>AR249-AS249</f>
        <v/>
      </c>
      <c r="AU249" s="10">
        <f>MIN('02_Данные'!U249,AT249)</f>
        <v/>
      </c>
      <c r="AV249" s="10">
        <f>AT249-AU249</f>
        <v/>
      </c>
      <c r="AW249" s="10">
        <f>MIN('02_Данные'!V249,AV249)</f>
        <v/>
      </c>
      <c r="AX249" s="10">
        <f>AV249-AW249</f>
        <v/>
      </c>
      <c r="AY249" s="10">
        <f>MIN('02_Данные'!AA249,AX249)</f>
        <v/>
      </c>
      <c r="AZ249" s="10">
        <f>AX249-AY249</f>
        <v/>
      </c>
      <c r="BA249" s="10">
        <f>MIN('02_Данные'!X249,AZ249)</f>
        <v/>
      </c>
      <c r="BB249" s="10">
        <f>AZ249-BA249</f>
        <v/>
      </c>
      <c r="BC249" s="10">
        <f>MIN('02_Данные'!W249,BB249)</f>
        <v/>
      </c>
      <c r="BD249" s="10">
        <f>BB249-BC249</f>
        <v/>
      </c>
      <c r="BE249" s="10">
        <f>MIN('02_Данные'!Y249,BD249)</f>
        <v/>
      </c>
      <c r="BF249" s="10">
        <f>BD249-BE249</f>
        <v/>
      </c>
      <c r="BG249" s="10">
        <f>MIN('02_Данные'!Z249,BF249)</f>
        <v/>
      </c>
      <c r="BH249" s="10">
        <f>BF249-BG249</f>
        <v/>
      </c>
      <c r="BI249" s="10">
        <f>BH249+'02_Данные'!I249</f>
        <v/>
      </c>
      <c r="BJ249" s="10">
        <f>MIN('02_Данные'!AB249,BI249)</f>
        <v/>
      </c>
      <c r="BK249" s="10">
        <f>BI249-BJ249</f>
        <v/>
      </c>
      <c r="BL249" s="10">
        <f>MIN('02_Данные'!AC249,BK249)</f>
        <v/>
      </c>
      <c r="BM249" s="10">
        <f>BK249-BL249</f>
        <v/>
      </c>
      <c r="BN249" s="10">
        <f>MIN('02_Данные'!AD249,BM249)</f>
        <v/>
      </c>
      <c r="BO249" s="10">
        <f>BM249-BN249</f>
        <v/>
      </c>
      <c r="BP249" s="10">
        <f>MIN('02_Данные'!AI249,BO249)</f>
        <v/>
      </c>
      <c r="BQ249" s="10">
        <f>BO249-BP249</f>
        <v/>
      </c>
      <c r="BR249" s="10">
        <f>MIN('02_Данные'!AF249,BQ249)</f>
        <v/>
      </c>
      <c r="BS249" s="10">
        <f>BQ249-BR249</f>
        <v/>
      </c>
      <c r="BT249" s="10">
        <f>MIN('02_Данные'!AE249,BS249)</f>
        <v/>
      </c>
      <c r="BU249" s="10">
        <f>BS249-BT249</f>
        <v/>
      </c>
      <c r="BV249" s="10">
        <f>MIN('02_Данные'!AG249,BU249)</f>
        <v/>
      </c>
      <c r="BW249" s="10">
        <f>BU249-BV249</f>
        <v/>
      </c>
      <c r="BX249" s="10">
        <f>MIN('02_Данные'!AH249,BW249)</f>
        <v/>
      </c>
      <c r="BY249" s="10">
        <f>BW249-BX249</f>
        <v/>
      </c>
      <c r="BZ249" s="10">
        <f>BY249+'02_Данные'!J249</f>
        <v/>
      </c>
      <c r="CA249" s="10">
        <f>MIN('02_Данные'!AJ249,BZ249)</f>
        <v/>
      </c>
      <c r="CB249" s="10">
        <f>BZ249-CA249</f>
        <v/>
      </c>
      <c r="CC249" s="10">
        <f>MIN('02_Данные'!AK249,CB249)</f>
        <v/>
      </c>
      <c r="CD249" s="10">
        <f>CB249-CC249</f>
        <v/>
      </c>
      <c r="CE249" s="10">
        <f>MIN('02_Данные'!AL249,CD249)</f>
        <v/>
      </c>
      <c r="CF249" s="10">
        <f>CD249-CE249</f>
        <v/>
      </c>
      <c r="CG249" s="10">
        <f>MIN('02_Данные'!AQ249,CF249)</f>
        <v/>
      </c>
      <c r="CH249" s="10">
        <f>CF249-CG249</f>
        <v/>
      </c>
      <c r="CI249" s="10">
        <f>MIN('02_Данные'!AN249,CH249)</f>
        <v/>
      </c>
      <c r="CJ249" s="10">
        <f>CH249-CI249</f>
        <v/>
      </c>
      <c r="CK249" s="10">
        <f>MIN('02_Данные'!AM249,CJ249)</f>
        <v/>
      </c>
      <c r="CL249" s="10">
        <f>CJ249-CK249</f>
        <v/>
      </c>
      <c r="CM249" s="10">
        <f>MIN('02_Данные'!AO249,CL249)</f>
        <v/>
      </c>
      <c r="CN249" s="10">
        <f>CL249-CM249</f>
        <v/>
      </c>
      <c r="CO249" s="10">
        <f>MIN('02_Данные'!AP249,CN249)</f>
        <v/>
      </c>
      <c r="CP249" s="10">
        <f>CN249-CO249</f>
        <v/>
      </c>
      <c r="CQ249" s="10">
        <f>CP249+'02_Данные'!K249</f>
        <v/>
      </c>
      <c r="CR249" s="10">
        <f>MIN('02_Данные'!AR249,CQ249)</f>
        <v/>
      </c>
      <c r="CS249" s="10">
        <f>CQ249-CR249</f>
        <v/>
      </c>
      <c r="CT249" s="10">
        <f>MIN('02_Данные'!AS249,CS249)</f>
        <v/>
      </c>
      <c r="CU249" s="10">
        <f>CS249-CT249</f>
        <v/>
      </c>
      <c r="CV249" s="10">
        <f>MIN('02_Данные'!AT249,CU249)</f>
        <v/>
      </c>
      <c r="CW249" s="10">
        <f>CU249-CV249</f>
        <v/>
      </c>
      <c r="CX249" s="10">
        <f>MIN('02_Данные'!AY249,CW249)</f>
        <v/>
      </c>
      <c r="CY249" s="10">
        <f>CW249-CX249</f>
        <v/>
      </c>
      <c r="CZ249" s="10">
        <f>MIN('02_Данные'!AV249,CY249)</f>
        <v/>
      </c>
      <c r="DA249" s="10">
        <f>CY249-CZ249</f>
        <v/>
      </c>
      <c r="DB249" s="10">
        <f>MIN('02_Данные'!AU249,DA249)</f>
        <v/>
      </c>
      <c r="DC249" s="10">
        <f>DA249-DB249</f>
        <v/>
      </c>
      <c r="DD249" s="10">
        <f>MIN('02_Данные'!AW249,DC249)</f>
        <v/>
      </c>
      <c r="DE249" s="10">
        <f>DC249-DD249</f>
        <v/>
      </c>
      <c r="DF249" s="10">
        <f>MIN('02_Данные'!AX249,DE249)</f>
        <v/>
      </c>
      <c r="DG249" s="10">
        <f>DE249-DF249</f>
        <v/>
      </c>
    </row>
    <row r="250">
      <c r="A250" s="9">
        <f>'02_Данные'!B250</f>
        <v/>
      </c>
      <c r="B250" s="9">
        <f>'02_Данные'!E250</f>
        <v/>
      </c>
      <c r="C250" s="10">
        <f>'02_Данные'!F250+'02_Данные'!G250+'02_Данные'!H250+'02_Данные'!I250+'02_Данные'!J250+'02_Данные'!K250</f>
        <v/>
      </c>
      <c r="D250" s="10">
        <f>SUM('02_Данные'!L250:'02_Данные'!AY250)</f>
        <v/>
      </c>
      <c r="E250" s="10">
        <f>MAX(0,D250-C250)</f>
        <v/>
      </c>
      <c r="F250" s="15">
        <f>IF(E250&gt;0.0001,"ДЕФИЦИТ",IF(Y250&gt;0.0001,"ПРОФИЦИТ","БАЛАНС"))</f>
        <v/>
      </c>
      <c r="G250" s="10">
        <f>AB250+AS250+BJ250+CA250+CR250</f>
        <v/>
      </c>
      <c r="H250" s="10">
        <f>AD250+AU250+BL250+CC250+CT250</f>
        <v/>
      </c>
      <c r="I250" s="10">
        <f>AF250+AW250+BN250+CE250+CV250</f>
        <v/>
      </c>
      <c r="J250" s="10">
        <f>AL250+BC250+BT250+CK250+DB250</f>
        <v/>
      </c>
      <c r="K250" s="10">
        <f>AJ250+BA250+BR250+CI250+CZ250</f>
        <v/>
      </c>
      <c r="L250" s="10">
        <f>AN250+BE250+BV250+CM250+DD250</f>
        <v/>
      </c>
      <c r="M250" s="10">
        <f>AP250+BG250+BX250+CO250+DF250</f>
        <v/>
      </c>
      <c r="N250" s="10">
        <f>AH250+AY250+BP250+CG250+CX250</f>
        <v/>
      </c>
      <c r="O250" s="10">
        <f>SUM(G250:N250)</f>
        <v/>
      </c>
      <c r="P250" s="10">
        <f>IFERROR(G250*MIN(1,'01_Нормативы'!$C$4/SUM(G$2:G$429)),0)</f>
        <v/>
      </c>
      <c r="Q250" s="10">
        <f>IFERROR(H250*MIN(1,'01_Нормативы'!$C$5/SUM(H$2:H$429)),0)</f>
        <v/>
      </c>
      <c r="R250" s="10">
        <f>IFERROR(I250*MIN(1,'01_Нормативы'!$C$6/SUM(I$2:I$429)),0)</f>
        <v/>
      </c>
      <c r="S250" s="10">
        <f>IFERROR(J250*MIN(1,'01_Нормативы'!$C$7/SUM(J$2:J$429)),0)</f>
        <v/>
      </c>
      <c r="T250" s="10">
        <f>IFERROR(K250*MIN(1,'01_Нормативы'!$C$8/SUM(K$2:K$429)),0)</f>
        <v/>
      </c>
      <c r="U250" s="10">
        <f>IFERROR(L250*MIN(1,'01_Нормативы'!$C$9/SUM(L$2:L$429)),0)</f>
        <v/>
      </c>
      <c r="V250" s="10">
        <f>IFERROR(M250*MIN(1,'01_Нормативы'!$C$10/SUM(M$2:M$429)),0)</f>
        <v/>
      </c>
      <c r="W250" s="10">
        <f>IFERROR(N250*MIN(1,'01_Нормативы'!$C$11/SUM(N$2:N$429)),0)</f>
        <v/>
      </c>
      <c r="X250" s="10">
        <f>SUM(P250:W250)</f>
        <v/>
      </c>
      <c r="Y250" s="10">
        <f>MAX(0,C250-X250)</f>
        <v/>
      </c>
      <c r="Z250" s="10">
        <f>IF(D250=0,100,X250/D250*100)</f>
        <v/>
      </c>
      <c r="AA250" s="10">
        <f>'02_Данные'!F250+'02_Данные'!G250</f>
        <v/>
      </c>
      <c r="AB250" s="10">
        <f>MIN('02_Данные'!L250,AA250)</f>
        <v/>
      </c>
      <c r="AC250" s="10">
        <f>AA250-AB250</f>
        <v/>
      </c>
      <c r="AD250" s="10">
        <f>MIN('02_Данные'!M250,AC250)</f>
        <v/>
      </c>
      <c r="AE250" s="10">
        <f>AC250-AD250</f>
        <v/>
      </c>
      <c r="AF250" s="10">
        <f>MIN('02_Данные'!N250,AE250)</f>
        <v/>
      </c>
      <c r="AG250" s="10">
        <f>AE250-AF250</f>
        <v/>
      </c>
      <c r="AH250" s="10">
        <f>MIN('02_Данные'!S250,AG250)</f>
        <v/>
      </c>
      <c r="AI250" s="10">
        <f>AG250-AH250</f>
        <v/>
      </c>
      <c r="AJ250" s="10">
        <f>MIN('02_Данные'!P250,AI250)</f>
        <v/>
      </c>
      <c r="AK250" s="10">
        <f>AI250-AJ250</f>
        <v/>
      </c>
      <c r="AL250" s="10">
        <f>MIN('02_Данные'!O250,AK250)</f>
        <v/>
      </c>
      <c r="AM250" s="10">
        <f>AK250-AL250</f>
        <v/>
      </c>
      <c r="AN250" s="10">
        <f>MIN('02_Данные'!Q250,AM250)</f>
        <v/>
      </c>
      <c r="AO250" s="10">
        <f>AM250-AN250</f>
        <v/>
      </c>
      <c r="AP250" s="10">
        <f>MIN('02_Данные'!R250,AO250)</f>
        <v/>
      </c>
      <c r="AQ250" s="10">
        <f>AO250-AP250</f>
        <v/>
      </c>
      <c r="AR250" s="10">
        <f>AQ250+'02_Данные'!H250</f>
        <v/>
      </c>
      <c r="AS250" s="10">
        <f>MIN('02_Данные'!T250,AR250)</f>
        <v/>
      </c>
      <c r="AT250" s="10">
        <f>AR250-AS250</f>
        <v/>
      </c>
      <c r="AU250" s="10">
        <f>MIN('02_Данные'!U250,AT250)</f>
        <v/>
      </c>
      <c r="AV250" s="10">
        <f>AT250-AU250</f>
        <v/>
      </c>
      <c r="AW250" s="10">
        <f>MIN('02_Данные'!V250,AV250)</f>
        <v/>
      </c>
      <c r="AX250" s="10">
        <f>AV250-AW250</f>
        <v/>
      </c>
      <c r="AY250" s="10">
        <f>MIN('02_Данные'!AA250,AX250)</f>
        <v/>
      </c>
      <c r="AZ250" s="10">
        <f>AX250-AY250</f>
        <v/>
      </c>
      <c r="BA250" s="10">
        <f>MIN('02_Данные'!X250,AZ250)</f>
        <v/>
      </c>
      <c r="BB250" s="10">
        <f>AZ250-BA250</f>
        <v/>
      </c>
      <c r="BC250" s="10">
        <f>MIN('02_Данные'!W250,BB250)</f>
        <v/>
      </c>
      <c r="BD250" s="10">
        <f>BB250-BC250</f>
        <v/>
      </c>
      <c r="BE250" s="10">
        <f>MIN('02_Данные'!Y250,BD250)</f>
        <v/>
      </c>
      <c r="BF250" s="10">
        <f>BD250-BE250</f>
        <v/>
      </c>
      <c r="BG250" s="10">
        <f>MIN('02_Данные'!Z250,BF250)</f>
        <v/>
      </c>
      <c r="BH250" s="10">
        <f>BF250-BG250</f>
        <v/>
      </c>
      <c r="BI250" s="10">
        <f>BH250+'02_Данные'!I250</f>
        <v/>
      </c>
      <c r="BJ250" s="10">
        <f>MIN('02_Данные'!AB250,BI250)</f>
        <v/>
      </c>
      <c r="BK250" s="10">
        <f>BI250-BJ250</f>
        <v/>
      </c>
      <c r="BL250" s="10">
        <f>MIN('02_Данные'!AC250,BK250)</f>
        <v/>
      </c>
      <c r="BM250" s="10">
        <f>BK250-BL250</f>
        <v/>
      </c>
      <c r="BN250" s="10">
        <f>MIN('02_Данные'!AD250,BM250)</f>
        <v/>
      </c>
      <c r="BO250" s="10">
        <f>BM250-BN250</f>
        <v/>
      </c>
      <c r="BP250" s="10">
        <f>MIN('02_Данные'!AI250,BO250)</f>
        <v/>
      </c>
      <c r="BQ250" s="10">
        <f>BO250-BP250</f>
        <v/>
      </c>
      <c r="BR250" s="10">
        <f>MIN('02_Данные'!AF250,BQ250)</f>
        <v/>
      </c>
      <c r="BS250" s="10">
        <f>BQ250-BR250</f>
        <v/>
      </c>
      <c r="BT250" s="10">
        <f>MIN('02_Данные'!AE250,BS250)</f>
        <v/>
      </c>
      <c r="BU250" s="10">
        <f>BS250-BT250</f>
        <v/>
      </c>
      <c r="BV250" s="10">
        <f>MIN('02_Данные'!AG250,BU250)</f>
        <v/>
      </c>
      <c r="BW250" s="10">
        <f>BU250-BV250</f>
        <v/>
      </c>
      <c r="BX250" s="10">
        <f>MIN('02_Данные'!AH250,BW250)</f>
        <v/>
      </c>
      <c r="BY250" s="10">
        <f>BW250-BX250</f>
        <v/>
      </c>
      <c r="BZ250" s="10">
        <f>BY250+'02_Данные'!J250</f>
        <v/>
      </c>
      <c r="CA250" s="10">
        <f>MIN('02_Данные'!AJ250,BZ250)</f>
        <v/>
      </c>
      <c r="CB250" s="10">
        <f>BZ250-CA250</f>
        <v/>
      </c>
      <c r="CC250" s="10">
        <f>MIN('02_Данные'!AK250,CB250)</f>
        <v/>
      </c>
      <c r="CD250" s="10">
        <f>CB250-CC250</f>
        <v/>
      </c>
      <c r="CE250" s="10">
        <f>MIN('02_Данные'!AL250,CD250)</f>
        <v/>
      </c>
      <c r="CF250" s="10">
        <f>CD250-CE250</f>
        <v/>
      </c>
      <c r="CG250" s="10">
        <f>MIN('02_Данные'!AQ250,CF250)</f>
        <v/>
      </c>
      <c r="CH250" s="10">
        <f>CF250-CG250</f>
        <v/>
      </c>
      <c r="CI250" s="10">
        <f>MIN('02_Данные'!AN250,CH250)</f>
        <v/>
      </c>
      <c r="CJ250" s="10">
        <f>CH250-CI250</f>
        <v/>
      </c>
      <c r="CK250" s="10">
        <f>MIN('02_Данные'!AM250,CJ250)</f>
        <v/>
      </c>
      <c r="CL250" s="10">
        <f>CJ250-CK250</f>
        <v/>
      </c>
      <c r="CM250" s="10">
        <f>MIN('02_Данные'!AO250,CL250)</f>
        <v/>
      </c>
      <c r="CN250" s="10">
        <f>CL250-CM250</f>
        <v/>
      </c>
      <c r="CO250" s="10">
        <f>MIN('02_Данные'!AP250,CN250)</f>
        <v/>
      </c>
      <c r="CP250" s="10">
        <f>CN250-CO250</f>
        <v/>
      </c>
      <c r="CQ250" s="10">
        <f>CP250+'02_Данные'!K250</f>
        <v/>
      </c>
      <c r="CR250" s="10">
        <f>MIN('02_Данные'!AR250,CQ250)</f>
        <v/>
      </c>
      <c r="CS250" s="10">
        <f>CQ250-CR250</f>
        <v/>
      </c>
      <c r="CT250" s="10">
        <f>MIN('02_Данные'!AS250,CS250)</f>
        <v/>
      </c>
      <c r="CU250" s="10">
        <f>CS250-CT250</f>
        <v/>
      </c>
      <c r="CV250" s="10">
        <f>MIN('02_Данные'!AT250,CU250)</f>
        <v/>
      </c>
      <c r="CW250" s="10">
        <f>CU250-CV250</f>
        <v/>
      </c>
      <c r="CX250" s="10">
        <f>MIN('02_Данные'!AY250,CW250)</f>
        <v/>
      </c>
      <c r="CY250" s="10">
        <f>CW250-CX250</f>
        <v/>
      </c>
      <c r="CZ250" s="10">
        <f>MIN('02_Данные'!AV250,CY250)</f>
        <v/>
      </c>
      <c r="DA250" s="10">
        <f>CY250-CZ250</f>
        <v/>
      </c>
      <c r="DB250" s="10">
        <f>MIN('02_Данные'!AU250,DA250)</f>
        <v/>
      </c>
      <c r="DC250" s="10">
        <f>DA250-DB250</f>
        <v/>
      </c>
      <c r="DD250" s="10">
        <f>MIN('02_Данные'!AW250,DC250)</f>
        <v/>
      </c>
      <c r="DE250" s="10">
        <f>DC250-DD250</f>
        <v/>
      </c>
      <c r="DF250" s="10">
        <f>MIN('02_Данные'!AX250,DE250)</f>
        <v/>
      </c>
      <c r="DG250" s="10">
        <f>DE250-DF250</f>
        <v/>
      </c>
    </row>
    <row r="251">
      <c r="A251" s="9">
        <f>'02_Данные'!B251</f>
        <v/>
      </c>
      <c r="B251" s="9">
        <f>'02_Данные'!E251</f>
        <v/>
      </c>
      <c r="C251" s="10">
        <f>'02_Данные'!F251+'02_Данные'!G251+'02_Данные'!H251+'02_Данные'!I251+'02_Данные'!J251+'02_Данные'!K251</f>
        <v/>
      </c>
      <c r="D251" s="10">
        <f>SUM('02_Данные'!L251:'02_Данные'!AY251)</f>
        <v/>
      </c>
      <c r="E251" s="10">
        <f>MAX(0,D251-C251)</f>
        <v/>
      </c>
      <c r="F251" s="15">
        <f>IF(E251&gt;0.0001,"ДЕФИЦИТ",IF(Y251&gt;0.0001,"ПРОФИЦИТ","БАЛАНС"))</f>
        <v/>
      </c>
      <c r="G251" s="10">
        <f>AB251+AS251+BJ251+CA251+CR251</f>
        <v/>
      </c>
      <c r="H251" s="10">
        <f>AD251+AU251+BL251+CC251+CT251</f>
        <v/>
      </c>
      <c r="I251" s="10">
        <f>AF251+AW251+BN251+CE251+CV251</f>
        <v/>
      </c>
      <c r="J251" s="10">
        <f>AL251+BC251+BT251+CK251+DB251</f>
        <v/>
      </c>
      <c r="K251" s="10">
        <f>AJ251+BA251+BR251+CI251+CZ251</f>
        <v/>
      </c>
      <c r="L251" s="10">
        <f>AN251+BE251+BV251+CM251+DD251</f>
        <v/>
      </c>
      <c r="M251" s="10">
        <f>AP251+BG251+BX251+CO251+DF251</f>
        <v/>
      </c>
      <c r="N251" s="10">
        <f>AH251+AY251+BP251+CG251+CX251</f>
        <v/>
      </c>
      <c r="O251" s="10">
        <f>SUM(G251:N251)</f>
        <v/>
      </c>
      <c r="P251" s="10">
        <f>IFERROR(G251*MIN(1,'01_Нормативы'!$C$4/SUM(G$2:G$429)),0)</f>
        <v/>
      </c>
      <c r="Q251" s="10">
        <f>IFERROR(H251*MIN(1,'01_Нормативы'!$C$5/SUM(H$2:H$429)),0)</f>
        <v/>
      </c>
      <c r="R251" s="10">
        <f>IFERROR(I251*MIN(1,'01_Нормативы'!$C$6/SUM(I$2:I$429)),0)</f>
        <v/>
      </c>
      <c r="S251" s="10">
        <f>IFERROR(J251*MIN(1,'01_Нормативы'!$C$7/SUM(J$2:J$429)),0)</f>
        <v/>
      </c>
      <c r="T251" s="10">
        <f>IFERROR(K251*MIN(1,'01_Нормативы'!$C$8/SUM(K$2:K$429)),0)</f>
        <v/>
      </c>
      <c r="U251" s="10">
        <f>IFERROR(L251*MIN(1,'01_Нормативы'!$C$9/SUM(L$2:L$429)),0)</f>
        <v/>
      </c>
      <c r="V251" s="10">
        <f>IFERROR(M251*MIN(1,'01_Нормативы'!$C$10/SUM(M$2:M$429)),0)</f>
        <v/>
      </c>
      <c r="W251" s="10">
        <f>IFERROR(N251*MIN(1,'01_Нормативы'!$C$11/SUM(N$2:N$429)),0)</f>
        <v/>
      </c>
      <c r="X251" s="10">
        <f>SUM(P251:W251)</f>
        <v/>
      </c>
      <c r="Y251" s="10">
        <f>MAX(0,C251-X251)</f>
        <v/>
      </c>
      <c r="Z251" s="10">
        <f>IF(D251=0,100,X251/D251*100)</f>
        <v/>
      </c>
      <c r="AA251" s="10">
        <f>'02_Данные'!F251+'02_Данные'!G251</f>
        <v/>
      </c>
      <c r="AB251" s="10">
        <f>MIN('02_Данные'!L251,AA251)</f>
        <v/>
      </c>
      <c r="AC251" s="10">
        <f>AA251-AB251</f>
        <v/>
      </c>
      <c r="AD251" s="10">
        <f>MIN('02_Данные'!M251,AC251)</f>
        <v/>
      </c>
      <c r="AE251" s="10">
        <f>AC251-AD251</f>
        <v/>
      </c>
      <c r="AF251" s="10">
        <f>MIN('02_Данные'!N251,AE251)</f>
        <v/>
      </c>
      <c r="AG251" s="10">
        <f>AE251-AF251</f>
        <v/>
      </c>
      <c r="AH251" s="10">
        <f>MIN('02_Данные'!S251,AG251)</f>
        <v/>
      </c>
      <c r="AI251" s="10">
        <f>AG251-AH251</f>
        <v/>
      </c>
      <c r="AJ251" s="10">
        <f>MIN('02_Данные'!P251,AI251)</f>
        <v/>
      </c>
      <c r="AK251" s="10">
        <f>AI251-AJ251</f>
        <v/>
      </c>
      <c r="AL251" s="10">
        <f>MIN('02_Данные'!O251,AK251)</f>
        <v/>
      </c>
      <c r="AM251" s="10">
        <f>AK251-AL251</f>
        <v/>
      </c>
      <c r="AN251" s="10">
        <f>MIN('02_Данные'!Q251,AM251)</f>
        <v/>
      </c>
      <c r="AO251" s="10">
        <f>AM251-AN251</f>
        <v/>
      </c>
      <c r="AP251" s="10">
        <f>MIN('02_Данные'!R251,AO251)</f>
        <v/>
      </c>
      <c r="AQ251" s="10">
        <f>AO251-AP251</f>
        <v/>
      </c>
      <c r="AR251" s="10">
        <f>AQ251+'02_Данные'!H251</f>
        <v/>
      </c>
      <c r="AS251" s="10">
        <f>MIN('02_Данные'!T251,AR251)</f>
        <v/>
      </c>
      <c r="AT251" s="10">
        <f>AR251-AS251</f>
        <v/>
      </c>
      <c r="AU251" s="10">
        <f>MIN('02_Данные'!U251,AT251)</f>
        <v/>
      </c>
      <c r="AV251" s="10">
        <f>AT251-AU251</f>
        <v/>
      </c>
      <c r="AW251" s="10">
        <f>MIN('02_Данные'!V251,AV251)</f>
        <v/>
      </c>
      <c r="AX251" s="10">
        <f>AV251-AW251</f>
        <v/>
      </c>
      <c r="AY251" s="10">
        <f>MIN('02_Данные'!AA251,AX251)</f>
        <v/>
      </c>
      <c r="AZ251" s="10">
        <f>AX251-AY251</f>
        <v/>
      </c>
      <c r="BA251" s="10">
        <f>MIN('02_Данные'!X251,AZ251)</f>
        <v/>
      </c>
      <c r="BB251" s="10">
        <f>AZ251-BA251</f>
        <v/>
      </c>
      <c r="BC251" s="10">
        <f>MIN('02_Данные'!W251,BB251)</f>
        <v/>
      </c>
      <c r="BD251" s="10">
        <f>BB251-BC251</f>
        <v/>
      </c>
      <c r="BE251" s="10">
        <f>MIN('02_Данные'!Y251,BD251)</f>
        <v/>
      </c>
      <c r="BF251" s="10">
        <f>BD251-BE251</f>
        <v/>
      </c>
      <c r="BG251" s="10">
        <f>MIN('02_Данные'!Z251,BF251)</f>
        <v/>
      </c>
      <c r="BH251" s="10">
        <f>BF251-BG251</f>
        <v/>
      </c>
      <c r="BI251" s="10">
        <f>BH251+'02_Данные'!I251</f>
        <v/>
      </c>
      <c r="BJ251" s="10">
        <f>MIN('02_Данные'!AB251,BI251)</f>
        <v/>
      </c>
      <c r="BK251" s="10">
        <f>BI251-BJ251</f>
        <v/>
      </c>
      <c r="BL251" s="10">
        <f>MIN('02_Данные'!AC251,BK251)</f>
        <v/>
      </c>
      <c r="BM251" s="10">
        <f>BK251-BL251</f>
        <v/>
      </c>
      <c r="BN251" s="10">
        <f>MIN('02_Данные'!AD251,BM251)</f>
        <v/>
      </c>
      <c r="BO251" s="10">
        <f>BM251-BN251</f>
        <v/>
      </c>
      <c r="BP251" s="10">
        <f>MIN('02_Данные'!AI251,BO251)</f>
        <v/>
      </c>
      <c r="BQ251" s="10">
        <f>BO251-BP251</f>
        <v/>
      </c>
      <c r="BR251" s="10">
        <f>MIN('02_Данные'!AF251,BQ251)</f>
        <v/>
      </c>
      <c r="BS251" s="10">
        <f>BQ251-BR251</f>
        <v/>
      </c>
      <c r="BT251" s="10">
        <f>MIN('02_Данные'!AE251,BS251)</f>
        <v/>
      </c>
      <c r="BU251" s="10">
        <f>BS251-BT251</f>
        <v/>
      </c>
      <c r="BV251" s="10">
        <f>MIN('02_Данные'!AG251,BU251)</f>
        <v/>
      </c>
      <c r="BW251" s="10">
        <f>BU251-BV251</f>
        <v/>
      </c>
      <c r="BX251" s="10">
        <f>MIN('02_Данные'!AH251,BW251)</f>
        <v/>
      </c>
      <c r="BY251" s="10">
        <f>BW251-BX251</f>
        <v/>
      </c>
      <c r="BZ251" s="10">
        <f>BY251+'02_Данные'!J251</f>
        <v/>
      </c>
      <c r="CA251" s="10">
        <f>MIN('02_Данные'!AJ251,BZ251)</f>
        <v/>
      </c>
      <c r="CB251" s="10">
        <f>BZ251-CA251</f>
        <v/>
      </c>
      <c r="CC251" s="10">
        <f>MIN('02_Данные'!AK251,CB251)</f>
        <v/>
      </c>
      <c r="CD251" s="10">
        <f>CB251-CC251</f>
        <v/>
      </c>
      <c r="CE251" s="10">
        <f>MIN('02_Данные'!AL251,CD251)</f>
        <v/>
      </c>
      <c r="CF251" s="10">
        <f>CD251-CE251</f>
        <v/>
      </c>
      <c r="CG251" s="10">
        <f>MIN('02_Данные'!AQ251,CF251)</f>
        <v/>
      </c>
      <c r="CH251" s="10">
        <f>CF251-CG251</f>
        <v/>
      </c>
      <c r="CI251" s="10">
        <f>MIN('02_Данные'!AN251,CH251)</f>
        <v/>
      </c>
      <c r="CJ251" s="10">
        <f>CH251-CI251</f>
        <v/>
      </c>
      <c r="CK251" s="10">
        <f>MIN('02_Данные'!AM251,CJ251)</f>
        <v/>
      </c>
      <c r="CL251" s="10">
        <f>CJ251-CK251</f>
        <v/>
      </c>
      <c r="CM251" s="10">
        <f>MIN('02_Данные'!AO251,CL251)</f>
        <v/>
      </c>
      <c r="CN251" s="10">
        <f>CL251-CM251</f>
        <v/>
      </c>
      <c r="CO251" s="10">
        <f>MIN('02_Данные'!AP251,CN251)</f>
        <v/>
      </c>
      <c r="CP251" s="10">
        <f>CN251-CO251</f>
        <v/>
      </c>
      <c r="CQ251" s="10">
        <f>CP251+'02_Данные'!K251</f>
        <v/>
      </c>
      <c r="CR251" s="10">
        <f>MIN('02_Данные'!AR251,CQ251)</f>
        <v/>
      </c>
      <c r="CS251" s="10">
        <f>CQ251-CR251</f>
        <v/>
      </c>
      <c r="CT251" s="10">
        <f>MIN('02_Данные'!AS251,CS251)</f>
        <v/>
      </c>
      <c r="CU251" s="10">
        <f>CS251-CT251</f>
        <v/>
      </c>
      <c r="CV251" s="10">
        <f>MIN('02_Данные'!AT251,CU251)</f>
        <v/>
      </c>
      <c r="CW251" s="10">
        <f>CU251-CV251</f>
        <v/>
      </c>
      <c r="CX251" s="10">
        <f>MIN('02_Данные'!AY251,CW251)</f>
        <v/>
      </c>
      <c r="CY251" s="10">
        <f>CW251-CX251</f>
        <v/>
      </c>
      <c r="CZ251" s="10">
        <f>MIN('02_Данные'!AV251,CY251)</f>
        <v/>
      </c>
      <c r="DA251" s="10">
        <f>CY251-CZ251</f>
        <v/>
      </c>
      <c r="DB251" s="10">
        <f>MIN('02_Данные'!AU251,DA251)</f>
        <v/>
      </c>
      <c r="DC251" s="10">
        <f>DA251-DB251</f>
        <v/>
      </c>
      <c r="DD251" s="10">
        <f>MIN('02_Данные'!AW251,DC251)</f>
        <v/>
      </c>
      <c r="DE251" s="10">
        <f>DC251-DD251</f>
        <v/>
      </c>
      <c r="DF251" s="10">
        <f>MIN('02_Данные'!AX251,DE251)</f>
        <v/>
      </c>
      <c r="DG251" s="10">
        <f>DE251-DF251</f>
        <v/>
      </c>
    </row>
    <row r="252">
      <c r="A252" s="9">
        <f>'02_Данные'!B252</f>
        <v/>
      </c>
      <c r="B252" s="9">
        <f>'02_Данные'!E252</f>
        <v/>
      </c>
      <c r="C252" s="10">
        <f>'02_Данные'!F252+'02_Данные'!G252+'02_Данные'!H252+'02_Данные'!I252+'02_Данные'!J252+'02_Данные'!K252</f>
        <v/>
      </c>
      <c r="D252" s="10">
        <f>SUM('02_Данные'!L252:'02_Данные'!AY252)</f>
        <v/>
      </c>
      <c r="E252" s="10">
        <f>MAX(0,D252-C252)</f>
        <v/>
      </c>
      <c r="F252" s="15">
        <f>IF(E252&gt;0.0001,"ДЕФИЦИТ",IF(Y252&gt;0.0001,"ПРОФИЦИТ","БАЛАНС"))</f>
        <v/>
      </c>
      <c r="G252" s="10">
        <f>AB252+AS252+BJ252+CA252+CR252</f>
        <v/>
      </c>
      <c r="H252" s="10">
        <f>AD252+AU252+BL252+CC252+CT252</f>
        <v/>
      </c>
      <c r="I252" s="10">
        <f>AF252+AW252+BN252+CE252+CV252</f>
        <v/>
      </c>
      <c r="J252" s="10">
        <f>AL252+BC252+BT252+CK252+DB252</f>
        <v/>
      </c>
      <c r="K252" s="10">
        <f>AJ252+BA252+BR252+CI252+CZ252</f>
        <v/>
      </c>
      <c r="L252" s="10">
        <f>AN252+BE252+BV252+CM252+DD252</f>
        <v/>
      </c>
      <c r="M252" s="10">
        <f>AP252+BG252+BX252+CO252+DF252</f>
        <v/>
      </c>
      <c r="N252" s="10">
        <f>AH252+AY252+BP252+CG252+CX252</f>
        <v/>
      </c>
      <c r="O252" s="10">
        <f>SUM(G252:N252)</f>
        <v/>
      </c>
      <c r="P252" s="10">
        <f>IFERROR(G252*MIN(1,'01_Нормативы'!$C$4/SUM(G$2:G$429)),0)</f>
        <v/>
      </c>
      <c r="Q252" s="10">
        <f>IFERROR(H252*MIN(1,'01_Нормативы'!$C$5/SUM(H$2:H$429)),0)</f>
        <v/>
      </c>
      <c r="R252" s="10">
        <f>IFERROR(I252*MIN(1,'01_Нормативы'!$C$6/SUM(I$2:I$429)),0)</f>
        <v/>
      </c>
      <c r="S252" s="10">
        <f>IFERROR(J252*MIN(1,'01_Нормативы'!$C$7/SUM(J$2:J$429)),0)</f>
        <v/>
      </c>
      <c r="T252" s="10">
        <f>IFERROR(K252*MIN(1,'01_Нормативы'!$C$8/SUM(K$2:K$429)),0)</f>
        <v/>
      </c>
      <c r="U252" s="10">
        <f>IFERROR(L252*MIN(1,'01_Нормативы'!$C$9/SUM(L$2:L$429)),0)</f>
        <v/>
      </c>
      <c r="V252" s="10">
        <f>IFERROR(M252*MIN(1,'01_Нормативы'!$C$10/SUM(M$2:M$429)),0)</f>
        <v/>
      </c>
      <c r="W252" s="10">
        <f>IFERROR(N252*MIN(1,'01_Нормативы'!$C$11/SUM(N$2:N$429)),0)</f>
        <v/>
      </c>
      <c r="X252" s="10">
        <f>SUM(P252:W252)</f>
        <v/>
      </c>
      <c r="Y252" s="10">
        <f>MAX(0,C252-X252)</f>
        <v/>
      </c>
      <c r="Z252" s="10">
        <f>IF(D252=0,100,X252/D252*100)</f>
        <v/>
      </c>
      <c r="AA252" s="10">
        <f>'02_Данные'!F252+'02_Данные'!G252</f>
        <v/>
      </c>
      <c r="AB252" s="10">
        <f>MIN('02_Данные'!L252,AA252)</f>
        <v/>
      </c>
      <c r="AC252" s="10">
        <f>AA252-AB252</f>
        <v/>
      </c>
      <c r="AD252" s="10">
        <f>MIN('02_Данные'!M252,AC252)</f>
        <v/>
      </c>
      <c r="AE252" s="10">
        <f>AC252-AD252</f>
        <v/>
      </c>
      <c r="AF252" s="10">
        <f>MIN('02_Данные'!N252,AE252)</f>
        <v/>
      </c>
      <c r="AG252" s="10">
        <f>AE252-AF252</f>
        <v/>
      </c>
      <c r="AH252" s="10">
        <f>MIN('02_Данные'!S252,AG252)</f>
        <v/>
      </c>
      <c r="AI252" s="10">
        <f>AG252-AH252</f>
        <v/>
      </c>
      <c r="AJ252" s="10">
        <f>MIN('02_Данные'!P252,AI252)</f>
        <v/>
      </c>
      <c r="AK252" s="10">
        <f>AI252-AJ252</f>
        <v/>
      </c>
      <c r="AL252" s="10">
        <f>MIN('02_Данные'!O252,AK252)</f>
        <v/>
      </c>
      <c r="AM252" s="10">
        <f>AK252-AL252</f>
        <v/>
      </c>
      <c r="AN252" s="10">
        <f>MIN('02_Данные'!Q252,AM252)</f>
        <v/>
      </c>
      <c r="AO252" s="10">
        <f>AM252-AN252</f>
        <v/>
      </c>
      <c r="AP252" s="10">
        <f>MIN('02_Данные'!R252,AO252)</f>
        <v/>
      </c>
      <c r="AQ252" s="10">
        <f>AO252-AP252</f>
        <v/>
      </c>
      <c r="AR252" s="10">
        <f>AQ252+'02_Данные'!H252</f>
        <v/>
      </c>
      <c r="AS252" s="10">
        <f>MIN('02_Данные'!T252,AR252)</f>
        <v/>
      </c>
      <c r="AT252" s="10">
        <f>AR252-AS252</f>
        <v/>
      </c>
      <c r="AU252" s="10">
        <f>MIN('02_Данные'!U252,AT252)</f>
        <v/>
      </c>
      <c r="AV252" s="10">
        <f>AT252-AU252</f>
        <v/>
      </c>
      <c r="AW252" s="10">
        <f>MIN('02_Данные'!V252,AV252)</f>
        <v/>
      </c>
      <c r="AX252" s="10">
        <f>AV252-AW252</f>
        <v/>
      </c>
      <c r="AY252" s="10">
        <f>MIN('02_Данные'!AA252,AX252)</f>
        <v/>
      </c>
      <c r="AZ252" s="10">
        <f>AX252-AY252</f>
        <v/>
      </c>
      <c r="BA252" s="10">
        <f>MIN('02_Данные'!X252,AZ252)</f>
        <v/>
      </c>
      <c r="BB252" s="10">
        <f>AZ252-BA252</f>
        <v/>
      </c>
      <c r="BC252" s="10">
        <f>MIN('02_Данные'!W252,BB252)</f>
        <v/>
      </c>
      <c r="BD252" s="10">
        <f>BB252-BC252</f>
        <v/>
      </c>
      <c r="BE252" s="10">
        <f>MIN('02_Данные'!Y252,BD252)</f>
        <v/>
      </c>
      <c r="BF252" s="10">
        <f>BD252-BE252</f>
        <v/>
      </c>
      <c r="BG252" s="10">
        <f>MIN('02_Данные'!Z252,BF252)</f>
        <v/>
      </c>
      <c r="BH252" s="10">
        <f>BF252-BG252</f>
        <v/>
      </c>
      <c r="BI252" s="10">
        <f>BH252+'02_Данные'!I252</f>
        <v/>
      </c>
      <c r="BJ252" s="10">
        <f>MIN('02_Данные'!AB252,BI252)</f>
        <v/>
      </c>
      <c r="BK252" s="10">
        <f>BI252-BJ252</f>
        <v/>
      </c>
      <c r="BL252" s="10">
        <f>MIN('02_Данные'!AC252,BK252)</f>
        <v/>
      </c>
      <c r="BM252" s="10">
        <f>BK252-BL252</f>
        <v/>
      </c>
      <c r="BN252" s="10">
        <f>MIN('02_Данные'!AD252,BM252)</f>
        <v/>
      </c>
      <c r="BO252" s="10">
        <f>BM252-BN252</f>
        <v/>
      </c>
      <c r="BP252" s="10">
        <f>MIN('02_Данные'!AI252,BO252)</f>
        <v/>
      </c>
      <c r="BQ252" s="10">
        <f>BO252-BP252</f>
        <v/>
      </c>
      <c r="BR252" s="10">
        <f>MIN('02_Данные'!AF252,BQ252)</f>
        <v/>
      </c>
      <c r="BS252" s="10">
        <f>BQ252-BR252</f>
        <v/>
      </c>
      <c r="BT252" s="10">
        <f>MIN('02_Данные'!AE252,BS252)</f>
        <v/>
      </c>
      <c r="BU252" s="10">
        <f>BS252-BT252</f>
        <v/>
      </c>
      <c r="BV252" s="10">
        <f>MIN('02_Данные'!AG252,BU252)</f>
        <v/>
      </c>
      <c r="BW252" s="10">
        <f>BU252-BV252</f>
        <v/>
      </c>
      <c r="BX252" s="10">
        <f>MIN('02_Данные'!AH252,BW252)</f>
        <v/>
      </c>
      <c r="BY252" s="10">
        <f>BW252-BX252</f>
        <v/>
      </c>
      <c r="BZ252" s="10">
        <f>BY252+'02_Данные'!J252</f>
        <v/>
      </c>
      <c r="CA252" s="10">
        <f>MIN('02_Данные'!AJ252,BZ252)</f>
        <v/>
      </c>
      <c r="CB252" s="10">
        <f>BZ252-CA252</f>
        <v/>
      </c>
      <c r="CC252" s="10">
        <f>MIN('02_Данные'!AK252,CB252)</f>
        <v/>
      </c>
      <c r="CD252" s="10">
        <f>CB252-CC252</f>
        <v/>
      </c>
      <c r="CE252" s="10">
        <f>MIN('02_Данные'!AL252,CD252)</f>
        <v/>
      </c>
      <c r="CF252" s="10">
        <f>CD252-CE252</f>
        <v/>
      </c>
      <c r="CG252" s="10">
        <f>MIN('02_Данные'!AQ252,CF252)</f>
        <v/>
      </c>
      <c r="CH252" s="10">
        <f>CF252-CG252</f>
        <v/>
      </c>
      <c r="CI252" s="10">
        <f>MIN('02_Данные'!AN252,CH252)</f>
        <v/>
      </c>
      <c r="CJ252" s="10">
        <f>CH252-CI252</f>
        <v/>
      </c>
      <c r="CK252" s="10">
        <f>MIN('02_Данные'!AM252,CJ252)</f>
        <v/>
      </c>
      <c r="CL252" s="10">
        <f>CJ252-CK252</f>
        <v/>
      </c>
      <c r="CM252" s="10">
        <f>MIN('02_Данные'!AO252,CL252)</f>
        <v/>
      </c>
      <c r="CN252" s="10">
        <f>CL252-CM252</f>
        <v/>
      </c>
      <c r="CO252" s="10">
        <f>MIN('02_Данные'!AP252,CN252)</f>
        <v/>
      </c>
      <c r="CP252" s="10">
        <f>CN252-CO252</f>
        <v/>
      </c>
      <c r="CQ252" s="10">
        <f>CP252+'02_Данные'!K252</f>
        <v/>
      </c>
      <c r="CR252" s="10">
        <f>MIN('02_Данные'!AR252,CQ252)</f>
        <v/>
      </c>
      <c r="CS252" s="10">
        <f>CQ252-CR252</f>
        <v/>
      </c>
      <c r="CT252" s="10">
        <f>MIN('02_Данные'!AS252,CS252)</f>
        <v/>
      </c>
      <c r="CU252" s="10">
        <f>CS252-CT252</f>
        <v/>
      </c>
      <c r="CV252" s="10">
        <f>MIN('02_Данные'!AT252,CU252)</f>
        <v/>
      </c>
      <c r="CW252" s="10">
        <f>CU252-CV252</f>
        <v/>
      </c>
      <c r="CX252" s="10">
        <f>MIN('02_Данные'!AY252,CW252)</f>
        <v/>
      </c>
      <c r="CY252" s="10">
        <f>CW252-CX252</f>
        <v/>
      </c>
      <c r="CZ252" s="10">
        <f>MIN('02_Данные'!AV252,CY252)</f>
        <v/>
      </c>
      <c r="DA252" s="10">
        <f>CY252-CZ252</f>
        <v/>
      </c>
      <c r="DB252" s="10">
        <f>MIN('02_Данные'!AU252,DA252)</f>
        <v/>
      </c>
      <c r="DC252" s="10">
        <f>DA252-DB252</f>
        <v/>
      </c>
      <c r="DD252" s="10">
        <f>MIN('02_Данные'!AW252,DC252)</f>
        <v/>
      </c>
      <c r="DE252" s="10">
        <f>DC252-DD252</f>
        <v/>
      </c>
      <c r="DF252" s="10">
        <f>MIN('02_Данные'!AX252,DE252)</f>
        <v/>
      </c>
      <c r="DG252" s="10">
        <f>DE252-DF252</f>
        <v/>
      </c>
    </row>
    <row r="253">
      <c r="A253" s="9">
        <f>'02_Данные'!B253</f>
        <v/>
      </c>
      <c r="B253" s="9">
        <f>'02_Данные'!E253</f>
        <v/>
      </c>
      <c r="C253" s="10">
        <f>'02_Данные'!F253+'02_Данные'!G253+'02_Данные'!H253+'02_Данные'!I253+'02_Данные'!J253+'02_Данные'!K253</f>
        <v/>
      </c>
      <c r="D253" s="10">
        <f>SUM('02_Данные'!L253:'02_Данные'!AY253)</f>
        <v/>
      </c>
      <c r="E253" s="10">
        <f>MAX(0,D253-C253)</f>
        <v/>
      </c>
      <c r="F253" s="15">
        <f>IF(E253&gt;0.0001,"ДЕФИЦИТ",IF(Y253&gt;0.0001,"ПРОФИЦИТ","БАЛАНС"))</f>
        <v/>
      </c>
      <c r="G253" s="10">
        <f>AB253+AS253+BJ253+CA253+CR253</f>
        <v/>
      </c>
      <c r="H253" s="10">
        <f>AD253+AU253+BL253+CC253+CT253</f>
        <v/>
      </c>
      <c r="I253" s="10">
        <f>AF253+AW253+BN253+CE253+CV253</f>
        <v/>
      </c>
      <c r="J253" s="10">
        <f>AL253+BC253+BT253+CK253+DB253</f>
        <v/>
      </c>
      <c r="K253" s="10">
        <f>AJ253+BA253+BR253+CI253+CZ253</f>
        <v/>
      </c>
      <c r="L253" s="10">
        <f>AN253+BE253+BV253+CM253+DD253</f>
        <v/>
      </c>
      <c r="M253" s="10">
        <f>AP253+BG253+BX253+CO253+DF253</f>
        <v/>
      </c>
      <c r="N253" s="10">
        <f>AH253+AY253+BP253+CG253+CX253</f>
        <v/>
      </c>
      <c r="O253" s="10">
        <f>SUM(G253:N253)</f>
        <v/>
      </c>
      <c r="P253" s="10">
        <f>IFERROR(G253*MIN(1,'01_Нормативы'!$C$4/SUM(G$2:G$429)),0)</f>
        <v/>
      </c>
      <c r="Q253" s="10">
        <f>IFERROR(H253*MIN(1,'01_Нормативы'!$C$5/SUM(H$2:H$429)),0)</f>
        <v/>
      </c>
      <c r="R253" s="10">
        <f>IFERROR(I253*MIN(1,'01_Нормативы'!$C$6/SUM(I$2:I$429)),0)</f>
        <v/>
      </c>
      <c r="S253" s="10">
        <f>IFERROR(J253*MIN(1,'01_Нормативы'!$C$7/SUM(J$2:J$429)),0)</f>
        <v/>
      </c>
      <c r="T253" s="10">
        <f>IFERROR(K253*MIN(1,'01_Нормативы'!$C$8/SUM(K$2:K$429)),0)</f>
        <v/>
      </c>
      <c r="U253" s="10">
        <f>IFERROR(L253*MIN(1,'01_Нормативы'!$C$9/SUM(L$2:L$429)),0)</f>
        <v/>
      </c>
      <c r="V253" s="10">
        <f>IFERROR(M253*MIN(1,'01_Нормативы'!$C$10/SUM(M$2:M$429)),0)</f>
        <v/>
      </c>
      <c r="W253" s="10">
        <f>IFERROR(N253*MIN(1,'01_Нормативы'!$C$11/SUM(N$2:N$429)),0)</f>
        <v/>
      </c>
      <c r="X253" s="10">
        <f>SUM(P253:W253)</f>
        <v/>
      </c>
      <c r="Y253" s="10">
        <f>MAX(0,C253-X253)</f>
        <v/>
      </c>
      <c r="Z253" s="10">
        <f>IF(D253=0,100,X253/D253*100)</f>
        <v/>
      </c>
      <c r="AA253" s="10">
        <f>'02_Данные'!F253+'02_Данные'!G253</f>
        <v/>
      </c>
      <c r="AB253" s="10">
        <f>MIN('02_Данные'!L253,AA253)</f>
        <v/>
      </c>
      <c r="AC253" s="10">
        <f>AA253-AB253</f>
        <v/>
      </c>
      <c r="AD253" s="10">
        <f>MIN('02_Данные'!M253,AC253)</f>
        <v/>
      </c>
      <c r="AE253" s="10">
        <f>AC253-AD253</f>
        <v/>
      </c>
      <c r="AF253" s="10">
        <f>MIN('02_Данные'!N253,AE253)</f>
        <v/>
      </c>
      <c r="AG253" s="10">
        <f>AE253-AF253</f>
        <v/>
      </c>
      <c r="AH253" s="10">
        <f>MIN('02_Данные'!S253,AG253)</f>
        <v/>
      </c>
      <c r="AI253" s="10">
        <f>AG253-AH253</f>
        <v/>
      </c>
      <c r="AJ253" s="10">
        <f>MIN('02_Данные'!P253,AI253)</f>
        <v/>
      </c>
      <c r="AK253" s="10">
        <f>AI253-AJ253</f>
        <v/>
      </c>
      <c r="AL253" s="10">
        <f>MIN('02_Данные'!O253,AK253)</f>
        <v/>
      </c>
      <c r="AM253" s="10">
        <f>AK253-AL253</f>
        <v/>
      </c>
      <c r="AN253" s="10">
        <f>MIN('02_Данные'!Q253,AM253)</f>
        <v/>
      </c>
      <c r="AO253" s="10">
        <f>AM253-AN253</f>
        <v/>
      </c>
      <c r="AP253" s="10">
        <f>MIN('02_Данные'!R253,AO253)</f>
        <v/>
      </c>
      <c r="AQ253" s="10">
        <f>AO253-AP253</f>
        <v/>
      </c>
      <c r="AR253" s="10">
        <f>AQ253+'02_Данные'!H253</f>
        <v/>
      </c>
      <c r="AS253" s="10">
        <f>MIN('02_Данные'!T253,AR253)</f>
        <v/>
      </c>
      <c r="AT253" s="10">
        <f>AR253-AS253</f>
        <v/>
      </c>
      <c r="AU253" s="10">
        <f>MIN('02_Данные'!U253,AT253)</f>
        <v/>
      </c>
      <c r="AV253" s="10">
        <f>AT253-AU253</f>
        <v/>
      </c>
      <c r="AW253" s="10">
        <f>MIN('02_Данные'!V253,AV253)</f>
        <v/>
      </c>
      <c r="AX253" s="10">
        <f>AV253-AW253</f>
        <v/>
      </c>
      <c r="AY253" s="10">
        <f>MIN('02_Данные'!AA253,AX253)</f>
        <v/>
      </c>
      <c r="AZ253" s="10">
        <f>AX253-AY253</f>
        <v/>
      </c>
      <c r="BA253" s="10">
        <f>MIN('02_Данные'!X253,AZ253)</f>
        <v/>
      </c>
      <c r="BB253" s="10">
        <f>AZ253-BA253</f>
        <v/>
      </c>
      <c r="BC253" s="10">
        <f>MIN('02_Данные'!W253,BB253)</f>
        <v/>
      </c>
      <c r="BD253" s="10">
        <f>BB253-BC253</f>
        <v/>
      </c>
      <c r="BE253" s="10">
        <f>MIN('02_Данные'!Y253,BD253)</f>
        <v/>
      </c>
      <c r="BF253" s="10">
        <f>BD253-BE253</f>
        <v/>
      </c>
      <c r="BG253" s="10">
        <f>MIN('02_Данные'!Z253,BF253)</f>
        <v/>
      </c>
      <c r="BH253" s="10">
        <f>BF253-BG253</f>
        <v/>
      </c>
      <c r="BI253" s="10">
        <f>BH253+'02_Данные'!I253</f>
        <v/>
      </c>
      <c r="BJ253" s="10">
        <f>MIN('02_Данные'!AB253,BI253)</f>
        <v/>
      </c>
      <c r="BK253" s="10">
        <f>BI253-BJ253</f>
        <v/>
      </c>
      <c r="BL253" s="10">
        <f>MIN('02_Данные'!AC253,BK253)</f>
        <v/>
      </c>
      <c r="BM253" s="10">
        <f>BK253-BL253</f>
        <v/>
      </c>
      <c r="BN253" s="10">
        <f>MIN('02_Данные'!AD253,BM253)</f>
        <v/>
      </c>
      <c r="BO253" s="10">
        <f>BM253-BN253</f>
        <v/>
      </c>
      <c r="BP253" s="10">
        <f>MIN('02_Данные'!AI253,BO253)</f>
        <v/>
      </c>
      <c r="BQ253" s="10">
        <f>BO253-BP253</f>
        <v/>
      </c>
      <c r="BR253" s="10">
        <f>MIN('02_Данные'!AF253,BQ253)</f>
        <v/>
      </c>
      <c r="BS253" s="10">
        <f>BQ253-BR253</f>
        <v/>
      </c>
      <c r="BT253" s="10">
        <f>MIN('02_Данные'!AE253,BS253)</f>
        <v/>
      </c>
      <c r="BU253" s="10">
        <f>BS253-BT253</f>
        <v/>
      </c>
      <c r="BV253" s="10">
        <f>MIN('02_Данные'!AG253,BU253)</f>
        <v/>
      </c>
      <c r="BW253" s="10">
        <f>BU253-BV253</f>
        <v/>
      </c>
      <c r="BX253" s="10">
        <f>MIN('02_Данные'!AH253,BW253)</f>
        <v/>
      </c>
      <c r="BY253" s="10">
        <f>BW253-BX253</f>
        <v/>
      </c>
      <c r="BZ253" s="10">
        <f>BY253+'02_Данные'!J253</f>
        <v/>
      </c>
      <c r="CA253" s="10">
        <f>MIN('02_Данные'!AJ253,BZ253)</f>
        <v/>
      </c>
      <c r="CB253" s="10">
        <f>BZ253-CA253</f>
        <v/>
      </c>
      <c r="CC253" s="10">
        <f>MIN('02_Данные'!AK253,CB253)</f>
        <v/>
      </c>
      <c r="CD253" s="10">
        <f>CB253-CC253</f>
        <v/>
      </c>
      <c r="CE253" s="10">
        <f>MIN('02_Данные'!AL253,CD253)</f>
        <v/>
      </c>
      <c r="CF253" s="10">
        <f>CD253-CE253</f>
        <v/>
      </c>
      <c r="CG253" s="10">
        <f>MIN('02_Данные'!AQ253,CF253)</f>
        <v/>
      </c>
      <c r="CH253" s="10">
        <f>CF253-CG253</f>
        <v/>
      </c>
      <c r="CI253" s="10">
        <f>MIN('02_Данные'!AN253,CH253)</f>
        <v/>
      </c>
      <c r="CJ253" s="10">
        <f>CH253-CI253</f>
        <v/>
      </c>
      <c r="CK253" s="10">
        <f>MIN('02_Данные'!AM253,CJ253)</f>
        <v/>
      </c>
      <c r="CL253" s="10">
        <f>CJ253-CK253</f>
        <v/>
      </c>
      <c r="CM253" s="10">
        <f>MIN('02_Данные'!AO253,CL253)</f>
        <v/>
      </c>
      <c r="CN253" s="10">
        <f>CL253-CM253</f>
        <v/>
      </c>
      <c r="CO253" s="10">
        <f>MIN('02_Данные'!AP253,CN253)</f>
        <v/>
      </c>
      <c r="CP253" s="10">
        <f>CN253-CO253</f>
        <v/>
      </c>
      <c r="CQ253" s="10">
        <f>CP253+'02_Данные'!K253</f>
        <v/>
      </c>
      <c r="CR253" s="10">
        <f>MIN('02_Данные'!AR253,CQ253)</f>
        <v/>
      </c>
      <c r="CS253" s="10">
        <f>CQ253-CR253</f>
        <v/>
      </c>
      <c r="CT253" s="10">
        <f>MIN('02_Данные'!AS253,CS253)</f>
        <v/>
      </c>
      <c r="CU253" s="10">
        <f>CS253-CT253</f>
        <v/>
      </c>
      <c r="CV253" s="10">
        <f>MIN('02_Данные'!AT253,CU253)</f>
        <v/>
      </c>
      <c r="CW253" s="10">
        <f>CU253-CV253</f>
        <v/>
      </c>
      <c r="CX253" s="10">
        <f>MIN('02_Данные'!AY253,CW253)</f>
        <v/>
      </c>
      <c r="CY253" s="10">
        <f>CW253-CX253</f>
        <v/>
      </c>
      <c r="CZ253" s="10">
        <f>MIN('02_Данные'!AV253,CY253)</f>
        <v/>
      </c>
      <c r="DA253" s="10">
        <f>CY253-CZ253</f>
        <v/>
      </c>
      <c r="DB253" s="10">
        <f>MIN('02_Данные'!AU253,DA253)</f>
        <v/>
      </c>
      <c r="DC253" s="10">
        <f>DA253-DB253</f>
        <v/>
      </c>
      <c r="DD253" s="10">
        <f>MIN('02_Данные'!AW253,DC253)</f>
        <v/>
      </c>
      <c r="DE253" s="10">
        <f>DC253-DD253</f>
        <v/>
      </c>
      <c r="DF253" s="10">
        <f>MIN('02_Данные'!AX253,DE253)</f>
        <v/>
      </c>
      <c r="DG253" s="10">
        <f>DE253-DF253</f>
        <v/>
      </c>
    </row>
    <row r="254">
      <c r="A254" s="9">
        <f>'02_Данные'!B254</f>
        <v/>
      </c>
      <c r="B254" s="9">
        <f>'02_Данные'!E254</f>
        <v/>
      </c>
      <c r="C254" s="10">
        <f>'02_Данные'!F254+'02_Данные'!G254+'02_Данные'!H254+'02_Данные'!I254+'02_Данные'!J254+'02_Данные'!K254</f>
        <v/>
      </c>
      <c r="D254" s="10">
        <f>SUM('02_Данные'!L254:'02_Данные'!AY254)</f>
        <v/>
      </c>
      <c r="E254" s="10">
        <f>MAX(0,D254-C254)</f>
        <v/>
      </c>
      <c r="F254" s="15">
        <f>IF(E254&gt;0.0001,"ДЕФИЦИТ",IF(Y254&gt;0.0001,"ПРОФИЦИТ","БАЛАНС"))</f>
        <v/>
      </c>
      <c r="G254" s="10">
        <f>AB254+AS254+BJ254+CA254+CR254</f>
        <v/>
      </c>
      <c r="H254" s="10">
        <f>AD254+AU254+BL254+CC254+CT254</f>
        <v/>
      </c>
      <c r="I254" s="10">
        <f>AF254+AW254+BN254+CE254+CV254</f>
        <v/>
      </c>
      <c r="J254" s="10">
        <f>AL254+BC254+BT254+CK254+DB254</f>
        <v/>
      </c>
      <c r="K254" s="10">
        <f>AJ254+BA254+BR254+CI254+CZ254</f>
        <v/>
      </c>
      <c r="L254" s="10">
        <f>AN254+BE254+BV254+CM254+DD254</f>
        <v/>
      </c>
      <c r="M254" s="10">
        <f>AP254+BG254+BX254+CO254+DF254</f>
        <v/>
      </c>
      <c r="N254" s="10">
        <f>AH254+AY254+BP254+CG254+CX254</f>
        <v/>
      </c>
      <c r="O254" s="10">
        <f>SUM(G254:N254)</f>
        <v/>
      </c>
      <c r="P254" s="10">
        <f>IFERROR(G254*MIN(1,'01_Нормативы'!$C$4/SUM(G$2:G$429)),0)</f>
        <v/>
      </c>
      <c r="Q254" s="10">
        <f>IFERROR(H254*MIN(1,'01_Нормативы'!$C$5/SUM(H$2:H$429)),0)</f>
        <v/>
      </c>
      <c r="R254" s="10">
        <f>IFERROR(I254*MIN(1,'01_Нормативы'!$C$6/SUM(I$2:I$429)),0)</f>
        <v/>
      </c>
      <c r="S254" s="10">
        <f>IFERROR(J254*MIN(1,'01_Нормативы'!$C$7/SUM(J$2:J$429)),0)</f>
        <v/>
      </c>
      <c r="T254" s="10">
        <f>IFERROR(K254*MIN(1,'01_Нормативы'!$C$8/SUM(K$2:K$429)),0)</f>
        <v/>
      </c>
      <c r="U254" s="10">
        <f>IFERROR(L254*MIN(1,'01_Нормативы'!$C$9/SUM(L$2:L$429)),0)</f>
        <v/>
      </c>
      <c r="V254" s="10">
        <f>IFERROR(M254*MIN(1,'01_Нормативы'!$C$10/SUM(M$2:M$429)),0)</f>
        <v/>
      </c>
      <c r="W254" s="10">
        <f>IFERROR(N254*MIN(1,'01_Нормативы'!$C$11/SUM(N$2:N$429)),0)</f>
        <v/>
      </c>
      <c r="X254" s="10">
        <f>SUM(P254:W254)</f>
        <v/>
      </c>
      <c r="Y254" s="10">
        <f>MAX(0,C254-X254)</f>
        <v/>
      </c>
      <c r="Z254" s="10">
        <f>IF(D254=0,100,X254/D254*100)</f>
        <v/>
      </c>
      <c r="AA254" s="10">
        <f>'02_Данные'!F254+'02_Данные'!G254</f>
        <v/>
      </c>
      <c r="AB254" s="10">
        <f>MIN('02_Данные'!L254,AA254)</f>
        <v/>
      </c>
      <c r="AC254" s="10">
        <f>AA254-AB254</f>
        <v/>
      </c>
      <c r="AD254" s="10">
        <f>MIN('02_Данные'!M254,AC254)</f>
        <v/>
      </c>
      <c r="AE254" s="10">
        <f>AC254-AD254</f>
        <v/>
      </c>
      <c r="AF254" s="10">
        <f>MIN('02_Данные'!N254,AE254)</f>
        <v/>
      </c>
      <c r="AG254" s="10">
        <f>AE254-AF254</f>
        <v/>
      </c>
      <c r="AH254" s="10">
        <f>MIN('02_Данные'!S254,AG254)</f>
        <v/>
      </c>
      <c r="AI254" s="10">
        <f>AG254-AH254</f>
        <v/>
      </c>
      <c r="AJ254" s="10">
        <f>MIN('02_Данные'!P254,AI254)</f>
        <v/>
      </c>
      <c r="AK254" s="10">
        <f>AI254-AJ254</f>
        <v/>
      </c>
      <c r="AL254" s="10">
        <f>MIN('02_Данные'!O254,AK254)</f>
        <v/>
      </c>
      <c r="AM254" s="10">
        <f>AK254-AL254</f>
        <v/>
      </c>
      <c r="AN254" s="10">
        <f>MIN('02_Данные'!Q254,AM254)</f>
        <v/>
      </c>
      <c r="AO254" s="10">
        <f>AM254-AN254</f>
        <v/>
      </c>
      <c r="AP254" s="10">
        <f>MIN('02_Данные'!R254,AO254)</f>
        <v/>
      </c>
      <c r="AQ254" s="10">
        <f>AO254-AP254</f>
        <v/>
      </c>
      <c r="AR254" s="10">
        <f>AQ254+'02_Данные'!H254</f>
        <v/>
      </c>
      <c r="AS254" s="10">
        <f>MIN('02_Данные'!T254,AR254)</f>
        <v/>
      </c>
      <c r="AT254" s="10">
        <f>AR254-AS254</f>
        <v/>
      </c>
      <c r="AU254" s="10">
        <f>MIN('02_Данные'!U254,AT254)</f>
        <v/>
      </c>
      <c r="AV254" s="10">
        <f>AT254-AU254</f>
        <v/>
      </c>
      <c r="AW254" s="10">
        <f>MIN('02_Данные'!V254,AV254)</f>
        <v/>
      </c>
      <c r="AX254" s="10">
        <f>AV254-AW254</f>
        <v/>
      </c>
      <c r="AY254" s="10">
        <f>MIN('02_Данные'!AA254,AX254)</f>
        <v/>
      </c>
      <c r="AZ254" s="10">
        <f>AX254-AY254</f>
        <v/>
      </c>
      <c r="BA254" s="10">
        <f>MIN('02_Данные'!X254,AZ254)</f>
        <v/>
      </c>
      <c r="BB254" s="10">
        <f>AZ254-BA254</f>
        <v/>
      </c>
      <c r="BC254" s="10">
        <f>MIN('02_Данные'!W254,BB254)</f>
        <v/>
      </c>
      <c r="BD254" s="10">
        <f>BB254-BC254</f>
        <v/>
      </c>
      <c r="BE254" s="10">
        <f>MIN('02_Данные'!Y254,BD254)</f>
        <v/>
      </c>
      <c r="BF254" s="10">
        <f>BD254-BE254</f>
        <v/>
      </c>
      <c r="BG254" s="10">
        <f>MIN('02_Данные'!Z254,BF254)</f>
        <v/>
      </c>
      <c r="BH254" s="10">
        <f>BF254-BG254</f>
        <v/>
      </c>
      <c r="BI254" s="10">
        <f>BH254+'02_Данные'!I254</f>
        <v/>
      </c>
      <c r="BJ254" s="10">
        <f>MIN('02_Данные'!AB254,BI254)</f>
        <v/>
      </c>
      <c r="BK254" s="10">
        <f>BI254-BJ254</f>
        <v/>
      </c>
      <c r="BL254" s="10">
        <f>MIN('02_Данные'!AC254,BK254)</f>
        <v/>
      </c>
      <c r="BM254" s="10">
        <f>BK254-BL254</f>
        <v/>
      </c>
      <c r="BN254" s="10">
        <f>MIN('02_Данные'!AD254,BM254)</f>
        <v/>
      </c>
      <c r="BO254" s="10">
        <f>BM254-BN254</f>
        <v/>
      </c>
      <c r="BP254" s="10">
        <f>MIN('02_Данные'!AI254,BO254)</f>
        <v/>
      </c>
      <c r="BQ254" s="10">
        <f>BO254-BP254</f>
        <v/>
      </c>
      <c r="BR254" s="10">
        <f>MIN('02_Данные'!AF254,BQ254)</f>
        <v/>
      </c>
      <c r="BS254" s="10">
        <f>BQ254-BR254</f>
        <v/>
      </c>
      <c r="BT254" s="10">
        <f>MIN('02_Данные'!AE254,BS254)</f>
        <v/>
      </c>
      <c r="BU254" s="10">
        <f>BS254-BT254</f>
        <v/>
      </c>
      <c r="BV254" s="10">
        <f>MIN('02_Данные'!AG254,BU254)</f>
        <v/>
      </c>
      <c r="BW254" s="10">
        <f>BU254-BV254</f>
        <v/>
      </c>
      <c r="BX254" s="10">
        <f>MIN('02_Данные'!AH254,BW254)</f>
        <v/>
      </c>
      <c r="BY254" s="10">
        <f>BW254-BX254</f>
        <v/>
      </c>
      <c r="BZ254" s="10">
        <f>BY254+'02_Данные'!J254</f>
        <v/>
      </c>
      <c r="CA254" s="10">
        <f>MIN('02_Данные'!AJ254,BZ254)</f>
        <v/>
      </c>
      <c r="CB254" s="10">
        <f>BZ254-CA254</f>
        <v/>
      </c>
      <c r="CC254" s="10">
        <f>MIN('02_Данные'!AK254,CB254)</f>
        <v/>
      </c>
      <c r="CD254" s="10">
        <f>CB254-CC254</f>
        <v/>
      </c>
      <c r="CE254" s="10">
        <f>MIN('02_Данные'!AL254,CD254)</f>
        <v/>
      </c>
      <c r="CF254" s="10">
        <f>CD254-CE254</f>
        <v/>
      </c>
      <c r="CG254" s="10">
        <f>MIN('02_Данные'!AQ254,CF254)</f>
        <v/>
      </c>
      <c r="CH254" s="10">
        <f>CF254-CG254</f>
        <v/>
      </c>
      <c r="CI254" s="10">
        <f>MIN('02_Данные'!AN254,CH254)</f>
        <v/>
      </c>
      <c r="CJ254" s="10">
        <f>CH254-CI254</f>
        <v/>
      </c>
      <c r="CK254" s="10">
        <f>MIN('02_Данные'!AM254,CJ254)</f>
        <v/>
      </c>
      <c r="CL254" s="10">
        <f>CJ254-CK254</f>
        <v/>
      </c>
      <c r="CM254" s="10">
        <f>MIN('02_Данные'!AO254,CL254)</f>
        <v/>
      </c>
      <c r="CN254" s="10">
        <f>CL254-CM254</f>
        <v/>
      </c>
      <c r="CO254" s="10">
        <f>MIN('02_Данные'!AP254,CN254)</f>
        <v/>
      </c>
      <c r="CP254" s="10">
        <f>CN254-CO254</f>
        <v/>
      </c>
      <c r="CQ254" s="10">
        <f>CP254+'02_Данные'!K254</f>
        <v/>
      </c>
      <c r="CR254" s="10">
        <f>MIN('02_Данные'!AR254,CQ254)</f>
        <v/>
      </c>
      <c r="CS254" s="10">
        <f>CQ254-CR254</f>
        <v/>
      </c>
      <c r="CT254" s="10">
        <f>MIN('02_Данные'!AS254,CS254)</f>
        <v/>
      </c>
      <c r="CU254" s="10">
        <f>CS254-CT254</f>
        <v/>
      </c>
      <c r="CV254" s="10">
        <f>MIN('02_Данные'!AT254,CU254)</f>
        <v/>
      </c>
      <c r="CW254" s="10">
        <f>CU254-CV254</f>
        <v/>
      </c>
      <c r="CX254" s="10">
        <f>MIN('02_Данные'!AY254,CW254)</f>
        <v/>
      </c>
      <c r="CY254" s="10">
        <f>CW254-CX254</f>
        <v/>
      </c>
      <c r="CZ254" s="10">
        <f>MIN('02_Данные'!AV254,CY254)</f>
        <v/>
      </c>
      <c r="DA254" s="10">
        <f>CY254-CZ254</f>
        <v/>
      </c>
      <c r="DB254" s="10">
        <f>MIN('02_Данные'!AU254,DA254)</f>
        <v/>
      </c>
      <c r="DC254" s="10">
        <f>DA254-DB254</f>
        <v/>
      </c>
      <c r="DD254" s="10">
        <f>MIN('02_Данные'!AW254,DC254)</f>
        <v/>
      </c>
      <c r="DE254" s="10">
        <f>DC254-DD254</f>
        <v/>
      </c>
      <c r="DF254" s="10">
        <f>MIN('02_Данные'!AX254,DE254)</f>
        <v/>
      </c>
      <c r="DG254" s="10">
        <f>DE254-DF254</f>
        <v/>
      </c>
    </row>
    <row r="255">
      <c r="A255" s="9">
        <f>'02_Данные'!B255</f>
        <v/>
      </c>
      <c r="B255" s="9">
        <f>'02_Данные'!E255</f>
        <v/>
      </c>
      <c r="C255" s="10">
        <f>'02_Данные'!F255+'02_Данные'!G255+'02_Данные'!H255+'02_Данные'!I255+'02_Данные'!J255+'02_Данные'!K255</f>
        <v/>
      </c>
      <c r="D255" s="10">
        <f>SUM('02_Данные'!L255:'02_Данные'!AY255)</f>
        <v/>
      </c>
      <c r="E255" s="10">
        <f>MAX(0,D255-C255)</f>
        <v/>
      </c>
      <c r="F255" s="15">
        <f>IF(E255&gt;0.0001,"ДЕФИЦИТ",IF(Y255&gt;0.0001,"ПРОФИЦИТ","БАЛАНС"))</f>
        <v/>
      </c>
      <c r="G255" s="10">
        <f>AB255+AS255+BJ255+CA255+CR255</f>
        <v/>
      </c>
      <c r="H255" s="10">
        <f>AD255+AU255+BL255+CC255+CT255</f>
        <v/>
      </c>
      <c r="I255" s="10">
        <f>AF255+AW255+BN255+CE255+CV255</f>
        <v/>
      </c>
      <c r="J255" s="10">
        <f>AL255+BC255+BT255+CK255+DB255</f>
        <v/>
      </c>
      <c r="K255" s="10">
        <f>AJ255+BA255+BR255+CI255+CZ255</f>
        <v/>
      </c>
      <c r="L255" s="10">
        <f>AN255+BE255+BV255+CM255+DD255</f>
        <v/>
      </c>
      <c r="M255" s="10">
        <f>AP255+BG255+BX255+CO255+DF255</f>
        <v/>
      </c>
      <c r="N255" s="10">
        <f>AH255+AY255+BP255+CG255+CX255</f>
        <v/>
      </c>
      <c r="O255" s="10">
        <f>SUM(G255:N255)</f>
        <v/>
      </c>
      <c r="P255" s="10">
        <f>IFERROR(G255*MIN(1,'01_Нормативы'!$C$4/SUM(G$2:G$429)),0)</f>
        <v/>
      </c>
      <c r="Q255" s="10">
        <f>IFERROR(H255*MIN(1,'01_Нормативы'!$C$5/SUM(H$2:H$429)),0)</f>
        <v/>
      </c>
      <c r="R255" s="10">
        <f>IFERROR(I255*MIN(1,'01_Нормативы'!$C$6/SUM(I$2:I$429)),0)</f>
        <v/>
      </c>
      <c r="S255" s="10">
        <f>IFERROR(J255*MIN(1,'01_Нормативы'!$C$7/SUM(J$2:J$429)),0)</f>
        <v/>
      </c>
      <c r="T255" s="10">
        <f>IFERROR(K255*MIN(1,'01_Нормативы'!$C$8/SUM(K$2:K$429)),0)</f>
        <v/>
      </c>
      <c r="U255" s="10">
        <f>IFERROR(L255*MIN(1,'01_Нормативы'!$C$9/SUM(L$2:L$429)),0)</f>
        <v/>
      </c>
      <c r="V255" s="10">
        <f>IFERROR(M255*MIN(1,'01_Нормативы'!$C$10/SUM(M$2:M$429)),0)</f>
        <v/>
      </c>
      <c r="W255" s="10">
        <f>IFERROR(N255*MIN(1,'01_Нормативы'!$C$11/SUM(N$2:N$429)),0)</f>
        <v/>
      </c>
      <c r="X255" s="10">
        <f>SUM(P255:W255)</f>
        <v/>
      </c>
      <c r="Y255" s="10">
        <f>MAX(0,C255-X255)</f>
        <v/>
      </c>
      <c r="Z255" s="10">
        <f>IF(D255=0,100,X255/D255*100)</f>
        <v/>
      </c>
      <c r="AA255" s="10">
        <f>'02_Данные'!F255+'02_Данные'!G255</f>
        <v/>
      </c>
      <c r="AB255" s="10">
        <f>MIN('02_Данные'!L255,AA255)</f>
        <v/>
      </c>
      <c r="AC255" s="10">
        <f>AA255-AB255</f>
        <v/>
      </c>
      <c r="AD255" s="10">
        <f>MIN('02_Данные'!M255,AC255)</f>
        <v/>
      </c>
      <c r="AE255" s="10">
        <f>AC255-AD255</f>
        <v/>
      </c>
      <c r="AF255" s="10">
        <f>MIN('02_Данные'!N255,AE255)</f>
        <v/>
      </c>
      <c r="AG255" s="10">
        <f>AE255-AF255</f>
        <v/>
      </c>
      <c r="AH255" s="10">
        <f>MIN('02_Данные'!S255,AG255)</f>
        <v/>
      </c>
      <c r="AI255" s="10">
        <f>AG255-AH255</f>
        <v/>
      </c>
      <c r="AJ255" s="10">
        <f>MIN('02_Данные'!P255,AI255)</f>
        <v/>
      </c>
      <c r="AK255" s="10">
        <f>AI255-AJ255</f>
        <v/>
      </c>
      <c r="AL255" s="10">
        <f>MIN('02_Данные'!O255,AK255)</f>
        <v/>
      </c>
      <c r="AM255" s="10">
        <f>AK255-AL255</f>
        <v/>
      </c>
      <c r="AN255" s="10">
        <f>MIN('02_Данные'!Q255,AM255)</f>
        <v/>
      </c>
      <c r="AO255" s="10">
        <f>AM255-AN255</f>
        <v/>
      </c>
      <c r="AP255" s="10">
        <f>MIN('02_Данные'!R255,AO255)</f>
        <v/>
      </c>
      <c r="AQ255" s="10">
        <f>AO255-AP255</f>
        <v/>
      </c>
      <c r="AR255" s="10">
        <f>AQ255+'02_Данные'!H255</f>
        <v/>
      </c>
      <c r="AS255" s="10">
        <f>MIN('02_Данные'!T255,AR255)</f>
        <v/>
      </c>
      <c r="AT255" s="10">
        <f>AR255-AS255</f>
        <v/>
      </c>
      <c r="AU255" s="10">
        <f>MIN('02_Данные'!U255,AT255)</f>
        <v/>
      </c>
      <c r="AV255" s="10">
        <f>AT255-AU255</f>
        <v/>
      </c>
      <c r="AW255" s="10">
        <f>MIN('02_Данные'!V255,AV255)</f>
        <v/>
      </c>
      <c r="AX255" s="10">
        <f>AV255-AW255</f>
        <v/>
      </c>
      <c r="AY255" s="10">
        <f>MIN('02_Данные'!AA255,AX255)</f>
        <v/>
      </c>
      <c r="AZ255" s="10">
        <f>AX255-AY255</f>
        <v/>
      </c>
      <c r="BA255" s="10">
        <f>MIN('02_Данные'!X255,AZ255)</f>
        <v/>
      </c>
      <c r="BB255" s="10">
        <f>AZ255-BA255</f>
        <v/>
      </c>
      <c r="BC255" s="10">
        <f>MIN('02_Данные'!W255,BB255)</f>
        <v/>
      </c>
      <c r="BD255" s="10">
        <f>BB255-BC255</f>
        <v/>
      </c>
      <c r="BE255" s="10">
        <f>MIN('02_Данные'!Y255,BD255)</f>
        <v/>
      </c>
      <c r="BF255" s="10">
        <f>BD255-BE255</f>
        <v/>
      </c>
      <c r="BG255" s="10">
        <f>MIN('02_Данные'!Z255,BF255)</f>
        <v/>
      </c>
      <c r="BH255" s="10">
        <f>BF255-BG255</f>
        <v/>
      </c>
      <c r="BI255" s="10">
        <f>BH255+'02_Данные'!I255</f>
        <v/>
      </c>
      <c r="BJ255" s="10">
        <f>MIN('02_Данные'!AB255,BI255)</f>
        <v/>
      </c>
      <c r="BK255" s="10">
        <f>BI255-BJ255</f>
        <v/>
      </c>
      <c r="BL255" s="10">
        <f>MIN('02_Данные'!AC255,BK255)</f>
        <v/>
      </c>
      <c r="BM255" s="10">
        <f>BK255-BL255</f>
        <v/>
      </c>
      <c r="BN255" s="10">
        <f>MIN('02_Данные'!AD255,BM255)</f>
        <v/>
      </c>
      <c r="BO255" s="10">
        <f>BM255-BN255</f>
        <v/>
      </c>
      <c r="BP255" s="10">
        <f>MIN('02_Данные'!AI255,BO255)</f>
        <v/>
      </c>
      <c r="BQ255" s="10">
        <f>BO255-BP255</f>
        <v/>
      </c>
      <c r="BR255" s="10">
        <f>MIN('02_Данные'!AF255,BQ255)</f>
        <v/>
      </c>
      <c r="BS255" s="10">
        <f>BQ255-BR255</f>
        <v/>
      </c>
      <c r="BT255" s="10">
        <f>MIN('02_Данные'!AE255,BS255)</f>
        <v/>
      </c>
      <c r="BU255" s="10">
        <f>BS255-BT255</f>
        <v/>
      </c>
      <c r="BV255" s="10">
        <f>MIN('02_Данные'!AG255,BU255)</f>
        <v/>
      </c>
      <c r="BW255" s="10">
        <f>BU255-BV255</f>
        <v/>
      </c>
      <c r="BX255" s="10">
        <f>MIN('02_Данные'!AH255,BW255)</f>
        <v/>
      </c>
      <c r="BY255" s="10">
        <f>BW255-BX255</f>
        <v/>
      </c>
      <c r="BZ255" s="10">
        <f>BY255+'02_Данные'!J255</f>
        <v/>
      </c>
      <c r="CA255" s="10">
        <f>MIN('02_Данные'!AJ255,BZ255)</f>
        <v/>
      </c>
      <c r="CB255" s="10">
        <f>BZ255-CA255</f>
        <v/>
      </c>
      <c r="CC255" s="10">
        <f>MIN('02_Данные'!AK255,CB255)</f>
        <v/>
      </c>
      <c r="CD255" s="10">
        <f>CB255-CC255</f>
        <v/>
      </c>
      <c r="CE255" s="10">
        <f>MIN('02_Данные'!AL255,CD255)</f>
        <v/>
      </c>
      <c r="CF255" s="10">
        <f>CD255-CE255</f>
        <v/>
      </c>
      <c r="CG255" s="10">
        <f>MIN('02_Данные'!AQ255,CF255)</f>
        <v/>
      </c>
      <c r="CH255" s="10">
        <f>CF255-CG255</f>
        <v/>
      </c>
      <c r="CI255" s="10">
        <f>MIN('02_Данные'!AN255,CH255)</f>
        <v/>
      </c>
      <c r="CJ255" s="10">
        <f>CH255-CI255</f>
        <v/>
      </c>
      <c r="CK255" s="10">
        <f>MIN('02_Данные'!AM255,CJ255)</f>
        <v/>
      </c>
      <c r="CL255" s="10">
        <f>CJ255-CK255</f>
        <v/>
      </c>
      <c r="CM255" s="10">
        <f>MIN('02_Данные'!AO255,CL255)</f>
        <v/>
      </c>
      <c r="CN255" s="10">
        <f>CL255-CM255</f>
        <v/>
      </c>
      <c r="CO255" s="10">
        <f>MIN('02_Данные'!AP255,CN255)</f>
        <v/>
      </c>
      <c r="CP255" s="10">
        <f>CN255-CO255</f>
        <v/>
      </c>
      <c r="CQ255" s="10">
        <f>CP255+'02_Данные'!K255</f>
        <v/>
      </c>
      <c r="CR255" s="10">
        <f>MIN('02_Данные'!AR255,CQ255)</f>
        <v/>
      </c>
      <c r="CS255" s="10">
        <f>CQ255-CR255</f>
        <v/>
      </c>
      <c r="CT255" s="10">
        <f>MIN('02_Данные'!AS255,CS255)</f>
        <v/>
      </c>
      <c r="CU255" s="10">
        <f>CS255-CT255</f>
        <v/>
      </c>
      <c r="CV255" s="10">
        <f>MIN('02_Данные'!AT255,CU255)</f>
        <v/>
      </c>
      <c r="CW255" s="10">
        <f>CU255-CV255</f>
        <v/>
      </c>
      <c r="CX255" s="10">
        <f>MIN('02_Данные'!AY255,CW255)</f>
        <v/>
      </c>
      <c r="CY255" s="10">
        <f>CW255-CX255</f>
        <v/>
      </c>
      <c r="CZ255" s="10">
        <f>MIN('02_Данные'!AV255,CY255)</f>
        <v/>
      </c>
      <c r="DA255" s="10">
        <f>CY255-CZ255</f>
        <v/>
      </c>
      <c r="DB255" s="10">
        <f>MIN('02_Данные'!AU255,DA255)</f>
        <v/>
      </c>
      <c r="DC255" s="10">
        <f>DA255-DB255</f>
        <v/>
      </c>
      <c r="DD255" s="10">
        <f>MIN('02_Данные'!AW255,DC255)</f>
        <v/>
      </c>
      <c r="DE255" s="10">
        <f>DC255-DD255</f>
        <v/>
      </c>
      <c r="DF255" s="10">
        <f>MIN('02_Данные'!AX255,DE255)</f>
        <v/>
      </c>
      <c r="DG255" s="10">
        <f>DE255-DF255</f>
        <v/>
      </c>
    </row>
    <row r="256">
      <c r="A256" s="9">
        <f>'02_Данные'!B256</f>
        <v/>
      </c>
      <c r="B256" s="9">
        <f>'02_Данные'!E256</f>
        <v/>
      </c>
      <c r="C256" s="10">
        <f>'02_Данные'!F256+'02_Данные'!G256+'02_Данные'!H256+'02_Данные'!I256+'02_Данные'!J256+'02_Данные'!K256</f>
        <v/>
      </c>
      <c r="D256" s="10">
        <f>SUM('02_Данные'!L256:'02_Данные'!AY256)</f>
        <v/>
      </c>
      <c r="E256" s="10">
        <f>MAX(0,D256-C256)</f>
        <v/>
      </c>
      <c r="F256" s="15">
        <f>IF(E256&gt;0.0001,"ДЕФИЦИТ",IF(Y256&gt;0.0001,"ПРОФИЦИТ","БАЛАНС"))</f>
        <v/>
      </c>
      <c r="G256" s="10">
        <f>AB256+AS256+BJ256+CA256+CR256</f>
        <v/>
      </c>
      <c r="H256" s="10">
        <f>AD256+AU256+BL256+CC256+CT256</f>
        <v/>
      </c>
      <c r="I256" s="10">
        <f>AF256+AW256+BN256+CE256+CV256</f>
        <v/>
      </c>
      <c r="J256" s="10">
        <f>AL256+BC256+BT256+CK256+DB256</f>
        <v/>
      </c>
      <c r="K256" s="10">
        <f>AJ256+BA256+BR256+CI256+CZ256</f>
        <v/>
      </c>
      <c r="L256" s="10">
        <f>AN256+BE256+BV256+CM256+DD256</f>
        <v/>
      </c>
      <c r="M256" s="10">
        <f>AP256+BG256+BX256+CO256+DF256</f>
        <v/>
      </c>
      <c r="N256" s="10">
        <f>AH256+AY256+BP256+CG256+CX256</f>
        <v/>
      </c>
      <c r="O256" s="10">
        <f>SUM(G256:N256)</f>
        <v/>
      </c>
      <c r="P256" s="10">
        <f>IFERROR(G256*MIN(1,'01_Нормативы'!$C$4/SUM(G$2:G$429)),0)</f>
        <v/>
      </c>
      <c r="Q256" s="10">
        <f>IFERROR(H256*MIN(1,'01_Нормативы'!$C$5/SUM(H$2:H$429)),0)</f>
        <v/>
      </c>
      <c r="R256" s="10">
        <f>IFERROR(I256*MIN(1,'01_Нормативы'!$C$6/SUM(I$2:I$429)),0)</f>
        <v/>
      </c>
      <c r="S256" s="10">
        <f>IFERROR(J256*MIN(1,'01_Нормативы'!$C$7/SUM(J$2:J$429)),0)</f>
        <v/>
      </c>
      <c r="T256" s="10">
        <f>IFERROR(K256*MIN(1,'01_Нормативы'!$C$8/SUM(K$2:K$429)),0)</f>
        <v/>
      </c>
      <c r="U256" s="10">
        <f>IFERROR(L256*MIN(1,'01_Нормативы'!$C$9/SUM(L$2:L$429)),0)</f>
        <v/>
      </c>
      <c r="V256" s="10">
        <f>IFERROR(M256*MIN(1,'01_Нормативы'!$C$10/SUM(M$2:M$429)),0)</f>
        <v/>
      </c>
      <c r="W256" s="10">
        <f>IFERROR(N256*MIN(1,'01_Нормативы'!$C$11/SUM(N$2:N$429)),0)</f>
        <v/>
      </c>
      <c r="X256" s="10">
        <f>SUM(P256:W256)</f>
        <v/>
      </c>
      <c r="Y256" s="10">
        <f>MAX(0,C256-X256)</f>
        <v/>
      </c>
      <c r="Z256" s="10">
        <f>IF(D256=0,100,X256/D256*100)</f>
        <v/>
      </c>
      <c r="AA256" s="10">
        <f>'02_Данные'!F256+'02_Данные'!G256</f>
        <v/>
      </c>
      <c r="AB256" s="10">
        <f>MIN('02_Данные'!L256,AA256)</f>
        <v/>
      </c>
      <c r="AC256" s="10">
        <f>AA256-AB256</f>
        <v/>
      </c>
      <c r="AD256" s="10">
        <f>MIN('02_Данные'!M256,AC256)</f>
        <v/>
      </c>
      <c r="AE256" s="10">
        <f>AC256-AD256</f>
        <v/>
      </c>
      <c r="AF256" s="10">
        <f>MIN('02_Данные'!N256,AE256)</f>
        <v/>
      </c>
      <c r="AG256" s="10">
        <f>AE256-AF256</f>
        <v/>
      </c>
      <c r="AH256" s="10">
        <f>MIN('02_Данные'!S256,AG256)</f>
        <v/>
      </c>
      <c r="AI256" s="10">
        <f>AG256-AH256</f>
        <v/>
      </c>
      <c r="AJ256" s="10">
        <f>MIN('02_Данные'!P256,AI256)</f>
        <v/>
      </c>
      <c r="AK256" s="10">
        <f>AI256-AJ256</f>
        <v/>
      </c>
      <c r="AL256" s="10">
        <f>MIN('02_Данные'!O256,AK256)</f>
        <v/>
      </c>
      <c r="AM256" s="10">
        <f>AK256-AL256</f>
        <v/>
      </c>
      <c r="AN256" s="10">
        <f>MIN('02_Данные'!Q256,AM256)</f>
        <v/>
      </c>
      <c r="AO256" s="10">
        <f>AM256-AN256</f>
        <v/>
      </c>
      <c r="AP256" s="10">
        <f>MIN('02_Данные'!R256,AO256)</f>
        <v/>
      </c>
      <c r="AQ256" s="10">
        <f>AO256-AP256</f>
        <v/>
      </c>
      <c r="AR256" s="10">
        <f>AQ256+'02_Данные'!H256</f>
        <v/>
      </c>
      <c r="AS256" s="10">
        <f>MIN('02_Данные'!T256,AR256)</f>
        <v/>
      </c>
      <c r="AT256" s="10">
        <f>AR256-AS256</f>
        <v/>
      </c>
      <c r="AU256" s="10">
        <f>MIN('02_Данные'!U256,AT256)</f>
        <v/>
      </c>
      <c r="AV256" s="10">
        <f>AT256-AU256</f>
        <v/>
      </c>
      <c r="AW256" s="10">
        <f>MIN('02_Данные'!V256,AV256)</f>
        <v/>
      </c>
      <c r="AX256" s="10">
        <f>AV256-AW256</f>
        <v/>
      </c>
      <c r="AY256" s="10">
        <f>MIN('02_Данные'!AA256,AX256)</f>
        <v/>
      </c>
      <c r="AZ256" s="10">
        <f>AX256-AY256</f>
        <v/>
      </c>
      <c r="BA256" s="10">
        <f>MIN('02_Данные'!X256,AZ256)</f>
        <v/>
      </c>
      <c r="BB256" s="10">
        <f>AZ256-BA256</f>
        <v/>
      </c>
      <c r="BC256" s="10">
        <f>MIN('02_Данные'!W256,BB256)</f>
        <v/>
      </c>
      <c r="BD256" s="10">
        <f>BB256-BC256</f>
        <v/>
      </c>
      <c r="BE256" s="10">
        <f>MIN('02_Данные'!Y256,BD256)</f>
        <v/>
      </c>
      <c r="BF256" s="10">
        <f>BD256-BE256</f>
        <v/>
      </c>
      <c r="BG256" s="10">
        <f>MIN('02_Данные'!Z256,BF256)</f>
        <v/>
      </c>
      <c r="BH256" s="10">
        <f>BF256-BG256</f>
        <v/>
      </c>
      <c r="BI256" s="10">
        <f>BH256+'02_Данные'!I256</f>
        <v/>
      </c>
      <c r="BJ256" s="10">
        <f>MIN('02_Данные'!AB256,BI256)</f>
        <v/>
      </c>
      <c r="BK256" s="10">
        <f>BI256-BJ256</f>
        <v/>
      </c>
      <c r="BL256" s="10">
        <f>MIN('02_Данные'!AC256,BK256)</f>
        <v/>
      </c>
      <c r="BM256" s="10">
        <f>BK256-BL256</f>
        <v/>
      </c>
      <c r="BN256" s="10">
        <f>MIN('02_Данные'!AD256,BM256)</f>
        <v/>
      </c>
      <c r="BO256" s="10">
        <f>BM256-BN256</f>
        <v/>
      </c>
      <c r="BP256" s="10">
        <f>MIN('02_Данные'!AI256,BO256)</f>
        <v/>
      </c>
      <c r="BQ256" s="10">
        <f>BO256-BP256</f>
        <v/>
      </c>
      <c r="BR256" s="10">
        <f>MIN('02_Данные'!AF256,BQ256)</f>
        <v/>
      </c>
      <c r="BS256" s="10">
        <f>BQ256-BR256</f>
        <v/>
      </c>
      <c r="BT256" s="10">
        <f>MIN('02_Данные'!AE256,BS256)</f>
        <v/>
      </c>
      <c r="BU256" s="10">
        <f>BS256-BT256</f>
        <v/>
      </c>
      <c r="BV256" s="10">
        <f>MIN('02_Данные'!AG256,BU256)</f>
        <v/>
      </c>
      <c r="BW256" s="10">
        <f>BU256-BV256</f>
        <v/>
      </c>
      <c r="BX256" s="10">
        <f>MIN('02_Данные'!AH256,BW256)</f>
        <v/>
      </c>
      <c r="BY256" s="10">
        <f>BW256-BX256</f>
        <v/>
      </c>
      <c r="BZ256" s="10">
        <f>BY256+'02_Данные'!J256</f>
        <v/>
      </c>
      <c r="CA256" s="10">
        <f>MIN('02_Данные'!AJ256,BZ256)</f>
        <v/>
      </c>
      <c r="CB256" s="10">
        <f>BZ256-CA256</f>
        <v/>
      </c>
      <c r="CC256" s="10">
        <f>MIN('02_Данные'!AK256,CB256)</f>
        <v/>
      </c>
      <c r="CD256" s="10">
        <f>CB256-CC256</f>
        <v/>
      </c>
      <c r="CE256" s="10">
        <f>MIN('02_Данные'!AL256,CD256)</f>
        <v/>
      </c>
      <c r="CF256" s="10">
        <f>CD256-CE256</f>
        <v/>
      </c>
      <c r="CG256" s="10">
        <f>MIN('02_Данные'!AQ256,CF256)</f>
        <v/>
      </c>
      <c r="CH256" s="10">
        <f>CF256-CG256</f>
        <v/>
      </c>
      <c r="CI256" s="10">
        <f>MIN('02_Данные'!AN256,CH256)</f>
        <v/>
      </c>
      <c r="CJ256" s="10">
        <f>CH256-CI256</f>
        <v/>
      </c>
      <c r="CK256" s="10">
        <f>MIN('02_Данные'!AM256,CJ256)</f>
        <v/>
      </c>
      <c r="CL256" s="10">
        <f>CJ256-CK256</f>
        <v/>
      </c>
      <c r="CM256" s="10">
        <f>MIN('02_Данные'!AO256,CL256)</f>
        <v/>
      </c>
      <c r="CN256" s="10">
        <f>CL256-CM256</f>
        <v/>
      </c>
      <c r="CO256" s="10">
        <f>MIN('02_Данные'!AP256,CN256)</f>
        <v/>
      </c>
      <c r="CP256" s="10">
        <f>CN256-CO256</f>
        <v/>
      </c>
      <c r="CQ256" s="10">
        <f>CP256+'02_Данные'!K256</f>
        <v/>
      </c>
      <c r="CR256" s="10">
        <f>MIN('02_Данные'!AR256,CQ256)</f>
        <v/>
      </c>
      <c r="CS256" s="10">
        <f>CQ256-CR256</f>
        <v/>
      </c>
      <c r="CT256" s="10">
        <f>MIN('02_Данные'!AS256,CS256)</f>
        <v/>
      </c>
      <c r="CU256" s="10">
        <f>CS256-CT256</f>
        <v/>
      </c>
      <c r="CV256" s="10">
        <f>MIN('02_Данные'!AT256,CU256)</f>
        <v/>
      </c>
      <c r="CW256" s="10">
        <f>CU256-CV256</f>
        <v/>
      </c>
      <c r="CX256" s="10">
        <f>MIN('02_Данные'!AY256,CW256)</f>
        <v/>
      </c>
      <c r="CY256" s="10">
        <f>CW256-CX256</f>
        <v/>
      </c>
      <c r="CZ256" s="10">
        <f>MIN('02_Данные'!AV256,CY256)</f>
        <v/>
      </c>
      <c r="DA256" s="10">
        <f>CY256-CZ256</f>
        <v/>
      </c>
      <c r="DB256" s="10">
        <f>MIN('02_Данные'!AU256,DA256)</f>
        <v/>
      </c>
      <c r="DC256" s="10">
        <f>DA256-DB256</f>
        <v/>
      </c>
      <c r="DD256" s="10">
        <f>MIN('02_Данные'!AW256,DC256)</f>
        <v/>
      </c>
      <c r="DE256" s="10">
        <f>DC256-DD256</f>
        <v/>
      </c>
      <c r="DF256" s="10">
        <f>MIN('02_Данные'!AX256,DE256)</f>
        <v/>
      </c>
      <c r="DG256" s="10">
        <f>DE256-DF256</f>
        <v/>
      </c>
    </row>
    <row r="257">
      <c r="A257" s="9">
        <f>'02_Данные'!B257</f>
        <v/>
      </c>
      <c r="B257" s="9">
        <f>'02_Данные'!E257</f>
        <v/>
      </c>
      <c r="C257" s="10">
        <f>'02_Данные'!F257+'02_Данные'!G257+'02_Данные'!H257+'02_Данные'!I257+'02_Данные'!J257+'02_Данные'!K257</f>
        <v/>
      </c>
      <c r="D257" s="10">
        <f>SUM('02_Данные'!L257:'02_Данные'!AY257)</f>
        <v/>
      </c>
      <c r="E257" s="10">
        <f>MAX(0,D257-C257)</f>
        <v/>
      </c>
      <c r="F257" s="15">
        <f>IF(E257&gt;0.0001,"ДЕФИЦИТ",IF(Y257&gt;0.0001,"ПРОФИЦИТ","БАЛАНС"))</f>
        <v/>
      </c>
      <c r="G257" s="10">
        <f>AB257+AS257+BJ257+CA257+CR257</f>
        <v/>
      </c>
      <c r="H257" s="10">
        <f>AD257+AU257+BL257+CC257+CT257</f>
        <v/>
      </c>
      <c r="I257" s="10">
        <f>AF257+AW257+BN257+CE257+CV257</f>
        <v/>
      </c>
      <c r="J257" s="10">
        <f>AL257+BC257+BT257+CK257+DB257</f>
        <v/>
      </c>
      <c r="K257" s="10">
        <f>AJ257+BA257+BR257+CI257+CZ257</f>
        <v/>
      </c>
      <c r="L257" s="10">
        <f>AN257+BE257+BV257+CM257+DD257</f>
        <v/>
      </c>
      <c r="M257" s="10">
        <f>AP257+BG257+BX257+CO257+DF257</f>
        <v/>
      </c>
      <c r="N257" s="10">
        <f>AH257+AY257+BP257+CG257+CX257</f>
        <v/>
      </c>
      <c r="O257" s="10">
        <f>SUM(G257:N257)</f>
        <v/>
      </c>
      <c r="P257" s="10">
        <f>IFERROR(G257*MIN(1,'01_Нормативы'!$C$4/SUM(G$2:G$429)),0)</f>
        <v/>
      </c>
      <c r="Q257" s="10">
        <f>IFERROR(H257*MIN(1,'01_Нормативы'!$C$5/SUM(H$2:H$429)),0)</f>
        <v/>
      </c>
      <c r="R257" s="10">
        <f>IFERROR(I257*MIN(1,'01_Нормативы'!$C$6/SUM(I$2:I$429)),0)</f>
        <v/>
      </c>
      <c r="S257" s="10">
        <f>IFERROR(J257*MIN(1,'01_Нормативы'!$C$7/SUM(J$2:J$429)),0)</f>
        <v/>
      </c>
      <c r="T257" s="10">
        <f>IFERROR(K257*MIN(1,'01_Нормативы'!$C$8/SUM(K$2:K$429)),0)</f>
        <v/>
      </c>
      <c r="U257" s="10">
        <f>IFERROR(L257*MIN(1,'01_Нормативы'!$C$9/SUM(L$2:L$429)),0)</f>
        <v/>
      </c>
      <c r="V257" s="10">
        <f>IFERROR(M257*MIN(1,'01_Нормативы'!$C$10/SUM(M$2:M$429)),0)</f>
        <v/>
      </c>
      <c r="W257" s="10">
        <f>IFERROR(N257*MIN(1,'01_Нормативы'!$C$11/SUM(N$2:N$429)),0)</f>
        <v/>
      </c>
      <c r="X257" s="10">
        <f>SUM(P257:W257)</f>
        <v/>
      </c>
      <c r="Y257" s="10">
        <f>MAX(0,C257-X257)</f>
        <v/>
      </c>
      <c r="Z257" s="10">
        <f>IF(D257=0,100,X257/D257*100)</f>
        <v/>
      </c>
      <c r="AA257" s="10">
        <f>'02_Данные'!F257+'02_Данные'!G257</f>
        <v/>
      </c>
      <c r="AB257" s="10">
        <f>MIN('02_Данные'!L257,AA257)</f>
        <v/>
      </c>
      <c r="AC257" s="10">
        <f>AA257-AB257</f>
        <v/>
      </c>
      <c r="AD257" s="10">
        <f>MIN('02_Данные'!M257,AC257)</f>
        <v/>
      </c>
      <c r="AE257" s="10">
        <f>AC257-AD257</f>
        <v/>
      </c>
      <c r="AF257" s="10">
        <f>MIN('02_Данные'!N257,AE257)</f>
        <v/>
      </c>
      <c r="AG257" s="10">
        <f>AE257-AF257</f>
        <v/>
      </c>
      <c r="AH257" s="10">
        <f>MIN('02_Данные'!S257,AG257)</f>
        <v/>
      </c>
      <c r="AI257" s="10">
        <f>AG257-AH257</f>
        <v/>
      </c>
      <c r="AJ257" s="10">
        <f>MIN('02_Данные'!P257,AI257)</f>
        <v/>
      </c>
      <c r="AK257" s="10">
        <f>AI257-AJ257</f>
        <v/>
      </c>
      <c r="AL257" s="10">
        <f>MIN('02_Данные'!O257,AK257)</f>
        <v/>
      </c>
      <c r="AM257" s="10">
        <f>AK257-AL257</f>
        <v/>
      </c>
      <c r="AN257" s="10">
        <f>MIN('02_Данные'!Q257,AM257)</f>
        <v/>
      </c>
      <c r="AO257" s="10">
        <f>AM257-AN257</f>
        <v/>
      </c>
      <c r="AP257" s="10">
        <f>MIN('02_Данные'!R257,AO257)</f>
        <v/>
      </c>
      <c r="AQ257" s="10">
        <f>AO257-AP257</f>
        <v/>
      </c>
      <c r="AR257" s="10">
        <f>AQ257+'02_Данные'!H257</f>
        <v/>
      </c>
      <c r="AS257" s="10">
        <f>MIN('02_Данные'!T257,AR257)</f>
        <v/>
      </c>
      <c r="AT257" s="10">
        <f>AR257-AS257</f>
        <v/>
      </c>
      <c r="AU257" s="10">
        <f>MIN('02_Данные'!U257,AT257)</f>
        <v/>
      </c>
      <c r="AV257" s="10">
        <f>AT257-AU257</f>
        <v/>
      </c>
      <c r="AW257" s="10">
        <f>MIN('02_Данные'!V257,AV257)</f>
        <v/>
      </c>
      <c r="AX257" s="10">
        <f>AV257-AW257</f>
        <v/>
      </c>
      <c r="AY257" s="10">
        <f>MIN('02_Данные'!AA257,AX257)</f>
        <v/>
      </c>
      <c r="AZ257" s="10">
        <f>AX257-AY257</f>
        <v/>
      </c>
      <c r="BA257" s="10">
        <f>MIN('02_Данные'!X257,AZ257)</f>
        <v/>
      </c>
      <c r="BB257" s="10">
        <f>AZ257-BA257</f>
        <v/>
      </c>
      <c r="BC257" s="10">
        <f>MIN('02_Данные'!W257,BB257)</f>
        <v/>
      </c>
      <c r="BD257" s="10">
        <f>BB257-BC257</f>
        <v/>
      </c>
      <c r="BE257" s="10">
        <f>MIN('02_Данные'!Y257,BD257)</f>
        <v/>
      </c>
      <c r="BF257" s="10">
        <f>BD257-BE257</f>
        <v/>
      </c>
      <c r="BG257" s="10">
        <f>MIN('02_Данные'!Z257,BF257)</f>
        <v/>
      </c>
      <c r="BH257" s="10">
        <f>BF257-BG257</f>
        <v/>
      </c>
      <c r="BI257" s="10">
        <f>BH257+'02_Данные'!I257</f>
        <v/>
      </c>
      <c r="BJ257" s="10">
        <f>MIN('02_Данные'!AB257,BI257)</f>
        <v/>
      </c>
      <c r="BK257" s="10">
        <f>BI257-BJ257</f>
        <v/>
      </c>
      <c r="BL257" s="10">
        <f>MIN('02_Данные'!AC257,BK257)</f>
        <v/>
      </c>
      <c r="BM257" s="10">
        <f>BK257-BL257</f>
        <v/>
      </c>
      <c r="BN257" s="10">
        <f>MIN('02_Данные'!AD257,BM257)</f>
        <v/>
      </c>
      <c r="BO257" s="10">
        <f>BM257-BN257</f>
        <v/>
      </c>
      <c r="BP257" s="10">
        <f>MIN('02_Данные'!AI257,BO257)</f>
        <v/>
      </c>
      <c r="BQ257" s="10">
        <f>BO257-BP257</f>
        <v/>
      </c>
      <c r="BR257" s="10">
        <f>MIN('02_Данные'!AF257,BQ257)</f>
        <v/>
      </c>
      <c r="BS257" s="10">
        <f>BQ257-BR257</f>
        <v/>
      </c>
      <c r="BT257" s="10">
        <f>MIN('02_Данные'!AE257,BS257)</f>
        <v/>
      </c>
      <c r="BU257" s="10">
        <f>BS257-BT257</f>
        <v/>
      </c>
      <c r="BV257" s="10">
        <f>MIN('02_Данные'!AG257,BU257)</f>
        <v/>
      </c>
      <c r="BW257" s="10">
        <f>BU257-BV257</f>
        <v/>
      </c>
      <c r="BX257" s="10">
        <f>MIN('02_Данные'!AH257,BW257)</f>
        <v/>
      </c>
      <c r="BY257" s="10">
        <f>BW257-BX257</f>
        <v/>
      </c>
      <c r="BZ257" s="10">
        <f>BY257+'02_Данные'!J257</f>
        <v/>
      </c>
      <c r="CA257" s="10">
        <f>MIN('02_Данные'!AJ257,BZ257)</f>
        <v/>
      </c>
      <c r="CB257" s="10">
        <f>BZ257-CA257</f>
        <v/>
      </c>
      <c r="CC257" s="10">
        <f>MIN('02_Данные'!AK257,CB257)</f>
        <v/>
      </c>
      <c r="CD257" s="10">
        <f>CB257-CC257</f>
        <v/>
      </c>
      <c r="CE257" s="10">
        <f>MIN('02_Данные'!AL257,CD257)</f>
        <v/>
      </c>
      <c r="CF257" s="10">
        <f>CD257-CE257</f>
        <v/>
      </c>
      <c r="CG257" s="10">
        <f>MIN('02_Данные'!AQ257,CF257)</f>
        <v/>
      </c>
      <c r="CH257" s="10">
        <f>CF257-CG257</f>
        <v/>
      </c>
      <c r="CI257" s="10">
        <f>MIN('02_Данные'!AN257,CH257)</f>
        <v/>
      </c>
      <c r="CJ257" s="10">
        <f>CH257-CI257</f>
        <v/>
      </c>
      <c r="CK257" s="10">
        <f>MIN('02_Данные'!AM257,CJ257)</f>
        <v/>
      </c>
      <c r="CL257" s="10">
        <f>CJ257-CK257</f>
        <v/>
      </c>
      <c r="CM257" s="10">
        <f>MIN('02_Данные'!AO257,CL257)</f>
        <v/>
      </c>
      <c r="CN257" s="10">
        <f>CL257-CM257</f>
        <v/>
      </c>
      <c r="CO257" s="10">
        <f>MIN('02_Данные'!AP257,CN257)</f>
        <v/>
      </c>
      <c r="CP257" s="10">
        <f>CN257-CO257</f>
        <v/>
      </c>
      <c r="CQ257" s="10">
        <f>CP257+'02_Данные'!K257</f>
        <v/>
      </c>
      <c r="CR257" s="10">
        <f>MIN('02_Данные'!AR257,CQ257)</f>
        <v/>
      </c>
      <c r="CS257" s="10">
        <f>CQ257-CR257</f>
        <v/>
      </c>
      <c r="CT257" s="10">
        <f>MIN('02_Данные'!AS257,CS257)</f>
        <v/>
      </c>
      <c r="CU257" s="10">
        <f>CS257-CT257</f>
        <v/>
      </c>
      <c r="CV257" s="10">
        <f>MIN('02_Данные'!AT257,CU257)</f>
        <v/>
      </c>
      <c r="CW257" s="10">
        <f>CU257-CV257</f>
        <v/>
      </c>
      <c r="CX257" s="10">
        <f>MIN('02_Данные'!AY257,CW257)</f>
        <v/>
      </c>
      <c r="CY257" s="10">
        <f>CW257-CX257</f>
        <v/>
      </c>
      <c r="CZ257" s="10">
        <f>MIN('02_Данные'!AV257,CY257)</f>
        <v/>
      </c>
      <c r="DA257" s="10">
        <f>CY257-CZ257</f>
        <v/>
      </c>
      <c r="DB257" s="10">
        <f>MIN('02_Данные'!AU257,DA257)</f>
        <v/>
      </c>
      <c r="DC257" s="10">
        <f>DA257-DB257</f>
        <v/>
      </c>
      <c r="DD257" s="10">
        <f>MIN('02_Данные'!AW257,DC257)</f>
        <v/>
      </c>
      <c r="DE257" s="10">
        <f>DC257-DD257</f>
        <v/>
      </c>
      <c r="DF257" s="10">
        <f>MIN('02_Данные'!AX257,DE257)</f>
        <v/>
      </c>
      <c r="DG257" s="10">
        <f>DE257-DF257</f>
        <v/>
      </c>
    </row>
    <row r="258">
      <c r="A258" s="9">
        <f>'02_Данные'!B258</f>
        <v/>
      </c>
      <c r="B258" s="9">
        <f>'02_Данные'!E258</f>
        <v/>
      </c>
      <c r="C258" s="10">
        <f>'02_Данные'!F258+'02_Данные'!G258+'02_Данные'!H258+'02_Данные'!I258+'02_Данные'!J258+'02_Данные'!K258</f>
        <v/>
      </c>
      <c r="D258" s="10">
        <f>SUM('02_Данные'!L258:'02_Данные'!AY258)</f>
        <v/>
      </c>
      <c r="E258" s="10">
        <f>MAX(0,D258-C258)</f>
        <v/>
      </c>
      <c r="F258" s="15">
        <f>IF(E258&gt;0.0001,"ДЕФИЦИТ",IF(Y258&gt;0.0001,"ПРОФИЦИТ","БАЛАНС"))</f>
        <v/>
      </c>
      <c r="G258" s="10">
        <f>AB258+AS258+BJ258+CA258+CR258</f>
        <v/>
      </c>
      <c r="H258" s="10">
        <f>AD258+AU258+BL258+CC258+CT258</f>
        <v/>
      </c>
      <c r="I258" s="10">
        <f>AF258+AW258+BN258+CE258+CV258</f>
        <v/>
      </c>
      <c r="J258" s="10">
        <f>AL258+BC258+BT258+CK258+DB258</f>
        <v/>
      </c>
      <c r="K258" s="10">
        <f>AJ258+BA258+BR258+CI258+CZ258</f>
        <v/>
      </c>
      <c r="L258" s="10">
        <f>AN258+BE258+BV258+CM258+DD258</f>
        <v/>
      </c>
      <c r="M258" s="10">
        <f>AP258+BG258+BX258+CO258+DF258</f>
        <v/>
      </c>
      <c r="N258" s="10">
        <f>AH258+AY258+BP258+CG258+CX258</f>
        <v/>
      </c>
      <c r="O258" s="10">
        <f>SUM(G258:N258)</f>
        <v/>
      </c>
      <c r="P258" s="10">
        <f>IFERROR(G258*MIN(1,'01_Нормативы'!$C$4/SUM(G$2:G$429)),0)</f>
        <v/>
      </c>
      <c r="Q258" s="10">
        <f>IFERROR(H258*MIN(1,'01_Нормативы'!$C$5/SUM(H$2:H$429)),0)</f>
        <v/>
      </c>
      <c r="R258" s="10">
        <f>IFERROR(I258*MIN(1,'01_Нормативы'!$C$6/SUM(I$2:I$429)),0)</f>
        <v/>
      </c>
      <c r="S258" s="10">
        <f>IFERROR(J258*MIN(1,'01_Нормативы'!$C$7/SUM(J$2:J$429)),0)</f>
        <v/>
      </c>
      <c r="T258" s="10">
        <f>IFERROR(K258*MIN(1,'01_Нормативы'!$C$8/SUM(K$2:K$429)),0)</f>
        <v/>
      </c>
      <c r="U258" s="10">
        <f>IFERROR(L258*MIN(1,'01_Нормативы'!$C$9/SUM(L$2:L$429)),0)</f>
        <v/>
      </c>
      <c r="V258" s="10">
        <f>IFERROR(M258*MIN(1,'01_Нормативы'!$C$10/SUM(M$2:M$429)),0)</f>
        <v/>
      </c>
      <c r="W258" s="10">
        <f>IFERROR(N258*MIN(1,'01_Нормативы'!$C$11/SUM(N$2:N$429)),0)</f>
        <v/>
      </c>
      <c r="X258" s="10">
        <f>SUM(P258:W258)</f>
        <v/>
      </c>
      <c r="Y258" s="10">
        <f>MAX(0,C258-X258)</f>
        <v/>
      </c>
      <c r="Z258" s="10">
        <f>IF(D258=0,100,X258/D258*100)</f>
        <v/>
      </c>
      <c r="AA258" s="10">
        <f>'02_Данные'!F258+'02_Данные'!G258</f>
        <v/>
      </c>
      <c r="AB258" s="10">
        <f>MIN('02_Данные'!L258,AA258)</f>
        <v/>
      </c>
      <c r="AC258" s="10">
        <f>AA258-AB258</f>
        <v/>
      </c>
      <c r="AD258" s="10">
        <f>MIN('02_Данные'!M258,AC258)</f>
        <v/>
      </c>
      <c r="AE258" s="10">
        <f>AC258-AD258</f>
        <v/>
      </c>
      <c r="AF258" s="10">
        <f>MIN('02_Данные'!N258,AE258)</f>
        <v/>
      </c>
      <c r="AG258" s="10">
        <f>AE258-AF258</f>
        <v/>
      </c>
      <c r="AH258" s="10">
        <f>MIN('02_Данные'!S258,AG258)</f>
        <v/>
      </c>
      <c r="AI258" s="10">
        <f>AG258-AH258</f>
        <v/>
      </c>
      <c r="AJ258" s="10">
        <f>MIN('02_Данные'!P258,AI258)</f>
        <v/>
      </c>
      <c r="AK258" s="10">
        <f>AI258-AJ258</f>
        <v/>
      </c>
      <c r="AL258" s="10">
        <f>MIN('02_Данные'!O258,AK258)</f>
        <v/>
      </c>
      <c r="AM258" s="10">
        <f>AK258-AL258</f>
        <v/>
      </c>
      <c r="AN258" s="10">
        <f>MIN('02_Данные'!Q258,AM258)</f>
        <v/>
      </c>
      <c r="AO258" s="10">
        <f>AM258-AN258</f>
        <v/>
      </c>
      <c r="AP258" s="10">
        <f>MIN('02_Данные'!R258,AO258)</f>
        <v/>
      </c>
      <c r="AQ258" s="10">
        <f>AO258-AP258</f>
        <v/>
      </c>
      <c r="AR258" s="10">
        <f>AQ258+'02_Данные'!H258</f>
        <v/>
      </c>
      <c r="AS258" s="10">
        <f>MIN('02_Данные'!T258,AR258)</f>
        <v/>
      </c>
      <c r="AT258" s="10">
        <f>AR258-AS258</f>
        <v/>
      </c>
      <c r="AU258" s="10">
        <f>MIN('02_Данные'!U258,AT258)</f>
        <v/>
      </c>
      <c r="AV258" s="10">
        <f>AT258-AU258</f>
        <v/>
      </c>
      <c r="AW258" s="10">
        <f>MIN('02_Данные'!V258,AV258)</f>
        <v/>
      </c>
      <c r="AX258" s="10">
        <f>AV258-AW258</f>
        <v/>
      </c>
      <c r="AY258" s="10">
        <f>MIN('02_Данные'!AA258,AX258)</f>
        <v/>
      </c>
      <c r="AZ258" s="10">
        <f>AX258-AY258</f>
        <v/>
      </c>
      <c r="BA258" s="10">
        <f>MIN('02_Данные'!X258,AZ258)</f>
        <v/>
      </c>
      <c r="BB258" s="10">
        <f>AZ258-BA258</f>
        <v/>
      </c>
      <c r="BC258" s="10">
        <f>MIN('02_Данные'!W258,BB258)</f>
        <v/>
      </c>
      <c r="BD258" s="10">
        <f>BB258-BC258</f>
        <v/>
      </c>
      <c r="BE258" s="10">
        <f>MIN('02_Данные'!Y258,BD258)</f>
        <v/>
      </c>
      <c r="BF258" s="10">
        <f>BD258-BE258</f>
        <v/>
      </c>
      <c r="BG258" s="10">
        <f>MIN('02_Данные'!Z258,BF258)</f>
        <v/>
      </c>
      <c r="BH258" s="10">
        <f>BF258-BG258</f>
        <v/>
      </c>
      <c r="BI258" s="10">
        <f>BH258+'02_Данные'!I258</f>
        <v/>
      </c>
      <c r="BJ258" s="10">
        <f>MIN('02_Данные'!AB258,BI258)</f>
        <v/>
      </c>
      <c r="BK258" s="10">
        <f>BI258-BJ258</f>
        <v/>
      </c>
      <c r="BL258" s="10">
        <f>MIN('02_Данные'!AC258,BK258)</f>
        <v/>
      </c>
      <c r="BM258" s="10">
        <f>BK258-BL258</f>
        <v/>
      </c>
      <c r="BN258" s="10">
        <f>MIN('02_Данные'!AD258,BM258)</f>
        <v/>
      </c>
      <c r="BO258" s="10">
        <f>BM258-BN258</f>
        <v/>
      </c>
      <c r="BP258" s="10">
        <f>MIN('02_Данные'!AI258,BO258)</f>
        <v/>
      </c>
      <c r="BQ258" s="10">
        <f>BO258-BP258</f>
        <v/>
      </c>
      <c r="BR258" s="10">
        <f>MIN('02_Данные'!AF258,BQ258)</f>
        <v/>
      </c>
      <c r="BS258" s="10">
        <f>BQ258-BR258</f>
        <v/>
      </c>
      <c r="BT258" s="10">
        <f>MIN('02_Данные'!AE258,BS258)</f>
        <v/>
      </c>
      <c r="BU258" s="10">
        <f>BS258-BT258</f>
        <v/>
      </c>
      <c r="BV258" s="10">
        <f>MIN('02_Данные'!AG258,BU258)</f>
        <v/>
      </c>
      <c r="BW258" s="10">
        <f>BU258-BV258</f>
        <v/>
      </c>
      <c r="BX258" s="10">
        <f>MIN('02_Данные'!AH258,BW258)</f>
        <v/>
      </c>
      <c r="BY258" s="10">
        <f>BW258-BX258</f>
        <v/>
      </c>
      <c r="BZ258" s="10">
        <f>BY258+'02_Данные'!J258</f>
        <v/>
      </c>
      <c r="CA258" s="10">
        <f>MIN('02_Данные'!AJ258,BZ258)</f>
        <v/>
      </c>
      <c r="CB258" s="10">
        <f>BZ258-CA258</f>
        <v/>
      </c>
      <c r="CC258" s="10">
        <f>MIN('02_Данные'!AK258,CB258)</f>
        <v/>
      </c>
      <c r="CD258" s="10">
        <f>CB258-CC258</f>
        <v/>
      </c>
      <c r="CE258" s="10">
        <f>MIN('02_Данные'!AL258,CD258)</f>
        <v/>
      </c>
      <c r="CF258" s="10">
        <f>CD258-CE258</f>
        <v/>
      </c>
      <c r="CG258" s="10">
        <f>MIN('02_Данные'!AQ258,CF258)</f>
        <v/>
      </c>
      <c r="CH258" s="10">
        <f>CF258-CG258</f>
        <v/>
      </c>
      <c r="CI258" s="10">
        <f>MIN('02_Данные'!AN258,CH258)</f>
        <v/>
      </c>
      <c r="CJ258" s="10">
        <f>CH258-CI258</f>
        <v/>
      </c>
      <c r="CK258" s="10">
        <f>MIN('02_Данные'!AM258,CJ258)</f>
        <v/>
      </c>
      <c r="CL258" s="10">
        <f>CJ258-CK258</f>
        <v/>
      </c>
      <c r="CM258" s="10">
        <f>MIN('02_Данные'!AO258,CL258)</f>
        <v/>
      </c>
      <c r="CN258" s="10">
        <f>CL258-CM258</f>
        <v/>
      </c>
      <c r="CO258" s="10">
        <f>MIN('02_Данные'!AP258,CN258)</f>
        <v/>
      </c>
      <c r="CP258" s="10">
        <f>CN258-CO258</f>
        <v/>
      </c>
      <c r="CQ258" s="10">
        <f>CP258+'02_Данные'!K258</f>
        <v/>
      </c>
      <c r="CR258" s="10">
        <f>MIN('02_Данные'!AR258,CQ258)</f>
        <v/>
      </c>
      <c r="CS258" s="10">
        <f>CQ258-CR258</f>
        <v/>
      </c>
      <c r="CT258" s="10">
        <f>MIN('02_Данные'!AS258,CS258)</f>
        <v/>
      </c>
      <c r="CU258" s="10">
        <f>CS258-CT258</f>
        <v/>
      </c>
      <c r="CV258" s="10">
        <f>MIN('02_Данные'!AT258,CU258)</f>
        <v/>
      </c>
      <c r="CW258" s="10">
        <f>CU258-CV258</f>
        <v/>
      </c>
      <c r="CX258" s="10">
        <f>MIN('02_Данные'!AY258,CW258)</f>
        <v/>
      </c>
      <c r="CY258" s="10">
        <f>CW258-CX258</f>
        <v/>
      </c>
      <c r="CZ258" s="10">
        <f>MIN('02_Данные'!AV258,CY258)</f>
        <v/>
      </c>
      <c r="DA258" s="10">
        <f>CY258-CZ258</f>
        <v/>
      </c>
      <c r="DB258" s="10">
        <f>MIN('02_Данные'!AU258,DA258)</f>
        <v/>
      </c>
      <c r="DC258" s="10">
        <f>DA258-DB258</f>
        <v/>
      </c>
      <c r="DD258" s="10">
        <f>MIN('02_Данные'!AW258,DC258)</f>
        <v/>
      </c>
      <c r="DE258" s="10">
        <f>DC258-DD258</f>
        <v/>
      </c>
      <c r="DF258" s="10">
        <f>MIN('02_Данные'!AX258,DE258)</f>
        <v/>
      </c>
      <c r="DG258" s="10">
        <f>DE258-DF258</f>
        <v/>
      </c>
    </row>
    <row r="259">
      <c r="A259" s="9">
        <f>'02_Данные'!B259</f>
        <v/>
      </c>
      <c r="B259" s="9">
        <f>'02_Данные'!E259</f>
        <v/>
      </c>
      <c r="C259" s="10">
        <f>'02_Данные'!F259+'02_Данные'!G259+'02_Данные'!H259+'02_Данные'!I259+'02_Данные'!J259+'02_Данные'!K259</f>
        <v/>
      </c>
      <c r="D259" s="10">
        <f>SUM('02_Данные'!L259:'02_Данные'!AY259)</f>
        <v/>
      </c>
      <c r="E259" s="10">
        <f>MAX(0,D259-C259)</f>
        <v/>
      </c>
      <c r="F259" s="15">
        <f>IF(E259&gt;0.0001,"ДЕФИЦИТ",IF(Y259&gt;0.0001,"ПРОФИЦИТ","БАЛАНС"))</f>
        <v/>
      </c>
      <c r="G259" s="10">
        <f>AB259+AS259+BJ259+CA259+CR259</f>
        <v/>
      </c>
      <c r="H259" s="10">
        <f>AD259+AU259+BL259+CC259+CT259</f>
        <v/>
      </c>
      <c r="I259" s="10">
        <f>AF259+AW259+BN259+CE259+CV259</f>
        <v/>
      </c>
      <c r="J259" s="10">
        <f>AL259+BC259+BT259+CK259+DB259</f>
        <v/>
      </c>
      <c r="K259" s="10">
        <f>AJ259+BA259+BR259+CI259+CZ259</f>
        <v/>
      </c>
      <c r="L259" s="10">
        <f>AN259+BE259+BV259+CM259+DD259</f>
        <v/>
      </c>
      <c r="M259" s="10">
        <f>AP259+BG259+BX259+CO259+DF259</f>
        <v/>
      </c>
      <c r="N259" s="10">
        <f>AH259+AY259+BP259+CG259+CX259</f>
        <v/>
      </c>
      <c r="O259" s="10">
        <f>SUM(G259:N259)</f>
        <v/>
      </c>
      <c r="P259" s="10">
        <f>IFERROR(G259*MIN(1,'01_Нормативы'!$C$4/SUM(G$2:G$429)),0)</f>
        <v/>
      </c>
      <c r="Q259" s="10">
        <f>IFERROR(H259*MIN(1,'01_Нормативы'!$C$5/SUM(H$2:H$429)),0)</f>
        <v/>
      </c>
      <c r="R259" s="10">
        <f>IFERROR(I259*MIN(1,'01_Нормативы'!$C$6/SUM(I$2:I$429)),0)</f>
        <v/>
      </c>
      <c r="S259" s="10">
        <f>IFERROR(J259*MIN(1,'01_Нормативы'!$C$7/SUM(J$2:J$429)),0)</f>
        <v/>
      </c>
      <c r="T259" s="10">
        <f>IFERROR(K259*MIN(1,'01_Нормативы'!$C$8/SUM(K$2:K$429)),0)</f>
        <v/>
      </c>
      <c r="U259" s="10">
        <f>IFERROR(L259*MIN(1,'01_Нормативы'!$C$9/SUM(L$2:L$429)),0)</f>
        <v/>
      </c>
      <c r="V259" s="10">
        <f>IFERROR(M259*MIN(1,'01_Нормативы'!$C$10/SUM(M$2:M$429)),0)</f>
        <v/>
      </c>
      <c r="W259" s="10">
        <f>IFERROR(N259*MIN(1,'01_Нормативы'!$C$11/SUM(N$2:N$429)),0)</f>
        <v/>
      </c>
      <c r="X259" s="10">
        <f>SUM(P259:W259)</f>
        <v/>
      </c>
      <c r="Y259" s="10">
        <f>MAX(0,C259-X259)</f>
        <v/>
      </c>
      <c r="Z259" s="10">
        <f>IF(D259=0,100,X259/D259*100)</f>
        <v/>
      </c>
      <c r="AA259" s="10">
        <f>'02_Данные'!F259+'02_Данные'!G259</f>
        <v/>
      </c>
      <c r="AB259" s="10">
        <f>MIN('02_Данные'!L259,AA259)</f>
        <v/>
      </c>
      <c r="AC259" s="10">
        <f>AA259-AB259</f>
        <v/>
      </c>
      <c r="AD259" s="10">
        <f>MIN('02_Данные'!M259,AC259)</f>
        <v/>
      </c>
      <c r="AE259" s="10">
        <f>AC259-AD259</f>
        <v/>
      </c>
      <c r="AF259" s="10">
        <f>MIN('02_Данные'!N259,AE259)</f>
        <v/>
      </c>
      <c r="AG259" s="10">
        <f>AE259-AF259</f>
        <v/>
      </c>
      <c r="AH259" s="10">
        <f>MIN('02_Данные'!S259,AG259)</f>
        <v/>
      </c>
      <c r="AI259" s="10">
        <f>AG259-AH259</f>
        <v/>
      </c>
      <c r="AJ259" s="10">
        <f>MIN('02_Данные'!P259,AI259)</f>
        <v/>
      </c>
      <c r="AK259" s="10">
        <f>AI259-AJ259</f>
        <v/>
      </c>
      <c r="AL259" s="10">
        <f>MIN('02_Данные'!O259,AK259)</f>
        <v/>
      </c>
      <c r="AM259" s="10">
        <f>AK259-AL259</f>
        <v/>
      </c>
      <c r="AN259" s="10">
        <f>MIN('02_Данные'!Q259,AM259)</f>
        <v/>
      </c>
      <c r="AO259" s="10">
        <f>AM259-AN259</f>
        <v/>
      </c>
      <c r="AP259" s="10">
        <f>MIN('02_Данные'!R259,AO259)</f>
        <v/>
      </c>
      <c r="AQ259" s="10">
        <f>AO259-AP259</f>
        <v/>
      </c>
      <c r="AR259" s="10">
        <f>AQ259+'02_Данные'!H259</f>
        <v/>
      </c>
      <c r="AS259" s="10">
        <f>MIN('02_Данные'!T259,AR259)</f>
        <v/>
      </c>
      <c r="AT259" s="10">
        <f>AR259-AS259</f>
        <v/>
      </c>
      <c r="AU259" s="10">
        <f>MIN('02_Данные'!U259,AT259)</f>
        <v/>
      </c>
      <c r="AV259" s="10">
        <f>AT259-AU259</f>
        <v/>
      </c>
      <c r="AW259" s="10">
        <f>MIN('02_Данные'!V259,AV259)</f>
        <v/>
      </c>
      <c r="AX259" s="10">
        <f>AV259-AW259</f>
        <v/>
      </c>
      <c r="AY259" s="10">
        <f>MIN('02_Данные'!AA259,AX259)</f>
        <v/>
      </c>
      <c r="AZ259" s="10">
        <f>AX259-AY259</f>
        <v/>
      </c>
      <c r="BA259" s="10">
        <f>MIN('02_Данные'!X259,AZ259)</f>
        <v/>
      </c>
      <c r="BB259" s="10">
        <f>AZ259-BA259</f>
        <v/>
      </c>
      <c r="BC259" s="10">
        <f>MIN('02_Данные'!W259,BB259)</f>
        <v/>
      </c>
      <c r="BD259" s="10">
        <f>BB259-BC259</f>
        <v/>
      </c>
      <c r="BE259" s="10">
        <f>MIN('02_Данные'!Y259,BD259)</f>
        <v/>
      </c>
      <c r="BF259" s="10">
        <f>BD259-BE259</f>
        <v/>
      </c>
      <c r="BG259" s="10">
        <f>MIN('02_Данные'!Z259,BF259)</f>
        <v/>
      </c>
      <c r="BH259" s="10">
        <f>BF259-BG259</f>
        <v/>
      </c>
      <c r="BI259" s="10">
        <f>BH259+'02_Данные'!I259</f>
        <v/>
      </c>
      <c r="BJ259" s="10">
        <f>MIN('02_Данные'!AB259,BI259)</f>
        <v/>
      </c>
      <c r="BK259" s="10">
        <f>BI259-BJ259</f>
        <v/>
      </c>
      <c r="BL259" s="10">
        <f>MIN('02_Данные'!AC259,BK259)</f>
        <v/>
      </c>
      <c r="BM259" s="10">
        <f>BK259-BL259</f>
        <v/>
      </c>
      <c r="BN259" s="10">
        <f>MIN('02_Данные'!AD259,BM259)</f>
        <v/>
      </c>
      <c r="BO259" s="10">
        <f>BM259-BN259</f>
        <v/>
      </c>
      <c r="BP259" s="10">
        <f>MIN('02_Данные'!AI259,BO259)</f>
        <v/>
      </c>
      <c r="BQ259" s="10">
        <f>BO259-BP259</f>
        <v/>
      </c>
      <c r="BR259" s="10">
        <f>MIN('02_Данные'!AF259,BQ259)</f>
        <v/>
      </c>
      <c r="BS259" s="10">
        <f>BQ259-BR259</f>
        <v/>
      </c>
      <c r="BT259" s="10">
        <f>MIN('02_Данные'!AE259,BS259)</f>
        <v/>
      </c>
      <c r="BU259" s="10">
        <f>BS259-BT259</f>
        <v/>
      </c>
      <c r="BV259" s="10">
        <f>MIN('02_Данные'!AG259,BU259)</f>
        <v/>
      </c>
      <c r="BW259" s="10">
        <f>BU259-BV259</f>
        <v/>
      </c>
      <c r="BX259" s="10">
        <f>MIN('02_Данные'!AH259,BW259)</f>
        <v/>
      </c>
      <c r="BY259" s="10">
        <f>BW259-BX259</f>
        <v/>
      </c>
      <c r="BZ259" s="10">
        <f>BY259+'02_Данные'!J259</f>
        <v/>
      </c>
      <c r="CA259" s="10">
        <f>MIN('02_Данные'!AJ259,BZ259)</f>
        <v/>
      </c>
      <c r="CB259" s="10">
        <f>BZ259-CA259</f>
        <v/>
      </c>
      <c r="CC259" s="10">
        <f>MIN('02_Данные'!AK259,CB259)</f>
        <v/>
      </c>
      <c r="CD259" s="10">
        <f>CB259-CC259</f>
        <v/>
      </c>
      <c r="CE259" s="10">
        <f>MIN('02_Данные'!AL259,CD259)</f>
        <v/>
      </c>
      <c r="CF259" s="10">
        <f>CD259-CE259</f>
        <v/>
      </c>
      <c r="CG259" s="10">
        <f>MIN('02_Данные'!AQ259,CF259)</f>
        <v/>
      </c>
      <c r="CH259" s="10">
        <f>CF259-CG259</f>
        <v/>
      </c>
      <c r="CI259" s="10">
        <f>MIN('02_Данные'!AN259,CH259)</f>
        <v/>
      </c>
      <c r="CJ259" s="10">
        <f>CH259-CI259</f>
        <v/>
      </c>
      <c r="CK259" s="10">
        <f>MIN('02_Данные'!AM259,CJ259)</f>
        <v/>
      </c>
      <c r="CL259" s="10">
        <f>CJ259-CK259</f>
        <v/>
      </c>
      <c r="CM259" s="10">
        <f>MIN('02_Данные'!AO259,CL259)</f>
        <v/>
      </c>
      <c r="CN259" s="10">
        <f>CL259-CM259</f>
        <v/>
      </c>
      <c r="CO259" s="10">
        <f>MIN('02_Данные'!AP259,CN259)</f>
        <v/>
      </c>
      <c r="CP259" s="10">
        <f>CN259-CO259</f>
        <v/>
      </c>
      <c r="CQ259" s="10">
        <f>CP259+'02_Данные'!K259</f>
        <v/>
      </c>
      <c r="CR259" s="10">
        <f>MIN('02_Данные'!AR259,CQ259)</f>
        <v/>
      </c>
      <c r="CS259" s="10">
        <f>CQ259-CR259</f>
        <v/>
      </c>
      <c r="CT259" s="10">
        <f>MIN('02_Данные'!AS259,CS259)</f>
        <v/>
      </c>
      <c r="CU259" s="10">
        <f>CS259-CT259</f>
        <v/>
      </c>
      <c r="CV259" s="10">
        <f>MIN('02_Данные'!AT259,CU259)</f>
        <v/>
      </c>
      <c r="CW259" s="10">
        <f>CU259-CV259</f>
        <v/>
      </c>
      <c r="CX259" s="10">
        <f>MIN('02_Данные'!AY259,CW259)</f>
        <v/>
      </c>
      <c r="CY259" s="10">
        <f>CW259-CX259</f>
        <v/>
      </c>
      <c r="CZ259" s="10">
        <f>MIN('02_Данные'!AV259,CY259)</f>
        <v/>
      </c>
      <c r="DA259" s="10">
        <f>CY259-CZ259</f>
        <v/>
      </c>
      <c r="DB259" s="10">
        <f>MIN('02_Данные'!AU259,DA259)</f>
        <v/>
      </c>
      <c r="DC259" s="10">
        <f>DA259-DB259</f>
        <v/>
      </c>
      <c r="DD259" s="10">
        <f>MIN('02_Данные'!AW259,DC259)</f>
        <v/>
      </c>
      <c r="DE259" s="10">
        <f>DC259-DD259</f>
        <v/>
      </c>
      <c r="DF259" s="10">
        <f>MIN('02_Данные'!AX259,DE259)</f>
        <v/>
      </c>
      <c r="DG259" s="10">
        <f>DE259-DF259</f>
        <v/>
      </c>
    </row>
    <row r="260">
      <c r="A260" s="9">
        <f>'02_Данные'!B260</f>
        <v/>
      </c>
      <c r="B260" s="9">
        <f>'02_Данные'!E260</f>
        <v/>
      </c>
      <c r="C260" s="10">
        <f>'02_Данные'!F260+'02_Данные'!G260+'02_Данные'!H260+'02_Данные'!I260+'02_Данные'!J260+'02_Данные'!K260</f>
        <v/>
      </c>
      <c r="D260" s="10">
        <f>SUM('02_Данные'!L260:'02_Данные'!AY260)</f>
        <v/>
      </c>
      <c r="E260" s="10">
        <f>MAX(0,D260-C260)</f>
        <v/>
      </c>
      <c r="F260" s="15">
        <f>IF(E260&gt;0.0001,"ДЕФИЦИТ",IF(Y260&gt;0.0001,"ПРОФИЦИТ","БАЛАНС"))</f>
        <v/>
      </c>
      <c r="G260" s="10">
        <f>AB260+AS260+BJ260+CA260+CR260</f>
        <v/>
      </c>
      <c r="H260" s="10">
        <f>AD260+AU260+BL260+CC260+CT260</f>
        <v/>
      </c>
      <c r="I260" s="10">
        <f>AF260+AW260+BN260+CE260+CV260</f>
        <v/>
      </c>
      <c r="J260" s="10">
        <f>AL260+BC260+BT260+CK260+DB260</f>
        <v/>
      </c>
      <c r="K260" s="10">
        <f>AJ260+BA260+BR260+CI260+CZ260</f>
        <v/>
      </c>
      <c r="L260" s="10">
        <f>AN260+BE260+BV260+CM260+DD260</f>
        <v/>
      </c>
      <c r="M260" s="10">
        <f>AP260+BG260+BX260+CO260+DF260</f>
        <v/>
      </c>
      <c r="N260" s="10">
        <f>AH260+AY260+BP260+CG260+CX260</f>
        <v/>
      </c>
      <c r="O260" s="10">
        <f>SUM(G260:N260)</f>
        <v/>
      </c>
      <c r="P260" s="10">
        <f>IFERROR(G260*MIN(1,'01_Нормативы'!$C$4/SUM(G$2:G$429)),0)</f>
        <v/>
      </c>
      <c r="Q260" s="10">
        <f>IFERROR(H260*MIN(1,'01_Нормативы'!$C$5/SUM(H$2:H$429)),0)</f>
        <v/>
      </c>
      <c r="R260" s="10">
        <f>IFERROR(I260*MIN(1,'01_Нормативы'!$C$6/SUM(I$2:I$429)),0)</f>
        <v/>
      </c>
      <c r="S260" s="10">
        <f>IFERROR(J260*MIN(1,'01_Нормативы'!$C$7/SUM(J$2:J$429)),0)</f>
        <v/>
      </c>
      <c r="T260" s="10">
        <f>IFERROR(K260*MIN(1,'01_Нормативы'!$C$8/SUM(K$2:K$429)),0)</f>
        <v/>
      </c>
      <c r="U260" s="10">
        <f>IFERROR(L260*MIN(1,'01_Нормативы'!$C$9/SUM(L$2:L$429)),0)</f>
        <v/>
      </c>
      <c r="V260" s="10">
        <f>IFERROR(M260*MIN(1,'01_Нормативы'!$C$10/SUM(M$2:M$429)),0)</f>
        <v/>
      </c>
      <c r="W260" s="10">
        <f>IFERROR(N260*MIN(1,'01_Нормативы'!$C$11/SUM(N$2:N$429)),0)</f>
        <v/>
      </c>
      <c r="X260" s="10">
        <f>SUM(P260:W260)</f>
        <v/>
      </c>
      <c r="Y260" s="10">
        <f>MAX(0,C260-X260)</f>
        <v/>
      </c>
      <c r="Z260" s="10">
        <f>IF(D260=0,100,X260/D260*100)</f>
        <v/>
      </c>
      <c r="AA260" s="10">
        <f>'02_Данные'!F260+'02_Данные'!G260</f>
        <v/>
      </c>
      <c r="AB260" s="10">
        <f>MIN('02_Данные'!L260,AA260)</f>
        <v/>
      </c>
      <c r="AC260" s="10">
        <f>AA260-AB260</f>
        <v/>
      </c>
      <c r="AD260" s="10">
        <f>MIN('02_Данные'!M260,AC260)</f>
        <v/>
      </c>
      <c r="AE260" s="10">
        <f>AC260-AD260</f>
        <v/>
      </c>
      <c r="AF260" s="10">
        <f>MIN('02_Данные'!N260,AE260)</f>
        <v/>
      </c>
      <c r="AG260" s="10">
        <f>AE260-AF260</f>
        <v/>
      </c>
      <c r="AH260" s="10">
        <f>MIN('02_Данные'!S260,AG260)</f>
        <v/>
      </c>
      <c r="AI260" s="10">
        <f>AG260-AH260</f>
        <v/>
      </c>
      <c r="AJ260" s="10">
        <f>MIN('02_Данные'!P260,AI260)</f>
        <v/>
      </c>
      <c r="AK260" s="10">
        <f>AI260-AJ260</f>
        <v/>
      </c>
      <c r="AL260" s="10">
        <f>MIN('02_Данные'!O260,AK260)</f>
        <v/>
      </c>
      <c r="AM260" s="10">
        <f>AK260-AL260</f>
        <v/>
      </c>
      <c r="AN260" s="10">
        <f>MIN('02_Данные'!Q260,AM260)</f>
        <v/>
      </c>
      <c r="AO260" s="10">
        <f>AM260-AN260</f>
        <v/>
      </c>
      <c r="AP260" s="10">
        <f>MIN('02_Данные'!R260,AO260)</f>
        <v/>
      </c>
      <c r="AQ260" s="10">
        <f>AO260-AP260</f>
        <v/>
      </c>
      <c r="AR260" s="10">
        <f>AQ260+'02_Данные'!H260</f>
        <v/>
      </c>
      <c r="AS260" s="10">
        <f>MIN('02_Данные'!T260,AR260)</f>
        <v/>
      </c>
      <c r="AT260" s="10">
        <f>AR260-AS260</f>
        <v/>
      </c>
      <c r="AU260" s="10">
        <f>MIN('02_Данные'!U260,AT260)</f>
        <v/>
      </c>
      <c r="AV260" s="10">
        <f>AT260-AU260</f>
        <v/>
      </c>
      <c r="AW260" s="10">
        <f>MIN('02_Данные'!V260,AV260)</f>
        <v/>
      </c>
      <c r="AX260" s="10">
        <f>AV260-AW260</f>
        <v/>
      </c>
      <c r="AY260" s="10">
        <f>MIN('02_Данные'!AA260,AX260)</f>
        <v/>
      </c>
      <c r="AZ260" s="10">
        <f>AX260-AY260</f>
        <v/>
      </c>
      <c r="BA260" s="10">
        <f>MIN('02_Данные'!X260,AZ260)</f>
        <v/>
      </c>
      <c r="BB260" s="10">
        <f>AZ260-BA260</f>
        <v/>
      </c>
      <c r="BC260" s="10">
        <f>MIN('02_Данные'!W260,BB260)</f>
        <v/>
      </c>
      <c r="BD260" s="10">
        <f>BB260-BC260</f>
        <v/>
      </c>
      <c r="BE260" s="10">
        <f>MIN('02_Данные'!Y260,BD260)</f>
        <v/>
      </c>
      <c r="BF260" s="10">
        <f>BD260-BE260</f>
        <v/>
      </c>
      <c r="BG260" s="10">
        <f>MIN('02_Данные'!Z260,BF260)</f>
        <v/>
      </c>
      <c r="BH260" s="10">
        <f>BF260-BG260</f>
        <v/>
      </c>
      <c r="BI260" s="10">
        <f>BH260+'02_Данные'!I260</f>
        <v/>
      </c>
      <c r="BJ260" s="10">
        <f>MIN('02_Данные'!AB260,BI260)</f>
        <v/>
      </c>
      <c r="BK260" s="10">
        <f>BI260-BJ260</f>
        <v/>
      </c>
      <c r="BL260" s="10">
        <f>MIN('02_Данные'!AC260,BK260)</f>
        <v/>
      </c>
      <c r="BM260" s="10">
        <f>BK260-BL260</f>
        <v/>
      </c>
      <c r="BN260" s="10">
        <f>MIN('02_Данные'!AD260,BM260)</f>
        <v/>
      </c>
      <c r="BO260" s="10">
        <f>BM260-BN260</f>
        <v/>
      </c>
      <c r="BP260" s="10">
        <f>MIN('02_Данные'!AI260,BO260)</f>
        <v/>
      </c>
      <c r="BQ260" s="10">
        <f>BO260-BP260</f>
        <v/>
      </c>
      <c r="BR260" s="10">
        <f>MIN('02_Данные'!AF260,BQ260)</f>
        <v/>
      </c>
      <c r="BS260" s="10">
        <f>BQ260-BR260</f>
        <v/>
      </c>
      <c r="BT260" s="10">
        <f>MIN('02_Данные'!AE260,BS260)</f>
        <v/>
      </c>
      <c r="BU260" s="10">
        <f>BS260-BT260</f>
        <v/>
      </c>
      <c r="BV260" s="10">
        <f>MIN('02_Данные'!AG260,BU260)</f>
        <v/>
      </c>
      <c r="BW260" s="10">
        <f>BU260-BV260</f>
        <v/>
      </c>
      <c r="BX260" s="10">
        <f>MIN('02_Данные'!AH260,BW260)</f>
        <v/>
      </c>
      <c r="BY260" s="10">
        <f>BW260-BX260</f>
        <v/>
      </c>
      <c r="BZ260" s="10">
        <f>BY260+'02_Данные'!J260</f>
        <v/>
      </c>
      <c r="CA260" s="10">
        <f>MIN('02_Данные'!AJ260,BZ260)</f>
        <v/>
      </c>
      <c r="CB260" s="10">
        <f>BZ260-CA260</f>
        <v/>
      </c>
      <c r="CC260" s="10">
        <f>MIN('02_Данные'!AK260,CB260)</f>
        <v/>
      </c>
      <c r="CD260" s="10">
        <f>CB260-CC260</f>
        <v/>
      </c>
      <c r="CE260" s="10">
        <f>MIN('02_Данные'!AL260,CD260)</f>
        <v/>
      </c>
      <c r="CF260" s="10">
        <f>CD260-CE260</f>
        <v/>
      </c>
      <c r="CG260" s="10">
        <f>MIN('02_Данные'!AQ260,CF260)</f>
        <v/>
      </c>
      <c r="CH260" s="10">
        <f>CF260-CG260</f>
        <v/>
      </c>
      <c r="CI260" s="10">
        <f>MIN('02_Данные'!AN260,CH260)</f>
        <v/>
      </c>
      <c r="CJ260" s="10">
        <f>CH260-CI260</f>
        <v/>
      </c>
      <c r="CK260" s="10">
        <f>MIN('02_Данные'!AM260,CJ260)</f>
        <v/>
      </c>
      <c r="CL260" s="10">
        <f>CJ260-CK260</f>
        <v/>
      </c>
      <c r="CM260" s="10">
        <f>MIN('02_Данные'!AO260,CL260)</f>
        <v/>
      </c>
      <c r="CN260" s="10">
        <f>CL260-CM260</f>
        <v/>
      </c>
      <c r="CO260" s="10">
        <f>MIN('02_Данные'!AP260,CN260)</f>
        <v/>
      </c>
      <c r="CP260" s="10">
        <f>CN260-CO260</f>
        <v/>
      </c>
      <c r="CQ260" s="10">
        <f>CP260+'02_Данные'!K260</f>
        <v/>
      </c>
      <c r="CR260" s="10">
        <f>MIN('02_Данные'!AR260,CQ260)</f>
        <v/>
      </c>
      <c r="CS260" s="10">
        <f>CQ260-CR260</f>
        <v/>
      </c>
      <c r="CT260" s="10">
        <f>MIN('02_Данные'!AS260,CS260)</f>
        <v/>
      </c>
      <c r="CU260" s="10">
        <f>CS260-CT260</f>
        <v/>
      </c>
      <c r="CV260" s="10">
        <f>MIN('02_Данные'!AT260,CU260)</f>
        <v/>
      </c>
      <c r="CW260" s="10">
        <f>CU260-CV260</f>
        <v/>
      </c>
      <c r="CX260" s="10">
        <f>MIN('02_Данные'!AY260,CW260)</f>
        <v/>
      </c>
      <c r="CY260" s="10">
        <f>CW260-CX260</f>
        <v/>
      </c>
      <c r="CZ260" s="10">
        <f>MIN('02_Данные'!AV260,CY260)</f>
        <v/>
      </c>
      <c r="DA260" s="10">
        <f>CY260-CZ260</f>
        <v/>
      </c>
      <c r="DB260" s="10">
        <f>MIN('02_Данные'!AU260,DA260)</f>
        <v/>
      </c>
      <c r="DC260" s="10">
        <f>DA260-DB260</f>
        <v/>
      </c>
      <c r="DD260" s="10">
        <f>MIN('02_Данные'!AW260,DC260)</f>
        <v/>
      </c>
      <c r="DE260" s="10">
        <f>DC260-DD260</f>
        <v/>
      </c>
      <c r="DF260" s="10">
        <f>MIN('02_Данные'!AX260,DE260)</f>
        <v/>
      </c>
      <c r="DG260" s="10">
        <f>DE260-DF260</f>
        <v/>
      </c>
    </row>
    <row r="261">
      <c r="A261" s="9">
        <f>'02_Данные'!B261</f>
        <v/>
      </c>
      <c r="B261" s="9">
        <f>'02_Данные'!E261</f>
        <v/>
      </c>
      <c r="C261" s="10">
        <f>'02_Данные'!F261+'02_Данные'!G261+'02_Данные'!H261+'02_Данные'!I261+'02_Данные'!J261+'02_Данные'!K261</f>
        <v/>
      </c>
      <c r="D261" s="10">
        <f>SUM('02_Данные'!L261:'02_Данные'!AY261)</f>
        <v/>
      </c>
      <c r="E261" s="10">
        <f>MAX(0,D261-C261)</f>
        <v/>
      </c>
      <c r="F261" s="15">
        <f>IF(E261&gt;0.0001,"ДЕФИЦИТ",IF(Y261&gt;0.0001,"ПРОФИЦИТ","БАЛАНС"))</f>
        <v/>
      </c>
      <c r="G261" s="10">
        <f>AB261+AS261+BJ261+CA261+CR261</f>
        <v/>
      </c>
      <c r="H261" s="10">
        <f>AD261+AU261+BL261+CC261+CT261</f>
        <v/>
      </c>
      <c r="I261" s="10">
        <f>AF261+AW261+BN261+CE261+CV261</f>
        <v/>
      </c>
      <c r="J261" s="10">
        <f>AL261+BC261+BT261+CK261+DB261</f>
        <v/>
      </c>
      <c r="K261" s="10">
        <f>AJ261+BA261+BR261+CI261+CZ261</f>
        <v/>
      </c>
      <c r="L261" s="10">
        <f>AN261+BE261+BV261+CM261+DD261</f>
        <v/>
      </c>
      <c r="M261" s="10">
        <f>AP261+BG261+BX261+CO261+DF261</f>
        <v/>
      </c>
      <c r="N261" s="10">
        <f>AH261+AY261+BP261+CG261+CX261</f>
        <v/>
      </c>
      <c r="O261" s="10">
        <f>SUM(G261:N261)</f>
        <v/>
      </c>
      <c r="P261" s="10">
        <f>IFERROR(G261*MIN(1,'01_Нормативы'!$C$4/SUM(G$2:G$429)),0)</f>
        <v/>
      </c>
      <c r="Q261" s="10">
        <f>IFERROR(H261*MIN(1,'01_Нормативы'!$C$5/SUM(H$2:H$429)),0)</f>
        <v/>
      </c>
      <c r="R261" s="10">
        <f>IFERROR(I261*MIN(1,'01_Нормативы'!$C$6/SUM(I$2:I$429)),0)</f>
        <v/>
      </c>
      <c r="S261" s="10">
        <f>IFERROR(J261*MIN(1,'01_Нормативы'!$C$7/SUM(J$2:J$429)),0)</f>
        <v/>
      </c>
      <c r="T261" s="10">
        <f>IFERROR(K261*MIN(1,'01_Нормативы'!$C$8/SUM(K$2:K$429)),0)</f>
        <v/>
      </c>
      <c r="U261" s="10">
        <f>IFERROR(L261*MIN(1,'01_Нормативы'!$C$9/SUM(L$2:L$429)),0)</f>
        <v/>
      </c>
      <c r="V261" s="10">
        <f>IFERROR(M261*MIN(1,'01_Нормативы'!$C$10/SUM(M$2:M$429)),0)</f>
        <v/>
      </c>
      <c r="W261" s="10">
        <f>IFERROR(N261*MIN(1,'01_Нормативы'!$C$11/SUM(N$2:N$429)),0)</f>
        <v/>
      </c>
      <c r="X261" s="10">
        <f>SUM(P261:W261)</f>
        <v/>
      </c>
      <c r="Y261" s="10">
        <f>MAX(0,C261-X261)</f>
        <v/>
      </c>
      <c r="Z261" s="10">
        <f>IF(D261=0,100,X261/D261*100)</f>
        <v/>
      </c>
      <c r="AA261" s="10">
        <f>'02_Данные'!F261+'02_Данные'!G261</f>
        <v/>
      </c>
      <c r="AB261" s="10">
        <f>MIN('02_Данные'!L261,AA261)</f>
        <v/>
      </c>
      <c r="AC261" s="10">
        <f>AA261-AB261</f>
        <v/>
      </c>
      <c r="AD261" s="10">
        <f>MIN('02_Данные'!M261,AC261)</f>
        <v/>
      </c>
      <c r="AE261" s="10">
        <f>AC261-AD261</f>
        <v/>
      </c>
      <c r="AF261" s="10">
        <f>MIN('02_Данные'!N261,AE261)</f>
        <v/>
      </c>
      <c r="AG261" s="10">
        <f>AE261-AF261</f>
        <v/>
      </c>
      <c r="AH261" s="10">
        <f>MIN('02_Данные'!S261,AG261)</f>
        <v/>
      </c>
      <c r="AI261" s="10">
        <f>AG261-AH261</f>
        <v/>
      </c>
      <c r="AJ261" s="10">
        <f>MIN('02_Данные'!P261,AI261)</f>
        <v/>
      </c>
      <c r="AK261" s="10">
        <f>AI261-AJ261</f>
        <v/>
      </c>
      <c r="AL261" s="10">
        <f>MIN('02_Данные'!O261,AK261)</f>
        <v/>
      </c>
      <c r="AM261" s="10">
        <f>AK261-AL261</f>
        <v/>
      </c>
      <c r="AN261" s="10">
        <f>MIN('02_Данные'!Q261,AM261)</f>
        <v/>
      </c>
      <c r="AO261" s="10">
        <f>AM261-AN261</f>
        <v/>
      </c>
      <c r="AP261" s="10">
        <f>MIN('02_Данные'!R261,AO261)</f>
        <v/>
      </c>
      <c r="AQ261" s="10">
        <f>AO261-AP261</f>
        <v/>
      </c>
      <c r="AR261" s="10">
        <f>AQ261+'02_Данные'!H261</f>
        <v/>
      </c>
      <c r="AS261" s="10">
        <f>MIN('02_Данные'!T261,AR261)</f>
        <v/>
      </c>
      <c r="AT261" s="10">
        <f>AR261-AS261</f>
        <v/>
      </c>
      <c r="AU261" s="10">
        <f>MIN('02_Данные'!U261,AT261)</f>
        <v/>
      </c>
      <c r="AV261" s="10">
        <f>AT261-AU261</f>
        <v/>
      </c>
      <c r="AW261" s="10">
        <f>MIN('02_Данные'!V261,AV261)</f>
        <v/>
      </c>
      <c r="AX261" s="10">
        <f>AV261-AW261</f>
        <v/>
      </c>
      <c r="AY261" s="10">
        <f>MIN('02_Данные'!AA261,AX261)</f>
        <v/>
      </c>
      <c r="AZ261" s="10">
        <f>AX261-AY261</f>
        <v/>
      </c>
      <c r="BA261" s="10">
        <f>MIN('02_Данные'!X261,AZ261)</f>
        <v/>
      </c>
      <c r="BB261" s="10">
        <f>AZ261-BA261</f>
        <v/>
      </c>
      <c r="BC261" s="10">
        <f>MIN('02_Данные'!W261,BB261)</f>
        <v/>
      </c>
      <c r="BD261" s="10">
        <f>BB261-BC261</f>
        <v/>
      </c>
      <c r="BE261" s="10">
        <f>MIN('02_Данные'!Y261,BD261)</f>
        <v/>
      </c>
      <c r="BF261" s="10">
        <f>BD261-BE261</f>
        <v/>
      </c>
      <c r="BG261" s="10">
        <f>MIN('02_Данные'!Z261,BF261)</f>
        <v/>
      </c>
      <c r="BH261" s="10">
        <f>BF261-BG261</f>
        <v/>
      </c>
      <c r="BI261" s="10">
        <f>BH261+'02_Данные'!I261</f>
        <v/>
      </c>
      <c r="BJ261" s="10">
        <f>MIN('02_Данные'!AB261,BI261)</f>
        <v/>
      </c>
      <c r="BK261" s="10">
        <f>BI261-BJ261</f>
        <v/>
      </c>
      <c r="BL261" s="10">
        <f>MIN('02_Данные'!AC261,BK261)</f>
        <v/>
      </c>
      <c r="BM261" s="10">
        <f>BK261-BL261</f>
        <v/>
      </c>
      <c r="BN261" s="10">
        <f>MIN('02_Данные'!AD261,BM261)</f>
        <v/>
      </c>
      <c r="BO261" s="10">
        <f>BM261-BN261</f>
        <v/>
      </c>
      <c r="BP261" s="10">
        <f>MIN('02_Данные'!AI261,BO261)</f>
        <v/>
      </c>
      <c r="BQ261" s="10">
        <f>BO261-BP261</f>
        <v/>
      </c>
      <c r="BR261" s="10">
        <f>MIN('02_Данные'!AF261,BQ261)</f>
        <v/>
      </c>
      <c r="BS261" s="10">
        <f>BQ261-BR261</f>
        <v/>
      </c>
      <c r="BT261" s="10">
        <f>MIN('02_Данные'!AE261,BS261)</f>
        <v/>
      </c>
      <c r="BU261" s="10">
        <f>BS261-BT261</f>
        <v/>
      </c>
      <c r="BV261" s="10">
        <f>MIN('02_Данные'!AG261,BU261)</f>
        <v/>
      </c>
      <c r="BW261" s="10">
        <f>BU261-BV261</f>
        <v/>
      </c>
      <c r="BX261" s="10">
        <f>MIN('02_Данные'!AH261,BW261)</f>
        <v/>
      </c>
      <c r="BY261" s="10">
        <f>BW261-BX261</f>
        <v/>
      </c>
      <c r="BZ261" s="10">
        <f>BY261+'02_Данные'!J261</f>
        <v/>
      </c>
      <c r="CA261" s="10">
        <f>MIN('02_Данные'!AJ261,BZ261)</f>
        <v/>
      </c>
      <c r="CB261" s="10">
        <f>BZ261-CA261</f>
        <v/>
      </c>
      <c r="CC261" s="10">
        <f>MIN('02_Данные'!AK261,CB261)</f>
        <v/>
      </c>
      <c r="CD261" s="10">
        <f>CB261-CC261</f>
        <v/>
      </c>
      <c r="CE261" s="10">
        <f>MIN('02_Данные'!AL261,CD261)</f>
        <v/>
      </c>
      <c r="CF261" s="10">
        <f>CD261-CE261</f>
        <v/>
      </c>
      <c r="CG261" s="10">
        <f>MIN('02_Данные'!AQ261,CF261)</f>
        <v/>
      </c>
      <c r="CH261" s="10">
        <f>CF261-CG261</f>
        <v/>
      </c>
      <c r="CI261" s="10">
        <f>MIN('02_Данные'!AN261,CH261)</f>
        <v/>
      </c>
      <c r="CJ261" s="10">
        <f>CH261-CI261</f>
        <v/>
      </c>
      <c r="CK261" s="10">
        <f>MIN('02_Данные'!AM261,CJ261)</f>
        <v/>
      </c>
      <c r="CL261" s="10">
        <f>CJ261-CK261</f>
        <v/>
      </c>
      <c r="CM261" s="10">
        <f>MIN('02_Данные'!AO261,CL261)</f>
        <v/>
      </c>
      <c r="CN261" s="10">
        <f>CL261-CM261</f>
        <v/>
      </c>
      <c r="CO261" s="10">
        <f>MIN('02_Данные'!AP261,CN261)</f>
        <v/>
      </c>
      <c r="CP261" s="10">
        <f>CN261-CO261</f>
        <v/>
      </c>
      <c r="CQ261" s="10">
        <f>CP261+'02_Данные'!K261</f>
        <v/>
      </c>
      <c r="CR261" s="10">
        <f>MIN('02_Данные'!AR261,CQ261)</f>
        <v/>
      </c>
      <c r="CS261" s="10">
        <f>CQ261-CR261</f>
        <v/>
      </c>
      <c r="CT261" s="10">
        <f>MIN('02_Данные'!AS261,CS261)</f>
        <v/>
      </c>
      <c r="CU261" s="10">
        <f>CS261-CT261</f>
        <v/>
      </c>
      <c r="CV261" s="10">
        <f>MIN('02_Данные'!AT261,CU261)</f>
        <v/>
      </c>
      <c r="CW261" s="10">
        <f>CU261-CV261</f>
        <v/>
      </c>
      <c r="CX261" s="10">
        <f>MIN('02_Данные'!AY261,CW261)</f>
        <v/>
      </c>
      <c r="CY261" s="10">
        <f>CW261-CX261</f>
        <v/>
      </c>
      <c r="CZ261" s="10">
        <f>MIN('02_Данные'!AV261,CY261)</f>
        <v/>
      </c>
      <c r="DA261" s="10">
        <f>CY261-CZ261</f>
        <v/>
      </c>
      <c r="DB261" s="10">
        <f>MIN('02_Данные'!AU261,DA261)</f>
        <v/>
      </c>
      <c r="DC261" s="10">
        <f>DA261-DB261</f>
        <v/>
      </c>
      <c r="DD261" s="10">
        <f>MIN('02_Данные'!AW261,DC261)</f>
        <v/>
      </c>
      <c r="DE261" s="10">
        <f>DC261-DD261</f>
        <v/>
      </c>
      <c r="DF261" s="10">
        <f>MIN('02_Данные'!AX261,DE261)</f>
        <v/>
      </c>
      <c r="DG261" s="10">
        <f>DE261-DF261</f>
        <v/>
      </c>
    </row>
    <row r="262">
      <c r="A262" s="9">
        <f>'02_Данные'!B262</f>
        <v/>
      </c>
      <c r="B262" s="9">
        <f>'02_Данные'!E262</f>
        <v/>
      </c>
      <c r="C262" s="10">
        <f>'02_Данные'!F262+'02_Данные'!G262+'02_Данные'!H262+'02_Данные'!I262+'02_Данные'!J262+'02_Данные'!K262</f>
        <v/>
      </c>
      <c r="D262" s="10">
        <f>SUM('02_Данные'!L262:'02_Данные'!AY262)</f>
        <v/>
      </c>
      <c r="E262" s="10">
        <f>MAX(0,D262-C262)</f>
        <v/>
      </c>
      <c r="F262" s="15">
        <f>IF(E262&gt;0.0001,"ДЕФИЦИТ",IF(Y262&gt;0.0001,"ПРОФИЦИТ","БАЛАНС"))</f>
        <v/>
      </c>
      <c r="G262" s="10">
        <f>AB262+AS262+BJ262+CA262+CR262</f>
        <v/>
      </c>
      <c r="H262" s="10">
        <f>AD262+AU262+BL262+CC262+CT262</f>
        <v/>
      </c>
      <c r="I262" s="10">
        <f>AF262+AW262+BN262+CE262+CV262</f>
        <v/>
      </c>
      <c r="J262" s="10">
        <f>AL262+BC262+BT262+CK262+DB262</f>
        <v/>
      </c>
      <c r="K262" s="10">
        <f>AJ262+BA262+BR262+CI262+CZ262</f>
        <v/>
      </c>
      <c r="L262" s="10">
        <f>AN262+BE262+BV262+CM262+DD262</f>
        <v/>
      </c>
      <c r="M262" s="10">
        <f>AP262+BG262+BX262+CO262+DF262</f>
        <v/>
      </c>
      <c r="N262" s="10">
        <f>AH262+AY262+BP262+CG262+CX262</f>
        <v/>
      </c>
      <c r="O262" s="10">
        <f>SUM(G262:N262)</f>
        <v/>
      </c>
      <c r="P262" s="10">
        <f>IFERROR(G262*MIN(1,'01_Нормативы'!$C$4/SUM(G$2:G$429)),0)</f>
        <v/>
      </c>
      <c r="Q262" s="10">
        <f>IFERROR(H262*MIN(1,'01_Нормативы'!$C$5/SUM(H$2:H$429)),0)</f>
        <v/>
      </c>
      <c r="R262" s="10">
        <f>IFERROR(I262*MIN(1,'01_Нормативы'!$C$6/SUM(I$2:I$429)),0)</f>
        <v/>
      </c>
      <c r="S262" s="10">
        <f>IFERROR(J262*MIN(1,'01_Нормативы'!$C$7/SUM(J$2:J$429)),0)</f>
        <v/>
      </c>
      <c r="T262" s="10">
        <f>IFERROR(K262*MIN(1,'01_Нормативы'!$C$8/SUM(K$2:K$429)),0)</f>
        <v/>
      </c>
      <c r="U262" s="10">
        <f>IFERROR(L262*MIN(1,'01_Нормативы'!$C$9/SUM(L$2:L$429)),0)</f>
        <v/>
      </c>
      <c r="V262" s="10">
        <f>IFERROR(M262*MIN(1,'01_Нормативы'!$C$10/SUM(M$2:M$429)),0)</f>
        <v/>
      </c>
      <c r="W262" s="10">
        <f>IFERROR(N262*MIN(1,'01_Нормативы'!$C$11/SUM(N$2:N$429)),0)</f>
        <v/>
      </c>
      <c r="X262" s="10">
        <f>SUM(P262:W262)</f>
        <v/>
      </c>
      <c r="Y262" s="10">
        <f>MAX(0,C262-X262)</f>
        <v/>
      </c>
      <c r="Z262" s="10">
        <f>IF(D262=0,100,X262/D262*100)</f>
        <v/>
      </c>
      <c r="AA262" s="10">
        <f>'02_Данные'!F262+'02_Данные'!G262</f>
        <v/>
      </c>
      <c r="AB262" s="10">
        <f>MIN('02_Данные'!L262,AA262)</f>
        <v/>
      </c>
      <c r="AC262" s="10">
        <f>AA262-AB262</f>
        <v/>
      </c>
      <c r="AD262" s="10">
        <f>MIN('02_Данные'!M262,AC262)</f>
        <v/>
      </c>
      <c r="AE262" s="10">
        <f>AC262-AD262</f>
        <v/>
      </c>
      <c r="AF262" s="10">
        <f>MIN('02_Данные'!N262,AE262)</f>
        <v/>
      </c>
      <c r="AG262" s="10">
        <f>AE262-AF262</f>
        <v/>
      </c>
      <c r="AH262" s="10">
        <f>MIN('02_Данные'!S262,AG262)</f>
        <v/>
      </c>
      <c r="AI262" s="10">
        <f>AG262-AH262</f>
        <v/>
      </c>
      <c r="AJ262" s="10">
        <f>MIN('02_Данные'!P262,AI262)</f>
        <v/>
      </c>
      <c r="AK262" s="10">
        <f>AI262-AJ262</f>
        <v/>
      </c>
      <c r="AL262" s="10">
        <f>MIN('02_Данные'!O262,AK262)</f>
        <v/>
      </c>
      <c r="AM262" s="10">
        <f>AK262-AL262</f>
        <v/>
      </c>
      <c r="AN262" s="10">
        <f>MIN('02_Данные'!Q262,AM262)</f>
        <v/>
      </c>
      <c r="AO262" s="10">
        <f>AM262-AN262</f>
        <v/>
      </c>
      <c r="AP262" s="10">
        <f>MIN('02_Данные'!R262,AO262)</f>
        <v/>
      </c>
      <c r="AQ262" s="10">
        <f>AO262-AP262</f>
        <v/>
      </c>
      <c r="AR262" s="10">
        <f>AQ262+'02_Данные'!H262</f>
        <v/>
      </c>
      <c r="AS262" s="10">
        <f>MIN('02_Данные'!T262,AR262)</f>
        <v/>
      </c>
      <c r="AT262" s="10">
        <f>AR262-AS262</f>
        <v/>
      </c>
      <c r="AU262" s="10">
        <f>MIN('02_Данные'!U262,AT262)</f>
        <v/>
      </c>
      <c r="AV262" s="10">
        <f>AT262-AU262</f>
        <v/>
      </c>
      <c r="AW262" s="10">
        <f>MIN('02_Данные'!V262,AV262)</f>
        <v/>
      </c>
      <c r="AX262" s="10">
        <f>AV262-AW262</f>
        <v/>
      </c>
      <c r="AY262" s="10">
        <f>MIN('02_Данные'!AA262,AX262)</f>
        <v/>
      </c>
      <c r="AZ262" s="10">
        <f>AX262-AY262</f>
        <v/>
      </c>
      <c r="BA262" s="10">
        <f>MIN('02_Данные'!X262,AZ262)</f>
        <v/>
      </c>
      <c r="BB262" s="10">
        <f>AZ262-BA262</f>
        <v/>
      </c>
      <c r="BC262" s="10">
        <f>MIN('02_Данные'!W262,BB262)</f>
        <v/>
      </c>
      <c r="BD262" s="10">
        <f>BB262-BC262</f>
        <v/>
      </c>
      <c r="BE262" s="10">
        <f>MIN('02_Данные'!Y262,BD262)</f>
        <v/>
      </c>
      <c r="BF262" s="10">
        <f>BD262-BE262</f>
        <v/>
      </c>
      <c r="BG262" s="10">
        <f>MIN('02_Данные'!Z262,BF262)</f>
        <v/>
      </c>
      <c r="BH262" s="10">
        <f>BF262-BG262</f>
        <v/>
      </c>
      <c r="BI262" s="10">
        <f>BH262+'02_Данные'!I262</f>
        <v/>
      </c>
      <c r="BJ262" s="10">
        <f>MIN('02_Данные'!AB262,BI262)</f>
        <v/>
      </c>
      <c r="BK262" s="10">
        <f>BI262-BJ262</f>
        <v/>
      </c>
      <c r="BL262" s="10">
        <f>MIN('02_Данные'!AC262,BK262)</f>
        <v/>
      </c>
      <c r="BM262" s="10">
        <f>BK262-BL262</f>
        <v/>
      </c>
      <c r="BN262" s="10">
        <f>MIN('02_Данные'!AD262,BM262)</f>
        <v/>
      </c>
      <c r="BO262" s="10">
        <f>BM262-BN262</f>
        <v/>
      </c>
      <c r="BP262" s="10">
        <f>MIN('02_Данные'!AI262,BO262)</f>
        <v/>
      </c>
      <c r="BQ262" s="10">
        <f>BO262-BP262</f>
        <v/>
      </c>
      <c r="BR262" s="10">
        <f>MIN('02_Данные'!AF262,BQ262)</f>
        <v/>
      </c>
      <c r="BS262" s="10">
        <f>BQ262-BR262</f>
        <v/>
      </c>
      <c r="BT262" s="10">
        <f>MIN('02_Данные'!AE262,BS262)</f>
        <v/>
      </c>
      <c r="BU262" s="10">
        <f>BS262-BT262</f>
        <v/>
      </c>
      <c r="BV262" s="10">
        <f>MIN('02_Данные'!AG262,BU262)</f>
        <v/>
      </c>
      <c r="BW262" s="10">
        <f>BU262-BV262</f>
        <v/>
      </c>
      <c r="BX262" s="10">
        <f>MIN('02_Данные'!AH262,BW262)</f>
        <v/>
      </c>
      <c r="BY262" s="10">
        <f>BW262-BX262</f>
        <v/>
      </c>
      <c r="BZ262" s="10">
        <f>BY262+'02_Данные'!J262</f>
        <v/>
      </c>
      <c r="CA262" s="10">
        <f>MIN('02_Данные'!AJ262,BZ262)</f>
        <v/>
      </c>
      <c r="CB262" s="10">
        <f>BZ262-CA262</f>
        <v/>
      </c>
      <c r="CC262" s="10">
        <f>MIN('02_Данные'!AK262,CB262)</f>
        <v/>
      </c>
      <c r="CD262" s="10">
        <f>CB262-CC262</f>
        <v/>
      </c>
      <c r="CE262" s="10">
        <f>MIN('02_Данные'!AL262,CD262)</f>
        <v/>
      </c>
      <c r="CF262" s="10">
        <f>CD262-CE262</f>
        <v/>
      </c>
      <c r="CG262" s="10">
        <f>MIN('02_Данные'!AQ262,CF262)</f>
        <v/>
      </c>
      <c r="CH262" s="10">
        <f>CF262-CG262</f>
        <v/>
      </c>
      <c r="CI262" s="10">
        <f>MIN('02_Данные'!AN262,CH262)</f>
        <v/>
      </c>
      <c r="CJ262" s="10">
        <f>CH262-CI262</f>
        <v/>
      </c>
      <c r="CK262" s="10">
        <f>MIN('02_Данные'!AM262,CJ262)</f>
        <v/>
      </c>
      <c r="CL262" s="10">
        <f>CJ262-CK262</f>
        <v/>
      </c>
      <c r="CM262" s="10">
        <f>MIN('02_Данные'!AO262,CL262)</f>
        <v/>
      </c>
      <c r="CN262" s="10">
        <f>CL262-CM262</f>
        <v/>
      </c>
      <c r="CO262" s="10">
        <f>MIN('02_Данные'!AP262,CN262)</f>
        <v/>
      </c>
      <c r="CP262" s="10">
        <f>CN262-CO262</f>
        <v/>
      </c>
      <c r="CQ262" s="10">
        <f>CP262+'02_Данные'!K262</f>
        <v/>
      </c>
      <c r="CR262" s="10">
        <f>MIN('02_Данные'!AR262,CQ262)</f>
        <v/>
      </c>
      <c r="CS262" s="10">
        <f>CQ262-CR262</f>
        <v/>
      </c>
      <c r="CT262" s="10">
        <f>MIN('02_Данные'!AS262,CS262)</f>
        <v/>
      </c>
      <c r="CU262" s="10">
        <f>CS262-CT262</f>
        <v/>
      </c>
      <c r="CV262" s="10">
        <f>MIN('02_Данные'!AT262,CU262)</f>
        <v/>
      </c>
      <c r="CW262" s="10">
        <f>CU262-CV262</f>
        <v/>
      </c>
      <c r="CX262" s="10">
        <f>MIN('02_Данные'!AY262,CW262)</f>
        <v/>
      </c>
      <c r="CY262" s="10">
        <f>CW262-CX262</f>
        <v/>
      </c>
      <c r="CZ262" s="10">
        <f>MIN('02_Данные'!AV262,CY262)</f>
        <v/>
      </c>
      <c r="DA262" s="10">
        <f>CY262-CZ262</f>
        <v/>
      </c>
      <c r="DB262" s="10">
        <f>MIN('02_Данные'!AU262,DA262)</f>
        <v/>
      </c>
      <c r="DC262" s="10">
        <f>DA262-DB262</f>
        <v/>
      </c>
      <c r="DD262" s="10">
        <f>MIN('02_Данные'!AW262,DC262)</f>
        <v/>
      </c>
      <c r="DE262" s="10">
        <f>DC262-DD262</f>
        <v/>
      </c>
      <c r="DF262" s="10">
        <f>MIN('02_Данные'!AX262,DE262)</f>
        <v/>
      </c>
      <c r="DG262" s="10">
        <f>DE262-DF262</f>
        <v/>
      </c>
    </row>
    <row r="263">
      <c r="A263" s="9">
        <f>'02_Данные'!B263</f>
        <v/>
      </c>
      <c r="B263" s="9">
        <f>'02_Данные'!E263</f>
        <v/>
      </c>
      <c r="C263" s="10">
        <f>'02_Данные'!F263+'02_Данные'!G263+'02_Данные'!H263+'02_Данные'!I263+'02_Данные'!J263+'02_Данные'!K263</f>
        <v/>
      </c>
      <c r="D263" s="10">
        <f>SUM('02_Данные'!L263:'02_Данные'!AY263)</f>
        <v/>
      </c>
      <c r="E263" s="10">
        <f>MAX(0,D263-C263)</f>
        <v/>
      </c>
      <c r="F263" s="15">
        <f>IF(E263&gt;0.0001,"ДЕФИЦИТ",IF(Y263&gt;0.0001,"ПРОФИЦИТ","БАЛАНС"))</f>
        <v/>
      </c>
      <c r="G263" s="10">
        <f>AB263+AS263+BJ263+CA263+CR263</f>
        <v/>
      </c>
      <c r="H263" s="10">
        <f>AD263+AU263+BL263+CC263+CT263</f>
        <v/>
      </c>
      <c r="I263" s="10">
        <f>AF263+AW263+BN263+CE263+CV263</f>
        <v/>
      </c>
      <c r="J263" s="10">
        <f>AL263+BC263+BT263+CK263+DB263</f>
        <v/>
      </c>
      <c r="K263" s="10">
        <f>AJ263+BA263+BR263+CI263+CZ263</f>
        <v/>
      </c>
      <c r="L263" s="10">
        <f>AN263+BE263+BV263+CM263+DD263</f>
        <v/>
      </c>
      <c r="M263" s="10">
        <f>AP263+BG263+BX263+CO263+DF263</f>
        <v/>
      </c>
      <c r="N263" s="10">
        <f>AH263+AY263+BP263+CG263+CX263</f>
        <v/>
      </c>
      <c r="O263" s="10">
        <f>SUM(G263:N263)</f>
        <v/>
      </c>
      <c r="P263" s="10">
        <f>IFERROR(G263*MIN(1,'01_Нормативы'!$C$4/SUM(G$2:G$429)),0)</f>
        <v/>
      </c>
      <c r="Q263" s="10">
        <f>IFERROR(H263*MIN(1,'01_Нормативы'!$C$5/SUM(H$2:H$429)),0)</f>
        <v/>
      </c>
      <c r="R263" s="10">
        <f>IFERROR(I263*MIN(1,'01_Нормативы'!$C$6/SUM(I$2:I$429)),0)</f>
        <v/>
      </c>
      <c r="S263" s="10">
        <f>IFERROR(J263*MIN(1,'01_Нормативы'!$C$7/SUM(J$2:J$429)),0)</f>
        <v/>
      </c>
      <c r="T263" s="10">
        <f>IFERROR(K263*MIN(1,'01_Нормативы'!$C$8/SUM(K$2:K$429)),0)</f>
        <v/>
      </c>
      <c r="U263" s="10">
        <f>IFERROR(L263*MIN(1,'01_Нормативы'!$C$9/SUM(L$2:L$429)),0)</f>
        <v/>
      </c>
      <c r="V263" s="10">
        <f>IFERROR(M263*MIN(1,'01_Нормативы'!$C$10/SUM(M$2:M$429)),0)</f>
        <v/>
      </c>
      <c r="W263" s="10">
        <f>IFERROR(N263*MIN(1,'01_Нормативы'!$C$11/SUM(N$2:N$429)),0)</f>
        <v/>
      </c>
      <c r="X263" s="10">
        <f>SUM(P263:W263)</f>
        <v/>
      </c>
      <c r="Y263" s="10">
        <f>MAX(0,C263-X263)</f>
        <v/>
      </c>
      <c r="Z263" s="10">
        <f>IF(D263=0,100,X263/D263*100)</f>
        <v/>
      </c>
      <c r="AA263" s="10">
        <f>'02_Данные'!F263+'02_Данные'!G263</f>
        <v/>
      </c>
      <c r="AB263" s="10">
        <f>MIN('02_Данные'!L263,AA263)</f>
        <v/>
      </c>
      <c r="AC263" s="10">
        <f>AA263-AB263</f>
        <v/>
      </c>
      <c r="AD263" s="10">
        <f>MIN('02_Данные'!M263,AC263)</f>
        <v/>
      </c>
      <c r="AE263" s="10">
        <f>AC263-AD263</f>
        <v/>
      </c>
      <c r="AF263" s="10">
        <f>MIN('02_Данные'!N263,AE263)</f>
        <v/>
      </c>
      <c r="AG263" s="10">
        <f>AE263-AF263</f>
        <v/>
      </c>
      <c r="AH263" s="10">
        <f>MIN('02_Данные'!S263,AG263)</f>
        <v/>
      </c>
      <c r="AI263" s="10">
        <f>AG263-AH263</f>
        <v/>
      </c>
      <c r="AJ263" s="10">
        <f>MIN('02_Данные'!P263,AI263)</f>
        <v/>
      </c>
      <c r="AK263" s="10">
        <f>AI263-AJ263</f>
        <v/>
      </c>
      <c r="AL263" s="10">
        <f>MIN('02_Данные'!O263,AK263)</f>
        <v/>
      </c>
      <c r="AM263" s="10">
        <f>AK263-AL263</f>
        <v/>
      </c>
      <c r="AN263" s="10">
        <f>MIN('02_Данные'!Q263,AM263)</f>
        <v/>
      </c>
      <c r="AO263" s="10">
        <f>AM263-AN263</f>
        <v/>
      </c>
      <c r="AP263" s="10">
        <f>MIN('02_Данные'!R263,AO263)</f>
        <v/>
      </c>
      <c r="AQ263" s="10">
        <f>AO263-AP263</f>
        <v/>
      </c>
      <c r="AR263" s="10">
        <f>AQ263+'02_Данные'!H263</f>
        <v/>
      </c>
      <c r="AS263" s="10">
        <f>MIN('02_Данные'!T263,AR263)</f>
        <v/>
      </c>
      <c r="AT263" s="10">
        <f>AR263-AS263</f>
        <v/>
      </c>
      <c r="AU263" s="10">
        <f>MIN('02_Данные'!U263,AT263)</f>
        <v/>
      </c>
      <c r="AV263" s="10">
        <f>AT263-AU263</f>
        <v/>
      </c>
      <c r="AW263" s="10">
        <f>MIN('02_Данные'!V263,AV263)</f>
        <v/>
      </c>
      <c r="AX263" s="10">
        <f>AV263-AW263</f>
        <v/>
      </c>
      <c r="AY263" s="10">
        <f>MIN('02_Данные'!AA263,AX263)</f>
        <v/>
      </c>
      <c r="AZ263" s="10">
        <f>AX263-AY263</f>
        <v/>
      </c>
      <c r="BA263" s="10">
        <f>MIN('02_Данные'!X263,AZ263)</f>
        <v/>
      </c>
      <c r="BB263" s="10">
        <f>AZ263-BA263</f>
        <v/>
      </c>
      <c r="BC263" s="10">
        <f>MIN('02_Данные'!W263,BB263)</f>
        <v/>
      </c>
      <c r="BD263" s="10">
        <f>BB263-BC263</f>
        <v/>
      </c>
      <c r="BE263" s="10">
        <f>MIN('02_Данные'!Y263,BD263)</f>
        <v/>
      </c>
      <c r="BF263" s="10">
        <f>BD263-BE263</f>
        <v/>
      </c>
      <c r="BG263" s="10">
        <f>MIN('02_Данные'!Z263,BF263)</f>
        <v/>
      </c>
      <c r="BH263" s="10">
        <f>BF263-BG263</f>
        <v/>
      </c>
      <c r="BI263" s="10">
        <f>BH263+'02_Данные'!I263</f>
        <v/>
      </c>
      <c r="BJ263" s="10">
        <f>MIN('02_Данные'!AB263,BI263)</f>
        <v/>
      </c>
      <c r="BK263" s="10">
        <f>BI263-BJ263</f>
        <v/>
      </c>
      <c r="BL263" s="10">
        <f>MIN('02_Данные'!AC263,BK263)</f>
        <v/>
      </c>
      <c r="BM263" s="10">
        <f>BK263-BL263</f>
        <v/>
      </c>
      <c r="BN263" s="10">
        <f>MIN('02_Данные'!AD263,BM263)</f>
        <v/>
      </c>
      <c r="BO263" s="10">
        <f>BM263-BN263</f>
        <v/>
      </c>
      <c r="BP263" s="10">
        <f>MIN('02_Данные'!AI263,BO263)</f>
        <v/>
      </c>
      <c r="BQ263" s="10">
        <f>BO263-BP263</f>
        <v/>
      </c>
      <c r="BR263" s="10">
        <f>MIN('02_Данные'!AF263,BQ263)</f>
        <v/>
      </c>
      <c r="BS263" s="10">
        <f>BQ263-BR263</f>
        <v/>
      </c>
      <c r="BT263" s="10">
        <f>MIN('02_Данные'!AE263,BS263)</f>
        <v/>
      </c>
      <c r="BU263" s="10">
        <f>BS263-BT263</f>
        <v/>
      </c>
      <c r="BV263" s="10">
        <f>MIN('02_Данные'!AG263,BU263)</f>
        <v/>
      </c>
      <c r="BW263" s="10">
        <f>BU263-BV263</f>
        <v/>
      </c>
      <c r="BX263" s="10">
        <f>MIN('02_Данные'!AH263,BW263)</f>
        <v/>
      </c>
      <c r="BY263" s="10">
        <f>BW263-BX263</f>
        <v/>
      </c>
      <c r="BZ263" s="10">
        <f>BY263+'02_Данные'!J263</f>
        <v/>
      </c>
      <c r="CA263" s="10">
        <f>MIN('02_Данные'!AJ263,BZ263)</f>
        <v/>
      </c>
      <c r="CB263" s="10">
        <f>BZ263-CA263</f>
        <v/>
      </c>
      <c r="CC263" s="10">
        <f>MIN('02_Данные'!AK263,CB263)</f>
        <v/>
      </c>
      <c r="CD263" s="10">
        <f>CB263-CC263</f>
        <v/>
      </c>
      <c r="CE263" s="10">
        <f>MIN('02_Данные'!AL263,CD263)</f>
        <v/>
      </c>
      <c r="CF263" s="10">
        <f>CD263-CE263</f>
        <v/>
      </c>
      <c r="CG263" s="10">
        <f>MIN('02_Данные'!AQ263,CF263)</f>
        <v/>
      </c>
      <c r="CH263" s="10">
        <f>CF263-CG263</f>
        <v/>
      </c>
      <c r="CI263" s="10">
        <f>MIN('02_Данные'!AN263,CH263)</f>
        <v/>
      </c>
      <c r="CJ263" s="10">
        <f>CH263-CI263</f>
        <v/>
      </c>
      <c r="CK263" s="10">
        <f>MIN('02_Данные'!AM263,CJ263)</f>
        <v/>
      </c>
      <c r="CL263" s="10">
        <f>CJ263-CK263</f>
        <v/>
      </c>
      <c r="CM263" s="10">
        <f>MIN('02_Данные'!AO263,CL263)</f>
        <v/>
      </c>
      <c r="CN263" s="10">
        <f>CL263-CM263</f>
        <v/>
      </c>
      <c r="CO263" s="10">
        <f>MIN('02_Данные'!AP263,CN263)</f>
        <v/>
      </c>
      <c r="CP263" s="10">
        <f>CN263-CO263</f>
        <v/>
      </c>
      <c r="CQ263" s="10">
        <f>CP263+'02_Данные'!K263</f>
        <v/>
      </c>
      <c r="CR263" s="10">
        <f>MIN('02_Данные'!AR263,CQ263)</f>
        <v/>
      </c>
      <c r="CS263" s="10">
        <f>CQ263-CR263</f>
        <v/>
      </c>
      <c r="CT263" s="10">
        <f>MIN('02_Данные'!AS263,CS263)</f>
        <v/>
      </c>
      <c r="CU263" s="10">
        <f>CS263-CT263</f>
        <v/>
      </c>
      <c r="CV263" s="10">
        <f>MIN('02_Данные'!AT263,CU263)</f>
        <v/>
      </c>
      <c r="CW263" s="10">
        <f>CU263-CV263</f>
        <v/>
      </c>
      <c r="CX263" s="10">
        <f>MIN('02_Данные'!AY263,CW263)</f>
        <v/>
      </c>
      <c r="CY263" s="10">
        <f>CW263-CX263</f>
        <v/>
      </c>
      <c r="CZ263" s="10">
        <f>MIN('02_Данные'!AV263,CY263)</f>
        <v/>
      </c>
      <c r="DA263" s="10">
        <f>CY263-CZ263</f>
        <v/>
      </c>
      <c r="DB263" s="10">
        <f>MIN('02_Данные'!AU263,DA263)</f>
        <v/>
      </c>
      <c r="DC263" s="10">
        <f>DA263-DB263</f>
        <v/>
      </c>
      <c r="DD263" s="10">
        <f>MIN('02_Данные'!AW263,DC263)</f>
        <v/>
      </c>
      <c r="DE263" s="10">
        <f>DC263-DD263</f>
        <v/>
      </c>
      <c r="DF263" s="10">
        <f>MIN('02_Данные'!AX263,DE263)</f>
        <v/>
      </c>
      <c r="DG263" s="10">
        <f>DE263-DF263</f>
        <v/>
      </c>
    </row>
    <row r="264">
      <c r="A264" s="9">
        <f>'02_Данные'!B264</f>
        <v/>
      </c>
      <c r="B264" s="9">
        <f>'02_Данные'!E264</f>
        <v/>
      </c>
      <c r="C264" s="10">
        <f>'02_Данные'!F264+'02_Данные'!G264+'02_Данные'!H264+'02_Данные'!I264+'02_Данные'!J264+'02_Данные'!K264</f>
        <v/>
      </c>
      <c r="D264" s="10">
        <f>SUM('02_Данные'!L264:'02_Данные'!AY264)</f>
        <v/>
      </c>
      <c r="E264" s="10">
        <f>MAX(0,D264-C264)</f>
        <v/>
      </c>
      <c r="F264" s="15">
        <f>IF(E264&gt;0.0001,"ДЕФИЦИТ",IF(Y264&gt;0.0001,"ПРОФИЦИТ","БАЛАНС"))</f>
        <v/>
      </c>
      <c r="G264" s="10">
        <f>AB264+AS264+BJ264+CA264+CR264</f>
        <v/>
      </c>
      <c r="H264" s="10">
        <f>AD264+AU264+BL264+CC264+CT264</f>
        <v/>
      </c>
      <c r="I264" s="10">
        <f>AF264+AW264+BN264+CE264+CV264</f>
        <v/>
      </c>
      <c r="J264" s="10">
        <f>AL264+BC264+BT264+CK264+DB264</f>
        <v/>
      </c>
      <c r="K264" s="10">
        <f>AJ264+BA264+BR264+CI264+CZ264</f>
        <v/>
      </c>
      <c r="L264" s="10">
        <f>AN264+BE264+BV264+CM264+DD264</f>
        <v/>
      </c>
      <c r="M264" s="10">
        <f>AP264+BG264+BX264+CO264+DF264</f>
        <v/>
      </c>
      <c r="N264" s="10">
        <f>AH264+AY264+BP264+CG264+CX264</f>
        <v/>
      </c>
      <c r="O264" s="10">
        <f>SUM(G264:N264)</f>
        <v/>
      </c>
      <c r="P264" s="10">
        <f>IFERROR(G264*MIN(1,'01_Нормативы'!$C$4/SUM(G$2:G$429)),0)</f>
        <v/>
      </c>
      <c r="Q264" s="10">
        <f>IFERROR(H264*MIN(1,'01_Нормативы'!$C$5/SUM(H$2:H$429)),0)</f>
        <v/>
      </c>
      <c r="R264" s="10">
        <f>IFERROR(I264*MIN(1,'01_Нормативы'!$C$6/SUM(I$2:I$429)),0)</f>
        <v/>
      </c>
      <c r="S264" s="10">
        <f>IFERROR(J264*MIN(1,'01_Нормативы'!$C$7/SUM(J$2:J$429)),0)</f>
        <v/>
      </c>
      <c r="T264" s="10">
        <f>IFERROR(K264*MIN(1,'01_Нормативы'!$C$8/SUM(K$2:K$429)),0)</f>
        <v/>
      </c>
      <c r="U264" s="10">
        <f>IFERROR(L264*MIN(1,'01_Нормативы'!$C$9/SUM(L$2:L$429)),0)</f>
        <v/>
      </c>
      <c r="V264" s="10">
        <f>IFERROR(M264*MIN(1,'01_Нормативы'!$C$10/SUM(M$2:M$429)),0)</f>
        <v/>
      </c>
      <c r="W264" s="10">
        <f>IFERROR(N264*MIN(1,'01_Нормативы'!$C$11/SUM(N$2:N$429)),0)</f>
        <v/>
      </c>
      <c r="X264" s="10">
        <f>SUM(P264:W264)</f>
        <v/>
      </c>
      <c r="Y264" s="10">
        <f>MAX(0,C264-X264)</f>
        <v/>
      </c>
      <c r="Z264" s="10">
        <f>IF(D264=0,100,X264/D264*100)</f>
        <v/>
      </c>
      <c r="AA264" s="10">
        <f>'02_Данные'!F264+'02_Данные'!G264</f>
        <v/>
      </c>
      <c r="AB264" s="10">
        <f>MIN('02_Данные'!L264,AA264)</f>
        <v/>
      </c>
      <c r="AC264" s="10">
        <f>AA264-AB264</f>
        <v/>
      </c>
      <c r="AD264" s="10">
        <f>MIN('02_Данные'!M264,AC264)</f>
        <v/>
      </c>
      <c r="AE264" s="10">
        <f>AC264-AD264</f>
        <v/>
      </c>
      <c r="AF264" s="10">
        <f>MIN('02_Данные'!N264,AE264)</f>
        <v/>
      </c>
      <c r="AG264" s="10">
        <f>AE264-AF264</f>
        <v/>
      </c>
      <c r="AH264" s="10">
        <f>MIN('02_Данные'!S264,AG264)</f>
        <v/>
      </c>
      <c r="AI264" s="10">
        <f>AG264-AH264</f>
        <v/>
      </c>
      <c r="AJ264" s="10">
        <f>MIN('02_Данные'!P264,AI264)</f>
        <v/>
      </c>
      <c r="AK264" s="10">
        <f>AI264-AJ264</f>
        <v/>
      </c>
      <c r="AL264" s="10">
        <f>MIN('02_Данные'!O264,AK264)</f>
        <v/>
      </c>
      <c r="AM264" s="10">
        <f>AK264-AL264</f>
        <v/>
      </c>
      <c r="AN264" s="10">
        <f>MIN('02_Данные'!Q264,AM264)</f>
        <v/>
      </c>
      <c r="AO264" s="10">
        <f>AM264-AN264</f>
        <v/>
      </c>
      <c r="AP264" s="10">
        <f>MIN('02_Данные'!R264,AO264)</f>
        <v/>
      </c>
      <c r="AQ264" s="10">
        <f>AO264-AP264</f>
        <v/>
      </c>
      <c r="AR264" s="10">
        <f>AQ264+'02_Данные'!H264</f>
        <v/>
      </c>
      <c r="AS264" s="10">
        <f>MIN('02_Данные'!T264,AR264)</f>
        <v/>
      </c>
      <c r="AT264" s="10">
        <f>AR264-AS264</f>
        <v/>
      </c>
      <c r="AU264" s="10">
        <f>MIN('02_Данные'!U264,AT264)</f>
        <v/>
      </c>
      <c r="AV264" s="10">
        <f>AT264-AU264</f>
        <v/>
      </c>
      <c r="AW264" s="10">
        <f>MIN('02_Данные'!V264,AV264)</f>
        <v/>
      </c>
      <c r="AX264" s="10">
        <f>AV264-AW264</f>
        <v/>
      </c>
      <c r="AY264" s="10">
        <f>MIN('02_Данные'!AA264,AX264)</f>
        <v/>
      </c>
      <c r="AZ264" s="10">
        <f>AX264-AY264</f>
        <v/>
      </c>
      <c r="BA264" s="10">
        <f>MIN('02_Данные'!X264,AZ264)</f>
        <v/>
      </c>
      <c r="BB264" s="10">
        <f>AZ264-BA264</f>
        <v/>
      </c>
      <c r="BC264" s="10">
        <f>MIN('02_Данные'!W264,BB264)</f>
        <v/>
      </c>
      <c r="BD264" s="10">
        <f>BB264-BC264</f>
        <v/>
      </c>
      <c r="BE264" s="10">
        <f>MIN('02_Данные'!Y264,BD264)</f>
        <v/>
      </c>
      <c r="BF264" s="10">
        <f>BD264-BE264</f>
        <v/>
      </c>
      <c r="BG264" s="10">
        <f>MIN('02_Данные'!Z264,BF264)</f>
        <v/>
      </c>
      <c r="BH264" s="10">
        <f>BF264-BG264</f>
        <v/>
      </c>
      <c r="BI264" s="10">
        <f>BH264+'02_Данные'!I264</f>
        <v/>
      </c>
      <c r="BJ264" s="10">
        <f>MIN('02_Данные'!AB264,BI264)</f>
        <v/>
      </c>
      <c r="BK264" s="10">
        <f>BI264-BJ264</f>
        <v/>
      </c>
      <c r="BL264" s="10">
        <f>MIN('02_Данные'!AC264,BK264)</f>
        <v/>
      </c>
      <c r="BM264" s="10">
        <f>BK264-BL264</f>
        <v/>
      </c>
      <c r="BN264" s="10">
        <f>MIN('02_Данные'!AD264,BM264)</f>
        <v/>
      </c>
      <c r="BO264" s="10">
        <f>BM264-BN264</f>
        <v/>
      </c>
      <c r="BP264" s="10">
        <f>MIN('02_Данные'!AI264,BO264)</f>
        <v/>
      </c>
      <c r="BQ264" s="10">
        <f>BO264-BP264</f>
        <v/>
      </c>
      <c r="BR264" s="10">
        <f>MIN('02_Данные'!AF264,BQ264)</f>
        <v/>
      </c>
      <c r="BS264" s="10">
        <f>BQ264-BR264</f>
        <v/>
      </c>
      <c r="BT264" s="10">
        <f>MIN('02_Данные'!AE264,BS264)</f>
        <v/>
      </c>
      <c r="BU264" s="10">
        <f>BS264-BT264</f>
        <v/>
      </c>
      <c r="BV264" s="10">
        <f>MIN('02_Данные'!AG264,BU264)</f>
        <v/>
      </c>
      <c r="BW264" s="10">
        <f>BU264-BV264</f>
        <v/>
      </c>
      <c r="BX264" s="10">
        <f>MIN('02_Данные'!AH264,BW264)</f>
        <v/>
      </c>
      <c r="BY264" s="10">
        <f>BW264-BX264</f>
        <v/>
      </c>
      <c r="BZ264" s="10">
        <f>BY264+'02_Данные'!J264</f>
        <v/>
      </c>
      <c r="CA264" s="10">
        <f>MIN('02_Данные'!AJ264,BZ264)</f>
        <v/>
      </c>
      <c r="CB264" s="10">
        <f>BZ264-CA264</f>
        <v/>
      </c>
      <c r="CC264" s="10">
        <f>MIN('02_Данные'!AK264,CB264)</f>
        <v/>
      </c>
      <c r="CD264" s="10">
        <f>CB264-CC264</f>
        <v/>
      </c>
      <c r="CE264" s="10">
        <f>MIN('02_Данные'!AL264,CD264)</f>
        <v/>
      </c>
      <c r="CF264" s="10">
        <f>CD264-CE264</f>
        <v/>
      </c>
      <c r="CG264" s="10">
        <f>MIN('02_Данные'!AQ264,CF264)</f>
        <v/>
      </c>
      <c r="CH264" s="10">
        <f>CF264-CG264</f>
        <v/>
      </c>
      <c r="CI264" s="10">
        <f>MIN('02_Данные'!AN264,CH264)</f>
        <v/>
      </c>
      <c r="CJ264" s="10">
        <f>CH264-CI264</f>
        <v/>
      </c>
      <c r="CK264" s="10">
        <f>MIN('02_Данные'!AM264,CJ264)</f>
        <v/>
      </c>
      <c r="CL264" s="10">
        <f>CJ264-CK264</f>
        <v/>
      </c>
      <c r="CM264" s="10">
        <f>MIN('02_Данные'!AO264,CL264)</f>
        <v/>
      </c>
      <c r="CN264" s="10">
        <f>CL264-CM264</f>
        <v/>
      </c>
      <c r="CO264" s="10">
        <f>MIN('02_Данные'!AP264,CN264)</f>
        <v/>
      </c>
      <c r="CP264" s="10">
        <f>CN264-CO264</f>
        <v/>
      </c>
      <c r="CQ264" s="10">
        <f>CP264+'02_Данные'!K264</f>
        <v/>
      </c>
      <c r="CR264" s="10">
        <f>MIN('02_Данные'!AR264,CQ264)</f>
        <v/>
      </c>
      <c r="CS264" s="10">
        <f>CQ264-CR264</f>
        <v/>
      </c>
      <c r="CT264" s="10">
        <f>MIN('02_Данные'!AS264,CS264)</f>
        <v/>
      </c>
      <c r="CU264" s="10">
        <f>CS264-CT264</f>
        <v/>
      </c>
      <c r="CV264" s="10">
        <f>MIN('02_Данные'!AT264,CU264)</f>
        <v/>
      </c>
      <c r="CW264" s="10">
        <f>CU264-CV264</f>
        <v/>
      </c>
      <c r="CX264" s="10">
        <f>MIN('02_Данные'!AY264,CW264)</f>
        <v/>
      </c>
      <c r="CY264" s="10">
        <f>CW264-CX264</f>
        <v/>
      </c>
      <c r="CZ264" s="10">
        <f>MIN('02_Данные'!AV264,CY264)</f>
        <v/>
      </c>
      <c r="DA264" s="10">
        <f>CY264-CZ264</f>
        <v/>
      </c>
      <c r="DB264" s="10">
        <f>MIN('02_Данные'!AU264,DA264)</f>
        <v/>
      </c>
      <c r="DC264" s="10">
        <f>DA264-DB264</f>
        <v/>
      </c>
      <c r="DD264" s="10">
        <f>MIN('02_Данные'!AW264,DC264)</f>
        <v/>
      </c>
      <c r="DE264" s="10">
        <f>DC264-DD264</f>
        <v/>
      </c>
      <c r="DF264" s="10">
        <f>MIN('02_Данные'!AX264,DE264)</f>
        <v/>
      </c>
      <c r="DG264" s="10">
        <f>DE264-DF264</f>
        <v/>
      </c>
    </row>
    <row r="265">
      <c r="A265" s="9">
        <f>'02_Данные'!B265</f>
        <v/>
      </c>
      <c r="B265" s="9">
        <f>'02_Данные'!E265</f>
        <v/>
      </c>
      <c r="C265" s="10">
        <f>'02_Данные'!F265+'02_Данные'!G265+'02_Данные'!H265+'02_Данные'!I265+'02_Данные'!J265+'02_Данные'!K265</f>
        <v/>
      </c>
      <c r="D265" s="10">
        <f>SUM('02_Данные'!L265:'02_Данные'!AY265)</f>
        <v/>
      </c>
      <c r="E265" s="10">
        <f>MAX(0,D265-C265)</f>
        <v/>
      </c>
      <c r="F265" s="15">
        <f>IF(E265&gt;0.0001,"ДЕФИЦИТ",IF(Y265&gt;0.0001,"ПРОФИЦИТ","БАЛАНС"))</f>
        <v/>
      </c>
      <c r="G265" s="10">
        <f>AB265+AS265+BJ265+CA265+CR265</f>
        <v/>
      </c>
      <c r="H265" s="10">
        <f>AD265+AU265+BL265+CC265+CT265</f>
        <v/>
      </c>
      <c r="I265" s="10">
        <f>AF265+AW265+BN265+CE265+CV265</f>
        <v/>
      </c>
      <c r="J265" s="10">
        <f>AL265+BC265+BT265+CK265+DB265</f>
        <v/>
      </c>
      <c r="K265" s="10">
        <f>AJ265+BA265+BR265+CI265+CZ265</f>
        <v/>
      </c>
      <c r="L265" s="10">
        <f>AN265+BE265+BV265+CM265+DD265</f>
        <v/>
      </c>
      <c r="M265" s="10">
        <f>AP265+BG265+BX265+CO265+DF265</f>
        <v/>
      </c>
      <c r="N265" s="10">
        <f>AH265+AY265+BP265+CG265+CX265</f>
        <v/>
      </c>
      <c r="O265" s="10">
        <f>SUM(G265:N265)</f>
        <v/>
      </c>
      <c r="P265" s="10">
        <f>IFERROR(G265*MIN(1,'01_Нормативы'!$C$4/SUM(G$2:G$429)),0)</f>
        <v/>
      </c>
      <c r="Q265" s="10">
        <f>IFERROR(H265*MIN(1,'01_Нормативы'!$C$5/SUM(H$2:H$429)),0)</f>
        <v/>
      </c>
      <c r="R265" s="10">
        <f>IFERROR(I265*MIN(1,'01_Нормативы'!$C$6/SUM(I$2:I$429)),0)</f>
        <v/>
      </c>
      <c r="S265" s="10">
        <f>IFERROR(J265*MIN(1,'01_Нормативы'!$C$7/SUM(J$2:J$429)),0)</f>
        <v/>
      </c>
      <c r="T265" s="10">
        <f>IFERROR(K265*MIN(1,'01_Нормативы'!$C$8/SUM(K$2:K$429)),0)</f>
        <v/>
      </c>
      <c r="U265" s="10">
        <f>IFERROR(L265*MIN(1,'01_Нормативы'!$C$9/SUM(L$2:L$429)),0)</f>
        <v/>
      </c>
      <c r="V265" s="10">
        <f>IFERROR(M265*MIN(1,'01_Нормативы'!$C$10/SUM(M$2:M$429)),0)</f>
        <v/>
      </c>
      <c r="W265" s="10">
        <f>IFERROR(N265*MIN(1,'01_Нормативы'!$C$11/SUM(N$2:N$429)),0)</f>
        <v/>
      </c>
      <c r="X265" s="10">
        <f>SUM(P265:W265)</f>
        <v/>
      </c>
      <c r="Y265" s="10">
        <f>MAX(0,C265-X265)</f>
        <v/>
      </c>
      <c r="Z265" s="10">
        <f>IF(D265=0,100,X265/D265*100)</f>
        <v/>
      </c>
      <c r="AA265" s="10">
        <f>'02_Данные'!F265+'02_Данные'!G265</f>
        <v/>
      </c>
      <c r="AB265" s="10">
        <f>MIN('02_Данные'!L265,AA265)</f>
        <v/>
      </c>
      <c r="AC265" s="10">
        <f>AA265-AB265</f>
        <v/>
      </c>
      <c r="AD265" s="10">
        <f>MIN('02_Данные'!M265,AC265)</f>
        <v/>
      </c>
      <c r="AE265" s="10">
        <f>AC265-AD265</f>
        <v/>
      </c>
      <c r="AF265" s="10">
        <f>MIN('02_Данные'!N265,AE265)</f>
        <v/>
      </c>
      <c r="AG265" s="10">
        <f>AE265-AF265</f>
        <v/>
      </c>
      <c r="AH265" s="10">
        <f>MIN('02_Данные'!S265,AG265)</f>
        <v/>
      </c>
      <c r="AI265" s="10">
        <f>AG265-AH265</f>
        <v/>
      </c>
      <c r="AJ265" s="10">
        <f>MIN('02_Данные'!P265,AI265)</f>
        <v/>
      </c>
      <c r="AK265" s="10">
        <f>AI265-AJ265</f>
        <v/>
      </c>
      <c r="AL265" s="10">
        <f>MIN('02_Данные'!O265,AK265)</f>
        <v/>
      </c>
      <c r="AM265" s="10">
        <f>AK265-AL265</f>
        <v/>
      </c>
      <c r="AN265" s="10">
        <f>MIN('02_Данные'!Q265,AM265)</f>
        <v/>
      </c>
      <c r="AO265" s="10">
        <f>AM265-AN265</f>
        <v/>
      </c>
      <c r="AP265" s="10">
        <f>MIN('02_Данные'!R265,AO265)</f>
        <v/>
      </c>
      <c r="AQ265" s="10">
        <f>AO265-AP265</f>
        <v/>
      </c>
      <c r="AR265" s="10">
        <f>AQ265+'02_Данные'!H265</f>
        <v/>
      </c>
      <c r="AS265" s="10">
        <f>MIN('02_Данные'!T265,AR265)</f>
        <v/>
      </c>
      <c r="AT265" s="10">
        <f>AR265-AS265</f>
        <v/>
      </c>
      <c r="AU265" s="10">
        <f>MIN('02_Данные'!U265,AT265)</f>
        <v/>
      </c>
      <c r="AV265" s="10">
        <f>AT265-AU265</f>
        <v/>
      </c>
      <c r="AW265" s="10">
        <f>MIN('02_Данные'!V265,AV265)</f>
        <v/>
      </c>
      <c r="AX265" s="10">
        <f>AV265-AW265</f>
        <v/>
      </c>
      <c r="AY265" s="10">
        <f>MIN('02_Данные'!AA265,AX265)</f>
        <v/>
      </c>
      <c r="AZ265" s="10">
        <f>AX265-AY265</f>
        <v/>
      </c>
      <c r="BA265" s="10">
        <f>MIN('02_Данные'!X265,AZ265)</f>
        <v/>
      </c>
      <c r="BB265" s="10">
        <f>AZ265-BA265</f>
        <v/>
      </c>
      <c r="BC265" s="10">
        <f>MIN('02_Данные'!W265,BB265)</f>
        <v/>
      </c>
      <c r="BD265" s="10">
        <f>BB265-BC265</f>
        <v/>
      </c>
      <c r="BE265" s="10">
        <f>MIN('02_Данные'!Y265,BD265)</f>
        <v/>
      </c>
      <c r="BF265" s="10">
        <f>BD265-BE265</f>
        <v/>
      </c>
      <c r="BG265" s="10">
        <f>MIN('02_Данные'!Z265,BF265)</f>
        <v/>
      </c>
      <c r="BH265" s="10">
        <f>BF265-BG265</f>
        <v/>
      </c>
      <c r="BI265" s="10">
        <f>BH265+'02_Данные'!I265</f>
        <v/>
      </c>
      <c r="BJ265" s="10">
        <f>MIN('02_Данные'!AB265,BI265)</f>
        <v/>
      </c>
      <c r="BK265" s="10">
        <f>BI265-BJ265</f>
        <v/>
      </c>
      <c r="BL265" s="10">
        <f>MIN('02_Данные'!AC265,BK265)</f>
        <v/>
      </c>
      <c r="BM265" s="10">
        <f>BK265-BL265</f>
        <v/>
      </c>
      <c r="BN265" s="10">
        <f>MIN('02_Данные'!AD265,BM265)</f>
        <v/>
      </c>
      <c r="BO265" s="10">
        <f>BM265-BN265</f>
        <v/>
      </c>
      <c r="BP265" s="10">
        <f>MIN('02_Данные'!AI265,BO265)</f>
        <v/>
      </c>
      <c r="BQ265" s="10">
        <f>BO265-BP265</f>
        <v/>
      </c>
      <c r="BR265" s="10">
        <f>MIN('02_Данные'!AF265,BQ265)</f>
        <v/>
      </c>
      <c r="BS265" s="10">
        <f>BQ265-BR265</f>
        <v/>
      </c>
      <c r="BT265" s="10">
        <f>MIN('02_Данные'!AE265,BS265)</f>
        <v/>
      </c>
      <c r="BU265" s="10">
        <f>BS265-BT265</f>
        <v/>
      </c>
      <c r="BV265" s="10">
        <f>MIN('02_Данные'!AG265,BU265)</f>
        <v/>
      </c>
      <c r="BW265" s="10">
        <f>BU265-BV265</f>
        <v/>
      </c>
      <c r="BX265" s="10">
        <f>MIN('02_Данные'!AH265,BW265)</f>
        <v/>
      </c>
      <c r="BY265" s="10">
        <f>BW265-BX265</f>
        <v/>
      </c>
      <c r="BZ265" s="10">
        <f>BY265+'02_Данные'!J265</f>
        <v/>
      </c>
      <c r="CA265" s="10">
        <f>MIN('02_Данные'!AJ265,BZ265)</f>
        <v/>
      </c>
      <c r="CB265" s="10">
        <f>BZ265-CA265</f>
        <v/>
      </c>
      <c r="CC265" s="10">
        <f>MIN('02_Данные'!AK265,CB265)</f>
        <v/>
      </c>
      <c r="CD265" s="10">
        <f>CB265-CC265</f>
        <v/>
      </c>
      <c r="CE265" s="10">
        <f>MIN('02_Данные'!AL265,CD265)</f>
        <v/>
      </c>
      <c r="CF265" s="10">
        <f>CD265-CE265</f>
        <v/>
      </c>
      <c r="CG265" s="10">
        <f>MIN('02_Данные'!AQ265,CF265)</f>
        <v/>
      </c>
      <c r="CH265" s="10">
        <f>CF265-CG265</f>
        <v/>
      </c>
      <c r="CI265" s="10">
        <f>MIN('02_Данные'!AN265,CH265)</f>
        <v/>
      </c>
      <c r="CJ265" s="10">
        <f>CH265-CI265</f>
        <v/>
      </c>
      <c r="CK265" s="10">
        <f>MIN('02_Данные'!AM265,CJ265)</f>
        <v/>
      </c>
      <c r="CL265" s="10">
        <f>CJ265-CK265</f>
        <v/>
      </c>
      <c r="CM265" s="10">
        <f>MIN('02_Данные'!AO265,CL265)</f>
        <v/>
      </c>
      <c r="CN265" s="10">
        <f>CL265-CM265</f>
        <v/>
      </c>
      <c r="CO265" s="10">
        <f>MIN('02_Данные'!AP265,CN265)</f>
        <v/>
      </c>
      <c r="CP265" s="10">
        <f>CN265-CO265</f>
        <v/>
      </c>
      <c r="CQ265" s="10">
        <f>CP265+'02_Данные'!K265</f>
        <v/>
      </c>
      <c r="CR265" s="10">
        <f>MIN('02_Данные'!AR265,CQ265)</f>
        <v/>
      </c>
      <c r="CS265" s="10">
        <f>CQ265-CR265</f>
        <v/>
      </c>
      <c r="CT265" s="10">
        <f>MIN('02_Данные'!AS265,CS265)</f>
        <v/>
      </c>
      <c r="CU265" s="10">
        <f>CS265-CT265</f>
        <v/>
      </c>
      <c r="CV265" s="10">
        <f>MIN('02_Данные'!AT265,CU265)</f>
        <v/>
      </c>
      <c r="CW265" s="10">
        <f>CU265-CV265</f>
        <v/>
      </c>
      <c r="CX265" s="10">
        <f>MIN('02_Данные'!AY265,CW265)</f>
        <v/>
      </c>
      <c r="CY265" s="10">
        <f>CW265-CX265</f>
        <v/>
      </c>
      <c r="CZ265" s="10">
        <f>MIN('02_Данные'!AV265,CY265)</f>
        <v/>
      </c>
      <c r="DA265" s="10">
        <f>CY265-CZ265</f>
        <v/>
      </c>
      <c r="DB265" s="10">
        <f>MIN('02_Данные'!AU265,DA265)</f>
        <v/>
      </c>
      <c r="DC265" s="10">
        <f>DA265-DB265</f>
        <v/>
      </c>
      <c r="DD265" s="10">
        <f>MIN('02_Данные'!AW265,DC265)</f>
        <v/>
      </c>
      <c r="DE265" s="10">
        <f>DC265-DD265</f>
        <v/>
      </c>
      <c r="DF265" s="10">
        <f>MIN('02_Данные'!AX265,DE265)</f>
        <v/>
      </c>
      <c r="DG265" s="10">
        <f>DE265-DF265</f>
        <v/>
      </c>
    </row>
    <row r="266">
      <c r="A266" s="9">
        <f>'02_Данные'!B266</f>
        <v/>
      </c>
      <c r="B266" s="9">
        <f>'02_Данные'!E266</f>
        <v/>
      </c>
      <c r="C266" s="10">
        <f>'02_Данные'!F266+'02_Данные'!G266+'02_Данные'!H266+'02_Данные'!I266+'02_Данные'!J266+'02_Данные'!K266</f>
        <v/>
      </c>
      <c r="D266" s="10">
        <f>SUM('02_Данные'!L266:'02_Данные'!AY266)</f>
        <v/>
      </c>
      <c r="E266" s="10">
        <f>MAX(0,D266-C266)</f>
        <v/>
      </c>
      <c r="F266" s="15">
        <f>IF(E266&gt;0.0001,"ДЕФИЦИТ",IF(Y266&gt;0.0001,"ПРОФИЦИТ","БАЛАНС"))</f>
        <v/>
      </c>
      <c r="G266" s="10">
        <f>AB266+AS266+BJ266+CA266+CR266</f>
        <v/>
      </c>
      <c r="H266" s="10">
        <f>AD266+AU266+BL266+CC266+CT266</f>
        <v/>
      </c>
      <c r="I266" s="10">
        <f>AF266+AW266+BN266+CE266+CV266</f>
        <v/>
      </c>
      <c r="J266" s="10">
        <f>AL266+BC266+BT266+CK266+DB266</f>
        <v/>
      </c>
      <c r="K266" s="10">
        <f>AJ266+BA266+BR266+CI266+CZ266</f>
        <v/>
      </c>
      <c r="L266" s="10">
        <f>AN266+BE266+BV266+CM266+DD266</f>
        <v/>
      </c>
      <c r="M266" s="10">
        <f>AP266+BG266+BX266+CO266+DF266</f>
        <v/>
      </c>
      <c r="N266" s="10">
        <f>AH266+AY266+BP266+CG266+CX266</f>
        <v/>
      </c>
      <c r="O266" s="10">
        <f>SUM(G266:N266)</f>
        <v/>
      </c>
      <c r="P266" s="10">
        <f>IFERROR(G266*MIN(1,'01_Нормативы'!$C$4/SUM(G$2:G$429)),0)</f>
        <v/>
      </c>
      <c r="Q266" s="10">
        <f>IFERROR(H266*MIN(1,'01_Нормативы'!$C$5/SUM(H$2:H$429)),0)</f>
        <v/>
      </c>
      <c r="R266" s="10">
        <f>IFERROR(I266*MIN(1,'01_Нормативы'!$C$6/SUM(I$2:I$429)),0)</f>
        <v/>
      </c>
      <c r="S266" s="10">
        <f>IFERROR(J266*MIN(1,'01_Нормативы'!$C$7/SUM(J$2:J$429)),0)</f>
        <v/>
      </c>
      <c r="T266" s="10">
        <f>IFERROR(K266*MIN(1,'01_Нормативы'!$C$8/SUM(K$2:K$429)),0)</f>
        <v/>
      </c>
      <c r="U266" s="10">
        <f>IFERROR(L266*MIN(1,'01_Нормативы'!$C$9/SUM(L$2:L$429)),0)</f>
        <v/>
      </c>
      <c r="V266" s="10">
        <f>IFERROR(M266*MIN(1,'01_Нормативы'!$C$10/SUM(M$2:M$429)),0)</f>
        <v/>
      </c>
      <c r="W266" s="10">
        <f>IFERROR(N266*MIN(1,'01_Нормативы'!$C$11/SUM(N$2:N$429)),0)</f>
        <v/>
      </c>
      <c r="X266" s="10">
        <f>SUM(P266:W266)</f>
        <v/>
      </c>
      <c r="Y266" s="10">
        <f>MAX(0,C266-X266)</f>
        <v/>
      </c>
      <c r="Z266" s="10">
        <f>IF(D266=0,100,X266/D266*100)</f>
        <v/>
      </c>
      <c r="AA266" s="10">
        <f>'02_Данные'!F266+'02_Данные'!G266</f>
        <v/>
      </c>
      <c r="AB266" s="10">
        <f>MIN('02_Данные'!L266,AA266)</f>
        <v/>
      </c>
      <c r="AC266" s="10">
        <f>AA266-AB266</f>
        <v/>
      </c>
      <c r="AD266" s="10">
        <f>MIN('02_Данные'!M266,AC266)</f>
        <v/>
      </c>
      <c r="AE266" s="10">
        <f>AC266-AD266</f>
        <v/>
      </c>
      <c r="AF266" s="10">
        <f>MIN('02_Данные'!N266,AE266)</f>
        <v/>
      </c>
      <c r="AG266" s="10">
        <f>AE266-AF266</f>
        <v/>
      </c>
      <c r="AH266" s="10">
        <f>MIN('02_Данные'!S266,AG266)</f>
        <v/>
      </c>
      <c r="AI266" s="10">
        <f>AG266-AH266</f>
        <v/>
      </c>
      <c r="AJ266" s="10">
        <f>MIN('02_Данные'!P266,AI266)</f>
        <v/>
      </c>
      <c r="AK266" s="10">
        <f>AI266-AJ266</f>
        <v/>
      </c>
      <c r="AL266" s="10">
        <f>MIN('02_Данные'!O266,AK266)</f>
        <v/>
      </c>
      <c r="AM266" s="10">
        <f>AK266-AL266</f>
        <v/>
      </c>
      <c r="AN266" s="10">
        <f>MIN('02_Данные'!Q266,AM266)</f>
        <v/>
      </c>
      <c r="AO266" s="10">
        <f>AM266-AN266</f>
        <v/>
      </c>
      <c r="AP266" s="10">
        <f>MIN('02_Данные'!R266,AO266)</f>
        <v/>
      </c>
      <c r="AQ266" s="10">
        <f>AO266-AP266</f>
        <v/>
      </c>
      <c r="AR266" s="10">
        <f>AQ266+'02_Данные'!H266</f>
        <v/>
      </c>
      <c r="AS266" s="10">
        <f>MIN('02_Данные'!T266,AR266)</f>
        <v/>
      </c>
      <c r="AT266" s="10">
        <f>AR266-AS266</f>
        <v/>
      </c>
      <c r="AU266" s="10">
        <f>MIN('02_Данные'!U266,AT266)</f>
        <v/>
      </c>
      <c r="AV266" s="10">
        <f>AT266-AU266</f>
        <v/>
      </c>
      <c r="AW266" s="10">
        <f>MIN('02_Данные'!V266,AV266)</f>
        <v/>
      </c>
      <c r="AX266" s="10">
        <f>AV266-AW266</f>
        <v/>
      </c>
      <c r="AY266" s="10">
        <f>MIN('02_Данные'!AA266,AX266)</f>
        <v/>
      </c>
      <c r="AZ266" s="10">
        <f>AX266-AY266</f>
        <v/>
      </c>
      <c r="BA266" s="10">
        <f>MIN('02_Данные'!X266,AZ266)</f>
        <v/>
      </c>
      <c r="BB266" s="10">
        <f>AZ266-BA266</f>
        <v/>
      </c>
      <c r="BC266" s="10">
        <f>MIN('02_Данные'!W266,BB266)</f>
        <v/>
      </c>
      <c r="BD266" s="10">
        <f>BB266-BC266</f>
        <v/>
      </c>
      <c r="BE266" s="10">
        <f>MIN('02_Данные'!Y266,BD266)</f>
        <v/>
      </c>
      <c r="BF266" s="10">
        <f>BD266-BE266</f>
        <v/>
      </c>
      <c r="BG266" s="10">
        <f>MIN('02_Данные'!Z266,BF266)</f>
        <v/>
      </c>
      <c r="BH266" s="10">
        <f>BF266-BG266</f>
        <v/>
      </c>
      <c r="BI266" s="10">
        <f>BH266+'02_Данные'!I266</f>
        <v/>
      </c>
      <c r="BJ266" s="10">
        <f>MIN('02_Данные'!AB266,BI266)</f>
        <v/>
      </c>
      <c r="BK266" s="10">
        <f>BI266-BJ266</f>
        <v/>
      </c>
      <c r="BL266" s="10">
        <f>MIN('02_Данные'!AC266,BK266)</f>
        <v/>
      </c>
      <c r="BM266" s="10">
        <f>BK266-BL266</f>
        <v/>
      </c>
      <c r="BN266" s="10">
        <f>MIN('02_Данные'!AD266,BM266)</f>
        <v/>
      </c>
      <c r="BO266" s="10">
        <f>BM266-BN266</f>
        <v/>
      </c>
      <c r="BP266" s="10">
        <f>MIN('02_Данные'!AI266,BO266)</f>
        <v/>
      </c>
      <c r="BQ266" s="10">
        <f>BO266-BP266</f>
        <v/>
      </c>
      <c r="BR266" s="10">
        <f>MIN('02_Данные'!AF266,BQ266)</f>
        <v/>
      </c>
      <c r="BS266" s="10">
        <f>BQ266-BR266</f>
        <v/>
      </c>
      <c r="BT266" s="10">
        <f>MIN('02_Данные'!AE266,BS266)</f>
        <v/>
      </c>
      <c r="BU266" s="10">
        <f>BS266-BT266</f>
        <v/>
      </c>
      <c r="BV266" s="10">
        <f>MIN('02_Данные'!AG266,BU266)</f>
        <v/>
      </c>
      <c r="BW266" s="10">
        <f>BU266-BV266</f>
        <v/>
      </c>
      <c r="BX266" s="10">
        <f>MIN('02_Данные'!AH266,BW266)</f>
        <v/>
      </c>
      <c r="BY266" s="10">
        <f>BW266-BX266</f>
        <v/>
      </c>
      <c r="BZ266" s="10">
        <f>BY266+'02_Данные'!J266</f>
        <v/>
      </c>
      <c r="CA266" s="10">
        <f>MIN('02_Данные'!AJ266,BZ266)</f>
        <v/>
      </c>
      <c r="CB266" s="10">
        <f>BZ266-CA266</f>
        <v/>
      </c>
      <c r="CC266" s="10">
        <f>MIN('02_Данные'!AK266,CB266)</f>
        <v/>
      </c>
      <c r="CD266" s="10">
        <f>CB266-CC266</f>
        <v/>
      </c>
      <c r="CE266" s="10">
        <f>MIN('02_Данные'!AL266,CD266)</f>
        <v/>
      </c>
      <c r="CF266" s="10">
        <f>CD266-CE266</f>
        <v/>
      </c>
      <c r="CG266" s="10">
        <f>MIN('02_Данные'!AQ266,CF266)</f>
        <v/>
      </c>
      <c r="CH266" s="10">
        <f>CF266-CG266</f>
        <v/>
      </c>
      <c r="CI266" s="10">
        <f>MIN('02_Данные'!AN266,CH266)</f>
        <v/>
      </c>
      <c r="CJ266" s="10">
        <f>CH266-CI266</f>
        <v/>
      </c>
      <c r="CK266" s="10">
        <f>MIN('02_Данные'!AM266,CJ266)</f>
        <v/>
      </c>
      <c r="CL266" s="10">
        <f>CJ266-CK266</f>
        <v/>
      </c>
      <c r="CM266" s="10">
        <f>MIN('02_Данные'!AO266,CL266)</f>
        <v/>
      </c>
      <c r="CN266" s="10">
        <f>CL266-CM266</f>
        <v/>
      </c>
      <c r="CO266" s="10">
        <f>MIN('02_Данные'!AP266,CN266)</f>
        <v/>
      </c>
      <c r="CP266" s="10">
        <f>CN266-CO266</f>
        <v/>
      </c>
      <c r="CQ266" s="10">
        <f>CP266+'02_Данные'!K266</f>
        <v/>
      </c>
      <c r="CR266" s="10">
        <f>MIN('02_Данные'!AR266,CQ266)</f>
        <v/>
      </c>
      <c r="CS266" s="10">
        <f>CQ266-CR266</f>
        <v/>
      </c>
      <c r="CT266" s="10">
        <f>MIN('02_Данные'!AS266,CS266)</f>
        <v/>
      </c>
      <c r="CU266" s="10">
        <f>CS266-CT266</f>
        <v/>
      </c>
      <c r="CV266" s="10">
        <f>MIN('02_Данные'!AT266,CU266)</f>
        <v/>
      </c>
      <c r="CW266" s="10">
        <f>CU266-CV266</f>
        <v/>
      </c>
      <c r="CX266" s="10">
        <f>MIN('02_Данные'!AY266,CW266)</f>
        <v/>
      </c>
      <c r="CY266" s="10">
        <f>CW266-CX266</f>
        <v/>
      </c>
      <c r="CZ266" s="10">
        <f>MIN('02_Данные'!AV266,CY266)</f>
        <v/>
      </c>
      <c r="DA266" s="10">
        <f>CY266-CZ266</f>
        <v/>
      </c>
      <c r="DB266" s="10">
        <f>MIN('02_Данные'!AU266,DA266)</f>
        <v/>
      </c>
      <c r="DC266" s="10">
        <f>DA266-DB266</f>
        <v/>
      </c>
      <c r="DD266" s="10">
        <f>MIN('02_Данные'!AW266,DC266)</f>
        <v/>
      </c>
      <c r="DE266" s="10">
        <f>DC266-DD266</f>
        <v/>
      </c>
      <c r="DF266" s="10">
        <f>MIN('02_Данные'!AX266,DE266)</f>
        <v/>
      </c>
      <c r="DG266" s="10">
        <f>DE266-DF266</f>
        <v/>
      </c>
    </row>
    <row r="267">
      <c r="A267" s="9">
        <f>'02_Данные'!B267</f>
        <v/>
      </c>
      <c r="B267" s="9">
        <f>'02_Данные'!E267</f>
        <v/>
      </c>
      <c r="C267" s="10">
        <f>'02_Данные'!F267+'02_Данные'!G267+'02_Данные'!H267+'02_Данные'!I267+'02_Данные'!J267+'02_Данные'!K267</f>
        <v/>
      </c>
      <c r="D267" s="10">
        <f>SUM('02_Данные'!L267:'02_Данные'!AY267)</f>
        <v/>
      </c>
      <c r="E267" s="10">
        <f>MAX(0,D267-C267)</f>
        <v/>
      </c>
      <c r="F267" s="15">
        <f>IF(E267&gt;0.0001,"ДЕФИЦИТ",IF(Y267&gt;0.0001,"ПРОФИЦИТ","БАЛАНС"))</f>
        <v/>
      </c>
      <c r="G267" s="10">
        <f>AB267+AS267+BJ267+CA267+CR267</f>
        <v/>
      </c>
      <c r="H267" s="10">
        <f>AD267+AU267+BL267+CC267+CT267</f>
        <v/>
      </c>
      <c r="I267" s="10">
        <f>AF267+AW267+BN267+CE267+CV267</f>
        <v/>
      </c>
      <c r="J267" s="10">
        <f>AL267+BC267+BT267+CK267+DB267</f>
        <v/>
      </c>
      <c r="K267" s="10">
        <f>AJ267+BA267+BR267+CI267+CZ267</f>
        <v/>
      </c>
      <c r="L267" s="10">
        <f>AN267+BE267+BV267+CM267+DD267</f>
        <v/>
      </c>
      <c r="M267" s="10">
        <f>AP267+BG267+BX267+CO267+DF267</f>
        <v/>
      </c>
      <c r="N267" s="10">
        <f>AH267+AY267+BP267+CG267+CX267</f>
        <v/>
      </c>
      <c r="O267" s="10">
        <f>SUM(G267:N267)</f>
        <v/>
      </c>
      <c r="P267" s="10">
        <f>IFERROR(G267*MIN(1,'01_Нормативы'!$C$4/SUM(G$2:G$429)),0)</f>
        <v/>
      </c>
      <c r="Q267" s="10">
        <f>IFERROR(H267*MIN(1,'01_Нормативы'!$C$5/SUM(H$2:H$429)),0)</f>
        <v/>
      </c>
      <c r="R267" s="10">
        <f>IFERROR(I267*MIN(1,'01_Нормативы'!$C$6/SUM(I$2:I$429)),0)</f>
        <v/>
      </c>
      <c r="S267" s="10">
        <f>IFERROR(J267*MIN(1,'01_Нормативы'!$C$7/SUM(J$2:J$429)),0)</f>
        <v/>
      </c>
      <c r="T267" s="10">
        <f>IFERROR(K267*MIN(1,'01_Нормативы'!$C$8/SUM(K$2:K$429)),0)</f>
        <v/>
      </c>
      <c r="U267" s="10">
        <f>IFERROR(L267*MIN(1,'01_Нормативы'!$C$9/SUM(L$2:L$429)),0)</f>
        <v/>
      </c>
      <c r="V267" s="10">
        <f>IFERROR(M267*MIN(1,'01_Нормативы'!$C$10/SUM(M$2:M$429)),0)</f>
        <v/>
      </c>
      <c r="W267" s="10">
        <f>IFERROR(N267*MIN(1,'01_Нормативы'!$C$11/SUM(N$2:N$429)),0)</f>
        <v/>
      </c>
      <c r="X267" s="10">
        <f>SUM(P267:W267)</f>
        <v/>
      </c>
      <c r="Y267" s="10">
        <f>MAX(0,C267-X267)</f>
        <v/>
      </c>
      <c r="Z267" s="10">
        <f>IF(D267=0,100,X267/D267*100)</f>
        <v/>
      </c>
      <c r="AA267" s="10">
        <f>'02_Данные'!F267+'02_Данные'!G267</f>
        <v/>
      </c>
      <c r="AB267" s="10">
        <f>MIN('02_Данные'!L267,AA267)</f>
        <v/>
      </c>
      <c r="AC267" s="10">
        <f>AA267-AB267</f>
        <v/>
      </c>
      <c r="AD267" s="10">
        <f>MIN('02_Данные'!M267,AC267)</f>
        <v/>
      </c>
      <c r="AE267" s="10">
        <f>AC267-AD267</f>
        <v/>
      </c>
      <c r="AF267" s="10">
        <f>MIN('02_Данные'!N267,AE267)</f>
        <v/>
      </c>
      <c r="AG267" s="10">
        <f>AE267-AF267</f>
        <v/>
      </c>
      <c r="AH267" s="10">
        <f>MIN('02_Данные'!S267,AG267)</f>
        <v/>
      </c>
      <c r="AI267" s="10">
        <f>AG267-AH267</f>
        <v/>
      </c>
      <c r="AJ267" s="10">
        <f>MIN('02_Данные'!P267,AI267)</f>
        <v/>
      </c>
      <c r="AK267" s="10">
        <f>AI267-AJ267</f>
        <v/>
      </c>
      <c r="AL267" s="10">
        <f>MIN('02_Данные'!O267,AK267)</f>
        <v/>
      </c>
      <c r="AM267" s="10">
        <f>AK267-AL267</f>
        <v/>
      </c>
      <c r="AN267" s="10">
        <f>MIN('02_Данные'!Q267,AM267)</f>
        <v/>
      </c>
      <c r="AO267" s="10">
        <f>AM267-AN267</f>
        <v/>
      </c>
      <c r="AP267" s="10">
        <f>MIN('02_Данные'!R267,AO267)</f>
        <v/>
      </c>
      <c r="AQ267" s="10">
        <f>AO267-AP267</f>
        <v/>
      </c>
      <c r="AR267" s="10">
        <f>AQ267+'02_Данные'!H267</f>
        <v/>
      </c>
      <c r="AS267" s="10">
        <f>MIN('02_Данные'!T267,AR267)</f>
        <v/>
      </c>
      <c r="AT267" s="10">
        <f>AR267-AS267</f>
        <v/>
      </c>
      <c r="AU267" s="10">
        <f>MIN('02_Данные'!U267,AT267)</f>
        <v/>
      </c>
      <c r="AV267" s="10">
        <f>AT267-AU267</f>
        <v/>
      </c>
      <c r="AW267" s="10">
        <f>MIN('02_Данные'!V267,AV267)</f>
        <v/>
      </c>
      <c r="AX267" s="10">
        <f>AV267-AW267</f>
        <v/>
      </c>
      <c r="AY267" s="10">
        <f>MIN('02_Данные'!AA267,AX267)</f>
        <v/>
      </c>
      <c r="AZ267" s="10">
        <f>AX267-AY267</f>
        <v/>
      </c>
      <c r="BA267" s="10">
        <f>MIN('02_Данные'!X267,AZ267)</f>
        <v/>
      </c>
      <c r="BB267" s="10">
        <f>AZ267-BA267</f>
        <v/>
      </c>
      <c r="BC267" s="10">
        <f>MIN('02_Данные'!W267,BB267)</f>
        <v/>
      </c>
      <c r="BD267" s="10">
        <f>BB267-BC267</f>
        <v/>
      </c>
      <c r="BE267" s="10">
        <f>MIN('02_Данные'!Y267,BD267)</f>
        <v/>
      </c>
      <c r="BF267" s="10">
        <f>BD267-BE267</f>
        <v/>
      </c>
      <c r="BG267" s="10">
        <f>MIN('02_Данные'!Z267,BF267)</f>
        <v/>
      </c>
      <c r="BH267" s="10">
        <f>BF267-BG267</f>
        <v/>
      </c>
      <c r="BI267" s="10">
        <f>BH267+'02_Данные'!I267</f>
        <v/>
      </c>
      <c r="BJ267" s="10">
        <f>MIN('02_Данные'!AB267,BI267)</f>
        <v/>
      </c>
      <c r="BK267" s="10">
        <f>BI267-BJ267</f>
        <v/>
      </c>
      <c r="BL267" s="10">
        <f>MIN('02_Данные'!AC267,BK267)</f>
        <v/>
      </c>
      <c r="BM267" s="10">
        <f>BK267-BL267</f>
        <v/>
      </c>
      <c r="BN267" s="10">
        <f>MIN('02_Данные'!AD267,BM267)</f>
        <v/>
      </c>
      <c r="BO267" s="10">
        <f>BM267-BN267</f>
        <v/>
      </c>
      <c r="BP267" s="10">
        <f>MIN('02_Данные'!AI267,BO267)</f>
        <v/>
      </c>
      <c r="BQ267" s="10">
        <f>BO267-BP267</f>
        <v/>
      </c>
      <c r="BR267" s="10">
        <f>MIN('02_Данные'!AF267,BQ267)</f>
        <v/>
      </c>
      <c r="BS267" s="10">
        <f>BQ267-BR267</f>
        <v/>
      </c>
      <c r="BT267" s="10">
        <f>MIN('02_Данные'!AE267,BS267)</f>
        <v/>
      </c>
      <c r="BU267" s="10">
        <f>BS267-BT267</f>
        <v/>
      </c>
      <c r="BV267" s="10">
        <f>MIN('02_Данные'!AG267,BU267)</f>
        <v/>
      </c>
      <c r="BW267" s="10">
        <f>BU267-BV267</f>
        <v/>
      </c>
      <c r="BX267" s="10">
        <f>MIN('02_Данные'!AH267,BW267)</f>
        <v/>
      </c>
      <c r="BY267" s="10">
        <f>BW267-BX267</f>
        <v/>
      </c>
      <c r="BZ267" s="10">
        <f>BY267+'02_Данные'!J267</f>
        <v/>
      </c>
      <c r="CA267" s="10">
        <f>MIN('02_Данные'!AJ267,BZ267)</f>
        <v/>
      </c>
      <c r="CB267" s="10">
        <f>BZ267-CA267</f>
        <v/>
      </c>
      <c r="CC267" s="10">
        <f>MIN('02_Данные'!AK267,CB267)</f>
        <v/>
      </c>
      <c r="CD267" s="10">
        <f>CB267-CC267</f>
        <v/>
      </c>
      <c r="CE267" s="10">
        <f>MIN('02_Данные'!AL267,CD267)</f>
        <v/>
      </c>
      <c r="CF267" s="10">
        <f>CD267-CE267</f>
        <v/>
      </c>
      <c r="CG267" s="10">
        <f>MIN('02_Данные'!AQ267,CF267)</f>
        <v/>
      </c>
      <c r="CH267" s="10">
        <f>CF267-CG267</f>
        <v/>
      </c>
      <c r="CI267" s="10">
        <f>MIN('02_Данные'!AN267,CH267)</f>
        <v/>
      </c>
      <c r="CJ267" s="10">
        <f>CH267-CI267</f>
        <v/>
      </c>
      <c r="CK267" s="10">
        <f>MIN('02_Данные'!AM267,CJ267)</f>
        <v/>
      </c>
      <c r="CL267" s="10">
        <f>CJ267-CK267</f>
        <v/>
      </c>
      <c r="CM267" s="10">
        <f>MIN('02_Данные'!AO267,CL267)</f>
        <v/>
      </c>
      <c r="CN267" s="10">
        <f>CL267-CM267</f>
        <v/>
      </c>
      <c r="CO267" s="10">
        <f>MIN('02_Данные'!AP267,CN267)</f>
        <v/>
      </c>
      <c r="CP267" s="10">
        <f>CN267-CO267</f>
        <v/>
      </c>
      <c r="CQ267" s="10">
        <f>CP267+'02_Данные'!K267</f>
        <v/>
      </c>
      <c r="CR267" s="10">
        <f>MIN('02_Данные'!AR267,CQ267)</f>
        <v/>
      </c>
      <c r="CS267" s="10">
        <f>CQ267-CR267</f>
        <v/>
      </c>
      <c r="CT267" s="10">
        <f>MIN('02_Данные'!AS267,CS267)</f>
        <v/>
      </c>
      <c r="CU267" s="10">
        <f>CS267-CT267</f>
        <v/>
      </c>
      <c r="CV267" s="10">
        <f>MIN('02_Данные'!AT267,CU267)</f>
        <v/>
      </c>
      <c r="CW267" s="10">
        <f>CU267-CV267</f>
        <v/>
      </c>
      <c r="CX267" s="10">
        <f>MIN('02_Данные'!AY267,CW267)</f>
        <v/>
      </c>
      <c r="CY267" s="10">
        <f>CW267-CX267</f>
        <v/>
      </c>
      <c r="CZ267" s="10">
        <f>MIN('02_Данные'!AV267,CY267)</f>
        <v/>
      </c>
      <c r="DA267" s="10">
        <f>CY267-CZ267</f>
        <v/>
      </c>
      <c r="DB267" s="10">
        <f>MIN('02_Данные'!AU267,DA267)</f>
        <v/>
      </c>
      <c r="DC267" s="10">
        <f>DA267-DB267</f>
        <v/>
      </c>
      <c r="DD267" s="10">
        <f>MIN('02_Данные'!AW267,DC267)</f>
        <v/>
      </c>
      <c r="DE267" s="10">
        <f>DC267-DD267</f>
        <v/>
      </c>
      <c r="DF267" s="10">
        <f>MIN('02_Данные'!AX267,DE267)</f>
        <v/>
      </c>
      <c r="DG267" s="10">
        <f>DE267-DF267</f>
        <v/>
      </c>
    </row>
    <row r="268">
      <c r="A268" s="9">
        <f>'02_Данные'!B268</f>
        <v/>
      </c>
      <c r="B268" s="9">
        <f>'02_Данные'!E268</f>
        <v/>
      </c>
      <c r="C268" s="10">
        <f>'02_Данные'!F268+'02_Данные'!G268+'02_Данные'!H268+'02_Данные'!I268+'02_Данные'!J268+'02_Данные'!K268</f>
        <v/>
      </c>
      <c r="D268" s="10">
        <f>SUM('02_Данные'!L268:'02_Данные'!AY268)</f>
        <v/>
      </c>
      <c r="E268" s="10">
        <f>MAX(0,D268-C268)</f>
        <v/>
      </c>
      <c r="F268" s="15">
        <f>IF(E268&gt;0.0001,"ДЕФИЦИТ",IF(Y268&gt;0.0001,"ПРОФИЦИТ","БАЛАНС"))</f>
        <v/>
      </c>
      <c r="G268" s="10">
        <f>AB268+AS268+BJ268+CA268+CR268</f>
        <v/>
      </c>
      <c r="H268" s="10">
        <f>AD268+AU268+BL268+CC268+CT268</f>
        <v/>
      </c>
      <c r="I268" s="10">
        <f>AF268+AW268+BN268+CE268+CV268</f>
        <v/>
      </c>
      <c r="J268" s="10">
        <f>AL268+BC268+BT268+CK268+DB268</f>
        <v/>
      </c>
      <c r="K268" s="10">
        <f>AJ268+BA268+BR268+CI268+CZ268</f>
        <v/>
      </c>
      <c r="L268" s="10">
        <f>AN268+BE268+BV268+CM268+DD268</f>
        <v/>
      </c>
      <c r="M268" s="10">
        <f>AP268+BG268+BX268+CO268+DF268</f>
        <v/>
      </c>
      <c r="N268" s="10">
        <f>AH268+AY268+BP268+CG268+CX268</f>
        <v/>
      </c>
      <c r="O268" s="10">
        <f>SUM(G268:N268)</f>
        <v/>
      </c>
      <c r="P268" s="10">
        <f>IFERROR(G268*MIN(1,'01_Нормативы'!$C$4/SUM(G$2:G$429)),0)</f>
        <v/>
      </c>
      <c r="Q268" s="10">
        <f>IFERROR(H268*MIN(1,'01_Нормативы'!$C$5/SUM(H$2:H$429)),0)</f>
        <v/>
      </c>
      <c r="R268" s="10">
        <f>IFERROR(I268*MIN(1,'01_Нормативы'!$C$6/SUM(I$2:I$429)),0)</f>
        <v/>
      </c>
      <c r="S268" s="10">
        <f>IFERROR(J268*MIN(1,'01_Нормативы'!$C$7/SUM(J$2:J$429)),0)</f>
        <v/>
      </c>
      <c r="T268" s="10">
        <f>IFERROR(K268*MIN(1,'01_Нормативы'!$C$8/SUM(K$2:K$429)),0)</f>
        <v/>
      </c>
      <c r="U268" s="10">
        <f>IFERROR(L268*MIN(1,'01_Нормативы'!$C$9/SUM(L$2:L$429)),0)</f>
        <v/>
      </c>
      <c r="V268" s="10">
        <f>IFERROR(M268*MIN(1,'01_Нормативы'!$C$10/SUM(M$2:M$429)),0)</f>
        <v/>
      </c>
      <c r="W268" s="10">
        <f>IFERROR(N268*MIN(1,'01_Нормативы'!$C$11/SUM(N$2:N$429)),0)</f>
        <v/>
      </c>
      <c r="X268" s="10">
        <f>SUM(P268:W268)</f>
        <v/>
      </c>
      <c r="Y268" s="10">
        <f>MAX(0,C268-X268)</f>
        <v/>
      </c>
      <c r="Z268" s="10">
        <f>IF(D268=0,100,X268/D268*100)</f>
        <v/>
      </c>
      <c r="AA268" s="10">
        <f>'02_Данные'!F268+'02_Данные'!G268</f>
        <v/>
      </c>
      <c r="AB268" s="10">
        <f>MIN('02_Данные'!L268,AA268)</f>
        <v/>
      </c>
      <c r="AC268" s="10">
        <f>AA268-AB268</f>
        <v/>
      </c>
      <c r="AD268" s="10">
        <f>MIN('02_Данные'!M268,AC268)</f>
        <v/>
      </c>
      <c r="AE268" s="10">
        <f>AC268-AD268</f>
        <v/>
      </c>
      <c r="AF268" s="10">
        <f>MIN('02_Данные'!N268,AE268)</f>
        <v/>
      </c>
      <c r="AG268" s="10">
        <f>AE268-AF268</f>
        <v/>
      </c>
      <c r="AH268" s="10">
        <f>MIN('02_Данные'!S268,AG268)</f>
        <v/>
      </c>
      <c r="AI268" s="10">
        <f>AG268-AH268</f>
        <v/>
      </c>
      <c r="AJ268" s="10">
        <f>MIN('02_Данные'!P268,AI268)</f>
        <v/>
      </c>
      <c r="AK268" s="10">
        <f>AI268-AJ268</f>
        <v/>
      </c>
      <c r="AL268" s="10">
        <f>MIN('02_Данные'!O268,AK268)</f>
        <v/>
      </c>
      <c r="AM268" s="10">
        <f>AK268-AL268</f>
        <v/>
      </c>
      <c r="AN268" s="10">
        <f>MIN('02_Данные'!Q268,AM268)</f>
        <v/>
      </c>
      <c r="AO268" s="10">
        <f>AM268-AN268</f>
        <v/>
      </c>
      <c r="AP268" s="10">
        <f>MIN('02_Данные'!R268,AO268)</f>
        <v/>
      </c>
      <c r="AQ268" s="10">
        <f>AO268-AP268</f>
        <v/>
      </c>
      <c r="AR268" s="10">
        <f>AQ268+'02_Данные'!H268</f>
        <v/>
      </c>
      <c r="AS268" s="10">
        <f>MIN('02_Данные'!T268,AR268)</f>
        <v/>
      </c>
      <c r="AT268" s="10">
        <f>AR268-AS268</f>
        <v/>
      </c>
      <c r="AU268" s="10">
        <f>MIN('02_Данные'!U268,AT268)</f>
        <v/>
      </c>
      <c r="AV268" s="10">
        <f>AT268-AU268</f>
        <v/>
      </c>
      <c r="AW268" s="10">
        <f>MIN('02_Данные'!V268,AV268)</f>
        <v/>
      </c>
      <c r="AX268" s="10">
        <f>AV268-AW268</f>
        <v/>
      </c>
      <c r="AY268" s="10">
        <f>MIN('02_Данные'!AA268,AX268)</f>
        <v/>
      </c>
      <c r="AZ268" s="10">
        <f>AX268-AY268</f>
        <v/>
      </c>
      <c r="BA268" s="10">
        <f>MIN('02_Данные'!X268,AZ268)</f>
        <v/>
      </c>
      <c r="BB268" s="10">
        <f>AZ268-BA268</f>
        <v/>
      </c>
      <c r="BC268" s="10">
        <f>MIN('02_Данные'!W268,BB268)</f>
        <v/>
      </c>
      <c r="BD268" s="10">
        <f>BB268-BC268</f>
        <v/>
      </c>
      <c r="BE268" s="10">
        <f>MIN('02_Данные'!Y268,BD268)</f>
        <v/>
      </c>
      <c r="BF268" s="10">
        <f>BD268-BE268</f>
        <v/>
      </c>
      <c r="BG268" s="10">
        <f>MIN('02_Данные'!Z268,BF268)</f>
        <v/>
      </c>
      <c r="BH268" s="10">
        <f>BF268-BG268</f>
        <v/>
      </c>
      <c r="BI268" s="10">
        <f>BH268+'02_Данные'!I268</f>
        <v/>
      </c>
      <c r="BJ268" s="10">
        <f>MIN('02_Данные'!AB268,BI268)</f>
        <v/>
      </c>
      <c r="BK268" s="10">
        <f>BI268-BJ268</f>
        <v/>
      </c>
      <c r="BL268" s="10">
        <f>MIN('02_Данные'!AC268,BK268)</f>
        <v/>
      </c>
      <c r="BM268" s="10">
        <f>BK268-BL268</f>
        <v/>
      </c>
      <c r="BN268" s="10">
        <f>MIN('02_Данные'!AD268,BM268)</f>
        <v/>
      </c>
      <c r="BO268" s="10">
        <f>BM268-BN268</f>
        <v/>
      </c>
      <c r="BP268" s="10">
        <f>MIN('02_Данные'!AI268,BO268)</f>
        <v/>
      </c>
      <c r="BQ268" s="10">
        <f>BO268-BP268</f>
        <v/>
      </c>
      <c r="BR268" s="10">
        <f>MIN('02_Данные'!AF268,BQ268)</f>
        <v/>
      </c>
      <c r="BS268" s="10">
        <f>BQ268-BR268</f>
        <v/>
      </c>
      <c r="BT268" s="10">
        <f>MIN('02_Данные'!AE268,BS268)</f>
        <v/>
      </c>
      <c r="BU268" s="10">
        <f>BS268-BT268</f>
        <v/>
      </c>
      <c r="BV268" s="10">
        <f>MIN('02_Данные'!AG268,BU268)</f>
        <v/>
      </c>
      <c r="BW268" s="10">
        <f>BU268-BV268</f>
        <v/>
      </c>
      <c r="BX268" s="10">
        <f>MIN('02_Данные'!AH268,BW268)</f>
        <v/>
      </c>
      <c r="BY268" s="10">
        <f>BW268-BX268</f>
        <v/>
      </c>
      <c r="BZ268" s="10">
        <f>BY268+'02_Данные'!J268</f>
        <v/>
      </c>
      <c r="CA268" s="10">
        <f>MIN('02_Данные'!AJ268,BZ268)</f>
        <v/>
      </c>
      <c r="CB268" s="10">
        <f>BZ268-CA268</f>
        <v/>
      </c>
      <c r="CC268" s="10">
        <f>MIN('02_Данные'!AK268,CB268)</f>
        <v/>
      </c>
      <c r="CD268" s="10">
        <f>CB268-CC268</f>
        <v/>
      </c>
      <c r="CE268" s="10">
        <f>MIN('02_Данные'!AL268,CD268)</f>
        <v/>
      </c>
      <c r="CF268" s="10">
        <f>CD268-CE268</f>
        <v/>
      </c>
      <c r="CG268" s="10">
        <f>MIN('02_Данные'!AQ268,CF268)</f>
        <v/>
      </c>
      <c r="CH268" s="10">
        <f>CF268-CG268</f>
        <v/>
      </c>
      <c r="CI268" s="10">
        <f>MIN('02_Данные'!AN268,CH268)</f>
        <v/>
      </c>
      <c r="CJ268" s="10">
        <f>CH268-CI268</f>
        <v/>
      </c>
      <c r="CK268" s="10">
        <f>MIN('02_Данные'!AM268,CJ268)</f>
        <v/>
      </c>
      <c r="CL268" s="10">
        <f>CJ268-CK268</f>
        <v/>
      </c>
      <c r="CM268" s="10">
        <f>MIN('02_Данные'!AO268,CL268)</f>
        <v/>
      </c>
      <c r="CN268" s="10">
        <f>CL268-CM268</f>
        <v/>
      </c>
      <c r="CO268" s="10">
        <f>MIN('02_Данные'!AP268,CN268)</f>
        <v/>
      </c>
      <c r="CP268" s="10">
        <f>CN268-CO268</f>
        <v/>
      </c>
      <c r="CQ268" s="10">
        <f>CP268+'02_Данные'!K268</f>
        <v/>
      </c>
      <c r="CR268" s="10">
        <f>MIN('02_Данные'!AR268,CQ268)</f>
        <v/>
      </c>
      <c r="CS268" s="10">
        <f>CQ268-CR268</f>
        <v/>
      </c>
      <c r="CT268" s="10">
        <f>MIN('02_Данные'!AS268,CS268)</f>
        <v/>
      </c>
      <c r="CU268" s="10">
        <f>CS268-CT268</f>
        <v/>
      </c>
      <c r="CV268" s="10">
        <f>MIN('02_Данные'!AT268,CU268)</f>
        <v/>
      </c>
      <c r="CW268" s="10">
        <f>CU268-CV268</f>
        <v/>
      </c>
      <c r="CX268" s="10">
        <f>MIN('02_Данные'!AY268,CW268)</f>
        <v/>
      </c>
      <c r="CY268" s="10">
        <f>CW268-CX268</f>
        <v/>
      </c>
      <c r="CZ268" s="10">
        <f>MIN('02_Данные'!AV268,CY268)</f>
        <v/>
      </c>
      <c r="DA268" s="10">
        <f>CY268-CZ268</f>
        <v/>
      </c>
      <c r="DB268" s="10">
        <f>MIN('02_Данные'!AU268,DA268)</f>
        <v/>
      </c>
      <c r="DC268" s="10">
        <f>DA268-DB268</f>
        <v/>
      </c>
      <c r="DD268" s="10">
        <f>MIN('02_Данные'!AW268,DC268)</f>
        <v/>
      </c>
      <c r="DE268" s="10">
        <f>DC268-DD268</f>
        <v/>
      </c>
      <c r="DF268" s="10">
        <f>MIN('02_Данные'!AX268,DE268)</f>
        <v/>
      </c>
      <c r="DG268" s="10">
        <f>DE268-DF268</f>
        <v/>
      </c>
    </row>
    <row r="269">
      <c r="A269" s="9">
        <f>'02_Данные'!B269</f>
        <v/>
      </c>
      <c r="B269" s="9">
        <f>'02_Данные'!E269</f>
        <v/>
      </c>
      <c r="C269" s="10">
        <f>'02_Данные'!F269+'02_Данные'!G269+'02_Данные'!H269+'02_Данные'!I269+'02_Данные'!J269+'02_Данные'!K269</f>
        <v/>
      </c>
      <c r="D269" s="10">
        <f>SUM('02_Данные'!L269:'02_Данные'!AY269)</f>
        <v/>
      </c>
      <c r="E269" s="10">
        <f>MAX(0,D269-C269)</f>
        <v/>
      </c>
      <c r="F269" s="15">
        <f>IF(E269&gt;0.0001,"ДЕФИЦИТ",IF(Y269&gt;0.0001,"ПРОФИЦИТ","БАЛАНС"))</f>
        <v/>
      </c>
      <c r="G269" s="10">
        <f>AB269+AS269+BJ269+CA269+CR269</f>
        <v/>
      </c>
      <c r="H269" s="10">
        <f>AD269+AU269+BL269+CC269+CT269</f>
        <v/>
      </c>
      <c r="I269" s="10">
        <f>AF269+AW269+BN269+CE269+CV269</f>
        <v/>
      </c>
      <c r="J269" s="10">
        <f>AL269+BC269+BT269+CK269+DB269</f>
        <v/>
      </c>
      <c r="K269" s="10">
        <f>AJ269+BA269+BR269+CI269+CZ269</f>
        <v/>
      </c>
      <c r="L269" s="10">
        <f>AN269+BE269+BV269+CM269+DD269</f>
        <v/>
      </c>
      <c r="M269" s="10">
        <f>AP269+BG269+BX269+CO269+DF269</f>
        <v/>
      </c>
      <c r="N269" s="10">
        <f>AH269+AY269+BP269+CG269+CX269</f>
        <v/>
      </c>
      <c r="O269" s="10">
        <f>SUM(G269:N269)</f>
        <v/>
      </c>
      <c r="P269" s="10">
        <f>IFERROR(G269*MIN(1,'01_Нормативы'!$C$4/SUM(G$2:G$429)),0)</f>
        <v/>
      </c>
      <c r="Q269" s="10">
        <f>IFERROR(H269*MIN(1,'01_Нормативы'!$C$5/SUM(H$2:H$429)),0)</f>
        <v/>
      </c>
      <c r="R269" s="10">
        <f>IFERROR(I269*MIN(1,'01_Нормативы'!$C$6/SUM(I$2:I$429)),0)</f>
        <v/>
      </c>
      <c r="S269" s="10">
        <f>IFERROR(J269*MIN(1,'01_Нормативы'!$C$7/SUM(J$2:J$429)),0)</f>
        <v/>
      </c>
      <c r="T269" s="10">
        <f>IFERROR(K269*MIN(1,'01_Нормативы'!$C$8/SUM(K$2:K$429)),0)</f>
        <v/>
      </c>
      <c r="U269" s="10">
        <f>IFERROR(L269*MIN(1,'01_Нормативы'!$C$9/SUM(L$2:L$429)),0)</f>
        <v/>
      </c>
      <c r="V269" s="10">
        <f>IFERROR(M269*MIN(1,'01_Нормативы'!$C$10/SUM(M$2:M$429)),0)</f>
        <v/>
      </c>
      <c r="W269" s="10">
        <f>IFERROR(N269*MIN(1,'01_Нормативы'!$C$11/SUM(N$2:N$429)),0)</f>
        <v/>
      </c>
      <c r="X269" s="10">
        <f>SUM(P269:W269)</f>
        <v/>
      </c>
      <c r="Y269" s="10">
        <f>MAX(0,C269-X269)</f>
        <v/>
      </c>
      <c r="Z269" s="10">
        <f>IF(D269=0,100,X269/D269*100)</f>
        <v/>
      </c>
      <c r="AA269" s="10">
        <f>'02_Данные'!F269+'02_Данные'!G269</f>
        <v/>
      </c>
      <c r="AB269" s="10">
        <f>MIN('02_Данные'!L269,AA269)</f>
        <v/>
      </c>
      <c r="AC269" s="10">
        <f>AA269-AB269</f>
        <v/>
      </c>
      <c r="AD269" s="10">
        <f>MIN('02_Данные'!M269,AC269)</f>
        <v/>
      </c>
      <c r="AE269" s="10">
        <f>AC269-AD269</f>
        <v/>
      </c>
      <c r="AF269" s="10">
        <f>MIN('02_Данные'!N269,AE269)</f>
        <v/>
      </c>
      <c r="AG269" s="10">
        <f>AE269-AF269</f>
        <v/>
      </c>
      <c r="AH269" s="10">
        <f>MIN('02_Данные'!S269,AG269)</f>
        <v/>
      </c>
      <c r="AI269" s="10">
        <f>AG269-AH269</f>
        <v/>
      </c>
      <c r="AJ269" s="10">
        <f>MIN('02_Данные'!P269,AI269)</f>
        <v/>
      </c>
      <c r="AK269" s="10">
        <f>AI269-AJ269</f>
        <v/>
      </c>
      <c r="AL269" s="10">
        <f>MIN('02_Данные'!O269,AK269)</f>
        <v/>
      </c>
      <c r="AM269" s="10">
        <f>AK269-AL269</f>
        <v/>
      </c>
      <c r="AN269" s="10">
        <f>MIN('02_Данные'!Q269,AM269)</f>
        <v/>
      </c>
      <c r="AO269" s="10">
        <f>AM269-AN269</f>
        <v/>
      </c>
      <c r="AP269" s="10">
        <f>MIN('02_Данные'!R269,AO269)</f>
        <v/>
      </c>
      <c r="AQ269" s="10">
        <f>AO269-AP269</f>
        <v/>
      </c>
      <c r="AR269" s="10">
        <f>AQ269+'02_Данные'!H269</f>
        <v/>
      </c>
      <c r="AS269" s="10">
        <f>MIN('02_Данные'!T269,AR269)</f>
        <v/>
      </c>
      <c r="AT269" s="10">
        <f>AR269-AS269</f>
        <v/>
      </c>
      <c r="AU269" s="10">
        <f>MIN('02_Данные'!U269,AT269)</f>
        <v/>
      </c>
      <c r="AV269" s="10">
        <f>AT269-AU269</f>
        <v/>
      </c>
      <c r="AW269" s="10">
        <f>MIN('02_Данные'!V269,AV269)</f>
        <v/>
      </c>
      <c r="AX269" s="10">
        <f>AV269-AW269</f>
        <v/>
      </c>
      <c r="AY269" s="10">
        <f>MIN('02_Данные'!AA269,AX269)</f>
        <v/>
      </c>
      <c r="AZ269" s="10">
        <f>AX269-AY269</f>
        <v/>
      </c>
      <c r="BA269" s="10">
        <f>MIN('02_Данные'!X269,AZ269)</f>
        <v/>
      </c>
      <c r="BB269" s="10">
        <f>AZ269-BA269</f>
        <v/>
      </c>
      <c r="BC269" s="10">
        <f>MIN('02_Данные'!W269,BB269)</f>
        <v/>
      </c>
      <c r="BD269" s="10">
        <f>BB269-BC269</f>
        <v/>
      </c>
      <c r="BE269" s="10">
        <f>MIN('02_Данные'!Y269,BD269)</f>
        <v/>
      </c>
      <c r="BF269" s="10">
        <f>BD269-BE269</f>
        <v/>
      </c>
      <c r="BG269" s="10">
        <f>MIN('02_Данные'!Z269,BF269)</f>
        <v/>
      </c>
      <c r="BH269" s="10">
        <f>BF269-BG269</f>
        <v/>
      </c>
      <c r="BI269" s="10">
        <f>BH269+'02_Данные'!I269</f>
        <v/>
      </c>
      <c r="BJ269" s="10">
        <f>MIN('02_Данные'!AB269,BI269)</f>
        <v/>
      </c>
      <c r="BK269" s="10">
        <f>BI269-BJ269</f>
        <v/>
      </c>
      <c r="BL269" s="10">
        <f>MIN('02_Данные'!AC269,BK269)</f>
        <v/>
      </c>
      <c r="BM269" s="10">
        <f>BK269-BL269</f>
        <v/>
      </c>
      <c r="BN269" s="10">
        <f>MIN('02_Данные'!AD269,BM269)</f>
        <v/>
      </c>
      <c r="BO269" s="10">
        <f>BM269-BN269</f>
        <v/>
      </c>
      <c r="BP269" s="10">
        <f>MIN('02_Данные'!AI269,BO269)</f>
        <v/>
      </c>
      <c r="BQ269" s="10">
        <f>BO269-BP269</f>
        <v/>
      </c>
      <c r="BR269" s="10">
        <f>MIN('02_Данные'!AF269,BQ269)</f>
        <v/>
      </c>
      <c r="BS269" s="10">
        <f>BQ269-BR269</f>
        <v/>
      </c>
      <c r="BT269" s="10">
        <f>MIN('02_Данные'!AE269,BS269)</f>
        <v/>
      </c>
      <c r="BU269" s="10">
        <f>BS269-BT269</f>
        <v/>
      </c>
      <c r="BV269" s="10">
        <f>MIN('02_Данные'!AG269,BU269)</f>
        <v/>
      </c>
      <c r="BW269" s="10">
        <f>BU269-BV269</f>
        <v/>
      </c>
      <c r="BX269" s="10">
        <f>MIN('02_Данные'!AH269,BW269)</f>
        <v/>
      </c>
      <c r="BY269" s="10">
        <f>BW269-BX269</f>
        <v/>
      </c>
      <c r="BZ269" s="10">
        <f>BY269+'02_Данные'!J269</f>
        <v/>
      </c>
      <c r="CA269" s="10">
        <f>MIN('02_Данные'!AJ269,BZ269)</f>
        <v/>
      </c>
      <c r="CB269" s="10">
        <f>BZ269-CA269</f>
        <v/>
      </c>
      <c r="CC269" s="10">
        <f>MIN('02_Данные'!AK269,CB269)</f>
        <v/>
      </c>
      <c r="CD269" s="10">
        <f>CB269-CC269</f>
        <v/>
      </c>
      <c r="CE269" s="10">
        <f>MIN('02_Данные'!AL269,CD269)</f>
        <v/>
      </c>
      <c r="CF269" s="10">
        <f>CD269-CE269</f>
        <v/>
      </c>
      <c r="CG269" s="10">
        <f>MIN('02_Данные'!AQ269,CF269)</f>
        <v/>
      </c>
      <c r="CH269" s="10">
        <f>CF269-CG269</f>
        <v/>
      </c>
      <c r="CI269" s="10">
        <f>MIN('02_Данные'!AN269,CH269)</f>
        <v/>
      </c>
      <c r="CJ269" s="10">
        <f>CH269-CI269</f>
        <v/>
      </c>
      <c r="CK269" s="10">
        <f>MIN('02_Данные'!AM269,CJ269)</f>
        <v/>
      </c>
      <c r="CL269" s="10">
        <f>CJ269-CK269</f>
        <v/>
      </c>
      <c r="CM269" s="10">
        <f>MIN('02_Данные'!AO269,CL269)</f>
        <v/>
      </c>
      <c r="CN269" s="10">
        <f>CL269-CM269</f>
        <v/>
      </c>
      <c r="CO269" s="10">
        <f>MIN('02_Данные'!AP269,CN269)</f>
        <v/>
      </c>
      <c r="CP269" s="10">
        <f>CN269-CO269</f>
        <v/>
      </c>
      <c r="CQ269" s="10">
        <f>CP269+'02_Данные'!K269</f>
        <v/>
      </c>
      <c r="CR269" s="10">
        <f>MIN('02_Данные'!AR269,CQ269)</f>
        <v/>
      </c>
      <c r="CS269" s="10">
        <f>CQ269-CR269</f>
        <v/>
      </c>
      <c r="CT269" s="10">
        <f>MIN('02_Данные'!AS269,CS269)</f>
        <v/>
      </c>
      <c r="CU269" s="10">
        <f>CS269-CT269</f>
        <v/>
      </c>
      <c r="CV269" s="10">
        <f>MIN('02_Данные'!AT269,CU269)</f>
        <v/>
      </c>
      <c r="CW269" s="10">
        <f>CU269-CV269</f>
        <v/>
      </c>
      <c r="CX269" s="10">
        <f>MIN('02_Данные'!AY269,CW269)</f>
        <v/>
      </c>
      <c r="CY269" s="10">
        <f>CW269-CX269</f>
        <v/>
      </c>
      <c r="CZ269" s="10">
        <f>MIN('02_Данные'!AV269,CY269)</f>
        <v/>
      </c>
      <c r="DA269" s="10">
        <f>CY269-CZ269</f>
        <v/>
      </c>
      <c r="DB269" s="10">
        <f>MIN('02_Данные'!AU269,DA269)</f>
        <v/>
      </c>
      <c r="DC269" s="10">
        <f>DA269-DB269</f>
        <v/>
      </c>
      <c r="DD269" s="10">
        <f>MIN('02_Данные'!AW269,DC269)</f>
        <v/>
      </c>
      <c r="DE269" s="10">
        <f>DC269-DD269</f>
        <v/>
      </c>
      <c r="DF269" s="10">
        <f>MIN('02_Данные'!AX269,DE269)</f>
        <v/>
      </c>
      <c r="DG269" s="10">
        <f>DE269-DF269</f>
        <v/>
      </c>
    </row>
    <row r="270">
      <c r="A270" s="9">
        <f>'02_Данные'!B270</f>
        <v/>
      </c>
      <c r="B270" s="9">
        <f>'02_Данные'!E270</f>
        <v/>
      </c>
      <c r="C270" s="10">
        <f>'02_Данные'!F270+'02_Данные'!G270+'02_Данные'!H270+'02_Данные'!I270+'02_Данные'!J270+'02_Данные'!K270</f>
        <v/>
      </c>
      <c r="D270" s="10">
        <f>SUM('02_Данные'!L270:'02_Данные'!AY270)</f>
        <v/>
      </c>
      <c r="E270" s="10">
        <f>MAX(0,D270-C270)</f>
        <v/>
      </c>
      <c r="F270" s="15">
        <f>IF(E270&gt;0.0001,"ДЕФИЦИТ",IF(Y270&gt;0.0001,"ПРОФИЦИТ","БАЛАНС"))</f>
        <v/>
      </c>
      <c r="G270" s="10">
        <f>AB270+AS270+BJ270+CA270+CR270</f>
        <v/>
      </c>
      <c r="H270" s="10">
        <f>AD270+AU270+BL270+CC270+CT270</f>
        <v/>
      </c>
      <c r="I270" s="10">
        <f>AF270+AW270+BN270+CE270+CV270</f>
        <v/>
      </c>
      <c r="J270" s="10">
        <f>AL270+BC270+BT270+CK270+DB270</f>
        <v/>
      </c>
      <c r="K270" s="10">
        <f>AJ270+BA270+BR270+CI270+CZ270</f>
        <v/>
      </c>
      <c r="L270" s="10">
        <f>AN270+BE270+BV270+CM270+DD270</f>
        <v/>
      </c>
      <c r="M270" s="10">
        <f>AP270+BG270+BX270+CO270+DF270</f>
        <v/>
      </c>
      <c r="N270" s="10">
        <f>AH270+AY270+BP270+CG270+CX270</f>
        <v/>
      </c>
      <c r="O270" s="10">
        <f>SUM(G270:N270)</f>
        <v/>
      </c>
      <c r="P270" s="10">
        <f>IFERROR(G270*MIN(1,'01_Нормативы'!$C$4/SUM(G$2:G$429)),0)</f>
        <v/>
      </c>
      <c r="Q270" s="10">
        <f>IFERROR(H270*MIN(1,'01_Нормативы'!$C$5/SUM(H$2:H$429)),0)</f>
        <v/>
      </c>
      <c r="R270" s="10">
        <f>IFERROR(I270*MIN(1,'01_Нормативы'!$C$6/SUM(I$2:I$429)),0)</f>
        <v/>
      </c>
      <c r="S270" s="10">
        <f>IFERROR(J270*MIN(1,'01_Нормативы'!$C$7/SUM(J$2:J$429)),0)</f>
        <v/>
      </c>
      <c r="T270" s="10">
        <f>IFERROR(K270*MIN(1,'01_Нормативы'!$C$8/SUM(K$2:K$429)),0)</f>
        <v/>
      </c>
      <c r="U270" s="10">
        <f>IFERROR(L270*MIN(1,'01_Нормативы'!$C$9/SUM(L$2:L$429)),0)</f>
        <v/>
      </c>
      <c r="V270" s="10">
        <f>IFERROR(M270*MIN(1,'01_Нормативы'!$C$10/SUM(M$2:M$429)),0)</f>
        <v/>
      </c>
      <c r="W270" s="10">
        <f>IFERROR(N270*MIN(1,'01_Нормативы'!$C$11/SUM(N$2:N$429)),0)</f>
        <v/>
      </c>
      <c r="X270" s="10">
        <f>SUM(P270:W270)</f>
        <v/>
      </c>
      <c r="Y270" s="10">
        <f>MAX(0,C270-X270)</f>
        <v/>
      </c>
      <c r="Z270" s="10">
        <f>IF(D270=0,100,X270/D270*100)</f>
        <v/>
      </c>
      <c r="AA270" s="10">
        <f>'02_Данные'!F270+'02_Данные'!G270</f>
        <v/>
      </c>
      <c r="AB270" s="10">
        <f>MIN('02_Данные'!L270,AA270)</f>
        <v/>
      </c>
      <c r="AC270" s="10">
        <f>AA270-AB270</f>
        <v/>
      </c>
      <c r="AD270" s="10">
        <f>MIN('02_Данные'!M270,AC270)</f>
        <v/>
      </c>
      <c r="AE270" s="10">
        <f>AC270-AD270</f>
        <v/>
      </c>
      <c r="AF270" s="10">
        <f>MIN('02_Данные'!N270,AE270)</f>
        <v/>
      </c>
      <c r="AG270" s="10">
        <f>AE270-AF270</f>
        <v/>
      </c>
      <c r="AH270" s="10">
        <f>MIN('02_Данные'!S270,AG270)</f>
        <v/>
      </c>
      <c r="AI270" s="10">
        <f>AG270-AH270</f>
        <v/>
      </c>
      <c r="AJ270" s="10">
        <f>MIN('02_Данные'!P270,AI270)</f>
        <v/>
      </c>
      <c r="AK270" s="10">
        <f>AI270-AJ270</f>
        <v/>
      </c>
      <c r="AL270" s="10">
        <f>MIN('02_Данные'!O270,AK270)</f>
        <v/>
      </c>
      <c r="AM270" s="10">
        <f>AK270-AL270</f>
        <v/>
      </c>
      <c r="AN270" s="10">
        <f>MIN('02_Данные'!Q270,AM270)</f>
        <v/>
      </c>
      <c r="AO270" s="10">
        <f>AM270-AN270</f>
        <v/>
      </c>
      <c r="AP270" s="10">
        <f>MIN('02_Данные'!R270,AO270)</f>
        <v/>
      </c>
      <c r="AQ270" s="10">
        <f>AO270-AP270</f>
        <v/>
      </c>
      <c r="AR270" s="10">
        <f>AQ270+'02_Данные'!H270</f>
        <v/>
      </c>
      <c r="AS270" s="10">
        <f>MIN('02_Данные'!T270,AR270)</f>
        <v/>
      </c>
      <c r="AT270" s="10">
        <f>AR270-AS270</f>
        <v/>
      </c>
      <c r="AU270" s="10">
        <f>MIN('02_Данные'!U270,AT270)</f>
        <v/>
      </c>
      <c r="AV270" s="10">
        <f>AT270-AU270</f>
        <v/>
      </c>
      <c r="AW270" s="10">
        <f>MIN('02_Данные'!V270,AV270)</f>
        <v/>
      </c>
      <c r="AX270" s="10">
        <f>AV270-AW270</f>
        <v/>
      </c>
      <c r="AY270" s="10">
        <f>MIN('02_Данные'!AA270,AX270)</f>
        <v/>
      </c>
      <c r="AZ270" s="10">
        <f>AX270-AY270</f>
        <v/>
      </c>
      <c r="BA270" s="10">
        <f>MIN('02_Данные'!X270,AZ270)</f>
        <v/>
      </c>
      <c r="BB270" s="10">
        <f>AZ270-BA270</f>
        <v/>
      </c>
      <c r="BC270" s="10">
        <f>MIN('02_Данные'!W270,BB270)</f>
        <v/>
      </c>
      <c r="BD270" s="10">
        <f>BB270-BC270</f>
        <v/>
      </c>
      <c r="BE270" s="10">
        <f>MIN('02_Данные'!Y270,BD270)</f>
        <v/>
      </c>
      <c r="BF270" s="10">
        <f>BD270-BE270</f>
        <v/>
      </c>
      <c r="BG270" s="10">
        <f>MIN('02_Данные'!Z270,BF270)</f>
        <v/>
      </c>
      <c r="BH270" s="10">
        <f>BF270-BG270</f>
        <v/>
      </c>
      <c r="BI270" s="10">
        <f>BH270+'02_Данные'!I270</f>
        <v/>
      </c>
      <c r="BJ270" s="10">
        <f>MIN('02_Данные'!AB270,BI270)</f>
        <v/>
      </c>
      <c r="BK270" s="10">
        <f>BI270-BJ270</f>
        <v/>
      </c>
      <c r="BL270" s="10">
        <f>MIN('02_Данные'!AC270,BK270)</f>
        <v/>
      </c>
      <c r="BM270" s="10">
        <f>BK270-BL270</f>
        <v/>
      </c>
      <c r="BN270" s="10">
        <f>MIN('02_Данные'!AD270,BM270)</f>
        <v/>
      </c>
      <c r="BO270" s="10">
        <f>BM270-BN270</f>
        <v/>
      </c>
      <c r="BP270" s="10">
        <f>MIN('02_Данные'!AI270,BO270)</f>
        <v/>
      </c>
      <c r="BQ270" s="10">
        <f>BO270-BP270</f>
        <v/>
      </c>
      <c r="BR270" s="10">
        <f>MIN('02_Данные'!AF270,BQ270)</f>
        <v/>
      </c>
      <c r="BS270" s="10">
        <f>BQ270-BR270</f>
        <v/>
      </c>
      <c r="BT270" s="10">
        <f>MIN('02_Данные'!AE270,BS270)</f>
        <v/>
      </c>
      <c r="BU270" s="10">
        <f>BS270-BT270</f>
        <v/>
      </c>
      <c r="BV270" s="10">
        <f>MIN('02_Данные'!AG270,BU270)</f>
        <v/>
      </c>
      <c r="BW270" s="10">
        <f>BU270-BV270</f>
        <v/>
      </c>
      <c r="BX270" s="10">
        <f>MIN('02_Данные'!AH270,BW270)</f>
        <v/>
      </c>
      <c r="BY270" s="10">
        <f>BW270-BX270</f>
        <v/>
      </c>
      <c r="BZ270" s="10">
        <f>BY270+'02_Данные'!J270</f>
        <v/>
      </c>
      <c r="CA270" s="10">
        <f>MIN('02_Данные'!AJ270,BZ270)</f>
        <v/>
      </c>
      <c r="CB270" s="10">
        <f>BZ270-CA270</f>
        <v/>
      </c>
      <c r="CC270" s="10">
        <f>MIN('02_Данные'!AK270,CB270)</f>
        <v/>
      </c>
      <c r="CD270" s="10">
        <f>CB270-CC270</f>
        <v/>
      </c>
      <c r="CE270" s="10">
        <f>MIN('02_Данные'!AL270,CD270)</f>
        <v/>
      </c>
      <c r="CF270" s="10">
        <f>CD270-CE270</f>
        <v/>
      </c>
      <c r="CG270" s="10">
        <f>MIN('02_Данные'!AQ270,CF270)</f>
        <v/>
      </c>
      <c r="CH270" s="10">
        <f>CF270-CG270</f>
        <v/>
      </c>
      <c r="CI270" s="10">
        <f>MIN('02_Данные'!AN270,CH270)</f>
        <v/>
      </c>
      <c r="CJ270" s="10">
        <f>CH270-CI270</f>
        <v/>
      </c>
      <c r="CK270" s="10">
        <f>MIN('02_Данные'!AM270,CJ270)</f>
        <v/>
      </c>
      <c r="CL270" s="10">
        <f>CJ270-CK270</f>
        <v/>
      </c>
      <c r="CM270" s="10">
        <f>MIN('02_Данные'!AO270,CL270)</f>
        <v/>
      </c>
      <c r="CN270" s="10">
        <f>CL270-CM270</f>
        <v/>
      </c>
      <c r="CO270" s="10">
        <f>MIN('02_Данные'!AP270,CN270)</f>
        <v/>
      </c>
      <c r="CP270" s="10">
        <f>CN270-CO270</f>
        <v/>
      </c>
      <c r="CQ270" s="10">
        <f>CP270+'02_Данные'!K270</f>
        <v/>
      </c>
      <c r="CR270" s="10">
        <f>MIN('02_Данные'!AR270,CQ270)</f>
        <v/>
      </c>
      <c r="CS270" s="10">
        <f>CQ270-CR270</f>
        <v/>
      </c>
      <c r="CT270" s="10">
        <f>MIN('02_Данные'!AS270,CS270)</f>
        <v/>
      </c>
      <c r="CU270" s="10">
        <f>CS270-CT270</f>
        <v/>
      </c>
      <c r="CV270" s="10">
        <f>MIN('02_Данные'!AT270,CU270)</f>
        <v/>
      </c>
      <c r="CW270" s="10">
        <f>CU270-CV270</f>
        <v/>
      </c>
      <c r="CX270" s="10">
        <f>MIN('02_Данные'!AY270,CW270)</f>
        <v/>
      </c>
      <c r="CY270" s="10">
        <f>CW270-CX270</f>
        <v/>
      </c>
      <c r="CZ270" s="10">
        <f>MIN('02_Данные'!AV270,CY270)</f>
        <v/>
      </c>
      <c r="DA270" s="10">
        <f>CY270-CZ270</f>
        <v/>
      </c>
      <c r="DB270" s="10">
        <f>MIN('02_Данные'!AU270,DA270)</f>
        <v/>
      </c>
      <c r="DC270" s="10">
        <f>DA270-DB270</f>
        <v/>
      </c>
      <c r="DD270" s="10">
        <f>MIN('02_Данные'!AW270,DC270)</f>
        <v/>
      </c>
      <c r="DE270" s="10">
        <f>DC270-DD270</f>
        <v/>
      </c>
      <c r="DF270" s="10">
        <f>MIN('02_Данные'!AX270,DE270)</f>
        <v/>
      </c>
      <c r="DG270" s="10">
        <f>DE270-DF270</f>
        <v/>
      </c>
    </row>
    <row r="271">
      <c r="A271" s="9">
        <f>'02_Данные'!B271</f>
        <v/>
      </c>
      <c r="B271" s="9">
        <f>'02_Данные'!E271</f>
        <v/>
      </c>
      <c r="C271" s="10">
        <f>'02_Данные'!F271+'02_Данные'!G271+'02_Данные'!H271+'02_Данные'!I271+'02_Данные'!J271+'02_Данные'!K271</f>
        <v/>
      </c>
      <c r="D271" s="10">
        <f>SUM('02_Данные'!L271:'02_Данные'!AY271)</f>
        <v/>
      </c>
      <c r="E271" s="10">
        <f>MAX(0,D271-C271)</f>
        <v/>
      </c>
      <c r="F271" s="15">
        <f>IF(E271&gt;0.0001,"ДЕФИЦИТ",IF(Y271&gt;0.0001,"ПРОФИЦИТ","БАЛАНС"))</f>
        <v/>
      </c>
      <c r="G271" s="10">
        <f>AB271+AS271+BJ271+CA271+CR271</f>
        <v/>
      </c>
      <c r="H271" s="10">
        <f>AD271+AU271+BL271+CC271+CT271</f>
        <v/>
      </c>
      <c r="I271" s="10">
        <f>AF271+AW271+BN271+CE271+CV271</f>
        <v/>
      </c>
      <c r="J271" s="10">
        <f>AL271+BC271+BT271+CK271+DB271</f>
        <v/>
      </c>
      <c r="K271" s="10">
        <f>AJ271+BA271+BR271+CI271+CZ271</f>
        <v/>
      </c>
      <c r="L271" s="10">
        <f>AN271+BE271+BV271+CM271+DD271</f>
        <v/>
      </c>
      <c r="M271" s="10">
        <f>AP271+BG271+BX271+CO271+DF271</f>
        <v/>
      </c>
      <c r="N271" s="10">
        <f>AH271+AY271+BP271+CG271+CX271</f>
        <v/>
      </c>
      <c r="O271" s="10">
        <f>SUM(G271:N271)</f>
        <v/>
      </c>
      <c r="P271" s="10">
        <f>IFERROR(G271*MIN(1,'01_Нормативы'!$C$4/SUM(G$2:G$429)),0)</f>
        <v/>
      </c>
      <c r="Q271" s="10">
        <f>IFERROR(H271*MIN(1,'01_Нормативы'!$C$5/SUM(H$2:H$429)),0)</f>
        <v/>
      </c>
      <c r="R271" s="10">
        <f>IFERROR(I271*MIN(1,'01_Нормативы'!$C$6/SUM(I$2:I$429)),0)</f>
        <v/>
      </c>
      <c r="S271" s="10">
        <f>IFERROR(J271*MIN(1,'01_Нормативы'!$C$7/SUM(J$2:J$429)),0)</f>
        <v/>
      </c>
      <c r="T271" s="10">
        <f>IFERROR(K271*MIN(1,'01_Нормативы'!$C$8/SUM(K$2:K$429)),0)</f>
        <v/>
      </c>
      <c r="U271" s="10">
        <f>IFERROR(L271*MIN(1,'01_Нормативы'!$C$9/SUM(L$2:L$429)),0)</f>
        <v/>
      </c>
      <c r="V271" s="10">
        <f>IFERROR(M271*MIN(1,'01_Нормативы'!$C$10/SUM(M$2:M$429)),0)</f>
        <v/>
      </c>
      <c r="W271" s="10">
        <f>IFERROR(N271*MIN(1,'01_Нормативы'!$C$11/SUM(N$2:N$429)),0)</f>
        <v/>
      </c>
      <c r="X271" s="10">
        <f>SUM(P271:W271)</f>
        <v/>
      </c>
      <c r="Y271" s="10">
        <f>MAX(0,C271-X271)</f>
        <v/>
      </c>
      <c r="Z271" s="10">
        <f>IF(D271=0,100,X271/D271*100)</f>
        <v/>
      </c>
      <c r="AA271" s="10">
        <f>'02_Данные'!F271+'02_Данные'!G271</f>
        <v/>
      </c>
      <c r="AB271" s="10">
        <f>MIN('02_Данные'!L271,AA271)</f>
        <v/>
      </c>
      <c r="AC271" s="10">
        <f>AA271-AB271</f>
        <v/>
      </c>
      <c r="AD271" s="10">
        <f>MIN('02_Данные'!M271,AC271)</f>
        <v/>
      </c>
      <c r="AE271" s="10">
        <f>AC271-AD271</f>
        <v/>
      </c>
      <c r="AF271" s="10">
        <f>MIN('02_Данные'!N271,AE271)</f>
        <v/>
      </c>
      <c r="AG271" s="10">
        <f>AE271-AF271</f>
        <v/>
      </c>
      <c r="AH271" s="10">
        <f>MIN('02_Данные'!S271,AG271)</f>
        <v/>
      </c>
      <c r="AI271" s="10">
        <f>AG271-AH271</f>
        <v/>
      </c>
      <c r="AJ271" s="10">
        <f>MIN('02_Данные'!P271,AI271)</f>
        <v/>
      </c>
      <c r="AK271" s="10">
        <f>AI271-AJ271</f>
        <v/>
      </c>
      <c r="AL271" s="10">
        <f>MIN('02_Данные'!O271,AK271)</f>
        <v/>
      </c>
      <c r="AM271" s="10">
        <f>AK271-AL271</f>
        <v/>
      </c>
      <c r="AN271" s="10">
        <f>MIN('02_Данные'!Q271,AM271)</f>
        <v/>
      </c>
      <c r="AO271" s="10">
        <f>AM271-AN271</f>
        <v/>
      </c>
      <c r="AP271" s="10">
        <f>MIN('02_Данные'!R271,AO271)</f>
        <v/>
      </c>
      <c r="AQ271" s="10">
        <f>AO271-AP271</f>
        <v/>
      </c>
      <c r="AR271" s="10">
        <f>AQ271+'02_Данные'!H271</f>
        <v/>
      </c>
      <c r="AS271" s="10">
        <f>MIN('02_Данные'!T271,AR271)</f>
        <v/>
      </c>
      <c r="AT271" s="10">
        <f>AR271-AS271</f>
        <v/>
      </c>
      <c r="AU271" s="10">
        <f>MIN('02_Данные'!U271,AT271)</f>
        <v/>
      </c>
      <c r="AV271" s="10">
        <f>AT271-AU271</f>
        <v/>
      </c>
      <c r="AW271" s="10">
        <f>MIN('02_Данные'!V271,AV271)</f>
        <v/>
      </c>
      <c r="AX271" s="10">
        <f>AV271-AW271</f>
        <v/>
      </c>
      <c r="AY271" s="10">
        <f>MIN('02_Данные'!AA271,AX271)</f>
        <v/>
      </c>
      <c r="AZ271" s="10">
        <f>AX271-AY271</f>
        <v/>
      </c>
      <c r="BA271" s="10">
        <f>MIN('02_Данные'!X271,AZ271)</f>
        <v/>
      </c>
      <c r="BB271" s="10">
        <f>AZ271-BA271</f>
        <v/>
      </c>
      <c r="BC271" s="10">
        <f>MIN('02_Данные'!W271,BB271)</f>
        <v/>
      </c>
      <c r="BD271" s="10">
        <f>BB271-BC271</f>
        <v/>
      </c>
      <c r="BE271" s="10">
        <f>MIN('02_Данные'!Y271,BD271)</f>
        <v/>
      </c>
      <c r="BF271" s="10">
        <f>BD271-BE271</f>
        <v/>
      </c>
      <c r="BG271" s="10">
        <f>MIN('02_Данные'!Z271,BF271)</f>
        <v/>
      </c>
      <c r="BH271" s="10">
        <f>BF271-BG271</f>
        <v/>
      </c>
      <c r="BI271" s="10">
        <f>BH271+'02_Данные'!I271</f>
        <v/>
      </c>
      <c r="BJ271" s="10">
        <f>MIN('02_Данные'!AB271,BI271)</f>
        <v/>
      </c>
      <c r="BK271" s="10">
        <f>BI271-BJ271</f>
        <v/>
      </c>
      <c r="BL271" s="10">
        <f>MIN('02_Данные'!AC271,BK271)</f>
        <v/>
      </c>
      <c r="BM271" s="10">
        <f>BK271-BL271</f>
        <v/>
      </c>
      <c r="BN271" s="10">
        <f>MIN('02_Данные'!AD271,BM271)</f>
        <v/>
      </c>
      <c r="BO271" s="10">
        <f>BM271-BN271</f>
        <v/>
      </c>
      <c r="BP271" s="10">
        <f>MIN('02_Данные'!AI271,BO271)</f>
        <v/>
      </c>
      <c r="BQ271" s="10">
        <f>BO271-BP271</f>
        <v/>
      </c>
      <c r="BR271" s="10">
        <f>MIN('02_Данные'!AF271,BQ271)</f>
        <v/>
      </c>
      <c r="BS271" s="10">
        <f>BQ271-BR271</f>
        <v/>
      </c>
      <c r="BT271" s="10">
        <f>MIN('02_Данные'!AE271,BS271)</f>
        <v/>
      </c>
      <c r="BU271" s="10">
        <f>BS271-BT271</f>
        <v/>
      </c>
      <c r="BV271" s="10">
        <f>MIN('02_Данные'!AG271,BU271)</f>
        <v/>
      </c>
      <c r="BW271" s="10">
        <f>BU271-BV271</f>
        <v/>
      </c>
      <c r="BX271" s="10">
        <f>MIN('02_Данные'!AH271,BW271)</f>
        <v/>
      </c>
      <c r="BY271" s="10">
        <f>BW271-BX271</f>
        <v/>
      </c>
      <c r="BZ271" s="10">
        <f>BY271+'02_Данные'!J271</f>
        <v/>
      </c>
      <c r="CA271" s="10">
        <f>MIN('02_Данные'!AJ271,BZ271)</f>
        <v/>
      </c>
      <c r="CB271" s="10">
        <f>BZ271-CA271</f>
        <v/>
      </c>
      <c r="CC271" s="10">
        <f>MIN('02_Данные'!AK271,CB271)</f>
        <v/>
      </c>
      <c r="CD271" s="10">
        <f>CB271-CC271</f>
        <v/>
      </c>
      <c r="CE271" s="10">
        <f>MIN('02_Данные'!AL271,CD271)</f>
        <v/>
      </c>
      <c r="CF271" s="10">
        <f>CD271-CE271</f>
        <v/>
      </c>
      <c r="CG271" s="10">
        <f>MIN('02_Данные'!AQ271,CF271)</f>
        <v/>
      </c>
      <c r="CH271" s="10">
        <f>CF271-CG271</f>
        <v/>
      </c>
      <c r="CI271" s="10">
        <f>MIN('02_Данные'!AN271,CH271)</f>
        <v/>
      </c>
      <c r="CJ271" s="10">
        <f>CH271-CI271</f>
        <v/>
      </c>
      <c r="CK271" s="10">
        <f>MIN('02_Данные'!AM271,CJ271)</f>
        <v/>
      </c>
      <c r="CL271" s="10">
        <f>CJ271-CK271</f>
        <v/>
      </c>
      <c r="CM271" s="10">
        <f>MIN('02_Данные'!AO271,CL271)</f>
        <v/>
      </c>
      <c r="CN271" s="10">
        <f>CL271-CM271</f>
        <v/>
      </c>
      <c r="CO271" s="10">
        <f>MIN('02_Данные'!AP271,CN271)</f>
        <v/>
      </c>
      <c r="CP271" s="10">
        <f>CN271-CO271</f>
        <v/>
      </c>
      <c r="CQ271" s="10">
        <f>CP271+'02_Данные'!K271</f>
        <v/>
      </c>
      <c r="CR271" s="10">
        <f>MIN('02_Данные'!AR271,CQ271)</f>
        <v/>
      </c>
      <c r="CS271" s="10">
        <f>CQ271-CR271</f>
        <v/>
      </c>
      <c r="CT271" s="10">
        <f>MIN('02_Данные'!AS271,CS271)</f>
        <v/>
      </c>
      <c r="CU271" s="10">
        <f>CS271-CT271</f>
        <v/>
      </c>
      <c r="CV271" s="10">
        <f>MIN('02_Данные'!AT271,CU271)</f>
        <v/>
      </c>
      <c r="CW271" s="10">
        <f>CU271-CV271</f>
        <v/>
      </c>
      <c r="CX271" s="10">
        <f>MIN('02_Данные'!AY271,CW271)</f>
        <v/>
      </c>
      <c r="CY271" s="10">
        <f>CW271-CX271</f>
        <v/>
      </c>
      <c r="CZ271" s="10">
        <f>MIN('02_Данные'!AV271,CY271)</f>
        <v/>
      </c>
      <c r="DA271" s="10">
        <f>CY271-CZ271</f>
        <v/>
      </c>
      <c r="DB271" s="10">
        <f>MIN('02_Данные'!AU271,DA271)</f>
        <v/>
      </c>
      <c r="DC271" s="10">
        <f>DA271-DB271</f>
        <v/>
      </c>
      <c r="DD271" s="10">
        <f>MIN('02_Данные'!AW271,DC271)</f>
        <v/>
      </c>
      <c r="DE271" s="10">
        <f>DC271-DD271</f>
        <v/>
      </c>
      <c r="DF271" s="10">
        <f>MIN('02_Данные'!AX271,DE271)</f>
        <v/>
      </c>
      <c r="DG271" s="10">
        <f>DE271-DF271</f>
        <v/>
      </c>
    </row>
    <row r="272">
      <c r="A272" s="9">
        <f>'02_Данные'!B272</f>
        <v/>
      </c>
      <c r="B272" s="9">
        <f>'02_Данные'!E272</f>
        <v/>
      </c>
      <c r="C272" s="10">
        <f>'02_Данные'!F272+'02_Данные'!G272+'02_Данные'!H272+'02_Данные'!I272+'02_Данные'!J272+'02_Данные'!K272</f>
        <v/>
      </c>
      <c r="D272" s="10">
        <f>SUM('02_Данные'!L272:'02_Данные'!AY272)</f>
        <v/>
      </c>
      <c r="E272" s="10">
        <f>MAX(0,D272-C272)</f>
        <v/>
      </c>
      <c r="F272" s="15">
        <f>IF(E272&gt;0.0001,"ДЕФИЦИТ",IF(Y272&gt;0.0001,"ПРОФИЦИТ","БАЛАНС"))</f>
        <v/>
      </c>
      <c r="G272" s="10">
        <f>AB272+AS272+BJ272+CA272+CR272</f>
        <v/>
      </c>
      <c r="H272" s="10">
        <f>AD272+AU272+BL272+CC272+CT272</f>
        <v/>
      </c>
      <c r="I272" s="10">
        <f>AF272+AW272+BN272+CE272+CV272</f>
        <v/>
      </c>
      <c r="J272" s="10">
        <f>AL272+BC272+BT272+CK272+DB272</f>
        <v/>
      </c>
      <c r="K272" s="10">
        <f>AJ272+BA272+BR272+CI272+CZ272</f>
        <v/>
      </c>
      <c r="L272" s="10">
        <f>AN272+BE272+BV272+CM272+DD272</f>
        <v/>
      </c>
      <c r="M272" s="10">
        <f>AP272+BG272+BX272+CO272+DF272</f>
        <v/>
      </c>
      <c r="N272" s="10">
        <f>AH272+AY272+BP272+CG272+CX272</f>
        <v/>
      </c>
      <c r="O272" s="10">
        <f>SUM(G272:N272)</f>
        <v/>
      </c>
      <c r="P272" s="10">
        <f>IFERROR(G272*MIN(1,'01_Нормативы'!$C$4/SUM(G$2:G$429)),0)</f>
        <v/>
      </c>
      <c r="Q272" s="10">
        <f>IFERROR(H272*MIN(1,'01_Нормативы'!$C$5/SUM(H$2:H$429)),0)</f>
        <v/>
      </c>
      <c r="R272" s="10">
        <f>IFERROR(I272*MIN(1,'01_Нормативы'!$C$6/SUM(I$2:I$429)),0)</f>
        <v/>
      </c>
      <c r="S272" s="10">
        <f>IFERROR(J272*MIN(1,'01_Нормативы'!$C$7/SUM(J$2:J$429)),0)</f>
        <v/>
      </c>
      <c r="T272" s="10">
        <f>IFERROR(K272*MIN(1,'01_Нормативы'!$C$8/SUM(K$2:K$429)),0)</f>
        <v/>
      </c>
      <c r="U272" s="10">
        <f>IFERROR(L272*MIN(1,'01_Нормативы'!$C$9/SUM(L$2:L$429)),0)</f>
        <v/>
      </c>
      <c r="V272" s="10">
        <f>IFERROR(M272*MIN(1,'01_Нормативы'!$C$10/SUM(M$2:M$429)),0)</f>
        <v/>
      </c>
      <c r="W272" s="10">
        <f>IFERROR(N272*MIN(1,'01_Нормативы'!$C$11/SUM(N$2:N$429)),0)</f>
        <v/>
      </c>
      <c r="X272" s="10">
        <f>SUM(P272:W272)</f>
        <v/>
      </c>
      <c r="Y272" s="10">
        <f>MAX(0,C272-X272)</f>
        <v/>
      </c>
      <c r="Z272" s="10">
        <f>IF(D272=0,100,X272/D272*100)</f>
        <v/>
      </c>
      <c r="AA272" s="10">
        <f>'02_Данные'!F272+'02_Данные'!G272</f>
        <v/>
      </c>
      <c r="AB272" s="10">
        <f>MIN('02_Данные'!L272,AA272)</f>
        <v/>
      </c>
      <c r="AC272" s="10">
        <f>AA272-AB272</f>
        <v/>
      </c>
      <c r="AD272" s="10">
        <f>MIN('02_Данные'!M272,AC272)</f>
        <v/>
      </c>
      <c r="AE272" s="10">
        <f>AC272-AD272</f>
        <v/>
      </c>
      <c r="AF272" s="10">
        <f>MIN('02_Данные'!N272,AE272)</f>
        <v/>
      </c>
      <c r="AG272" s="10">
        <f>AE272-AF272</f>
        <v/>
      </c>
      <c r="AH272" s="10">
        <f>MIN('02_Данные'!S272,AG272)</f>
        <v/>
      </c>
      <c r="AI272" s="10">
        <f>AG272-AH272</f>
        <v/>
      </c>
      <c r="AJ272" s="10">
        <f>MIN('02_Данные'!P272,AI272)</f>
        <v/>
      </c>
      <c r="AK272" s="10">
        <f>AI272-AJ272</f>
        <v/>
      </c>
      <c r="AL272" s="10">
        <f>MIN('02_Данные'!O272,AK272)</f>
        <v/>
      </c>
      <c r="AM272" s="10">
        <f>AK272-AL272</f>
        <v/>
      </c>
      <c r="AN272" s="10">
        <f>MIN('02_Данные'!Q272,AM272)</f>
        <v/>
      </c>
      <c r="AO272" s="10">
        <f>AM272-AN272</f>
        <v/>
      </c>
      <c r="AP272" s="10">
        <f>MIN('02_Данные'!R272,AO272)</f>
        <v/>
      </c>
      <c r="AQ272" s="10">
        <f>AO272-AP272</f>
        <v/>
      </c>
      <c r="AR272" s="10">
        <f>AQ272+'02_Данные'!H272</f>
        <v/>
      </c>
      <c r="AS272" s="10">
        <f>MIN('02_Данные'!T272,AR272)</f>
        <v/>
      </c>
      <c r="AT272" s="10">
        <f>AR272-AS272</f>
        <v/>
      </c>
      <c r="AU272" s="10">
        <f>MIN('02_Данные'!U272,AT272)</f>
        <v/>
      </c>
      <c r="AV272" s="10">
        <f>AT272-AU272</f>
        <v/>
      </c>
      <c r="AW272" s="10">
        <f>MIN('02_Данные'!V272,AV272)</f>
        <v/>
      </c>
      <c r="AX272" s="10">
        <f>AV272-AW272</f>
        <v/>
      </c>
      <c r="AY272" s="10">
        <f>MIN('02_Данные'!AA272,AX272)</f>
        <v/>
      </c>
      <c r="AZ272" s="10">
        <f>AX272-AY272</f>
        <v/>
      </c>
      <c r="BA272" s="10">
        <f>MIN('02_Данные'!X272,AZ272)</f>
        <v/>
      </c>
      <c r="BB272" s="10">
        <f>AZ272-BA272</f>
        <v/>
      </c>
      <c r="BC272" s="10">
        <f>MIN('02_Данные'!W272,BB272)</f>
        <v/>
      </c>
      <c r="BD272" s="10">
        <f>BB272-BC272</f>
        <v/>
      </c>
      <c r="BE272" s="10">
        <f>MIN('02_Данные'!Y272,BD272)</f>
        <v/>
      </c>
      <c r="BF272" s="10">
        <f>BD272-BE272</f>
        <v/>
      </c>
      <c r="BG272" s="10">
        <f>MIN('02_Данные'!Z272,BF272)</f>
        <v/>
      </c>
      <c r="BH272" s="10">
        <f>BF272-BG272</f>
        <v/>
      </c>
      <c r="BI272" s="10">
        <f>BH272+'02_Данные'!I272</f>
        <v/>
      </c>
      <c r="BJ272" s="10">
        <f>MIN('02_Данные'!AB272,BI272)</f>
        <v/>
      </c>
      <c r="BK272" s="10">
        <f>BI272-BJ272</f>
        <v/>
      </c>
      <c r="BL272" s="10">
        <f>MIN('02_Данные'!AC272,BK272)</f>
        <v/>
      </c>
      <c r="BM272" s="10">
        <f>BK272-BL272</f>
        <v/>
      </c>
      <c r="BN272" s="10">
        <f>MIN('02_Данные'!AD272,BM272)</f>
        <v/>
      </c>
      <c r="BO272" s="10">
        <f>BM272-BN272</f>
        <v/>
      </c>
      <c r="BP272" s="10">
        <f>MIN('02_Данные'!AI272,BO272)</f>
        <v/>
      </c>
      <c r="BQ272" s="10">
        <f>BO272-BP272</f>
        <v/>
      </c>
      <c r="BR272" s="10">
        <f>MIN('02_Данные'!AF272,BQ272)</f>
        <v/>
      </c>
      <c r="BS272" s="10">
        <f>BQ272-BR272</f>
        <v/>
      </c>
      <c r="BT272" s="10">
        <f>MIN('02_Данные'!AE272,BS272)</f>
        <v/>
      </c>
      <c r="BU272" s="10">
        <f>BS272-BT272</f>
        <v/>
      </c>
      <c r="BV272" s="10">
        <f>MIN('02_Данные'!AG272,BU272)</f>
        <v/>
      </c>
      <c r="BW272" s="10">
        <f>BU272-BV272</f>
        <v/>
      </c>
      <c r="BX272" s="10">
        <f>MIN('02_Данные'!AH272,BW272)</f>
        <v/>
      </c>
      <c r="BY272" s="10">
        <f>BW272-BX272</f>
        <v/>
      </c>
      <c r="BZ272" s="10">
        <f>BY272+'02_Данные'!J272</f>
        <v/>
      </c>
      <c r="CA272" s="10">
        <f>MIN('02_Данные'!AJ272,BZ272)</f>
        <v/>
      </c>
      <c r="CB272" s="10">
        <f>BZ272-CA272</f>
        <v/>
      </c>
      <c r="CC272" s="10">
        <f>MIN('02_Данные'!AK272,CB272)</f>
        <v/>
      </c>
      <c r="CD272" s="10">
        <f>CB272-CC272</f>
        <v/>
      </c>
      <c r="CE272" s="10">
        <f>MIN('02_Данные'!AL272,CD272)</f>
        <v/>
      </c>
      <c r="CF272" s="10">
        <f>CD272-CE272</f>
        <v/>
      </c>
      <c r="CG272" s="10">
        <f>MIN('02_Данные'!AQ272,CF272)</f>
        <v/>
      </c>
      <c r="CH272" s="10">
        <f>CF272-CG272</f>
        <v/>
      </c>
      <c r="CI272" s="10">
        <f>MIN('02_Данные'!AN272,CH272)</f>
        <v/>
      </c>
      <c r="CJ272" s="10">
        <f>CH272-CI272</f>
        <v/>
      </c>
      <c r="CK272" s="10">
        <f>MIN('02_Данные'!AM272,CJ272)</f>
        <v/>
      </c>
      <c r="CL272" s="10">
        <f>CJ272-CK272</f>
        <v/>
      </c>
      <c r="CM272" s="10">
        <f>MIN('02_Данные'!AO272,CL272)</f>
        <v/>
      </c>
      <c r="CN272" s="10">
        <f>CL272-CM272</f>
        <v/>
      </c>
      <c r="CO272" s="10">
        <f>MIN('02_Данные'!AP272,CN272)</f>
        <v/>
      </c>
      <c r="CP272" s="10">
        <f>CN272-CO272</f>
        <v/>
      </c>
      <c r="CQ272" s="10">
        <f>CP272+'02_Данные'!K272</f>
        <v/>
      </c>
      <c r="CR272" s="10">
        <f>MIN('02_Данные'!AR272,CQ272)</f>
        <v/>
      </c>
      <c r="CS272" s="10">
        <f>CQ272-CR272</f>
        <v/>
      </c>
      <c r="CT272" s="10">
        <f>MIN('02_Данные'!AS272,CS272)</f>
        <v/>
      </c>
      <c r="CU272" s="10">
        <f>CS272-CT272</f>
        <v/>
      </c>
      <c r="CV272" s="10">
        <f>MIN('02_Данные'!AT272,CU272)</f>
        <v/>
      </c>
      <c r="CW272" s="10">
        <f>CU272-CV272</f>
        <v/>
      </c>
      <c r="CX272" s="10">
        <f>MIN('02_Данные'!AY272,CW272)</f>
        <v/>
      </c>
      <c r="CY272" s="10">
        <f>CW272-CX272</f>
        <v/>
      </c>
      <c r="CZ272" s="10">
        <f>MIN('02_Данные'!AV272,CY272)</f>
        <v/>
      </c>
      <c r="DA272" s="10">
        <f>CY272-CZ272</f>
        <v/>
      </c>
      <c r="DB272" s="10">
        <f>MIN('02_Данные'!AU272,DA272)</f>
        <v/>
      </c>
      <c r="DC272" s="10">
        <f>DA272-DB272</f>
        <v/>
      </c>
      <c r="DD272" s="10">
        <f>MIN('02_Данные'!AW272,DC272)</f>
        <v/>
      </c>
      <c r="DE272" s="10">
        <f>DC272-DD272</f>
        <v/>
      </c>
      <c r="DF272" s="10">
        <f>MIN('02_Данные'!AX272,DE272)</f>
        <v/>
      </c>
      <c r="DG272" s="10">
        <f>DE272-DF272</f>
        <v/>
      </c>
    </row>
    <row r="273">
      <c r="A273" s="9">
        <f>'02_Данные'!B273</f>
        <v/>
      </c>
      <c r="B273" s="9">
        <f>'02_Данные'!E273</f>
        <v/>
      </c>
      <c r="C273" s="10">
        <f>'02_Данные'!F273+'02_Данные'!G273+'02_Данные'!H273+'02_Данные'!I273+'02_Данные'!J273+'02_Данные'!K273</f>
        <v/>
      </c>
      <c r="D273" s="10">
        <f>SUM('02_Данные'!L273:'02_Данные'!AY273)</f>
        <v/>
      </c>
      <c r="E273" s="10">
        <f>MAX(0,D273-C273)</f>
        <v/>
      </c>
      <c r="F273" s="15">
        <f>IF(E273&gt;0.0001,"ДЕФИЦИТ",IF(Y273&gt;0.0001,"ПРОФИЦИТ","БАЛАНС"))</f>
        <v/>
      </c>
      <c r="G273" s="10">
        <f>AB273+AS273+BJ273+CA273+CR273</f>
        <v/>
      </c>
      <c r="H273" s="10">
        <f>AD273+AU273+BL273+CC273+CT273</f>
        <v/>
      </c>
      <c r="I273" s="10">
        <f>AF273+AW273+BN273+CE273+CV273</f>
        <v/>
      </c>
      <c r="J273" s="10">
        <f>AL273+BC273+BT273+CK273+DB273</f>
        <v/>
      </c>
      <c r="K273" s="10">
        <f>AJ273+BA273+BR273+CI273+CZ273</f>
        <v/>
      </c>
      <c r="L273" s="10">
        <f>AN273+BE273+BV273+CM273+DD273</f>
        <v/>
      </c>
      <c r="M273" s="10">
        <f>AP273+BG273+BX273+CO273+DF273</f>
        <v/>
      </c>
      <c r="N273" s="10">
        <f>AH273+AY273+BP273+CG273+CX273</f>
        <v/>
      </c>
      <c r="O273" s="10">
        <f>SUM(G273:N273)</f>
        <v/>
      </c>
      <c r="P273" s="10">
        <f>IFERROR(G273*MIN(1,'01_Нормативы'!$C$4/SUM(G$2:G$429)),0)</f>
        <v/>
      </c>
      <c r="Q273" s="10">
        <f>IFERROR(H273*MIN(1,'01_Нормативы'!$C$5/SUM(H$2:H$429)),0)</f>
        <v/>
      </c>
      <c r="R273" s="10">
        <f>IFERROR(I273*MIN(1,'01_Нормативы'!$C$6/SUM(I$2:I$429)),0)</f>
        <v/>
      </c>
      <c r="S273" s="10">
        <f>IFERROR(J273*MIN(1,'01_Нормативы'!$C$7/SUM(J$2:J$429)),0)</f>
        <v/>
      </c>
      <c r="T273" s="10">
        <f>IFERROR(K273*MIN(1,'01_Нормативы'!$C$8/SUM(K$2:K$429)),0)</f>
        <v/>
      </c>
      <c r="U273" s="10">
        <f>IFERROR(L273*MIN(1,'01_Нормативы'!$C$9/SUM(L$2:L$429)),0)</f>
        <v/>
      </c>
      <c r="V273" s="10">
        <f>IFERROR(M273*MIN(1,'01_Нормативы'!$C$10/SUM(M$2:M$429)),0)</f>
        <v/>
      </c>
      <c r="W273" s="10">
        <f>IFERROR(N273*MIN(1,'01_Нормативы'!$C$11/SUM(N$2:N$429)),0)</f>
        <v/>
      </c>
      <c r="X273" s="10">
        <f>SUM(P273:W273)</f>
        <v/>
      </c>
      <c r="Y273" s="10">
        <f>MAX(0,C273-X273)</f>
        <v/>
      </c>
      <c r="Z273" s="10">
        <f>IF(D273=0,100,X273/D273*100)</f>
        <v/>
      </c>
      <c r="AA273" s="10">
        <f>'02_Данные'!F273+'02_Данные'!G273</f>
        <v/>
      </c>
      <c r="AB273" s="10">
        <f>MIN('02_Данные'!L273,AA273)</f>
        <v/>
      </c>
      <c r="AC273" s="10">
        <f>AA273-AB273</f>
        <v/>
      </c>
      <c r="AD273" s="10">
        <f>MIN('02_Данные'!M273,AC273)</f>
        <v/>
      </c>
      <c r="AE273" s="10">
        <f>AC273-AD273</f>
        <v/>
      </c>
      <c r="AF273" s="10">
        <f>MIN('02_Данные'!N273,AE273)</f>
        <v/>
      </c>
      <c r="AG273" s="10">
        <f>AE273-AF273</f>
        <v/>
      </c>
      <c r="AH273" s="10">
        <f>MIN('02_Данные'!S273,AG273)</f>
        <v/>
      </c>
      <c r="AI273" s="10">
        <f>AG273-AH273</f>
        <v/>
      </c>
      <c r="AJ273" s="10">
        <f>MIN('02_Данные'!P273,AI273)</f>
        <v/>
      </c>
      <c r="AK273" s="10">
        <f>AI273-AJ273</f>
        <v/>
      </c>
      <c r="AL273" s="10">
        <f>MIN('02_Данные'!O273,AK273)</f>
        <v/>
      </c>
      <c r="AM273" s="10">
        <f>AK273-AL273</f>
        <v/>
      </c>
      <c r="AN273" s="10">
        <f>MIN('02_Данные'!Q273,AM273)</f>
        <v/>
      </c>
      <c r="AO273" s="10">
        <f>AM273-AN273</f>
        <v/>
      </c>
      <c r="AP273" s="10">
        <f>MIN('02_Данные'!R273,AO273)</f>
        <v/>
      </c>
      <c r="AQ273" s="10">
        <f>AO273-AP273</f>
        <v/>
      </c>
      <c r="AR273" s="10">
        <f>AQ273+'02_Данные'!H273</f>
        <v/>
      </c>
      <c r="AS273" s="10">
        <f>MIN('02_Данные'!T273,AR273)</f>
        <v/>
      </c>
      <c r="AT273" s="10">
        <f>AR273-AS273</f>
        <v/>
      </c>
      <c r="AU273" s="10">
        <f>MIN('02_Данные'!U273,AT273)</f>
        <v/>
      </c>
      <c r="AV273" s="10">
        <f>AT273-AU273</f>
        <v/>
      </c>
      <c r="AW273" s="10">
        <f>MIN('02_Данные'!V273,AV273)</f>
        <v/>
      </c>
      <c r="AX273" s="10">
        <f>AV273-AW273</f>
        <v/>
      </c>
      <c r="AY273" s="10">
        <f>MIN('02_Данные'!AA273,AX273)</f>
        <v/>
      </c>
      <c r="AZ273" s="10">
        <f>AX273-AY273</f>
        <v/>
      </c>
      <c r="BA273" s="10">
        <f>MIN('02_Данные'!X273,AZ273)</f>
        <v/>
      </c>
      <c r="BB273" s="10">
        <f>AZ273-BA273</f>
        <v/>
      </c>
      <c r="BC273" s="10">
        <f>MIN('02_Данные'!W273,BB273)</f>
        <v/>
      </c>
      <c r="BD273" s="10">
        <f>BB273-BC273</f>
        <v/>
      </c>
      <c r="BE273" s="10">
        <f>MIN('02_Данные'!Y273,BD273)</f>
        <v/>
      </c>
      <c r="BF273" s="10">
        <f>BD273-BE273</f>
        <v/>
      </c>
      <c r="BG273" s="10">
        <f>MIN('02_Данные'!Z273,BF273)</f>
        <v/>
      </c>
      <c r="BH273" s="10">
        <f>BF273-BG273</f>
        <v/>
      </c>
      <c r="BI273" s="10">
        <f>BH273+'02_Данные'!I273</f>
        <v/>
      </c>
      <c r="BJ273" s="10">
        <f>MIN('02_Данные'!AB273,BI273)</f>
        <v/>
      </c>
      <c r="BK273" s="10">
        <f>BI273-BJ273</f>
        <v/>
      </c>
      <c r="BL273" s="10">
        <f>MIN('02_Данные'!AC273,BK273)</f>
        <v/>
      </c>
      <c r="BM273" s="10">
        <f>BK273-BL273</f>
        <v/>
      </c>
      <c r="BN273" s="10">
        <f>MIN('02_Данные'!AD273,BM273)</f>
        <v/>
      </c>
      <c r="BO273" s="10">
        <f>BM273-BN273</f>
        <v/>
      </c>
      <c r="BP273" s="10">
        <f>MIN('02_Данные'!AI273,BO273)</f>
        <v/>
      </c>
      <c r="BQ273" s="10">
        <f>BO273-BP273</f>
        <v/>
      </c>
      <c r="BR273" s="10">
        <f>MIN('02_Данные'!AF273,BQ273)</f>
        <v/>
      </c>
      <c r="BS273" s="10">
        <f>BQ273-BR273</f>
        <v/>
      </c>
      <c r="BT273" s="10">
        <f>MIN('02_Данные'!AE273,BS273)</f>
        <v/>
      </c>
      <c r="BU273" s="10">
        <f>BS273-BT273</f>
        <v/>
      </c>
      <c r="BV273" s="10">
        <f>MIN('02_Данные'!AG273,BU273)</f>
        <v/>
      </c>
      <c r="BW273" s="10">
        <f>BU273-BV273</f>
        <v/>
      </c>
      <c r="BX273" s="10">
        <f>MIN('02_Данные'!AH273,BW273)</f>
        <v/>
      </c>
      <c r="BY273" s="10">
        <f>BW273-BX273</f>
        <v/>
      </c>
      <c r="BZ273" s="10">
        <f>BY273+'02_Данные'!J273</f>
        <v/>
      </c>
      <c r="CA273" s="10">
        <f>MIN('02_Данные'!AJ273,BZ273)</f>
        <v/>
      </c>
      <c r="CB273" s="10">
        <f>BZ273-CA273</f>
        <v/>
      </c>
      <c r="CC273" s="10">
        <f>MIN('02_Данные'!AK273,CB273)</f>
        <v/>
      </c>
      <c r="CD273" s="10">
        <f>CB273-CC273</f>
        <v/>
      </c>
      <c r="CE273" s="10">
        <f>MIN('02_Данные'!AL273,CD273)</f>
        <v/>
      </c>
      <c r="CF273" s="10">
        <f>CD273-CE273</f>
        <v/>
      </c>
      <c r="CG273" s="10">
        <f>MIN('02_Данные'!AQ273,CF273)</f>
        <v/>
      </c>
      <c r="CH273" s="10">
        <f>CF273-CG273</f>
        <v/>
      </c>
      <c r="CI273" s="10">
        <f>MIN('02_Данные'!AN273,CH273)</f>
        <v/>
      </c>
      <c r="CJ273" s="10">
        <f>CH273-CI273</f>
        <v/>
      </c>
      <c r="CK273" s="10">
        <f>MIN('02_Данные'!AM273,CJ273)</f>
        <v/>
      </c>
      <c r="CL273" s="10">
        <f>CJ273-CK273</f>
        <v/>
      </c>
      <c r="CM273" s="10">
        <f>MIN('02_Данные'!AO273,CL273)</f>
        <v/>
      </c>
      <c r="CN273" s="10">
        <f>CL273-CM273</f>
        <v/>
      </c>
      <c r="CO273" s="10">
        <f>MIN('02_Данные'!AP273,CN273)</f>
        <v/>
      </c>
      <c r="CP273" s="10">
        <f>CN273-CO273</f>
        <v/>
      </c>
      <c r="CQ273" s="10">
        <f>CP273+'02_Данные'!K273</f>
        <v/>
      </c>
      <c r="CR273" s="10">
        <f>MIN('02_Данные'!AR273,CQ273)</f>
        <v/>
      </c>
      <c r="CS273" s="10">
        <f>CQ273-CR273</f>
        <v/>
      </c>
      <c r="CT273" s="10">
        <f>MIN('02_Данные'!AS273,CS273)</f>
        <v/>
      </c>
      <c r="CU273" s="10">
        <f>CS273-CT273</f>
        <v/>
      </c>
      <c r="CV273" s="10">
        <f>MIN('02_Данные'!AT273,CU273)</f>
        <v/>
      </c>
      <c r="CW273" s="10">
        <f>CU273-CV273</f>
        <v/>
      </c>
      <c r="CX273" s="10">
        <f>MIN('02_Данные'!AY273,CW273)</f>
        <v/>
      </c>
      <c r="CY273" s="10">
        <f>CW273-CX273</f>
        <v/>
      </c>
      <c r="CZ273" s="10">
        <f>MIN('02_Данные'!AV273,CY273)</f>
        <v/>
      </c>
      <c r="DA273" s="10">
        <f>CY273-CZ273</f>
        <v/>
      </c>
      <c r="DB273" s="10">
        <f>MIN('02_Данные'!AU273,DA273)</f>
        <v/>
      </c>
      <c r="DC273" s="10">
        <f>DA273-DB273</f>
        <v/>
      </c>
      <c r="DD273" s="10">
        <f>MIN('02_Данные'!AW273,DC273)</f>
        <v/>
      </c>
      <c r="DE273" s="10">
        <f>DC273-DD273</f>
        <v/>
      </c>
      <c r="DF273" s="10">
        <f>MIN('02_Данные'!AX273,DE273)</f>
        <v/>
      </c>
      <c r="DG273" s="10">
        <f>DE273-DF273</f>
        <v/>
      </c>
    </row>
    <row r="274">
      <c r="A274" s="9">
        <f>'02_Данные'!B274</f>
        <v/>
      </c>
      <c r="B274" s="9">
        <f>'02_Данные'!E274</f>
        <v/>
      </c>
      <c r="C274" s="10">
        <f>'02_Данные'!F274+'02_Данные'!G274+'02_Данные'!H274+'02_Данные'!I274+'02_Данные'!J274+'02_Данные'!K274</f>
        <v/>
      </c>
      <c r="D274" s="10">
        <f>SUM('02_Данные'!L274:'02_Данные'!AY274)</f>
        <v/>
      </c>
      <c r="E274" s="10">
        <f>MAX(0,D274-C274)</f>
        <v/>
      </c>
      <c r="F274" s="15">
        <f>IF(E274&gt;0.0001,"ДЕФИЦИТ",IF(Y274&gt;0.0001,"ПРОФИЦИТ","БАЛАНС"))</f>
        <v/>
      </c>
      <c r="G274" s="10">
        <f>AB274+AS274+BJ274+CA274+CR274</f>
        <v/>
      </c>
      <c r="H274" s="10">
        <f>AD274+AU274+BL274+CC274+CT274</f>
        <v/>
      </c>
      <c r="I274" s="10">
        <f>AF274+AW274+BN274+CE274+CV274</f>
        <v/>
      </c>
      <c r="J274" s="10">
        <f>AL274+BC274+BT274+CK274+DB274</f>
        <v/>
      </c>
      <c r="K274" s="10">
        <f>AJ274+BA274+BR274+CI274+CZ274</f>
        <v/>
      </c>
      <c r="L274" s="10">
        <f>AN274+BE274+BV274+CM274+DD274</f>
        <v/>
      </c>
      <c r="M274" s="10">
        <f>AP274+BG274+BX274+CO274+DF274</f>
        <v/>
      </c>
      <c r="N274" s="10">
        <f>AH274+AY274+BP274+CG274+CX274</f>
        <v/>
      </c>
      <c r="O274" s="10">
        <f>SUM(G274:N274)</f>
        <v/>
      </c>
      <c r="P274" s="10">
        <f>IFERROR(G274*MIN(1,'01_Нормативы'!$C$4/SUM(G$2:G$429)),0)</f>
        <v/>
      </c>
      <c r="Q274" s="10">
        <f>IFERROR(H274*MIN(1,'01_Нормативы'!$C$5/SUM(H$2:H$429)),0)</f>
        <v/>
      </c>
      <c r="R274" s="10">
        <f>IFERROR(I274*MIN(1,'01_Нормативы'!$C$6/SUM(I$2:I$429)),0)</f>
        <v/>
      </c>
      <c r="S274" s="10">
        <f>IFERROR(J274*MIN(1,'01_Нормативы'!$C$7/SUM(J$2:J$429)),0)</f>
        <v/>
      </c>
      <c r="T274" s="10">
        <f>IFERROR(K274*MIN(1,'01_Нормативы'!$C$8/SUM(K$2:K$429)),0)</f>
        <v/>
      </c>
      <c r="U274" s="10">
        <f>IFERROR(L274*MIN(1,'01_Нормативы'!$C$9/SUM(L$2:L$429)),0)</f>
        <v/>
      </c>
      <c r="V274" s="10">
        <f>IFERROR(M274*MIN(1,'01_Нормативы'!$C$10/SUM(M$2:M$429)),0)</f>
        <v/>
      </c>
      <c r="W274" s="10">
        <f>IFERROR(N274*MIN(1,'01_Нормативы'!$C$11/SUM(N$2:N$429)),0)</f>
        <v/>
      </c>
      <c r="X274" s="10">
        <f>SUM(P274:W274)</f>
        <v/>
      </c>
      <c r="Y274" s="10">
        <f>MAX(0,C274-X274)</f>
        <v/>
      </c>
      <c r="Z274" s="10">
        <f>IF(D274=0,100,X274/D274*100)</f>
        <v/>
      </c>
      <c r="AA274" s="10">
        <f>'02_Данные'!F274+'02_Данные'!G274</f>
        <v/>
      </c>
      <c r="AB274" s="10">
        <f>MIN('02_Данные'!L274,AA274)</f>
        <v/>
      </c>
      <c r="AC274" s="10">
        <f>AA274-AB274</f>
        <v/>
      </c>
      <c r="AD274" s="10">
        <f>MIN('02_Данные'!M274,AC274)</f>
        <v/>
      </c>
      <c r="AE274" s="10">
        <f>AC274-AD274</f>
        <v/>
      </c>
      <c r="AF274" s="10">
        <f>MIN('02_Данные'!N274,AE274)</f>
        <v/>
      </c>
      <c r="AG274" s="10">
        <f>AE274-AF274</f>
        <v/>
      </c>
      <c r="AH274" s="10">
        <f>MIN('02_Данные'!S274,AG274)</f>
        <v/>
      </c>
      <c r="AI274" s="10">
        <f>AG274-AH274</f>
        <v/>
      </c>
      <c r="AJ274" s="10">
        <f>MIN('02_Данные'!P274,AI274)</f>
        <v/>
      </c>
      <c r="AK274" s="10">
        <f>AI274-AJ274</f>
        <v/>
      </c>
      <c r="AL274" s="10">
        <f>MIN('02_Данные'!O274,AK274)</f>
        <v/>
      </c>
      <c r="AM274" s="10">
        <f>AK274-AL274</f>
        <v/>
      </c>
      <c r="AN274" s="10">
        <f>MIN('02_Данные'!Q274,AM274)</f>
        <v/>
      </c>
      <c r="AO274" s="10">
        <f>AM274-AN274</f>
        <v/>
      </c>
      <c r="AP274" s="10">
        <f>MIN('02_Данные'!R274,AO274)</f>
        <v/>
      </c>
      <c r="AQ274" s="10">
        <f>AO274-AP274</f>
        <v/>
      </c>
      <c r="AR274" s="10">
        <f>AQ274+'02_Данные'!H274</f>
        <v/>
      </c>
      <c r="AS274" s="10">
        <f>MIN('02_Данные'!T274,AR274)</f>
        <v/>
      </c>
      <c r="AT274" s="10">
        <f>AR274-AS274</f>
        <v/>
      </c>
      <c r="AU274" s="10">
        <f>MIN('02_Данные'!U274,AT274)</f>
        <v/>
      </c>
      <c r="AV274" s="10">
        <f>AT274-AU274</f>
        <v/>
      </c>
      <c r="AW274" s="10">
        <f>MIN('02_Данные'!V274,AV274)</f>
        <v/>
      </c>
      <c r="AX274" s="10">
        <f>AV274-AW274</f>
        <v/>
      </c>
      <c r="AY274" s="10">
        <f>MIN('02_Данные'!AA274,AX274)</f>
        <v/>
      </c>
      <c r="AZ274" s="10">
        <f>AX274-AY274</f>
        <v/>
      </c>
      <c r="BA274" s="10">
        <f>MIN('02_Данные'!X274,AZ274)</f>
        <v/>
      </c>
      <c r="BB274" s="10">
        <f>AZ274-BA274</f>
        <v/>
      </c>
      <c r="BC274" s="10">
        <f>MIN('02_Данные'!W274,BB274)</f>
        <v/>
      </c>
      <c r="BD274" s="10">
        <f>BB274-BC274</f>
        <v/>
      </c>
      <c r="BE274" s="10">
        <f>MIN('02_Данные'!Y274,BD274)</f>
        <v/>
      </c>
      <c r="BF274" s="10">
        <f>BD274-BE274</f>
        <v/>
      </c>
      <c r="BG274" s="10">
        <f>MIN('02_Данные'!Z274,BF274)</f>
        <v/>
      </c>
      <c r="BH274" s="10">
        <f>BF274-BG274</f>
        <v/>
      </c>
      <c r="BI274" s="10">
        <f>BH274+'02_Данные'!I274</f>
        <v/>
      </c>
      <c r="BJ274" s="10">
        <f>MIN('02_Данные'!AB274,BI274)</f>
        <v/>
      </c>
      <c r="BK274" s="10">
        <f>BI274-BJ274</f>
        <v/>
      </c>
      <c r="BL274" s="10">
        <f>MIN('02_Данные'!AC274,BK274)</f>
        <v/>
      </c>
      <c r="BM274" s="10">
        <f>BK274-BL274</f>
        <v/>
      </c>
      <c r="BN274" s="10">
        <f>MIN('02_Данные'!AD274,BM274)</f>
        <v/>
      </c>
      <c r="BO274" s="10">
        <f>BM274-BN274</f>
        <v/>
      </c>
      <c r="BP274" s="10">
        <f>MIN('02_Данные'!AI274,BO274)</f>
        <v/>
      </c>
      <c r="BQ274" s="10">
        <f>BO274-BP274</f>
        <v/>
      </c>
      <c r="BR274" s="10">
        <f>MIN('02_Данные'!AF274,BQ274)</f>
        <v/>
      </c>
      <c r="BS274" s="10">
        <f>BQ274-BR274</f>
        <v/>
      </c>
      <c r="BT274" s="10">
        <f>MIN('02_Данные'!AE274,BS274)</f>
        <v/>
      </c>
      <c r="BU274" s="10">
        <f>BS274-BT274</f>
        <v/>
      </c>
      <c r="BV274" s="10">
        <f>MIN('02_Данные'!AG274,BU274)</f>
        <v/>
      </c>
      <c r="BW274" s="10">
        <f>BU274-BV274</f>
        <v/>
      </c>
      <c r="BX274" s="10">
        <f>MIN('02_Данные'!AH274,BW274)</f>
        <v/>
      </c>
      <c r="BY274" s="10">
        <f>BW274-BX274</f>
        <v/>
      </c>
      <c r="BZ274" s="10">
        <f>BY274+'02_Данные'!J274</f>
        <v/>
      </c>
      <c r="CA274" s="10">
        <f>MIN('02_Данные'!AJ274,BZ274)</f>
        <v/>
      </c>
      <c r="CB274" s="10">
        <f>BZ274-CA274</f>
        <v/>
      </c>
      <c r="CC274" s="10">
        <f>MIN('02_Данные'!AK274,CB274)</f>
        <v/>
      </c>
      <c r="CD274" s="10">
        <f>CB274-CC274</f>
        <v/>
      </c>
      <c r="CE274" s="10">
        <f>MIN('02_Данные'!AL274,CD274)</f>
        <v/>
      </c>
      <c r="CF274" s="10">
        <f>CD274-CE274</f>
        <v/>
      </c>
      <c r="CG274" s="10">
        <f>MIN('02_Данные'!AQ274,CF274)</f>
        <v/>
      </c>
      <c r="CH274" s="10">
        <f>CF274-CG274</f>
        <v/>
      </c>
      <c r="CI274" s="10">
        <f>MIN('02_Данные'!AN274,CH274)</f>
        <v/>
      </c>
      <c r="CJ274" s="10">
        <f>CH274-CI274</f>
        <v/>
      </c>
      <c r="CK274" s="10">
        <f>MIN('02_Данные'!AM274,CJ274)</f>
        <v/>
      </c>
      <c r="CL274" s="10">
        <f>CJ274-CK274</f>
        <v/>
      </c>
      <c r="CM274" s="10">
        <f>MIN('02_Данные'!AO274,CL274)</f>
        <v/>
      </c>
      <c r="CN274" s="10">
        <f>CL274-CM274</f>
        <v/>
      </c>
      <c r="CO274" s="10">
        <f>MIN('02_Данные'!AP274,CN274)</f>
        <v/>
      </c>
      <c r="CP274" s="10">
        <f>CN274-CO274</f>
        <v/>
      </c>
      <c r="CQ274" s="10">
        <f>CP274+'02_Данные'!K274</f>
        <v/>
      </c>
      <c r="CR274" s="10">
        <f>MIN('02_Данные'!AR274,CQ274)</f>
        <v/>
      </c>
      <c r="CS274" s="10">
        <f>CQ274-CR274</f>
        <v/>
      </c>
      <c r="CT274" s="10">
        <f>MIN('02_Данные'!AS274,CS274)</f>
        <v/>
      </c>
      <c r="CU274" s="10">
        <f>CS274-CT274</f>
        <v/>
      </c>
      <c r="CV274" s="10">
        <f>MIN('02_Данные'!AT274,CU274)</f>
        <v/>
      </c>
      <c r="CW274" s="10">
        <f>CU274-CV274</f>
        <v/>
      </c>
      <c r="CX274" s="10">
        <f>MIN('02_Данные'!AY274,CW274)</f>
        <v/>
      </c>
      <c r="CY274" s="10">
        <f>CW274-CX274</f>
        <v/>
      </c>
      <c r="CZ274" s="10">
        <f>MIN('02_Данные'!AV274,CY274)</f>
        <v/>
      </c>
      <c r="DA274" s="10">
        <f>CY274-CZ274</f>
        <v/>
      </c>
      <c r="DB274" s="10">
        <f>MIN('02_Данные'!AU274,DA274)</f>
        <v/>
      </c>
      <c r="DC274" s="10">
        <f>DA274-DB274</f>
        <v/>
      </c>
      <c r="DD274" s="10">
        <f>MIN('02_Данные'!AW274,DC274)</f>
        <v/>
      </c>
      <c r="DE274" s="10">
        <f>DC274-DD274</f>
        <v/>
      </c>
      <c r="DF274" s="10">
        <f>MIN('02_Данные'!AX274,DE274)</f>
        <v/>
      </c>
      <c r="DG274" s="10">
        <f>DE274-DF274</f>
        <v/>
      </c>
    </row>
    <row r="275">
      <c r="A275" s="9">
        <f>'02_Данные'!B275</f>
        <v/>
      </c>
      <c r="B275" s="9">
        <f>'02_Данные'!E275</f>
        <v/>
      </c>
      <c r="C275" s="10">
        <f>'02_Данные'!F275+'02_Данные'!G275+'02_Данные'!H275+'02_Данные'!I275+'02_Данные'!J275+'02_Данные'!K275</f>
        <v/>
      </c>
      <c r="D275" s="10">
        <f>SUM('02_Данные'!L275:'02_Данные'!AY275)</f>
        <v/>
      </c>
      <c r="E275" s="10">
        <f>MAX(0,D275-C275)</f>
        <v/>
      </c>
      <c r="F275" s="15">
        <f>IF(E275&gt;0.0001,"ДЕФИЦИТ",IF(Y275&gt;0.0001,"ПРОФИЦИТ","БАЛАНС"))</f>
        <v/>
      </c>
      <c r="G275" s="10">
        <f>AB275+AS275+BJ275+CA275+CR275</f>
        <v/>
      </c>
      <c r="H275" s="10">
        <f>AD275+AU275+BL275+CC275+CT275</f>
        <v/>
      </c>
      <c r="I275" s="10">
        <f>AF275+AW275+BN275+CE275+CV275</f>
        <v/>
      </c>
      <c r="J275" s="10">
        <f>AL275+BC275+BT275+CK275+DB275</f>
        <v/>
      </c>
      <c r="K275" s="10">
        <f>AJ275+BA275+BR275+CI275+CZ275</f>
        <v/>
      </c>
      <c r="L275" s="10">
        <f>AN275+BE275+BV275+CM275+DD275</f>
        <v/>
      </c>
      <c r="M275" s="10">
        <f>AP275+BG275+BX275+CO275+DF275</f>
        <v/>
      </c>
      <c r="N275" s="10">
        <f>AH275+AY275+BP275+CG275+CX275</f>
        <v/>
      </c>
      <c r="O275" s="10">
        <f>SUM(G275:N275)</f>
        <v/>
      </c>
      <c r="P275" s="10">
        <f>IFERROR(G275*MIN(1,'01_Нормативы'!$C$4/SUM(G$2:G$429)),0)</f>
        <v/>
      </c>
      <c r="Q275" s="10">
        <f>IFERROR(H275*MIN(1,'01_Нормативы'!$C$5/SUM(H$2:H$429)),0)</f>
        <v/>
      </c>
      <c r="R275" s="10">
        <f>IFERROR(I275*MIN(1,'01_Нормативы'!$C$6/SUM(I$2:I$429)),0)</f>
        <v/>
      </c>
      <c r="S275" s="10">
        <f>IFERROR(J275*MIN(1,'01_Нормативы'!$C$7/SUM(J$2:J$429)),0)</f>
        <v/>
      </c>
      <c r="T275" s="10">
        <f>IFERROR(K275*MIN(1,'01_Нормативы'!$C$8/SUM(K$2:K$429)),0)</f>
        <v/>
      </c>
      <c r="U275" s="10">
        <f>IFERROR(L275*MIN(1,'01_Нормативы'!$C$9/SUM(L$2:L$429)),0)</f>
        <v/>
      </c>
      <c r="V275" s="10">
        <f>IFERROR(M275*MIN(1,'01_Нормативы'!$C$10/SUM(M$2:M$429)),0)</f>
        <v/>
      </c>
      <c r="W275" s="10">
        <f>IFERROR(N275*MIN(1,'01_Нормативы'!$C$11/SUM(N$2:N$429)),0)</f>
        <v/>
      </c>
      <c r="X275" s="10">
        <f>SUM(P275:W275)</f>
        <v/>
      </c>
      <c r="Y275" s="10">
        <f>MAX(0,C275-X275)</f>
        <v/>
      </c>
      <c r="Z275" s="10">
        <f>IF(D275=0,100,X275/D275*100)</f>
        <v/>
      </c>
      <c r="AA275" s="10">
        <f>'02_Данные'!F275+'02_Данные'!G275</f>
        <v/>
      </c>
      <c r="AB275" s="10">
        <f>MIN('02_Данные'!L275,AA275)</f>
        <v/>
      </c>
      <c r="AC275" s="10">
        <f>AA275-AB275</f>
        <v/>
      </c>
      <c r="AD275" s="10">
        <f>MIN('02_Данные'!M275,AC275)</f>
        <v/>
      </c>
      <c r="AE275" s="10">
        <f>AC275-AD275</f>
        <v/>
      </c>
      <c r="AF275" s="10">
        <f>MIN('02_Данные'!N275,AE275)</f>
        <v/>
      </c>
      <c r="AG275" s="10">
        <f>AE275-AF275</f>
        <v/>
      </c>
      <c r="AH275" s="10">
        <f>MIN('02_Данные'!S275,AG275)</f>
        <v/>
      </c>
      <c r="AI275" s="10">
        <f>AG275-AH275</f>
        <v/>
      </c>
      <c r="AJ275" s="10">
        <f>MIN('02_Данные'!P275,AI275)</f>
        <v/>
      </c>
      <c r="AK275" s="10">
        <f>AI275-AJ275</f>
        <v/>
      </c>
      <c r="AL275" s="10">
        <f>MIN('02_Данные'!O275,AK275)</f>
        <v/>
      </c>
      <c r="AM275" s="10">
        <f>AK275-AL275</f>
        <v/>
      </c>
      <c r="AN275" s="10">
        <f>MIN('02_Данные'!Q275,AM275)</f>
        <v/>
      </c>
      <c r="AO275" s="10">
        <f>AM275-AN275</f>
        <v/>
      </c>
      <c r="AP275" s="10">
        <f>MIN('02_Данные'!R275,AO275)</f>
        <v/>
      </c>
      <c r="AQ275" s="10">
        <f>AO275-AP275</f>
        <v/>
      </c>
      <c r="AR275" s="10">
        <f>AQ275+'02_Данные'!H275</f>
        <v/>
      </c>
      <c r="AS275" s="10">
        <f>MIN('02_Данные'!T275,AR275)</f>
        <v/>
      </c>
      <c r="AT275" s="10">
        <f>AR275-AS275</f>
        <v/>
      </c>
      <c r="AU275" s="10">
        <f>MIN('02_Данные'!U275,AT275)</f>
        <v/>
      </c>
      <c r="AV275" s="10">
        <f>AT275-AU275</f>
        <v/>
      </c>
      <c r="AW275" s="10">
        <f>MIN('02_Данные'!V275,AV275)</f>
        <v/>
      </c>
      <c r="AX275" s="10">
        <f>AV275-AW275</f>
        <v/>
      </c>
      <c r="AY275" s="10">
        <f>MIN('02_Данные'!AA275,AX275)</f>
        <v/>
      </c>
      <c r="AZ275" s="10">
        <f>AX275-AY275</f>
        <v/>
      </c>
      <c r="BA275" s="10">
        <f>MIN('02_Данные'!X275,AZ275)</f>
        <v/>
      </c>
      <c r="BB275" s="10">
        <f>AZ275-BA275</f>
        <v/>
      </c>
      <c r="BC275" s="10">
        <f>MIN('02_Данные'!W275,BB275)</f>
        <v/>
      </c>
      <c r="BD275" s="10">
        <f>BB275-BC275</f>
        <v/>
      </c>
      <c r="BE275" s="10">
        <f>MIN('02_Данные'!Y275,BD275)</f>
        <v/>
      </c>
      <c r="BF275" s="10">
        <f>BD275-BE275</f>
        <v/>
      </c>
      <c r="BG275" s="10">
        <f>MIN('02_Данные'!Z275,BF275)</f>
        <v/>
      </c>
      <c r="BH275" s="10">
        <f>BF275-BG275</f>
        <v/>
      </c>
      <c r="BI275" s="10">
        <f>BH275+'02_Данные'!I275</f>
        <v/>
      </c>
      <c r="BJ275" s="10">
        <f>MIN('02_Данные'!AB275,BI275)</f>
        <v/>
      </c>
      <c r="BK275" s="10">
        <f>BI275-BJ275</f>
        <v/>
      </c>
      <c r="BL275" s="10">
        <f>MIN('02_Данные'!AC275,BK275)</f>
        <v/>
      </c>
      <c r="BM275" s="10">
        <f>BK275-BL275</f>
        <v/>
      </c>
      <c r="BN275" s="10">
        <f>MIN('02_Данные'!AD275,BM275)</f>
        <v/>
      </c>
      <c r="BO275" s="10">
        <f>BM275-BN275</f>
        <v/>
      </c>
      <c r="BP275" s="10">
        <f>MIN('02_Данные'!AI275,BO275)</f>
        <v/>
      </c>
      <c r="BQ275" s="10">
        <f>BO275-BP275</f>
        <v/>
      </c>
      <c r="BR275" s="10">
        <f>MIN('02_Данные'!AF275,BQ275)</f>
        <v/>
      </c>
      <c r="BS275" s="10">
        <f>BQ275-BR275</f>
        <v/>
      </c>
      <c r="BT275" s="10">
        <f>MIN('02_Данные'!AE275,BS275)</f>
        <v/>
      </c>
      <c r="BU275" s="10">
        <f>BS275-BT275</f>
        <v/>
      </c>
      <c r="BV275" s="10">
        <f>MIN('02_Данные'!AG275,BU275)</f>
        <v/>
      </c>
      <c r="BW275" s="10">
        <f>BU275-BV275</f>
        <v/>
      </c>
      <c r="BX275" s="10">
        <f>MIN('02_Данные'!AH275,BW275)</f>
        <v/>
      </c>
      <c r="BY275" s="10">
        <f>BW275-BX275</f>
        <v/>
      </c>
      <c r="BZ275" s="10">
        <f>BY275+'02_Данные'!J275</f>
        <v/>
      </c>
      <c r="CA275" s="10">
        <f>MIN('02_Данные'!AJ275,BZ275)</f>
        <v/>
      </c>
      <c r="CB275" s="10">
        <f>BZ275-CA275</f>
        <v/>
      </c>
      <c r="CC275" s="10">
        <f>MIN('02_Данные'!AK275,CB275)</f>
        <v/>
      </c>
      <c r="CD275" s="10">
        <f>CB275-CC275</f>
        <v/>
      </c>
      <c r="CE275" s="10">
        <f>MIN('02_Данные'!AL275,CD275)</f>
        <v/>
      </c>
      <c r="CF275" s="10">
        <f>CD275-CE275</f>
        <v/>
      </c>
      <c r="CG275" s="10">
        <f>MIN('02_Данные'!AQ275,CF275)</f>
        <v/>
      </c>
      <c r="CH275" s="10">
        <f>CF275-CG275</f>
        <v/>
      </c>
      <c r="CI275" s="10">
        <f>MIN('02_Данные'!AN275,CH275)</f>
        <v/>
      </c>
      <c r="CJ275" s="10">
        <f>CH275-CI275</f>
        <v/>
      </c>
      <c r="CK275" s="10">
        <f>MIN('02_Данные'!AM275,CJ275)</f>
        <v/>
      </c>
      <c r="CL275" s="10">
        <f>CJ275-CK275</f>
        <v/>
      </c>
      <c r="CM275" s="10">
        <f>MIN('02_Данные'!AO275,CL275)</f>
        <v/>
      </c>
      <c r="CN275" s="10">
        <f>CL275-CM275</f>
        <v/>
      </c>
      <c r="CO275" s="10">
        <f>MIN('02_Данные'!AP275,CN275)</f>
        <v/>
      </c>
      <c r="CP275" s="10">
        <f>CN275-CO275</f>
        <v/>
      </c>
      <c r="CQ275" s="10">
        <f>CP275+'02_Данные'!K275</f>
        <v/>
      </c>
      <c r="CR275" s="10">
        <f>MIN('02_Данные'!AR275,CQ275)</f>
        <v/>
      </c>
      <c r="CS275" s="10">
        <f>CQ275-CR275</f>
        <v/>
      </c>
      <c r="CT275" s="10">
        <f>MIN('02_Данные'!AS275,CS275)</f>
        <v/>
      </c>
      <c r="CU275" s="10">
        <f>CS275-CT275</f>
        <v/>
      </c>
      <c r="CV275" s="10">
        <f>MIN('02_Данные'!AT275,CU275)</f>
        <v/>
      </c>
      <c r="CW275" s="10">
        <f>CU275-CV275</f>
        <v/>
      </c>
      <c r="CX275" s="10">
        <f>MIN('02_Данные'!AY275,CW275)</f>
        <v/>
      </c>
      <c r="CY275" s="10">
        <f>CW275-CX275</f>
        <v/>
      </c>
      <c r="CZ275" s="10">
        <f>MIN('02_Данные'!AV275,CY275)</f>
        <v/>
      </c>
      <c r="DA275" s="10">
        <f>CY275-CZ275</f>
        <v/>
      </c>
      <c r="DB275" s="10">
        <f>MIN('02_Данные'!AU275,DA275)</f>
        <v/>
      </c>
      <c r="DC275" s="10">
        <f>DA275-DB275</f>
        <v/>
      </c>
      <c r="DD275" s="10">
        <f>MIN('02_Данные'!AW275,DC275)</f>
        <v/>
      </c>
      <c r="DE275" s="10">
        <f>DC275-DD275</f>
        <v/>
      </c>
      <c r="DF275" s="10">
        <f>MIN('02_Данные'!AX275,DE275)</f>
        <v/>
      </c>
      <c r="DG275" s="10">
        <f>DE275-DF275</f>
        <v/>
      </c>
    </row>
    <row r="276">
      <c r="A276" s="9">
        <f>'02_Данные'!B276</f>
        <v/>
      </c>
      <c r="B276" s="9">
        <f>'02_Данные'!E276</f>
        <v/>
      </c>
      <c r="C276" s="10">
        <f>'02_Данные'!F276+'02_Данные'!G276+'02_Данные'!H276+'02_Данные'!I276+'02_Данные'!J276+'02_Данные'!K276</f>
        <v/>
      </c>
      <c r="D276" s="10">
        <f>SUM('02_Данные'!L276:'02_Данные'!AY276)</f>
        <v/>
      </c>
      <c r="E276" s="10">
        <f>MAX(0,D276-C276)</f>
        <v/>
      </c>
      <c r="F276" s="15">
        <f>IF(E276&gt;0.0001,"ДЕФИЦИТ",IF(Y276&gt;0.0001,"ПРОФИЦИТ","БАЛАНС"))</f>
        <v/>
      </c>
      <c r="G276" s="10">
        <f>AB276+AS276+BJ276+CA276+CR276</f>
        <v/>
      </c>
      <c r="H276" s="10">
        <f>AD276+AU276+BL276+CC276+CT276</f>
        <v/>
      </c>
      <c r="I276" s="10">
        <f>AF276+AW276+BN276+CE276+CV276</f>
        <v/>
      </c>
      <c r="J276" s="10">
        <f>AL276+BC276+BT276+CK276+DB276</f>
        <v/>
      </c>
      <c r="K276" s="10">
        <f>AJ276+BA276+BR276+CI276+CZ276</f>
        <v/>
      </c>
      <c r="L276" s="10">
        <f>AN276+BE276+BV276+CM276+DD276</f>
        <v/>
      </c>
      <c r="M276" s="10">
        <f>AP276+BG276+BX276+CO276+DF276</f>
        <v/>
      </c>
      <c r="N276" s="10">
        <f>AH276+AY276+BP276+CG276+CX276</f>
        <v/>
      </c>
      <c r="O276" s="10">
        <f>SUM(G276:N276)</f>
        <v/>
      </c>
      <c r="P276" s="10">
        <f>IFERROR(G276*MIN(1,'01_Нормативы'!$C$4/SUM(G$2:G$429)),0)</f>
        <v/>
      </c>
      <c r="Q276" s="10">
        <f>IFERROR(H276*MIN(1,'01_Нормативы'!$C$5/SUM(H$2:H$429)),0)</f>
        <v/>
      </c>
      <c r="R276" s="10">
        <f>IFERROR(I276*MIN(1,'01_Нормативы'!$C$6/SUM(I$2:I$429)),0)</f>
        <v/>
      </c>
      <c r="S276" s="10">
        <f>IFERROR(J276*MIN(1,'01_Нормативы'!$C$7/SUM(J$2:J$429)),0)</f>
        <v/>
      </c>
      <c r="T276" s="10">
        <f>IFERROR(K276*MIN(1,'01_Нормативы'!$C$8/SUM(K$2:K$429)),0)</f>
        <v/>
      </c>
      <c r="U276" s="10">
        <f>IFERROR(L276*MIN(1,'01_Нормативы'!$C$9/SUM(L$2:L$429)),0)</f>
        <v/>
      </c>
      <c r="V276" s="10">
        <f>IFERROR(M276*MIN(1,'01_Нормативы'!$C$10/SUM(M$2:M$429)),0)</f>
        <v/>
      </c>
      <c r="W276" s="10">
        <f>IFERROR(N276*MIN(1,'01_Нормативы'!$C$11/SUM(N$2:N$429)),0)</f>
        <v/>
      </c>
      <c r="X276" s="10">
        <f>SUM(P276:W276)</f>
        <v/>
      </c>
      <c r="Y276" s="10">
        <f>MAX(0,C276-X276)</f>
        <v/>
      </c>
      <c r="Z276" s="10">
        <f>IF(D276=0,100,X276/D276*100)</f>
        <v/>
      </c>
      <c r="AA276" s="10">
        <f>'02_Данные'!F276+'02_Данные'!G276</f>
        <v/>
      </c>
      <c r="AB276" s="10">
        <f>MIN('02_Данные'!L276,AA276)</f>
        <v/>
      </c>
      <c r="AC276" s="10">
        <f>AA276-AB276</f>
        <v/>
      </c>
      <c r="AD276" s="10">
        <f>MIN('02_Данные'!M276,AC276)</f>
        <v/>
      </c>
      <c r="AE276" s="10">
        <f>AC276-AD276</f>
        <v/>
      </c>
      <c r="AF276" s="10">
        <f>MIN('02_Данные'!N276,AE276)</f>
        <v/>
      </c>
      <c r="AG276" s="10">
        <f>AE276-AF276</f>
        <v/>
      </c>
      <c r="AH276" s="10">
        <f>MIN('02_Данные'!S276,AG276)</f>
        <v/>
      </c>
      <c r="AI276" s="10">
        <f>AG276-AH276</f>
        <v/>
      </c>
      <c r="AJ276" s="10">
        <f>MIN('02_Данные'!P276,AI276)</f>
        <v/>
      </c>
      <c r="AK276" s="10">
        <f>AI276-AJ276</f>
        <v/>
      </c>
      <c r="AL276" s="10">
        <f>MIN('02_Данные'!O276,AK276)</f>
        <v/>
      </c>
      <c r="AM276" s="10">
        <f>AK276-AL276</f>
        <v/>
      </c>
      <c r="AN276" s="10">
        <f>MIN('02_Данные'!Q276,AM276)</f>
        <v/>
      </c>
      <c r="AO276" s="10">
        <f>AM276-AN276</f>
        <v/>
      </c>
      <c r="AP276" s="10">
        <f>MIN('02_Данные'!R276,AO276)</f>
        <v/>
      </c>
      <c r="AQ276" s="10">
        <f>AO276-AP276</f>
        <v/>
      </c>
      <c r="AR276" s="10">
        <f>AQ276+'02_Данные'!H276</f>
        <v/>
      </c>
      <c r="AS276" s="10">
        <f>MIN('02_Данные'!T276,AR276)</f>
        <v/>
      </c>
      <c r="AT276" s="10">
        <f>AR276-AS276</f>
        <v/>
      </c>
      <c r="AU276" s="10">
        <f>MIN('02_Данные'!U276,AT276)</f>
        <v/>
      </c>
      <c r="AV276" s="10">
        <f>AT276-AU276</f>
        <v/>
      </c>
      <c r="AW276" s="10">
        <f>MIN('02_Данные'!V276,AV276)</f>
        <v/>
      </c>
      <c r="AX276" s="10">
        <f>AV276-AW276</f>
        <v/>
      </c>
      <c r="AY276" s="10">
        <f>MIN('02_Данные'!AA276,AX276)</f>
        <v/>
      </c>
      <c r="AZ276" s="10">
        <f>AX276-AY276</f>
        <v/>
      </c>
      <c r="BA276" s="10">
        <f>MIN('02_Данные'!X276,AZ276)</f>
        <v/>
      </c>
      <c r="BB276" s="10">
        <f>AZ276-BA276</f>
        <v/>
      </c>
      <c r="BC276" s="10">
        <f>MIN('02_Данные'!W276,BB276)</f>
        <v/>
      </c>
      <c r="BD276" s="10">
        <f>BB276-BC276</f>
        <v/>
      </c>
      <c r="BE276" s="10">
        <f>MIN('02_Данные'!Y276,BD276)</f>
        <v/>
      </c>
      <c r="BF276" s="10">
        <f>BD276-BE276</f>
        <v/>
      </c>
      <c r="BG276" s="10">
        <f>MIN('02_Данные'!Z276,BF276)</f>
        <v/>
      </c>
      <c r="BH276" s="10">
        <f>BF276-BG276</f>
        <v/>
      </c>
      <c r="BI276" s="10">
        <f>BH276+'02_Данные'!I276</f>
        <v/>
      </c>
      <c r="BJ276" s="10">
        <f>MIN('02_Данные'!AB276,BI276)</f>
        <v/>
      </c>
      <c r="BK276" s="10">
        <f>BI276-BJ276</f>
        <v/>
      </c>
      <c r="BL276" s="10">
        <f>MIN('02_Данные'!AC276,BK276)</f>
        <v/>
      </c>
      <c r="BM276" s="10">
        <f>BK276-BL276</f>
        <v/>
      </c>
      <c r="BN276" s="10">
        <f>MIN('02_Данные'!AD276,BM276)</f>
        <v/>
      </c>
      <c r="BO276" s="10">
        <f>BM276-BN276</f>
        <v/>
      </c>
      <c r="BP276" s="10">
        <f>MIN('02_Данные'!AI276,BO276)</f>
        <v/>
      </c>
      <c r="BQ276" s="10">
        <f>BO276-BP276</f>
        <v/>
      </c>
      <c r="BR276" s="10">
        <f>MIN('02_Данные'!AF276,BQ276)</f>
        <v/>
      </c>
      <c r="BS276" s="10">
        <f>BQ276-BR276</f>
        <v/>
      </c>
      <c r="BT276" s="10">
        <f>MIN('02_Данные'!AE276,BS276)</f>
        <v/>
      </c>
      <c r="BU276" s="10">
        <f>BS276-BT276</f>
        <v/>
      </c>
      <c r="BV276" s="10">
        <f>MIN('02_Данные'!AG276,BU276)</f>
        <v/>
      </c>
      <c r="BW276" s="10">
        <f>BU276-BV276</f>
        <v/>
      </c>
      <c r="BX276" s="10">
        <f>MIN('02_Данные'!AH276,BW276)</f>
        <v/>
      </c>
      <c r="BY276" s="10">
        <f>BW276-BX276</f>
        <v/>
      </c>
      <c r="BZ276" s="10">
        <f>BY276+'02_Данные'!J276</f>
        <v/>
      </c>
      <c r="CA276" s="10">
        <f>MIN('02_Данные'!AJ276,BZ276)</f>
        <v/>
      </c>
      <c r="CB276" s="10">
        <f>BZ276-CA276</f>
        <v/>
      </c>
      <c r="CC276" s="10">
        <f>MIN('02_Данные'!AK276,CB276)</f>
        <v/>
      </c>
      <c r="CD276" s="10">
        <f>CB276-CC276</f>
        <v/>
      </c>
      <c r="CE276" s="10">
        <f>MIN('02_Данные'!AL276,CD276)</f>
        <v/>
      </c>
      <c r="CF276" s="10">
        <f>CD276-CE276</f>
        <v/>
      </c>
      <c r="CG276" s="10">
        <f>MIN('02_Данные'!AQ276,CF276)</f>
        <v/>
      </c>
      <c r="CH276" s="10">
        <f>CF276-CG276</f>
        <v/>
      </c>
      <c r="CI276" s="10">
        <f>MIN('02_Данные'!AN276,CH276)</f>
        <v/>
      </c>
      <c r="CJ276" s="10">
        <f>CH276-CI276</f>
        <v/>
      </c>
      <c r="CK276" s="10">
        <f>MIN('02_Данные'!AM276,CJ276)</f>
        <v/>
      </c>
      <c r="CL276" s="10">
        <f>CJ276-CK276</f>
        <v/>
      </c>
      <c r="CM276" s="10">
        <f>MIN('02_Данные'!AO276,CL276)</f>
        <v/>
      </c>
      <c r="CN276" s="10">
        <f>CL276-CM276</f>
        <v/>
      </c>
      <c r="CO276" s="10">
        <f>MIN('02_Данные'!AP276,CN276)</f>
        <v/>
      </c>
      <c r="CP276" s="10">
        <f>CN276-CO276</f>
        <v/>
      </c>
      <c r="CQ276" s="10">
        <f>CP276+'02_Данные'!K276</f>
        <v/>
      </c>
      <c r="CR276" s="10">
        <f>MIN('02_Данные'!AR276,CQ276)</f>
        <v/>
      </c>
      <c r="CS276" s="10">
        <f>CQ276-CR276</f>
        <v/>
      </c>
      <c r="CT276" s="10">
        <f>MIN('02_Данные'!AS276,CS276)</f>
        <v/>
      </c>
      <c r="CU276" s="10">
        <f>CS276-CT276</f>
        <v/>
      </c>
      <c r="CV276" s="10">
        <f>MIN('02_Данные'!AT276,CU276)</f>
        <v/>
      </c>
      <c r="CW276" s="10">
        <f>CU276-CV276</f>
        <v/>
      </c>
      <c r="CX276" s="10">
        <f>MIN('02_Данные'!AY276,CW276)</f>
        <v/>
      </c>
      <c r="CY276" s="10">
        <f>CW276-CX276</f>
        <v/>
      </c>
      <c r="CZ276" s="10">
        <f>MIN('02_Данные'!AV276,CY276)</f>
        <v/>
      </c>
      <c r="DA276" s="10">
        <f>CY276-CZ276</f>
        <v/>
      </c>
      <c r="DB276" s="10">
        <f>MIN('02_Данные'!AU276,DA276)</f>
        <v/>
      </c>
      <c r="DC276" s="10">
        <f>DA276-DB276</f>
        <v/>
      </c>
      <c r="DD276" s="10">
        <f>MIN('02_Данные'!AW276,DC276)</f>
        <v/>
      </c>
      <c r="DE276" s="10">
        <f>DC276-DD276</f>
        <v/>
      </c>
      <c r="DF276" s="10">
        <f>MIN('02_Данные'!AX276,DE276)</f>
        <v/>
      </c>
      <c r="DG276" s="10">
        <f>DE276-DF276</f>
        <v/>
      </c>
    </row>
    <row r="277">
      <c r="A277" s="9">
        <f>'02_Данные'!B277</f>
        <v/>
      </c>
      <c r="B277" s="9">
        <f>'02_Данные'!E277</f>
        <v/>
      </c>
      <c r="C277" s="10">
        <f>'02_Данные'!F277+'02_Данные'!G277+'02_Данные'!H277+'02_Данные'!I277+'02_Данные'!J277+'02_Данные'!K277</f>
        <v/>
      </c>
      <c r="D277" s="10">
        <f>SUM('02_Данные'!L277:'02_Данные'!AY277)</f>
        <v/>
      </c>
      <c r="E277" s="10">
        <f>MAX(0,D277-C277)</f>
        <v/>
      </c>
      <c r="F277" s="15">
        <f>IF(E277&gt;0.0001,"ДЕФИЦИТ",IF(Y277&gt;0.0001,"ПРОФИЦИТ","БАЛАНС"))</f>
        <v/>
      </c>
      <c r="G277" s="10">
        <f>AB277+AS277+BJ277+CA277+CR277</f>
        <v/>
      </c>
      <c r="H277" s="10">
        <f>AD277+AU277+BL277+CC277+CT277</f>
        <v/>
      </c>
      <c r="I277" s="10">
        <f>AF277+AW277+BN277+CE277+CV277</f>
        <v/>
      </c>
      <c r="J277" s="10">
        <f>AL277+BC277+BT277+CK277+DB277</f>
        <v/>
      </c>
      <c r="K277" s="10">
        <f>AJ277+BA277+BR277+CI277+CZ277</f>
        <v/>
      </c>
      <c r="L277" s="10">
        <f>AN277+BE277+BV277+CM277+DD277</f>
        <v/>
      </c>
      <c r="M277" s="10">
        <f>AP277+BG277+BX277+CO277+DF277</f>
        <v/>
      </c>
      <c r="N277" s="10">
        <f>AH277+AY277+BP277+CG277+CX277</f>
        <v/>
      </c>
      <c r="O277" s="10">
        <f>SUM(G277:N277)</f>
        <v/>
      </c>
      <c r="P277" s="10">
        <f>IFERROR(G277*MIN(1,'01_Нормативы'!$C$4/SUM(G$2:G$429)),0)</f>
        <v/>
      </c>
      <c r="Q277" s="10">
        <f>IFERROR(H277*MIN(1,'01_Нормативы'!$C$5/SUM(H$2:H$429)),0)</f>
        <v/>
      </c>
      <c r="R277" s="10">
        <f>IFERROR(I277*MIN(1,'01_Нормативы'!$C$6/SUM(I$2:I$429)),0)</f>
        <v/>
      </c>
      <c r="S277" s="10">
        <f>IFERROR(J277*MIN(1,'01_Нормативы'!$C$7/SUM(J$2:J$429)),0)</f>
        <v/>
      </c>
      <c r="T277" s="10">
        <f>IFERROR(K277*MIN(1,'01_Нормативы'!$C$8/SUM(K$2:K$429)),0)</f>
        <v/>
      </c>
      <c r="U277" s="10">
        <f>IFERROR(L277*MIN(1,'01_Нормативы'!$C$9/SUM(L$2:L$429)),0)</f>
        <v/>
      </c>
      <c r="V277" s="10">
        <f>IFERROR(M277*MIN(1,'01_Нормативы'!$C$10/SUM(M$2:M$429)),0)</f>
        <v/>
      </c>
      <c r="W277" s="10">
        <f>IFERROR(N277*MIN(1,'01_Нормативы'!$C$11/SUM(N$2:N$429)),0)</f>
        <v/>
      </c>
      <c r="X277" s="10">
        <f>SUM(P277:W277)</f>
        <v/>
      </c>
      <c r="Y277" s="10">
        <f>MAX(0,C277-X277)</f>
        <v/>
      </c>
      <c r="Z277" s="10">
        <f>IF(D277=0,100,X277/D277*100)</f>
        <v/>
      </c>
      <c r="AA277" s="10">
        <f>'02_Данные'!F277+'02_Данные'!G277</f>
        <v/>
      </c>
      <c r="AB277" s="10">
        <f>MIN('02_Данные'!L277,AA277)</f>
        <v/>
      </c>
      <c r="AC277" s="10">
        <f>AA277-AB277</f>
        <v/>
      </c>
      <c r="AD277" s="10">
        <f>MIN('02_Данные'!M277,AC277)</f>
        <v/>
      </c>
      <c r="AE277" s="10">
        <f>AC277-AD277</f>
        <v/>
      </c>
      <c r="AF277" s="10">
        <f>MIN('02_Данные'!N277,AE277)</f>
        <v/>
      </c>
      <c r="AG277" s="10">
        <f>AE277-AF277</f>
        <v/>
      </c>
      <c r="AH277" s="10">
        <f>MIN('02_Данные'!S277,AG277)</f>
        <v/>
      </c>
      <c r="AI277" s="10">
        <f>AG277-AH277</f>
        <v/>
      </c>
      <c r="AJ277" s="10">
        <f>MIN('02_Данные'!P277,AI277)</f>
        <v/>
      </c>
      <c r="AK277" s="10">
        <f>AI277-AJ277</f>
        <v/>
      </c>
      <c r="AL277" s="10">
        <f>MIN('02_Данные'!O277,AK277)</f>
        <v/>
      </c>
      <c r="AM277" s="10">
        <f>AK277-AL277</f>
        <v/>
      </c>
      <c r="AN277" s="10">
        <f>MIN('02_Данные'!Q277,AM277)</f>
        <v/>
      </c>
      <c r="AO277" s="10">
        <f>AM277-AN277</f>
        <v/>
      </c>
      <c r="AP277" s="10">
        <f>MIN('02_Данные'!R277,AO277)</f>
        <v/>
      </c>
      <c r="AQ277" s="10">
        <f>AO277-AP277</f>
        <v/>
      </c>
      <c r="AR277" s="10">
        <f>AQ277+'02_Данные'!H277</f>
        <v/>
      </c>
      <c r="AS277" s="10">
        <f>MIN('02_Данные'!T277,AR277)</f>
        <v/>
      </c>
      <c r="AT277" s="10">
        <f>AR277-AS277</f>
        <v/>
      </c>
      <c r="AU277" s="10">
        <f>MIN('02_Данные'!U277,AT277)</f>
        <v/>
      </c>
      <c r="AV277" s="10">
        <f>AT277-AU277</f>
        <v/>
      </c>
      <c r="AW277" s="10">
        <f>MIN('02_Данные'!V277,AV277)</f>
        <v/>
      </c>
      <c r="AX277" s="10">
        <f>AV277-AW277</f>
        <v/>
      </c>
      <c r="AY277" s="10">
        <f>MIN('02_Данные'!AA277,AX277)</f>
        <v/>
      </c>
      <c r="AZ277" s="10">
        <f>AX277-AY277</f>
        <v/>
      </c>
      <c r="BA277" s="10">
        <f>MIN('02_Данные'!X277,AZ277)</f>
        <v/>
      </c>
      <c r="BB277" s="10">
        <f>AZ277-BA277</f>
        <v/>
      </c>
      <c r="BC277" s="10">
        <f>MIN('02_Данные'!W277,BB277)</f>
        <v/>
      </c>
      <c r="BD277" s="10">
        <f>BB277-BC277</f>
        <v/>
      </c>
      <c r="BE277" s="10">
        <f>MIN('02_Данные'!Y277,BD277)</f>
        <v/>
      </c>
      <c r="BF277" s="10">
        <f>BD277-BE277</f>
        <v/>
      </c>
      <c r="BG277" s="10">
        <f>MIN('02_Данные'!Z277,BF277)</f>
        <v/>
      </c>
      <c r="BH277" s="10">
        <f>BF277-BG277</f>
        <v/>
      </c>
      <c r="BI277" s="10">
        <f>BH277+'02_Данные'!I277</f>
        <v/>
      </c>
      <c r="BJ277" s="10">
        <f>MIN('02_Данные'!AB277,BI277)</f>
        <v/>
      </c>
      <c r="BK277" s="10">
        <f>BI277-BJ277</f>
        <v/>
      </c>
      <c r="BL277" s="10">
        <f>MIN('02_Данные'!AC277,BK277)</f>
        <v/>
      </c>
      <c r="BM277" s="10">
        <f>BK277-BL277</f>
        <v/>
      </c>
      <c r="BN277" s="10">
        <f>MIN('02_Данные'!AD277,BM277)</f>
        <v/>
      </c>
      <c r="BO277" s="10">
        <f>BM277-BN277</f>
        <v/>
      </c>
      <c r="BP277" s="10">
        <f>MIN('02_Данные'!AI277,BO277)</f>
        <v/>
      </c>
      <c r="BQ277" s="10">
        <f>BO277-BP277</f>
        <v/>
      </c>
      <c r="BR277" s="10">
        <f>MIN('02_Данные'!AF277,BQ277)</f>
        <v/>
      </c>
      <c r="BS277" s="10">
        <f>BQ277-BR277</f>
        <v/>
      </c>
      <c r="BT277" s="10">
        <f>MIN('02_Данные'!AE277,BS277)</f>
        <v/>
      </c>
      <c r="BU277" s="10">
        <f>BS277-BT277</f>
        <v/>
      </c>
      <c r="BV277" s="10">
        <f>MIN('02_Данные'!AG277,BU277)</f>
        <v/>
      </c>
      <c r="BW277" s="10">
        <f>BU277-BV277</f>
        <v/>
      </c>
      <c r="BX277" s="10">
        <f>MIN('02_Данные'!AH277,BW277)</f>
        <v/>
      </c>
      <c r="BY277" s="10">
        <f>BW277-BX277</f>
        <v/>
      </c>
      <c r="BZ277" s="10">
        <f>BY277+'02_Данные'!J277</f>
        <v/>
      </c>
      <c r="CA277" s="10">
        <f>MIN('02_Данные'!AJ277,BZ277)</f>
        <v/>
      </c>
      <c r="CB277" s="10">
        <f>BZ277-CA277</f>
        <v/>
      </c>
      <c r="CC277" s="10">
        <f>MIN('02_Данные'!AK277,CB277)</f>
        <v/>
      </c>
      <c r="CD277" s="10">
        <f>CB277-CC277</f>
        <v/>
      </c>
      <c r="CE277" s="10">
        <f>MIN('02_Данные'!AL277,CD277)</f>
        <v/>
      </c>
      <c r="CF277" s="10">
        <f>CD277-CE277</f>
        <v/>
      </c>
      <c r="CG277" s="10">
        <f>MIN('02_Данные'!AQ277,CF277)</f>
        <v/>
      </c>
      <c r="CH277" s="10">
        <f>CF277-CG277</f>
        <v/>
      </c>
      <c r="CI277" s="10">
        <f>MIN('02_Данные'!AN277,CH277)</f>
        <v/>
      </c>
      <c r="CJ277" s="10">
        <f>CH277-CI277</f>
        <v/>
      </c>
      <c r="CK277" s="10">
        <f>MIN('02_Данные'!AM277,CJ277)</f>
        <v/>
      </c>
      <c r="CL277" s="10">
        <f>CJ277-CK277</f>
        <v/>
      </c>
      <c r="CM277" s="10">
        <f>MIN('02_Данные'!AO277,CL277)</f>
        <v/>
      </c>
      <c r="CN277" s="10">
        <f>CL277-CM277</f>
        <v/>
      </c>
      <c r="CO277" s="10">
        <f>MIN('02_Данные'!AP277,CN277)</f>
        <v/>
      </c>
      <c r="CP277" s="10">
        <f>CN277-CO277</f>
        <v/>
      </c>
      <c r="CQ277" s="10">
        <f>CP277+'02_Данные'!K277</f>
        <v/>
      </c>
      <c r="CR277" s="10">
        <f>MIN('02_Данные'!AR277,CQ277)</f>
        <v/>
      </c>
      <c r="CS277" s="10">
        <f>CQ277-CR277</f>
        <v/>
      </c>
      <c r="CT277" s="10">
        <f>MIN('02_Данные'!AS277,CS277)</f>
        <v/>
      </c>
      <c r="CU277" s="10">
        <f>CS277-CT277</f>
        <v/>
      </c>
      <c r="CV277" s="10">
        <f>MIN('02_Данные'!AT277,CU277)</f>
        <v/>
      </c>
      <c r="CW277" s="10">
        <f>CU277-CV277</f>
        <v/>
      </c>
      <c r="CX277" s="10">
        <f>MIN('02_Данные'!AY277,CW277)</f>
        <v/>
      </c>
      <c r="CY277" s="10">
        <f>CW277-CX277</f>
        <v/>
      </c>
      <c r="CZ277" s="10">
        <f>MIN('02_Данные'!AV277,CY277)</f>
        <v/>
      </c>
      <c r="DA277" s="10">
        <f>CY277-CZ277</f>
        <v/>
      </c>
      <c r="DB277" s="10">
        <f>MIN('02_Данные'!AU277,DA277)</f>
        <v/>
      </c>
      <c r="DC277" s="10">
        <f>DA277-DB277</f>
        <v/>
      </c>
      <c r="DD277" s="10">
        <f>MIN('02_Данные'!AW277,DC277)</f>
        <v/>
      </c>
      <c r="DE277" s="10">
        <f>DC277-DD277</f>
        <v/>
      </c>
      <c r="DF277" s="10">
        <f>MIN('02_Данные'!AX277,DE277)</f>
        <v/>
      </c>
      <c r="DG277" s="10">
        <f>DE277-DF277</f>
        <v/>
      </c>
    </row>
    <row r="278">
      <c r="A278" s="9">
        <f>'02_Данные'!B278</f>
        <v/>
      </c>
      <c r="B278" s="9">
        <f>'02_Данные'!E278</f>
        <v/>
      </c>
      <c r="C278" s="10">
        <f>'02_Данные'!F278+'02_Данные'!G278+'02_Данные'!H278+'02_Данные'!I278+'02_Данные'!J278+'02_Данные'!K278</f>
        <v/>
      </c>
      <c r="D278" s="10">
        <f>SUM('02_Данные'!L278:'02_Данные'!AY278)</f>
        <v/>
      </c>
      <c r="E278" s="10">
        <f>MAX(0,D278-C278)</f>
        <v/>
      </c>
      <c r="F278" s="15">
        <f>IF(E278&gt;0.0001,"ДЕФИЦИТ",IF(Y278&gt;0.0001,"ПРОФИЦИТ","БАЛАНС"))</f>
        <v/>
      </c>
      <c r="G278" s="10">
        <f>AB278+AS278+BJ278+CA278+CR278</f>
        <v/>
      </c>
      <c r="H278" s="10">
        <f>AD278+AU278+BL278+CC278+CT278</f>
        <v/>
      </c>
      <c r="I278" s="10">
        <f>AF278+AW278+BN278+CE278+CV278</f>
        <v/>
      </c>
      <c r="J278" s="10">
        <f>AL278+BC278+BT278+CK278+DB278</f>
        <v/>
      </c>
      <c r="K278" s="10">
        <f>AJ278+BA278+BR278+CI278+CZ278</f>
        <v/>
      </c>
      <c r="L278" s="10">
        <f>AN278+BE278+BV278+CM278+DD278</f>
        <v/>
      </c>
      <c r="M278" s="10">
        <f>AP278+BG278+BX278+CO278+DF278</f>
        <v/>
      </c>
      <c r="N278" s="10">
        <f>AH278+AY278+BP278+CG278+CX278</f>
        <v/>
      </c>
      <c r="O278" s="10">
        <f>SUM(G278:N278)</f>
        <v/>
      </c>
      <c r="P278" s="10">
        <f>IFERROR(G278*MIN(1,'01_Нормативы'!$C$4/SUM(G$2:G$429)),0)</f>
        <v/>
      </c>
      <c r="Q278" s="10">
        <f>IFERROR(H278*MIN(1,'01_Нормативы'!$C$5/SUM(H$2:H$429)),0)</f>
        <v/>
      </c>
      <c r="R278" s="10">
        <f>IFERROR(I278*MIN(1,'01_Нормативы'!$C$6/SUM(I$2:I$429)),0)</f>
        <v/>
      </c>
      <c r="S278" s="10">
        <f>IFERROR(J278*MIN(1,'01_Нормативы'!$C$7/SUM(J$2:J$429)),0)</f>
        <v/>
      </c>
      <c r="T278" s="10">
        <f>IFERROR(K278*MIN(1,'01_Нормативы'!$C$8/SUM(K$2:K$429)),0)</f>
        <v/>
      </c>
      <c r="U278" s="10">
        <f>IFERROR(L278*MIN(1,'01_Нормативы'!$C$9/SUM(L$2:L$429)),0)</f>
        <v/>
      </c>
      <c r="V278" s="10">
        <f>IFERROR(M278*MIN(1,'01_Нормативы'!$C$10/SUM(M$2:M$429)),0)</f>
        <v/>
      </c>
      <c r="W278" s="10">
        <f>IFERROR(N278*MIN(1,'01_Нормативы'!$C$11/SUM(N$2:N$429)),0)</f>
        <v/>
      </c>
      <c r="X278" s="10">
        <f>SUM(P278:W278)</f>
        <v/>
      </c>
      <c r="Y278" s="10">
        <f>MAX(0,C278-X278)</f>
        <v/>
      </c>
      <c r="Z278" s="10">
        <f>IF(D278=0,100,X278/D278*100)</f>
        <v/>
      </c>
      <c r="AA278" s="10">
        <f>'02_Данные'!F278+'02_Данные'!G278</f>
        <v/>
      </c>
      <c r="AB278" s="10">
        <f>MIN('02_Данные'!L278,AA278)</f>
        <v/>
      </c>
      <c r="AC278" s="10">
        <f>AA278-AB278</f>
        <v/>
      </c>
      <c r="AD278" s="10">
        <f>MIN('02_Данные'!M278,AC278)</f>
        <v/>
      </c>
      <c r="AE278" s="10">
        <f>AC278-AD278</f>
        <v/>
      </c>
      <c r="AF278" s="10">
        <f>MIN('02_Данные'!N278,AE278)</f>
        <v/>
      </c>
      <c r="AG278" s="10">
        <f>AE278-AF278</f>
        <v/>
      </c>
      <c r="AH278" s="10">
        <f>MIN('02_Данные'!S278,AG278)</f>
        <v/>
      </c>
      <c r="AI278" s="10">
        <f>AG278-AH278</f>
        <v/>
      </c>
      <c r="AJ278" s="10">
        <f>MIN('02_Данные'!P278,AI278)</f>
        <v/>
      </c>
      <c r="AK278" s="10">
        <f>AI278-AJ278</f>
        <v/>
      </c>
      <c r="AL278" s="10">
        <f>MIN('02_Данные'!O278,AK278)</f>
        <v/>
      </c>
      <c r="AM278" s="10">
        <f>AK278-AL278</f>
        <v/>
      </c>
      <c r="AN278" s="10">
        <f>MIN('02_Данные'!Q278,AM278)</f>
        <v/>
      </c>
      <c r="AO278" s="10">
        <f>AM278-AN278</f>
        <v/>
      </c>
      <c r="AP278" s="10">
        <f>MIN('02_Данные'!R278,AO278)</f>
        <v/>
      </c>
      <c r="AQ278" s="10">
        <f>AO278-AP278</f>
        <v/>
      </c>
      <c r="AR278" s="10">
        <f>AQ278+'02_Данные'!H278</f>
        <v/>
      </c>
      <c r="AS278" s="10">
        <f>MIN('02_Данные'!T278,AR278)</f>
        <v/>
      </c>
      <c r="AT278" s="10">
        <f>AR278-AS278</f>
        <v/>
      </c>
      <c r="AU278" s="10">
        <f>MIN('02_Данные'!U278,AT278)</f>
        <v/>
      </c>
      <c r="AV278" s="10">
        <f>AT278-AU278</f>
        <v/>
      </c>
      <c r="AW278" s="10">
        <f>MIN('02_Данные'!V278,AV278)</f>
        <v/>
      </c>
      <c r="AX278" s="10">
        <f>AV278-AW278</f>
        <v/>
      </c>
      <c r="AY278" s="10">
        <f>MIN('02_Данные'!AA278,AX278)</f>
        <v/>
      </c>
      <c r="AZ278" s="10">
        <f>AX278-AY278</f>
        <v/>
      </c>
      <c r="BA278" s="10">
        <f>MIN('02_Данные'!X278,AZ278)</f>
        <v/>
      </c>
      <c r="BB278" s="10">
        <f>AZ278-BA278</f>
        <v/>
      </c>
      <c r="BC278" s="10">
        <f>MIN('02_Данные'!W278,BB278)</f>
        <v/>
      </c>
      <c r="BD278" s="10">
        <f>BB278-BC278</f>
        <v/>
      </c>
      <c r="BE278" s="10">
        <f>MIN('02_Данные'!Y278,BD278)</f>
        <v/>
      </c>
      <c r="BF278" s="10">
        <f>BD278-BE278</f>
        <v/>
      </c>
      <c r="BG278" s="10">
        <f>MIN('02_Данные'!Z278,BF278)</f>
        <v/>
      </c>
      <c r="BH278" s="10">
        <f>BF278-BG278</f>
        <v/>
      </c>
      <c r="BI278" s="10">
        <f>BH278+'02_Данные'!I278</f>
        <v/>
      </c>
      <c r="BJ278" s="10">
        <f>MIN('02_Данные'!AB278,BI278)</f>
        <v/>
      </c>
      <c r="BK278" s="10">
        <f>BI278-BJ278</f>
        <v/>
      </c>
      <c r="BL278" s="10">
        <f>MIN('02_Данные'!AC278,BK278)</f>
        <v/>
      </c>
      <c r="BM278" s="10">
        <f>BK278-BL278</f>
        <v/>
      </c>
      <c r="BN278" s="10">
        <f>MIN('02_Данные'!AD278,BM278)</f>
        <v/>
      </c>
      <c r="BO278" s="10">
        <f>BM278-BN278</f>
        <v/>
      </c>
      <c r="BP278" s="10">
        <f>MIN('02_Данные'!AI278,BO278)</f>
        <v/>
      </c>
      <c r="BQ278" s="10">
        <f>BO278-BP278</f>
        <v/>
      </c>
      <c r="BR278" s="10">
        <f>MIN('02_Данные'!AF278,BQ278)</f>
        <v/>
      </c>
      <c r="BS278" s="10">
        <f>BQ278-BR278</f>
        <v/>
      </c>
      <c r="BT278" s="10">
        <f>MIN('02_Данные'!AE278,BS278)</f>
        <v/>
      </c>
      <c r="BU278" s="10">
        <f>BS278-BT278</f>
        <v/>
      </c>
      <c r="BV278" s="10">
        <f>MIN('02_Данные'!AG278,BU278)</f>
        <v/>
      </c>
      <c r="BW278" s="10">
        <f>BU278-BV278</f>
        <v/>
      </c>
      <c r="BX278" s="10">
        <f>MIN('02_Данные'!AH278,BW278)</f>
        <v/>
      </c>
      <c r="BY278" s="10">
        <f>BW278-BX278</f>
        <v/>
      </c>
      <c r="BZ278" s="10">
        <f>BY278+'02_Данные'!J278</f>
        <v/>
      </c>
      <c r="CA278" s="10">
        <f>MIN('02_Данные'!AJ278,BZ278)</f>
        <v/>
      </c>
      <c r="CB278" s="10">
        <f>BZ278-CA278</f>
        <v/>
      </c>
      <c r="CC278" s="10">
        <f>MIN('02_Данные'!AK278,CB278)</f>
        <v/>
      </c>
      <c r="CD278" s="10">
        <f>CB278-CC278</f>
        <v/>
      </c>
      <c r="CE278" s="10">
        <f>MIN('02_Данные'!AL278,CD278)</f>
        <v/>
      </c>
      <c r="CF278" s="10">
        <f>CD278-CE278</f>
        <v/>
      </c>
      <c r="CG278" s="10">
        <f>MIN('02_Данные'!AQ278,CF278)</f>
        <v/>
      </c>
      <c r="CH278" s="10">
        <f>CF278-CG278</f>
        <v/>
      </c>
      <c r="CI278" s="10">
        <f>MIN('02_Данные'!AN278,CH278)</f>
        <v/>
      </c>
      <c r="CJ278" s="10">
        <f>CH278-CI278</f>
        <v/>
      </c>
      <c r="CK278" s="10">
        <f>MIN('02_Данные'!AM278,CJ278)</f>
        <v/>
      </c>
      <c r="CL278" s="10">
        <f>CJ278-CK278</f>
        <v/>
      </c>
      <c r="CM278" s="10">
        <f>MIN('02_Данные'!AO278,CL278)</f>
        <v/>
      </c>
      <c r="CN278" s="10">
        <f>CL278-CM278</f>
        <v/>
      </c>
      <c r="CO278" s="10">
        <f>MIN('02_Данные'!AP278,CN278)</f>
        <v/>
      </c>
      <c r="CP278" s="10">
        <f>CN278-CO278</f>
        <v/>
      </c>
      <c r="CQ278" s="10">
        <f>CP278+'02_Данные'!K278</f>
        <v/>
      </c>
      <c r="CR278" s="10">
        <f>MIN('02_Данные'!AR278,CQ278)</f>
        <v/>
      </c>
      <c r="CS278" s="10">
        <f>CQ278-CR278</f>
        <v/>
      </c>
      <c r="CT278" s="10">
        <f>MIN('02_Данные'!AS278,CS278)</f>
        <v/>
      </c>
      <c r="CU278" s="10">
        <f>CS278-CT278</f>
        <v/>
      </c>
      <c r="CV278" s="10">
        <f>MIN('02_Данные'!AT278,CU278)</f>
        <v/>
      </c>
      <c r="CW278" s="10">
        <f>CU278-CV278</f>
        <v/>
      </c>
      <c r="CX278" s="10">
        <f>MIN('02_Данные'!AY278,CW278)</f>
        <v/>
      </c>
      <c r="CY278" s="10">
        <f>CW278-CX278</f>
        <v/>
      </c>
      <c r="CZ278" s="10">
        <f>MIN('02_Данные'!AV278,CY278)</f>
        <v/>
      </c>
      <c r="DA278" s="10">
        <f>CY278-CZ278</f>
        <v/>
      </c>
      <c r="DB278" s="10">
        <f>MIN('02_Данные'!AU278,DA278)</f>
        <v/>
      </c>
      <c r="DC278" s="10">
        <f>DA278-DB278</f>
        <v/>
      </c>
      <c r="DD278" s="10">
        <f>MIN('02_Данные'!AW278,DC278)</f>
        <v/>
      </c>
      <c r="DE278" s="10">
        <f>DC278-DD278</f>
        <v/>
      </c>
      <c r="DF278" s="10">
        <f>MIN('02_Данные'!AX278,DE278)</f>
        <v/>
      </c>
      <c r="DG278" s="10">
        <f>DE278-DF278</f>
        <v/>
      </c>
    </row>
    <row r="279">
      <c r="A279" s="9">
        <f>'02_Данные'!B279</f>
        <v/>
      </c>
      <c r="B279" s="9">
        <f>'02_Данные'!E279</f>
        <v/>
      </c>
      <c r="C279" s="10">
        <f>'02_Данные'!F279+'02_Данные'!G279+'02_Данные'!H279+'02_Данные'!I279+'02_Данные'!J279+'02_Данные'!K279</f>
        <v/>
      </c>
      <c r="D279" s="10">
        <f>SUM('02_Данные'!L279:'02_Данные'!AY279)</f>
        <v/>
      </c>
      <c r="E279" s="10">
        <f>MAX(0,D279-C279)</f>
        <v/>
      </c>
      <c r="F279" s="15">
        <f>IF(E279&gt;0.0001,"ДЕФИЦИТ",IF(Y279&gt;0.0001,"ПРОФИЦИТ","БАЛАНС"))</f>
        <v/>
      </c>
      <c r="G279" s="10">
        <f>AB279+AS279+BJ279+CA279+CR279</f>
        <v/>
      </c>
      <c r="H279" s="10">
        <f>AD279+AU279+BL279+CC279+CT279</f>
        <v/>
      </c>
      <c r="I279" s="10">
        <f>AF279+AW279+BN279+CE279+CV279</f>
        <v/>
      </c>
      <c r="J279" s="10">
        <f>AL279+BC279+BT279+CK279+DB279</f>
        <v/>
      </c>
      <c r="K279" s="10">
        <f>AJ279+BA279+BR279+CI279+CZ279</f>
        <v/>
      </c>
      <c r="L279" s="10">
        <f>AN279+BE279+BV279+CM279+DD279</f>
        <v/>
      </c>
      <c r="M279" s="10">
        <f>AP279+BG279+BX279+CO279+DF279</f>
        <v/>
      </c>
      <c r="N279" s="10">
        <f>AH279+AY279+BP279+CG279+CX279</f>
        <v/>
      </c>
      <c r="O279" s="10">
        <f>SUM(G279:N279)</f>
        <v/>
      </c>
      <c r="P279" s="10">
        <f>IFERROR(G279*MIN(1,'01_Нормативы'!$C$4/SUM(G$2:G$429)),0)</f>
        <v/>
      </c>
      <c r="Q279" s="10">
        <f>IFERROR(H279*MIN(1,'01_Нормативы'!$C$5/SUM(H$2:H$429)),0)</f>
        <v/>
      </c>
      <c r="R279" s="10">
        <f>IFERROR(I279*MIN(1,'01_Нормативы'!$C$6/SUM(I$2:I$429)),0)</f>
        <v/>
      </c>
      <c r="S279" s="10">
        <f>IFERROR(J279*MIN(1,'01_Нормативы'!$C$7/SUM(J$2:J$429)),0)</f>
        <v/>
      </c>
      <c r="T279" s="10">
        <f>IFERROR(K279*MIN(1,'01_Нормативы'!$C$8/SUM(K$2:K$429)),0)</f>
        <v/>
      </c>
      <c r="U279" s="10">
        <f>IFERROR(L279*MIN(1,'01_Нормативы'!$C$9/SUM(L$2:L$429)),0)</f>
        <v/>
      </c>
      <c r="V279" s="10">
        <f>IFERROR(M279*MIN(1,'01_Нормативы'!$C$10/SUM(M$2:M$429)),0)</f>
        <v/>
      </c>
      <c r="W279" s="10">
        <f>IFERROR(N279*MIN(1,'01_Нормативы'!$C$11/SUM(N$2:N$429)),0)</f>
        <v/>
      </c>
      <c r="X279" s="10">
        <f>SUM(P279:W279)</f>
        <v/>
      </c>
      <c r="Y279" s="10">
        <f>MAX(0,C279-X279)</f>
        <v/>
      </c>
      <c r="Z279" s="10">
        <f>IF(D279=0,100,X279/D279*100)</f>
        <v/>
      </c>
      <c r="AA279" s="10">
        <f>'02_Данные'!F279+'02_Данные'!G279</f>
        <v/>
      </c>
      <c r="AB279" s="10">
        <f>MIN('02_Данные'!L279,AA279)</f>
        <v/>
      </c>
      <c r="AC279" s="10">
        <f>AA279-AB279</f>
        <v/>
      </c>
      <c r="AD279" s="10">
        <f>MIN('02_Данные'!M279,AC279)</f>
        <v/>
      </c>
      <c r="AE279" s="10">
        <f>AC279-AD279</f>
        <v/>
      </c>
      <c r="AF279" s="10">
        <f>MIN('02_Данные'!N279,AE279)</f>
        <v/>
      </c>
      <c r="AG279" s="10">
        <f>AE279-AF279</f>
        <v/>
      </c>
      <c r="AH279" s="10">
        <f>MIN('02_Данные'!S279,AG279)</f>
        <v/>
      </c>
      <c r="AI279" s="10">
        <f>AG279-AH279</f>
        <v/>
      </c>
      <c r="AJ279" s="10">
        <f>MIN('02_Данные'!P279,AI279)</f>
        <v/>
      </c>
      <c r="AK279" s="10">
        <f>AI279-AJ279</f>
        <v/>
      </c>
      <c r="AL279" s="10">
        <f>MIN('02_Данные'!O279,AK279)</f>
        <v/>
      </c>
      <c r="AM279" s="10">
        <f>AK279-AL279</f>
        <v/>
      </c>
      <c r="AN279" s="10">
        <f>MIN('02_Данные'!Q279,AM279)</f>
        <v/>
      </c>
      <c r="AO279" s="10">
        <f>AM279-AN279</f>
        <v/>
      </c>
      <c r="AP279" s="10">
        <f>MIN('02_Данные'!R279,AO279)</f>
        <v/>
      </c>
      <c r="AQ279" s="10">
        <f>AO279-AP279</f>
        <v/>
      </c>
      <c r="AR279" s="10">
        <f>AQ279+'02_Данные'!H279</f>
        <v/>
      </c>
      <c r="AS279" s="10">
        <f>MIN('02_Данные'!T279,AR279)</f>
        <v/>
      </c>
      <c r="AT279" s="10">
        <f>AR279-AS279</f>
        <v/>
      </c>
      <c r="AU279" s="10">
        <f>MIN('02_Данные'!U279,AT279)</f>
        <v/>
      </c>
      <c r="AV279" s="10">
        <f>AT279-AU279</f>
        <v/>
      </c>
      <c r="AW279" s="10">
        <f>MIN('02_Данные'!V279,AV279)</f>
        <v/>
      </c>
      <c r="AX279" s="10">
        <f>AV279-AW279</f>
        <v/>
      </c>
      <c r="AY279" s="10">
        <f>MIN('02_Данные'!AA279,AX279)</f>
        <v/>
      </c>
      <c r="AZ279" s="10">
        <f>AX279-AY279</f>
        <v/>
      </c>
      <c r="BA279" s="10">
        <f>MIN('02_Данные'!X279,AZ279)</f>
        <v/>
      </c>
      <c r="BB279" s="10">
        <f>AZ279-BA279</f>
        <v/>
      </c>
      <c r="BC279" s="10">
        <f>MIN('02_Данные'!W279,BB279)</f>
        <v/>
      </c>
      <c r="BD279" s="10">
        <f>BB279-BC279</f>
        <v/>
      </c>
      <c r="BE279" s="10">
        <f>MIN('02_Данные'!Y279,BD279)</f>
        <v/>
      </c>
      <c r="BF279" s="10">
        <f>BD279-BE279</f>
        <v/>
      </c>
      <c r="BG279" s="10">
        <f>MIN('02_Данные'!Z279,BF279)</f>
        <v/>
      </c>
      <c r="BH279" s="10">
        <f>BF279-BG279</f>
        <v/>
      </c>
      <c r="BI279" s="10">
        <f>BH279+'02_Данные'!I279</f>
        <v/>
      </c>
      <c r="BJ279" s="10">
        <f>MIN('02_Данные'!AB279,BI279)</f>
        <v/>
      </c>
      <c r="BK279" s="10">
        <f>BI279-BJ279</f>
        <v/>
      </c>
      <c r="BL279" s="10">
        <f>MIN('02_Данные'!AC279,BK279)</f>
        <v/>
      </c>
      <c r="BM279" s="10">
        <f>BK279-BL279</f>
        <v/>
      </c>
      <c r="BN279" s="10">
        <f>MIN('02_Данные'!AD279,BM279)</f>
        <v/>
      </c>
      <c r="BO279" s="10">
        <f>BM279-BN279</f>
        <v/>
      </c>
      <c r="BP279" s="10">
        <f>MIN('02_Данные'!AI279,BO279)</f>
        <v/>
      </c>
      <c r="BQ279" s="10">
        <f>BO279-BP279</f>
        <v/>
      </c>
      <c r="BR279" s="10">
        <f>MIN('02_Данные'!AF279,BQ279)</f>
        <v/>
      </c>
      <c r="BS279" s="10">
        <f>BQ279-BR279</f>
        <v/>
      </c>
      <c r="BT279" s="10">
        <f>MIN('02_Данные'!AE279,BS279)</f>
        <v/>
      </c>
      <c r="BU279" s="10">
        <f>BS279-BT279</f>
        <v/>
      </c>
      <c r="BV279" s="10">
        <f>MIN('02_Данные'!AG279,BU279)</f>
        <v/>
      </c>
      <c r="BW279" s="10">
        <f>BU279-BV279</f>
        <v/>
      </c>
      <c r="BX279" s="10">
        <f>MIN('02_Данные'!AH279,BW279)</f>
        <v/>
      </c>
      <c r="BY279" s="10">
        <f>BW279-BX279</f>
        <v/>
      </c>
      <c r="BZ279" s="10">
        <f>BY279+'02_Данные'!J279</f>
        <v/>
      </c>
      <c r="CA279" s="10">
        <f>MIN('02_Данные'!AJ279,BZ279)</f>
        <v/>
      </c>
      <c r="CB279" s="10">
        <f>BZ279-CA279</f>
        <v/>
      </c>
      <c r="CC279" s="10">
        <f>MIN('02_Данные'!AK279,CB279)</f>
        <v/>
      </c>
      <c r="CD279" s="10">
        <f>CB279-CC279</f>
        <v/>
      </c>
      <c r="CE279" s="10">
        <f>MIN('02_Данные'!AL279,CD279)</f>
        <v/>
      </c>
      <c r="CF279" s="10">
        <f>CD279-CE279</f>
        <v/>
      </c>
      <c r="CG279" s="10">
        <f>MIN('02_Данные'!AQ279,CF279)</f>
        <v/>
      </c>
      <c r="CH279" s="10">
        <f>CF279-CG279</f>
        <v/>
      </c>
      <c r="CI279" s="10">
        <f>MIN('02_Данные'!AN279,CH279)</f>
        <v/>
      </c>
      <c r="CJ279" s="10">
        <f>CH279-CI279</f>
        <v/>
      </c>
      <c r="CK279" s="10">
        <f>MIN('02_Данные'!AM279,CJ279)</f>
        <v/>
      </c>
      <c r="CL279" s="10">
        <f>CJ279-CK279</f>
        <v/>
      </c>
      <c r="CM279" s="10">
        <f>MIN('02_Данные'!AO279,CL279)</f>
        <v/>
      </c>
      <c r="CN279" s="10">
        <f>CL279-CM279</f>
        <v/>
      </c>
      <c r="CO279" s="10">
        <f>MIN('02_Данные'!AP279,CN279)</f>
        <v/>
      </c>
      <c r="CP279" s="10">
        <f>CN279-CO279</f>
        <v/>
      </c>
      <c r="CQ279" s="10">
        <f>CP279+'02_Данные'!K279</f>
        <v/>
      </c>
      <c r="CR279" s="10">
        <f>MIN('02_Данные'!AR279,CQ279)</f>
        <v/>
      </c>
      <c r="CS279" s="10">
        <f>CQ279-CR279</f>
        <v/>
      </c>
      <c r="CT279" s="10">
        <f>MIN('02_Данные'!AS279,CS279)</f>
        <v/>
      </c>
      <c r="CU279" s="10">
        <f>CS279-CT279</f>
        <v/>
      </c>
      <c r="CV279" s="10">
        <f>MIN('02_Данные'!AT279,CU279)</f>
        <v/>
      </c>
      <c r="CW279" s="10">
        <f>CU279-CV279</f>
        <v/>
      </c>
      <c r="CX279" s="10">
        <f>MIN('02_Данные'!AY279,CW279)</f>
        <v/>
      </c>
      <c r="CY279" s="10">
        <f>CW279-CX279</f>
        <v/>
      </c>
      <c r="CZ279" s="10">
        <f>MIN('02_Данные'!AV279,CY279)</f>
        <v/>
      </c>
      <c r="DA279" s="10">
        <f>CY279-CZ279</f>
        <v/>
      </c>
      <c r="DB279" s="10">
        <f>MIN('02_Данные'!AU279,DA279)</f>
        <v/>
      </c>
      <c r="DC279" s="10">
        <f>DA279-DB279</f>
        <v/>
      </c>
      <c r="DD279" s="10">
        <f>MIN('02_Данные'!AW279,DC279)</f>
        <v/>
      </c>
      <c r="DE279" s="10">
        <f>DC279-DD279</f>
        <v/>
      </c>
      <c r="DF279" s="10">
        <f>MIN('02_Данные'!AX279,DE279)</f>
        <v/>
      </c>
      <c r="DG279" s="10">
        <f>DE279-DF279</f>
        <v/>
      </c>
    </row>
    <row r="280">
      <c r="A280" s="9">
        <f>'02_Данные'!B280</f>
        <v/>
      </c>
      <c r="B280" s="9">
        <f>'02_Данные'!E280</f>
        <v/>
      </c>
      <c r="C280" s="10">
        <f>'02_Данные'!F280+'02_Данные'!G280+'02_Данные'!H280+'02_Данные'!I280+'02_Данные'!J280+'02_Данные'!K280</f>
        <v/>
      </c>
      <c r="D280" s="10">
        <f>SUM('02_Данные'!L280:'02_Данные'!AY280)</f>
        <v/>
      </c>
      <c r="E280" s="10">
        <f>MAX(0,D280-C280)</f>
        <v/>
      </c>
      <c r="F280" s="15">
        <f>IF(E280&gt;0.0001,"ДЕФИЦИТ",IF(Y280&gt;0.0001,"ПРОФИЦИТ","БАЛАНС"))</f>
        <v/>
      </c>
      <c r="G280" s="10">
        <f>AB280+AS280+BJ280+CA280+CR280</f>
        <v/>
      </c>
      <c r="H280" s="10">
        <f>AD280+AU280+BL280+CC280+CT280</f>
        <v/>
      </c>
      <c r="I280" s="10">
        <f>AF280+AW280+BN280+CE280+CV280</f>
        <v/>
      </c>
      <c r="J280" s="10">
        <f>AL280+BC280+BT280+CK280+DB280</f>
        <v/>
      </c>
      <c r="K280" s="10">
        <f>AJ280+BA280+BR280+CI280+CZ280</f>
        <v/>
      </c>
      <c r="L280" s="10">
        <f>AN280+BE280+BV280+CM280+DD280</f>
        <v/>
      </c>
      <c r="M280" s="10">
        <f>AP280+BG280+BX280+CO280+DF280</f>
        <v/>
      </c>
      <c r="N280" s="10">
        <f>AH280+AY280+BP280+CG280+CX280</f>
        <v/>
      </c>
      <c r="O280" s="10">
        <f>SUM(G280:N280)</f>
        <v/>
      </c>
      <c r="P280" s="10">
        <f>IFERROR(G280*MIN(1,'01_Нормативы'!$C$4/SUM(G$2:G$429)),0)</f>
        <v/>
      </c>
      <c r="Q280" s="10">
        <f>IFERROR(H280*MIN(1,'01_Нормативы'!$C$5/SUM(H$2:H$429)),0)</f>
        <v/>
      </c>
      <c r="R280" s="10">
        <f>IFERROR(I280*MIN(1,'01_Нормативы'!$C$6/SUM(I$2:I$429)),0)</f>
        <v/>
      </c>
      <c r="S280" s="10">
        <f>IFERROR(J280*MIN(1,'01_Нормативы'!$C$7/SUM(J$2:J$429)),0)</f>
        <v/>
      </c>
      <c r="T280" s="10">
        <f>IFERROR(K280*MIN(1,'01_Нормативы'!$C$8/SUM(K$2:K$429)),0)</f>
        <v/>
      </c>
      <c r="U280" s="10">
        <f>IFERROR(L280*MIN(1,'01_Нормативы'!$C$9/SUM(L$2:L$429)),0)</f>
        <v/>
      </c>
      <c r="V280" s="10">
        <f>IFERROR(M280*MIN(1,'01_Нормативы'!$C$10/SUM(M$2:M$429)),0)</f>
        <v/>
      </c>
      <c r="W280" s="10">
        <f>IFERROR(N280*MIN(1,'01_Нормативы'!$C$11/SUM(N$2:N$429)),0)</f>
        <v/>
      </c>
      <c r="X280" s="10">
        <f>SUM(P280:W280)</f>
        <v/>
      </c>
      <c r="Y280" s="10">
        <f>MAX(0,C280-X280)</f>
        <v/>
      </c>
      <c r="Z280" s="10">
        <f>IF(D280=0,100,X280/D280*100)</f>
        <v/>
      </c>
      <c r="AA280" s="10">
        <f>'02_Данные'!F280+'02_Данные'!G280</f>
        <v/>
      </c>
      <c r="AB280" s="10">
        <f>MIN('02_Данные'!L280,AA280)</f>
        <v/>
      </c>
      <c r="AC280" s="10">
        <f>AA280-AB280</f>
        <v/>
      </c>
      <c r="AD280" s="10">
        <f>MIN('02_Данные'!M280,AC280)</f>
        <v/>
      </c>
      <c r="AE280" s="10">
        <f>AC280-AD280</f>
        <v/>
      </c>
      <c r="AF280" s="10">
        <f>MIN('02_Данные'!N280,AE280)</f>
        <v/>
      </c>
      <c r="AG280" s="10">
        <f>AE280-AF280</f>
        <v/>
      </c>
      <c r="AH280" s="10">
        <f>MIN('02_Данные'!S280,AG280)</f>
        <v/>
      </c>
      <c r="AI280" s="10">
        <f>AG280-AH280</f>
        <v/>
      </c>
      <c r="AJ280" s="10">
        <f>MIN('02_Данные'!P280,AI280)</f>
        <v/>
      </c>
      <c r="AK280" s="10">
        <f>AI280-AJ280</f>
        <v/>
      </c>
      <c r="AL280" s="10">
        <f>MIN('02_Данные'!O280,AK280)</f>
        <v/>
      </c>
      <c r="AM280" s="10">
        <f>AK280-AL280</f>
        <v/>
      </c>
      <c r="AN280" s="10">
        <f>MIN('02_Данные'!Q280,AM280)</f>
        <v/>
      </c>
      <c r="AO280" s="10">
        <f>AM280-AN280</f>
        <v/>
      </c>
      <c r="AP280" s="10">
        <f>MIN('02_Данные'!R280,AO280)</f>
        <v/>
      </c>
      <c r="AQ280" s="10">
        <f>AO280-AP280</f>
        <v/>
      </c>
      <c r="AR280" s="10">
        <f>AQ280+'02_Данные'!H280</f>
        <v/>
      </c>
      <c r="AS280" s="10">
        <f>MIN('02_Данные'!T280,AR280)</f>
        <v/>
      </c>
      <c r="AT280" s="10">
        <f>AR280-AS280</f>
        <v/>
      </c>
      <c r="AU280" s="10">
        <f>MIN('02_Данные'!U280,AT280)</f>
        <v/>
      </c>
      <c r="AV280" s="10">
        <f>AT280-AU280</f>
        <v/>
      </c>
      <c r="AW280" s="10">
        <f>MIN('02_Данные'!V280,AV280)</f>
        <v/>
      </c>
      <c r="AX280" s="10">
        <f>AV280-AW280</f>
        <v/>
      </c>
      <c r="AY280" s="10">
        <f>MIN('02_Данные'!AA280,AX280)</f>
        <v/>
      </c>
      <c r="AZ280" s="10">
        <f>AX280-AY280</f>
        <v/>
      </c>
      <c r="BA280" s="10">
        <f>MIN('02_Данные'!X280,AZ280)</f>
        <v/>
      </c>
      <c r="BB280" s="10">
        <f>AZ280-BA280</f>
        <v/>
      </c>
      <c r="BC280" s="10">
        <f>MIN('02_Данные'!W280,BB280)</f>
        <v/>
      </c>
      <c r="BD280" s="10">
        <f>BB280-BC280</f>
        <v/>
      </c>
      <c r="BE280" s="10">
        <f>MIN('02_Данные'!Y280,BD280)</f>
        <v/>
      </c>
      <c r="BF280" s="10">
        <f>BD280-BE280</f>
        <v/>
      </c>
      <c r="BG280" s="10">
        <f>MIN('02_Данные'!Z280,BF280)</f>
        <v/>
      </c>
      <c r="BH280" s="10">
        <f>BF280-BG280</f>
        <v/>
      </c>
      <c r="BI280" s="10">
        <f>BH280+'02_Данные'!I280</f>
        <v/>
      </c>
      <c r="BJ280" s="10">
        <f>MIN('02_Данные'!AB280,BI280)</f>
        <v/>
      </c>
      <c r="BK280" s="10">
        <f>BI280-BJ280</f>
        <v/>
      </c>
      <c r="BL280" s="10">
        <f>MIN('02_Данные'!AC280,BK280)</f>
        <v/>
      </c>
      <c r="BM280" s="10">
        <f>BK280-BL280</f>
        <v/>
      </c>
      <c r="BN280" s="10">
        <f>MIN('02_Данные'!AD280,BM280)</f>
        <v/>
      </c>
      <c r="BO280" s="10">
        <f>BM280-BN280</f>
        <v/>
      </c>
      <c r="BP280" s="10">
        <f>MIN('02_Данные'!AI280,BO280)</f>
        <v/>
      </c>
      <c r="BQ280" s="10">
        <f>BO280-BP280</f>
        <v/>
      </c>
      <c r="BR280" s="10">
        <f>MIN('02_Данные'!AF280,BQ280)</f>
        <v/>
      </c>
      <c r="BS280" s="10">
        <f>BQ280-BR280</f>
        <v/>
      </c>
      <c r="BT280" s="10">
        <f>MIN('02_Данные'!AE280,BS280)</f>
        <v/>
      </c>
      <c r="BU280" s="10">
        <f>BS280-BT280</f>
        <v/>
      </c>
      <c r="BV280" s="10">
        <f>MIN('02_Данные'!AG280,BU280)</f>
        <v/>
      </c>
      <c r="BW280" s="10">
        <f>BU280-BV280</f>
        <v/>
      </c>
      <c r="BX280" s="10">
        <f>MIN('02_Данные'!AH280,BW280)</f>
        <v/>
      </c>
      <c r="BY280" s="10">
        <f>BW280-BX280</f>
        <v/>
      </c>
      <c r="BZ280" s="10">
        <f>BY280+'02_Данные'!J280</f>
        <v/>
      </c>
      <c r="CA280" s="10">
        <f>MIN('02_Данные'!AJ280,BZ280)</f>
        <v/>
      </c>
      <c r="CB280" s="10">
        <f>BZ280-CA280</f>
        <v/>
      </c>
      <c r="CC280" s="10">
        <f>MIN('02_Данные'!AK280,CB280)</f>
        <v/>
      </c>
      <c r="CD280" s="10">
        <f>CB280-CC280</f>
        <v/>
      </c>
      <c r="CE280" s="10">
        <f>MIN('02_Данные'!AL280,CD280)</f>
        <v/>
      </c>
      <c r="CF280" s="10">
        <f>CD280-CE280</f>
        <v/>
      </c>
      <c r="CG280" s="10">
        <f>MIN('02_Данные'!AQ280,CF280)</f>
        <v/>
      </c>
      <c r="CH280" s="10">
        <f>CF280-CG280</f>
        <v/>
      </c>
      <c r="CI280" s="10">
        <f>MIN('02_Данные'!AN280,CH280)</f>
        <v/>
      </c>
      <c r="CJ280" s="10">
        <f>CH280-CI280</f>
        <v/>
      </c>
      <c r="CK280" s="10">
        <f>MIN('02_Данные'!AM280,CJ280)</f>
        <v/>
      </c>
      <c r="CL280" s="10">
        <f>CJ280-CK280</f>
        <v/>
      </c>
      <c r="CM280" s="10">
        <f>MIN('02_Данные'!AO280,CL280)</f>
        <v/>
      </c>
      <c r="CN280" s="10">
        <f>CL280-CM280</f>
        <v/>
      </c>
      <c r="CO280" s="10">
        <f>MIN('02_Данные'!AP280,CN280)</f>
        <v/>
      </c>
      <c r="CP280" s="10">
        <f>CN280-CO280</f>
        <v/>
      </c>
      <c r="CQ280" s="10">
        <f>CP280+'02_Данные'!K280</f>
        <v/>
      </c>
      <c r="CR280" s="10">
        <f>MIN('02_Данные'!AR280,CQ280)</f>
        <v/>
      </c>
      <c r="CS280" s="10">
        <f>CQ280-CR280</f>
        <v/>
      </c>
      <c r="CT280" s="10">
        <f>MIN('02_Данные'!AS280,CS280)</f>
        <v/>
      </c>
      <c r="CU280" s="10">
        <f>CS280-CT280</f>
        <v/>
      </c>
      <c r="CV280" s="10">
        <f>MIN('02_Данные'!AT280,CU280)</f>
        <v/>
      </c>
      <c r="CW280" s="10">
        <f>CU280-CV280</f>
        <v/>
      </c>
      <c r="CX280" s="10">
        <f>MIN('02_Данные'!AY280,CW280)</f>
        <v/>
      </c>
      <c r="CY280" s="10">
        <f>CW280-CX280</f>
        <v/>
      </c>
      <c r="CZ280" s="10">
        <f>MIN('02_Данные'!AV280,CY280)</f>
        <v/>
      </c>
      <c r="DA280" s="10">
        <f>CY280-CZ280</f>
        <v/>
      </c>
      <c r="DB280" s="10">
        <f>MIN('02_Данные'!AU280,DA280)</f>
        <v/>
      </c>
      <c r="DC280" s="10">
        <f>DA280-DB280</f>
        <v/>
      </c>
      <c r="DD280" s="10">
        <f>MIN('02_Данные'!AW280,DC280)</f>
        <v/>
      </c>
      <c r="DE280" s="10">
        <f>DC280-DD280</f>
        <v/>
      </c>
      <c r="DF280" s="10">
        <f>MIN('02_Данные'!AX280,DE280)</f>
        <v/>
      </c>
      <c r="DG280" s="10">
        <f>DE280-DF280</f>
        <v/>
      </c>
    </row>
    <row r="281">
      <c r="A281" s="9">
        <f>'02_Данные'!B281</f>
        <v/>
      </c>
      <c r="B281" s="9">
        <f>'02_Данные'!E281</f>
        <v/>
      </c>
      <c r="C281" s="10">
        <f>'02_Данные'!F281+'02_Данные'!G281+'02_Данные'!H281+'02_Данные'!I281+'02_Данные'!J281+'02_Данные'!K281</f>
        <v/>
      </c>
      <c r="D281" s="10">
        <f>SUM('02_Данные'!L281:'02_Данные'!AY281)</f>
        <v/>
      </c>
      <c r="E281" s="10">
        <f>MAX(0,D281-C281)</f>
        <v/>
      </c>
      <c r="F281" s="15">
        <f>IF(E281&gt;0.0001,"ДЕФИЦИТ",IF(Y281&gt;0.0001,"ПРОФИЦИТ","БАЛАНС"))</f>
        <v/>
      </c>
      <c r="G281" s="10">
        <f>AB281+AS281+BJ281+CA281+CR281</f>
        <v/>
      </c>
      <c r="H281" s="10">
        <f>AD281+AU281+BL281+CC281+CT281</f>
        <v/>
      </c>
      <c r="I281" s="10">
        <f>AF281+AW281+BN281+CE281+CV281</f>
        <v/>
      </c>
      <c r="J281" s="10">
        <f>AL281+BC281+BT281+CK281+DB281</f>
        <v/>
      </c>
      <c r="K281" s="10">
        <f>AJ281+BA281+BR281+CI281+CZ281</f>
        <v/>
      </c>
      <c r="L281" s="10">
        <f>AN281+BE281+BV281+CM281+DD281</f>
        <v/>
      </c>
      <c r="M281" s="10">
        <f>AP281+BG281+BX281+CO281+DF281</f>
        <v/>
      </c>
      <c r="N281" s="10">
        <f>AH281+AY281+BP281+CG281+CX281</f>
        <v/>
      </c>
      <c r="O281" s="10">
        <f>SUM(G281:N281)</f>
        <v/>
      </c>
      <c r="P281" s="10">
        <f>IFERROR(G281*MIN(1,'01_Нормативы'!$C$4/SUM(G$2:G$429)),0)</f>
        <v/>
      </c>
      <c r="Q281" s="10">
        <f>IFERROR(H281*MIN(1,'01_Нормативы'!$C$5/SUM(H$2:H$429)),0)</f>
        <v/>
      </c>
      <c r="R281" s="10">
        <f>IFERROR(I281*MIN(1,'01_Нормативы'!$C$6/SUM(I$2:I$429)),0)</f>
        <v/>
      </c>
      <c r="S281" s="10">
        <f>IFERROR(J281*MIN(1,'01_Нормативы'!$C$7/SUM(J$2:J$429)),0)</f>
        <v/>
      </c>
      <c r="T281" s="10">
        <f>IFERROR(K281*MIN(1,'01_Нормативы'!$C$8/SUM(K$2:K$429)),0)</f>
        <v/>
      </c>
      <c r="U281" s="10">
        <f>IFERROR(L281*MIN(1,'01_Нормативы'!$C$9/SUM(L$2:L$429)),0)</f>
        <v/>
      </c>
      <c r="V281" s="10">
        <f>IFERROR(M281*MIN(1,'01_Нормативы'!$C$10/SUM(M$2:M$429)),0)</f>
        <v/>
      </c>
      <c r="W281" s="10">
        <f>IFERROR(N281*MIN(1,'01_Нормативы'!$C$11/SUM(N$2:N$429)),0)</f>
        <v/>
      </c>
      <c r="X281" s="10">
        <f>SUM(P281:W281)</f>
        <v/>
      </c>
      <c r="Y281" s="10">
        <f>MAX(0,C281-X281)</f>
        <v/>
      </c>
      <c r="Z281" s="10">
        <f>IF(D281=0,100,X281/D281*100)</f>
        <v/>
      </c>
      <c r="AA281" s="10">
        <f>'02_Данные'!F281+'02_Данные'!G281</f>
        <v/>
      </c>
      <c r="AB281" s="10">
        <f>MIN('02_Данные'!L281,AA281)</f>
        <v/>
      </c>
      <c r="AC281" s="10">
        <f>AA281-AB281</f>
        <v/>
      </c>
      <c r="AD281" s="10">
        <f>MIN('02_Данные'!M281,AC281)</f>
        <v/>
      </c>
      <c r="AE281" s="10">
        <f>AC281-AD281</f>
        <v/>
      </c>
      <c r="AF281" s="10">
        <f>MIN('02_Данные'!N281,AE281)</f>
        <v/>
      </c>
      <c r="AG281" s="10">
        <f>AE281-AF281</f>
        <v/>
      </c>
      <c r="AH281" s="10">
        <f>MIN('02_Данные'!S281,AG281)</f>
        <v/>
      </c>
      <c r="AI281" s="10">
        <f>AG281-AH281</f>
        <v/>
      </c>
      <c r="AJ281" s="10">
        <f>MIN('02_Данные'!P281,AI281)</f>
        <v/>
      </c>
      <c r="AK281" s="10">
        <f>AI281-AJ281</f>
        <v/>
      </c>
      <c r="AL281" s="10">
        <f>MIN('02_Данные'!O281,AK281)</f>
        <v/>
      </c>
      <c r="AM281" s="10">
        <f>AK281-AL281</f>
        <v/>
      </c>
      <c r="AN281" s="10">
        <f>MIN('02_Данные'!Q281,AM281)</f>
        <v/>
      </c>
      <c r="AO281" s="10">
        <f>AM281-AN281</f>
        <v/>
      </c>
      <c r="AP281" s="10">
        <f>MIN('02_Данные'!R281,AO281)</f>
        <v/>
      </c>
      <c r="AQ281" s="10">
        <f>AO281-AP281</f>
        <v/>
      </c>
      <c r="AR281" s="10">
        <f>AQ281+'02_Данные'!H281</f>
        <v/>
      </c>
      <c r="AS281" s="10">
        <f>MIN('02_Данные'!T281,AR281)</f>
        <v/>
      </c>
      <c r="AT281" s="10">
        <f>AR281-AS281</f>
        <v/>
      </c>
      <c r="AU281" s="10">
        <f>MIN('02_Данные'!U281,AT281)</f>
        <v/>
      </c>
      <c r="AV281" s="10">
        <f>AT281-AU281</f>
        <v/>
      </c>
      <c r="AW281" s="10">
        <f>MIN('02_Данные'!V281,AV281)</f>
        <v/>
      </c>
      <c r="AX281" s="10">
        <f>AV281-AW281</f>
        <v/>
      </c>
      <c r="AY281" s="10">
        <f>MIN('02_Данные'!AA281,AX281)</f>
        <v/>
      </c>
      <c r="AZ281" s="10">
        <f>AX281-AY281</f>
        <v/>
      </c>
      <c r="BA281" s="10">
        <f>MIN('02_Данные'!X281,AZ281)</f>
        <v/>
      </c>
      <c r="BB281" s="10">
        <f>AZ281-BA281</f>
        <v/>
      </c>
      <c r="BC281" s="10">
        <f>MIN('02_Данные'!W281,BB281)</f>
        <v/>
      </c>
      <c r="BD281" s="10">
        <f>BB281-BC281</f>
        <v/>
      </c>
      <c r="BE281" s="10">
        <f>MIN('02_Данные'!Y281,BD281)</f>
        <v/>
      </c>
      <c r="BF281" s="10">
        <f>BD281-BE281</f>
        <v/>
      </c>
      <c r="BG281" s="10">
        <f>MIN('02_Данные'!Z281,BF281)</f>
        <v/>
      </c>
      <c r="BH281" s="10">
        <f>BF281-BG281</f>
        <v/>
      </c>
      <c r="BI281" s="10">
        <f>BH281+'02_Данные'!I281</f>
        <v/>
      </c>
      <c r="BJ281" s="10">
        <f>MIN('02_Данные'!AB281,BI281)</f>
        <v/>
      </c>
      <c r="BK281" s="10">
        <f>BI281-BJ281</f>
        <v/>
      </c>
      <c r="BL281" s="10">
        <f>MIN('02_Данные'!AC281,BK281)</f>
        <v/>
      </c>
      <c r="BM281" s="10">
        <f>BK281-BL281</f>
        <v/>
      </c>
      <c r="BN281" s="10">
        <f>MIN('02_Данные'!AD281,BM281)</f>
        <v/>
      </c>
      <c r="BO281" s="10">
        <f>BM281-BN281</f>
        <v/>
      </c>
      <c r="BP281" s="10">
        <f>MIN('02_Данные'!AI281,BO281)</f>
        <v/>
      </c>
      <c r="BQ281" s="10">
        <f>BO281-BP281</f>
        <v/>
      </c>
      <c r="BR281" s="10">
        <f>MIN('02_Данные'!AF281,BQ281)</f>
        <v/>
      </c>
      <c r="BS281" s="10">
        <f>BQ281-BR281</f>
        <v/>
      </c>
      <c r="BT281" s="10">
        <f>MIN('02_Данные'!AE281,BS281)</f>
        <v/>
      </c>
      <c r="BU281" s="10">
        <f>BS281-BT281</f>
        <v/>
      </c>
      <c r="BV281" s="10">
        <f>MIN('02_Данные'!AG281,BU281)</f>
        <v/>
      </c>
      <c r="BW281" s="10">
        <f>BU281-BV281</f>
        <v/>
      </c>
      <c r="BX281" s="10">
        <f>MIN('02_Данные'!AH281,BW281)</f>
        <v/>
      </c>
      <c r="BY281" s="10">
        <f>BW281-BX281</f>
        <v/>
      </c>
      <c r="BZ281" s="10">
        <f>BY281+'02_Данные'!J281</f>
        <v/>
      </c>
      <c r="CA281" s="10">
        <f>MIN('02_Данные'!AJ281,BZ281)</f>
        <v/>
      </c>
      <c r="CB281" s="10">
        <f>BZ281-CA281</f>
        <v/>
      </c>
      <c r="CC281" s="10">
        <f>MIN('02_Данные'!AK281,CB281)</f>
        <v/>
      </c>
      <c r="CD281" s="10">
        <f>CB281-CC281</f>
        <v/>
      </c>
      <c r="CE281" s="10">
        <f>MIN('02_Данные'!AL281,CD281)</f>
        <v/>
      </c>
      <c r="CF281" s="10">
        <f>CD281-CE281</f>
        <v/>
      </c>
      <c r="CG281" s="10">
        <f>MIN('02_Данные'!AQ281,CF281)</f>
        <v/>
      </c>
      <c r="CH281" s="10">
        <f>CF281-CG281</f>
        <v/>
      </c>
      <c r="CI281" s="10">
        <f>MIN('02_Данные'!AN281,CH281)</f>
        <v/>
      </c>
      <c r="CJ281" s="10">
        <f>CH281-CI281</f>
        <v/>
      </c>
      <c r="CK281" s="10">
        <f>MIN('02_Данные'!AM281,CJ281)</f>
        <v/>
      </c>
      <c r="CL281" s="10">
        <f>CJ281-CK281</f>
        <v/>
      </c>
      <c r="CM281" s="10">
        <f>MIN('02_Данные'!AO281,CL281)</f>
        <v/>
      </c>
      <c r="CN281" s="10">
        <f>CL281-CM281</f>
        <v/>
      </c>
      <c r="CO281" s="10">
        <f>MIN('02_Данные'!AP281,CN281)</f>
        <v/>
      </c>
      <c r="CP281" s="10">
        <f>CN281-CO281</f>
        <v/>
      </c>
      <c r="CQ281" s="10">
        <f>CP281+'02_Данные'!K281</f>
        <v/>
      </c>
      <c r="CR281" s="10">
        <f>MIN('02_Данные'!AR281,CQ281)</f>
        <v/>
      </c>
      <c r="CS281" s="10">
        <f>CQ281-CR281</f>
        <v/>
      </c>
      <c r="CT281" s="10">
        <f>MIN('02_Данные'!AS281,CS281)</f>
        <v/>
      </c>
      <c r="CU281" s="10">
        <f>CS281-CT281</f>
        <v/>
      </c>
      <c r="CV281" s="10">
        <f>MIN('02_Данные'!AT281,CU281)</f>
        <v/>
      </c>
      <c r="CW281" s="10">
        <f>CU281-CV281</f>
        <v/>
      </c>
      <c r="CX281" s="10">
        <f>MIN('02_Данные'!AY281,CW281)</f>
        <v/>
      </c>
      <c r="CY281" s="10">
        <f>CW281-CX281</f>
        <v/>
      </c>
      <c r="CZ281" s="10">
        <f>MIN('02_Данные'!AV281,CY281)</f>
        <v/>
      </c>
      <c r="DA281" s="10">
        <f>CY281-CZ281</f>
        <v/>
      </c>
      <c r="DB281" s="10">
        <f>MIN('02_Данные'!AU281,DA281)</f>
        <v/>
      </c>
      <c r="DC281" s="10">
        <f>DA281-DB281</f>
        <v/>
      </c>
      <c r="DD281" s="10">
        <f>MIN('02_Данные'!AW281,DC281)</f>
        <v/>
      </c>
      <c r="DE281" s="10">
        <f>DC281-DD281</f>
        <v/>
      </c>
      <c r="DF281" s="10">
        <f>MIN('02_Данные'!AX281,DE281)</f>
        <v/>
      </c>
      <c r="DG281" s="10">
        <f>DE281-DF281</f>
        <v/>
      </c>
    </row>
    <row r="282">
      <c r="A282" s="9">
        <f>'02_Данные'!B282</f>
        <v/>
      </c>
      <c r="B282" s="9">
        <f>'02_Данные'!E282</f>
        <v/>
      </c>
      <c r="C282" s="10">
        <f>'02_Данные'!F282+'02_Данные'!G282+'02_Данные'!H282+'02_Данные'!I282+'02_Данные'!J282+'02_Данные'!K282</f>
        <v/>
      </c>
      <c r="D282" s="10">
        <f>SUM('02_Данные'!L282:'02_Данные'!AY282)</f>
        <v/>
      </c>
      <c r="E282" s="10">
        <f>MAX(0,D282-C282)</f>
        <v/>
      </c>
      <c r="F282" s="15">
        <f>IF(E282&gt;0.0001,"ДЕФИЦИТ",IF(Y282&gt;0.0001,"ПРОФИЦИТ","БАЛАНС"))</f>
        <v/>
      </c>
      <c r="G282" s="10">
        <f>AB282+AS282+BJ282+CA282+CR282</f>
        <v/>
      </c>
      <c r="H282" s="10">
        <f>AD282+AU282+BL282+CC282+CT282</f>
        <v/>
      </c>
      <c r="I282" s="10">
        <f>AF282+AW282+BN282+CE282+CV282</f>
        <v/>
      </c>
      <c r="J282" s="10">
        <f>AL282+BC282+BT282+CK282+DB282</f>
        <v/>
      </c>
      <c r="K282" s="10">
        <f>AJ282+BA282+BR282+CI282+CZ282</f>
        <v/>
      </c>
      <c r="L282" s="10">
        <f>AN282+BE282+BV282+CM282+DD282</f>
        <v/>
      </c>
      <c r="M282" s="10">
        <f>AP282+BG282+BX282+CO282+DF282</f>
        <v/>
      </c>
      <c r="N282" s="10">
        <f>AH282+AY282+BP282+CG282+CX282</f>
        <v/>
      </c>
      <c r="O282" s="10">
        <f>SUM(G282:N282)</f>
        <v/>
      </c>
      <c r="P282" s="10">
        <f>IFERROR(G282*MIN(1,'01_Нормативы'!$C$4/SUM(G$2:G$429)),0)</f>
        <v/>
      </c>
      <c r="Q282" s="10">
        <f>IFERROR(H282*MIN(1,'01_Нормативы'!$C$5/SUM(H$2:H$429)),0)</f>
        <v/>
      </c>
      <c r="R282" s="10">
        <f>IFERROR(I282*MIN(1,'01_Нормативы'!$C$6/SUM(I$2:I$429)),0)</f>
        <v/>
      </c>
      <c r="S282" s="10">
        <f>IFERROR(J282*MIN(1,'01_Нормативы'!$C$7/SUM(J$2:J$429)),0)</f>
        <v/>
      </c>
      <c r="T282" s="10">
        <f>IFERROR(K282*MIN(1,'01_Нормативы'!$C$8/SUM(K$2:K$429)),0)</f>
        <v/>
      </c>
      <c r="U282" s="10">
        <f>IFERROR(L282*MIN(1,'01_Нормативы'!$C$9/SUM(L$2:L$429)),0)</f>
        <v/>
      </c>
      <c r="V282" s="10">
        <f>IFERROR(M282*MIN(1,'01_Нормативы'!$C$10/SUM(M$2:M$429)),0)</f>
        <v/>
      </c>
      <c r="W282" s="10">
        <f>IFERROR(N282*MIN(1,'01_Нормативы'!$C$11/SUM(N$2:N$429)),0)</f>
        <v/>
      </c>
      <c r="X282" s="10">
        <f>SUM(P282:W282)</f>
        <v/>
      </c>
      <c r="Y282" s="10">
        <f>MAX(0,C282-X282)</f>
        <v/>
      </c>
      <c r="Z282" s="10">
        <f>IF(D282=0,100,X282/D282*100)</f>
        <v/>
      </c>
      <c r="AA282" s="10">
        <f>'02_Данные'!F282+'02_Данные'!G282</f>
        <v/>
      </c>
      <c r="AB282" s="10">
        <f>MIN('02_Данные'!L282,AA282)</f>
        <v/>
      </c>
      <c r="AC282" s="10">
        <f>AA282-AB282</f>
        <v/>
      </c>
      <c r="AD282" s="10">
        <f>MIN('02_Данные'!M282,AC282)</f>
        <v/>
      </c>
      <c r="AE282" s="10">
        <f>AC282-AD282</f>
        <v/>
      </c>
      <c r="AF282" s="10">
        <f>MIN('02_Данные'!N282,AE282)</f>
        <v/>
      </c>
      <c r="AG282" s="10">
        <f>AE282-AF282</f>
        <v/>
      </c>
      <c r="AH282" s="10">
        <f>MIN('02_Данные'!S282,AG282)</f>
        <v/>
      </c>
      <c r="AI282" s="10">
        <f>AG282-AH282</f>
        <v/>
      </c>
      <c r="AJ282" s="10">
        <f>MIN('02_Данные'!P282,AI282)</f>
        <v/>
      </c>
      <c r="AK282" s="10">
        <f>AI282-AJ282</f>
        <v/>
      </c>
      <c r="AL282" s="10">
        <f>MIN('02_Данные'!O282,AK282)</f>
        <v/>
      </c>
      <c r="AM282" s="10">
        <f>AK282-AL282</f>
        <v/>
      </c>
      <c r="AN282" s="10">
        <f>MIN('02_Данные'!Q282,AM282)</f>
        <v/>
      </c>
      <c r="AO282" s="10">
        <f>AM282-AN282</f>
        <v/>
      </c>
      <c r="AP282" s="10">
        <f>MIN('02_Данные'!R282,AO282)</f>
        <v/>
      </c>
      <c r="AQ282" s="10">
        <f>AO282-AP282</f>
        <v/>
      </c>
      <c r="AR282" s="10">
        <f>AQ282+'02_Данные'!H282</f>
        <v/>
      </c>
      <c r="AS282" s="10">
        <f>MIN('02_Данные'!T282,AR282)</f>
        <v/>
      </c>
      <c r="AT282" s="10">
        <f>AR282-AS282</f>
        <v/>
      </c>
      <c r="AU282" s="10">
        <f>MIN('02_Данные'!U282,AT282)</f>
        <v/>
      </c>
      <c r="AV282" s="10">
        <f>AT282-AU282</f>
        <v/>
      </c>
      <c r="AW282" s="10">
        <f>MIN('02_Данные'!V282,AV282)</f>
        <v/>
      </c>
      <c r="AX282" s="10">
        <f>AV282-AW282</f>
        <v/>
      </c>
      <c r="AY282" s="10">
        <f>MIN('02_Данные'!AA282,AX282)</f>
        <v/>
      </c>
      <c r="AZ282" s="10">
        <f>AX282-AY282</f>
        <v/>
      </c>
      <c r="BA282" s="10">
        <f>MIN('02_Данные'!X282,AZ282)</f>
        <v/>
      </c>
      <c r="BB282" s="10">
        <f>AZ282-BA282</f>
        <v/>
      </c>
      <c r="BC282" s="10">
        <f>MIN('02_Данные'!W282,BB282)</f>
        <v/>
      </c>
      <c r="BD282" s="10">
        <f>BB282-BC282</f>
        <v/>
      </c>
      <c r="BE282" s="10">
        <f>MIN('02_Данные'!Y282,BD282)</f>
        <v/>
      </c>
      <c r="BF282" s="10">
        <f>BD282-BE282</f>
        <v/>
      </c>
      <c r="BG282" s="10">
        <f>MIN('02_Данные'!Z282,BF282)</f>
        <v/>
      </c>
      <c r="BH282" s="10">
        <f>BF282-BG282</f>
        <v/>
      </c>
      <c r="BI282" s="10">
        <f>BH282+'02_Данные'!I282</f>
        <v/>
      </c>
      <c r="BJ282" s="10">
        <f>MIN('02_Данные'!AB282,BI282)</f>
        <v/>
      </c>
      <c r="BK282" s="10">
        <f>BI282-BJ282</f>
        <v/>
      </c>
      <c r="BL282" s="10">
        <f>MIN('02_Данные'!AC282,BK282)</f>
        <v/>
      </c>
      <c r="BM282" s="10">
        <f>BK282-BL282</f>
        <v/>
      </c>
      <c r="BN282" s="10">
        <f>MIN('02_Данные'!AD282,BM282)</f>
        <v/>
      </c>
      <c r="BO282" s="10">
        <f>BM282-BN282</f>
        <v/>
      </c>
      <c r="BP282" s="10">
        <f>MIN('02_Данные'!AI282,BO282)</f>
        <v/>
      </c>
      <c r="BQ282" s="10">
        <f>BO282-BP282</f>
        <v/>
      </c>
      <c r="BR282" s="10">
        <f>MIN('02_Данные'!AF282,BQ282)</f>
        <v/>
      </c>
      <c r="BS282" s="10">
        <f>BQ282-BR282</f>
        <v/>
      </c>
      <c r="BT282" s="10">
        <f>MIN('02_Данные'!AE282,BS282)</f>
        <v/>
      </c>
      <c r="BU282" s="10">
        <f>BS282-BT282</f>
        <v/>
      </c>
      <c r="BV282" s="10">
        <f>MIN('02_Данные'!AG282,BU282)</f>
        <v/>
      </c>
      <c r="BW282" s="10">
        <f>BU282-BV282</f>
        <v/>
      </c>
      <c r="BX282" s="10">
        <f>MIN('02_Данные'!AH282,BW282)</f>
        <v/>
      </c>
      <c r="BY282" s="10">
        <f>BW282-BX282</f>
        <v/>
      </c>
      <c r="BZ282" s="10">
        <f>BY282+'02_Данные'!J282</f>
        <v/>
      </c>
      <c r="CA282" s="10">
        <f>MIN('02_Данные'!AJ282,BZ282)</f>
        <v/>
      </c>
      <c r="CB282" s="10">
        <f>BZ282-CA282</f>
        <v/>
      </c>
      <c r="CC282" s="10">
        <f>MIN('02_Данные'!AK282,CB282)</f>
        <v/>
      </c>
      <c r="CD282" s="10">
        <f>CB282-CC282</f>
        <v/>
      </c>
      <c r="CE282" s="10">
        <f>MIN('02_Данные'!AL282,CD282)</f>
        <v/>
      </c>
      <c r="CF282" s="10">
        <f>CD282-CE282</f>
        <v/>
      </c>
      <c r="CG282" s="10">
        <f>MIN('02_Данные'!AQ282,CF282)</f>
        <v/>
      </c>
      <c r="CH282" s="10">
        <f>CF282-CG282</f>
        <v/>
      </c>
      <c r="CI282" s="10">
        <f>MIN('02_Данные'!AN282,CH282)</f>
        <v/>
      </c>
      <c r="CJ282" s="10">
        <f>CH282-CI282</f>
        <v/>
      </c>
      <c r="CK282" s="10">
        <f>MIN('02_Данные'!AM282,CJ282)</f>
        <v/>
      </c>
      <c r="CL282" s="10">
        <f>CJ282-CK282</f>
        <v/>
      </c>
      <c r="CM282" s="10">
        <f>MIN('02_Данные'!AO282,CL282)</f>
        <v/>
      </c>
      <c r="CN282" s="10">
        <f>CL282-CM282</f>
        <v/>
      </c>
      <c r="CO282" s="10">
        <f>MIN('02_Данные'!AP282,CN282)</f>
        <v/>
      </c>
      <c r="CP282" s="10">
        <f>CN282-CO282</f>
        <v/>
      </c>
      <c r="CQ282" s="10">
        <f>CP282+'02_Данные'!K282</f>
        <v/>
      </c>
      <c r="CR282" s="10">
        <f>MIN('02_Данные'!AR282,CQ282)</f>
        <v/>
      </c>
      <c r="CS282" s="10">
        <f>CQ282-CR282</f>
        <v/>
      </c>
      <c r="CT282" s="10">
        <f>MIN('02_Данные'!AS282,CS282)</f>
        <v/>
      </c>
      <c r="CU282" s="10">
        <f>CS282-CT282</f>
        <v/>
      </c>
      <c r="CV282" s="10">
        <f>MIN('02_Данные'!AT282,CU282)</f>
        <v/>
      </c>
      <c r="CW282" s="10">
        <f>CU282-CV282</f>
        <v/>
      </c>
      <c r="CX282" s="10">
        <f>MIN('02_Данные'!AY282,CW282)</f>
        <v/>
      </c>
      <c r="CY282" s="10">
        <f>CW282-CX282</f>
        <v/>
      </c>
      <c r="CZ282" s="10">
        <f>MIN('02_Данные'!AV282,CY282)</f>
        <v/>
      </c>
      <c r="DA282" s="10">
        <f>CY282-CZ282</f>
        <v/>
      </c>
      <c r="DB282" s="10">
        <f>MIN('02_Данные'!AU282,DA282)</f>
        <v/>
      </c>
      <c r="DC282" s="10">
        <f>DA282-DB282</f>
        <v/>
      </c>
      <c r="DD282" s="10">
        <f>MIN('02_Данные'!AW282,DC282)</f>
        <v/>
      </c>
      <c r="DE282" s="10">
        <f>DC282-DD282</f>
        <v/>
      </c>
      <c r="DF282" s="10">
        <f>MIN('02_Данные'!AX282,DE282)</f>
        <v/>
      </c>
      <c r="DG282" s="10">
        <f>DE282-DF282</f>
        <v/>
      </c>
    </row>
    <row r="283">
      <c r="A283" s="9">
        <f>'02_Данные'!B283</f>
        <v/>
      </c>
      <c r="B283" s="9">
        <f>'02_Данные'!E283</f>
        <v/>
      </c>
      <c r="C283" s="10">
        <f>'02_Данные'!F283+'02_Данные'!G283+'02_Данные'!H283+'02_Данные'!I283+'02_Данные'!J283+'02_Данные'!K283</f>
        <v/>
      </c>
      <c r="D283" s="10">
        <f>SUM('02_Данные'!L283:'02_Данные'!AY283)</f>
        <v/>
      </c>
      <c r="E283" s="10">
        <f>MAX(0,D283-C283)</f>
        <v/>
      </c>
      <c r="F283" s="15">
        <f>IF(E283&gt;0.0001,"ДЕФИЦИТ",IF(Y283&gt;0.0001,"ПРОФИЦИТ","БАЛАНС"))</f>
        <v/>
      </c>
      <c r="G283" s="10">
        <f>AB283+AS283+BJ283+CA283+CR283</f>
        <v/>
      </c>
      <c r="H283" s="10">
        <f>AD283+AU283+BL283+CC283+CT283</f>
        <v/>
      </c>
      <c r="I283" s="10">
        <f>AF283+AW283+BN283+CE283+CV283</f>
        <v/>
      </c>
      <c r="J283" s="10">
        <f>AL283+BC283+BT283+CK283+DB283</f>
        <v/>
      </c>
      <c r="K283" s="10">
        <f>AJ283+BA283+BR283+CI283+CZ283</f>
        <v/>
      </c>
      <c r="L283" s="10">
        <f>AN283+BE283+BV283+CM283+DD283</f>
        <v/>
      </c>
      <c r="M283" s="10">
        <f>AP283+BG283+BX283+CO283+DF283</f>
        <v/>
      </c>
      <c r="N283" s="10">
        <f>AH283+AY283+BP283+CG283+CX283</f>
        <v/>
      </c>
      <c r="O283" s="10">
        <f>SUM(G283:N283)</f>
        <v/>
      </c>
      <c r="P283" s="10">
        <f>IFERROR(G283*MIN(1,'01_Нормативы'!$C$4/SUM(G$2:G$429)),0)</f>
        <v/>
      </c>
      <c r="Q283" s="10">
        <f>IFERROR(H283*MIN(1,'01_Нормативы'!$C$5/SUM(H$2:H$429)),0)</f>
        <v/>
      </c>
      <c r="R283" s="10">
        <f>IFERROR(I283*MIN(1,'01_Нормативы'!$C$6/SUM(I$2:I$429)),0)</f>
        <v/>
      </c>
      <c r="S283" s="10">
        <f>IFERROR(J283*MIN(1,'01_Нормативы'!$C$7/SUM(J$2:J$429)),0)</f>
        <v/>
      </c>
      <c r="T283" s="10">
        <f>IFERROR(K283*MIN(1,'01_Нормативы'!$C$8/SUM(K$2:K$429)),0)</f>
        <v/>
      </c>
      <c r="U283" s="10">
        <f>IFERROR(L283*MIN(1,'01_Нормативы'!$C$9/SUM(L$2:L$429)),0)</f>
        <v/>
      </c>
      <c r="V283" s="10">
        <f>IFERROR(M283*MIN(1,'01_Нормативы'!$C$10/SUM(M$2:M$429)),0)</f>
        <v/>
      </c>
      <c r="W283" s="10">
        <f>IFERROR(N283*MIN(1,'01_Нормативы'!$C$11/SUM(N$2:N$429)),0)</f>
        <v/>
      </c>
      <c r="X283" s="10">
        <f>SUM(P283:W283)</f>
        <v/>
      </c>
      <c r="Y283" s="10">
        <f>MAX(0,C283-X283)</f>
        <v/>
      </c>
      <c r="Z283" s="10">
        <f>IF(D283=0,100,X283/D283*100)</f>
        <v/>
      </c>
      <c r="AA283" s="10">
        <f>'02_Данные'!F283+'02_Данные'!G283</f>
        <v/>
      </c>
      <c r="AB283" s="10">
        <f>MIN('02_Данные'!L283,AA283)</f>
        <v/>
      </c>
      <c r="AC283" s="10">
        <f>AA283-AB283</f>
        <v/>
      </c>
      <c r="AD283" s="10">
        <f>MIN('02_Данные'!M283,AC283)</f>
        <v/>
      </c>
      <c r="AE283" s="10">
        <f>AC283-AD283</f>
        <v/>
      </c>
      <c r="AF283" s="10">
        <f>MIN('02_Данные'!N283,AE283)</f>
        <v/>
      </c>
      <c r="AG283" s="10">
        <f>AE283-AF283</f>
        <v/>
      </c>
      <c r="AH283" s="10">
        <f>MIN('02_Данные'!S283,AG283)</f>
        <v/>
      </c>
      <c r="AI283" s="10">
        <f>AG283-AH283</f>
        <v/>
      </c>
      <c r="AJ283" s="10">
        <f>MIN('02_Данные'!P283,AI283)</f>
        <v/>
      </c>
      <c r="AK283" s="10">
        <f>AI283-AJ283</f>
        <v/>
      </c>
      <c r="AL283" s="10">
        <f>MIN('02_Данные'!O283,AK283)</f>
        <v/>
      </c>
      <c r="AM283" s="10">
        <f>AK283-AL283</f>
        <v/>
      </c>
      <c r="AN283" s="10">
        <f>MIN('02_Данные'!Q283,AM283)</f>
        <v/>
      </c>
      <c r="AO283" s="10">
        <f>AM283-AN283</f>
        <v/>
      </c>
      <c r="AP283" s="10">
        <f>MIN('02_Данные'!R283,AO283)</f>
        <v/>
      </c>
      <c r="AQ283" s="10">
        <f>AO283-AP283</f>
        <v/>
      </c>
      <c r="AR283" s="10">
        <f>AQ283+'02_Данные'!H283</f>
        <v/>
      </c>
      <c r="AS283" s="10">
        <f>MIN('02_Данные'!T283,AR283)</f>
        <v/>
      </c>
      <c r="AT283" s="10">
        <f>AR283-AS283</f>
        <v/>
      </c>
      <c r="AU283" s="10">
        <f>MIN('02_Данные'!U283,AT283)</f>
        <v/>
      </c>
      <c r="AV283" s="10">
        <f>AT283-AU283</f>
        <v/>
      </c>
      <c r="AW283" s="10">
        <f>MIN('02_Данные'!V283,AV283)</f>
        <v/>
      </c>
      <c r="AX283" s="10">
        <f>AV283-AW283</f>
        <v/>
      </c>
      <c r="AY283" s="10">
        <f>MIN('02_Данные'!AA283,AX283)</f>
        <v/>
      </c>
      <c r="AZ283" s="10">
        <f>AX283-AY283</f>
        <v/>
      </c>
      <c r="BA283" s="10">
        <f>MIN('02_Данные'!X283,AZ283)</f>
        <v/>
      </c>
      <c r="BB283" s="10">
        <f>AZ283-BA283</f>
        <v/>
      </c>
      <c r="BC283" s="10">
        <f>MIN('02_Данные'!W283,BB283)</f>
        <v/>
      </c>
      <c r="BD283" s="10">
        <f>BB283-BC283</f>
        <v/>
      </c>
      <c r="BE283" s="10">
        <f>MIN('02_Данные'!Y283,BD283)</f>
        <v/>
      </c>
      <c r="BF283" s="10">
        <f>BD283-BE283</f>
        <v/>
      </c>
      <c r="BG283" s="10">
        <f>MIN('02_Данные'!Z283,BF283)</f>
        <v/>
      </c>
      <c r="BH283" s="10">
        <f>BF283-BG283</f>
        <v/>
      </c>
      <c r="BI283" s="10">
        <f>BH283+'02_Данные'!I283</f>
        <v/>
      </c>
      <c r="BJ283" s="10">
        <f>MIN('02_Данные'!AB283,BI283)</f>
        <v/>
      </c>
      <c r="BK283" s="10">
        <f>BI283-BJ283</f>
        <v/>
      </c>
      <c r="BL283" s="10">
        <f>MIN('02_Данные'!AC283,BK283)</f>
        <v/>
      </c>
      <c r="BM283" s="10">
        <f>BK283-BL283</f>
        <v/>
      </c>
      <c r="BN283" s="10">
        <f>MIN('02_Данные'!AD283,BM283)</f>
        <v/>
      </c>
      <c r="BO283" s="10">
        <f>BM283-BN283</f>
        <v/>
      </c>
      <c r="BP283" s="10">
        <f>MIN('02_Данные'!AI283,BO283)</f>
        <v/>
      </c>
      <c r="BQ283" s="10">
        <f>BO283-BP283</f>
        <v/>
      </c>
      <c r="BR283" s="10">
        <f>MIN('02_Данные'!AF283,BQ283)</f>
        <v/>
      </c>
      <c r="BS283" s="10">
        <f>BQ283-BR283</f>
        <v/>
      </c>
      <c r="BT283" s="10">
        <f>MIN('02_Данные'!AE283,BS283)</f>
        <v/>
      </c>
      <c r="BU283" s="10">
        <f>BS283-BT283</f>
        <v/>
      </c>
      <c r="BV283" s="10">
        <f>MIN('02_Данные'!AG283,BU283)</f>
        <v/>
      </c>
      <c r="BW283" s="10">
        <f>BU283-BV283</f>
        <v/>
      </c>
      <c r="BX283" s="10">
        <f>MIN('02_Данные'!AH283,BW283)</f>
        <v/>
      </c>
      <c r="BY283" s="10">
        <f>BW283-BX283</f>
        <v/>
      </c>
      <c r="BZ283" s="10">
        <f>BY283+'02_Данные'!J283</f>
        <v/>
      </c>
      <c r="CA283" s="10">
        <f>MIN('02_Данные'!AJ283,BZ283)</f>
        <v/>
      </c>
      <c r="CB283" s="10">
        <f>BZ283-CA283</f>
        <v/>
      </c>
      <c r="CC283" s="10">
        <f>MIN('02_Данные'!AK283,CB283)</f>
        <v/>
      </c>
      <c r="CD283" s="10">
        <f>CB283-CC283</f>
        <v/>
      </c>
      <c r="CE283" s="10">
        <f>MIN('02_Данные'!AL283,CD283)</f>
        <v/>
      </c>
      <c r="CF283" s="10">
        <f>CD283-CE283</f>
        <v/>
      </c>
      <c r="CG283" s="10">
        <f>MIN('02_Данные'!AQ283,CF283)</f>
        <v/>
      </c>
      <c r="CH283" s="10">
        <f>CF283-CG283</f>
        <v/>
      </c>
      <c r="CI283" s="10">
        <f>MIN('02_Данные'!AN283,CH283)</f>
        <v/>
      </c>
      <c r="CJ283" s="10">
        <f>CH283-CI283</f>
        <v/>
      </c>
      <c r="CK283" s="10">
        <f>MIN('02_Данные'!AM283,CJ283)</f>
        <v/>
      </c>
      <c r="CL283" s="10">
        <f>CJ283-CK283</f>
        <v/>
      </c>
      <c r="CM283" s="10">
        <f>MIN('02_Данные'!AO283,CL283)</f>
        <v/>
      </c>
      <c r="CN283" s="10">
        <f>CL283-CM283</f>
        <v/>
      </c>
      <c r="CO283" s="10">
        <f>MIN('02_Данные'!AP283,CN283)</f>
        <v/>
      </c>
      <c r="CP283" s="10">
        <f>CN283-CO283</f>
        <v/>
      </c>
      <c r="CQ283" s="10">
        <f>CP283+'02_Данные'!K283</f>
        <v/>
      </c>
      <c r="CR283" s="10">
        <f>MIN('02_Данные'!AR283,CQ283)</f>
        <v/>
      </c>
      <c r="CS283" s="10">
        <f>CQ283-CR283</f>
        <v/>
      </c>
      <c r="CT283" s="10">
        <f>MIN('02_Данные'!AS283,CS283)</f>
        <v/>
      </c>
      <c r="CU283" s="10">
        <f>CS283-CT283</f>
        <v/>
      </c>
      <c r="CV283" s="10">
        <f>MIN('02_Данные'!AT283,CU283)</f>
        <v/>
      </c>
      <c r="CW283" s="10">
        <f>CU283-CV283</f>
        <v/>
      </c>
      <c r="CX283" s="10">
        <f>MIN('02_Данные'!AY283,CW283)</f>
        <v/>
      </c>
      <c r="CY283" s="10">
        <f>CW283-CX283</f>
        <v/>
      </c>
      <c r="CZ283" s="10">
        <f>MIN('02_Данные'!AV283,CY283)</f>
        <v/>
      </c>
      <c r="DA283" s="10">
        <f>CY283-CZ283</f>
        <v/>
      </c>
      <c r="DB283" s="10">
        <f>MIN('02_Данные'!AU283,DA283)</f>
        <v/>
      </c>
      <c r="DC283" s="10">
        <f>DA283-DB283</f>
        <v/>
      </c>
      <c r="DD283" s="10">
        <f>MIN('02_Данные'!AW283,DC283)</f>
        <v/>
      </c>
      <c r="DE283" s="10">
        <f>DC283-DD283</f>
        <v/>
      </c>
      <c r="DF283" s="10">
        <f>MIN('02_Данные'!AX283,DE283)</f>
        <v/>
      </c>
      <c r="DG283" s="10">
        <f>DE283-DF283</f>
        <v/>
      </c>
    </row>
    <row r="284">
      <c r="A284" s="9">
        <f>'02_Данные'!B284</f>
        <v/>
      </c>
      <c r="B284" s="9">
        <f>'02_Данные'!E284</f>
        <v/>
      </c>
      <c r="C284" s="10">
        <f>'02_Данные'!F284+'02_Данные'!G284+'02_Данные'!H284+'02_Данные'!I284+'02_Данные'!J284+'02_Данные'!K284</f>
        <v/>
      </c>
      <c r="D284" s="10">
        <f>SUM('02_Данные'!L284:'02_Данные'!AY284)</f>
        <v/>
      </c>
      <c r="E284" s="10">
        <f>MAX(0,D284-C284)</f>
        <v/>
      </c>
      <c r="F284" s="15">
        <f>IF(E284&gt;0.0001,"ДЕФИЦИТ",IF(Y284&gt;0.0001,"ПРОФИЦИТ","БАЛАНС"))</f>
        <v/>
      </c>
      <c r="G284" s="10">
        <f>AB284+AS284+BJ284+CA284+CR284</f>
        <v/>
      </c>
      <c r="H284" s="10">
        <f>AD284+AU284+BL284+CC284+CT284</f>
        <v/>
      </c>
      <c r="I284" s="10">
        <f>AF284+AW284+BN284+CE284+CV284</f>
        <v/>
      </c>
      <c r="J284" s="10">
        <f>AL284+BC284+BT284+CK284+DB284</f>
        <v/>
      </c>
      <c r="K284" s="10">
        <f>AJ284+BA284+BR284+CI284+CZ284</f>
        <v/>
      </c>
      <c r="L284" s="10">
        <f>AN284+BE284+BV284+CM284+DD284</f>
        <v/>
      </c>
      <c r="M284" s="10">
        <f>AP284+BG284+BX284+CO284+DF284</f>
        <v/>
      </c>
      <c r="N284" s="10">
        <f>AH284+AY284+BP284+CG284+CX284</f>
        <v/>
      </c>
      <c r="O284" s="10">
        <f>SUM(G284:N284)</f>
        <v/>
      </c>
      <c r="P284" s="10">
        <f>IFERROR(G284*MIN(1,'01_Нормативы'!$C$4/SUM(G$2:G$429)),0)</f>
        <v/>
      </c>
      <c r="Q284" s="10">
        <f>IFERROR(H284*MIN(1,'01_Нормативы'!$C$5/SUM(H$2:H$429)),0)</f>
        <v/>
      </c>
      <c r="R284" s="10">
        <f>IFERROR(I284*MIN(1,'01_Нормативы'!$C$6/SUM(I$2:I$429)),0)</f>
        <v/>
      </c>
      <c r="S284" s="10">
        <f>IFERROR(J284*MIN(1,'01_Нормативы'!$C$7/SUM(J$2:J$429)),0)</f>
        <v/>
      </c>
      <c r="T284" s="10">
        <f>IFERROR(K284*MIN(1,'01_Нормативы'!$C$8/SUM(K$2:K$429)),0)</f>
        <v/>
      </c>
      <c r="U284" s="10">
        <f>IFERROR(L284*MIN(1,'01_Нормативы'!$C$9/SUM(L$2:L$429)),0)</f>
        <v/>
      </c>
      <c r="V284" s="10">
        <f>IFERROR(M284*MIN(1,'01_Нормативы'!$C$10/SUM(M$2:M$429)),0)</f>
        <v/>
      </c>
      <c r="W284" s="10">
        <f>IFERROR(N284*MIN(1,'01_Нормативы'!$C$11/SUM(N$2:N$429)),0)</f>
        <v/>
      </c>
      <c r="X284" s="10">
        <f>SUM(P284:W284)</f>
        <v/>
      </c>
      <c r="Y284" s="10">
        <f>MAX(0,C284-X284)</f>
        <v/>
      </c>
      <c r="Z284" s="10">
        <f>IF(D284=0,100,X284/D284*100)</f>
        <v/>
      </c>
      <c r="AA284" s="10">
        <f>'02_Данные'!F284+'02_Данные'!G284</f>
        <v/>
      </c>
      <c r="AB284" s="10">
        <f>MIN('02_Данные'!L284,AA284)</f>
        <v/>
      </c>
      <c r="AC284" s="10">
        <f>AA284-AB284</f>
        <v/>
      </c>
      <c r="AD284" s="10">
        <f>MIN('02_Данные'!M284,AC284)</f>
        <v/>
      </c>
      <c r="AE284" s="10">
        <f>AC284-AD284</f>
        <v/>
      </c>
      <c r="AF284" s="10">
        <f>MIN('02_Данные'!N284,AE284)</f>
        <v/>
      </c>
      <c r="AG284" s="10">
        <f>AE284-AF284</f>
        <v/>
      </c>
      <c r="AH284" s="10">
        <f>MIN('02_Данные'!S284,AG284)</f>
        <v/>
      </c>
      <c r="AI284" s="10">
        <f>AG284-AH284</f>
        <v/>
      </c>
      <c r="AJ284" s="10">
        <f>MIN('02_Данные'!P284,AI284)</f>
        <v/>
      </c>
      <c r="AK284" s="10">
        <f>AI284-AJ284</f>
        <v/>
      </c>
      <c r="AL284" s="10">
        <f>MIN('02_Данные'!O284,AK284)</f>
        <v/>
      </c>
      <c r="AM284" s="10">
        <f>AK284-AL284</f>
        <v/>
      </c>
      <c r="AN284" s="10">
        <f>MIN('02_Данные'!Q284,AM284)</f>
        <v/>
      </c>
      <c r="AO284" s="10">
        <f>AM284-AN284</f>
        <v/>
      </c>
      <c r="AP284" s="10">
        <f>MIN('02_Данные'!R284,AO284)</f>
        <v/>
      </c>
      <c r="AQ284" s="10">
        <f>AO284-AP284</f>
        <v/>
      </c>
      <c r="AR284" s="10">
        <f>AQ284+'02_Данные'!H284</f>
        <v/>
      </c>
      <c r="AS284" s="10">
        <f>MIN('02_Данные'!T284,AR284)</f>
        <v/>
      </c>
      <c r="AT284" s="10">
        <f>AR284-AS284</f>
        <v/>
      </c>
      <c r="AU284" s="10">
        <f>MIN('02_Данные'!U284,AT284)</f>
        <v/>
      </c>
      <c r="AV284" s="10">
        <f>AT284-AU284</f>
        <v/>
      </c>
      <c r="AW284" s="10">
        <f>MIN('02_Данные'!V284,AV284)</f>
        <v/>
      </c>
      <c r="AX284" s="10">
        <f>AV284-AW284</f>
        <v/>
      </c>
      <c r="AY284" s="10">
        <f>MIN('02_Данные'!AA284,AX284)</f>
        <v/>
      </c>
      <c r="AZ284" s="10">
        <f>AX284-AY284</f>
        <v/>
      </c>
      <c r="BA284" s="10">
        <f>MIN('02_Данные'!X284,AZ284)</f>
        <v/>
      </c>
      <c r="BB284" s="10">
        <f>AZ284-BA284</f>
        <v/>
      </c>
      <c r="BC284" s="10">
        <f>MIN('02_Данные'!W284,BB284)</f>
        <v/>
      </c>
      <c r="BD284" s="10">
        <f>BB284-BC284</f>
        <v/>
      </c>
      <c r="BE284" s="10">
        <f>MIN('02_Данные'!Y284,BD284)</f>
        <v/>
      </c>
      <c r="BF284" s="10">
        <f>BD284-BE284</f>
        <v/>
      </c>
      <c r="BG284" s="10">
        <f>MIN('02_Данные'!Z284,BF284)</f>
        <v/>
      </c>
      <c r="BH284" s="10">
        <f>BF284-BG284</f>
        <v/>
      </c>
      <c r="BI284" s="10">
        <f>BH284+'02_Данные'!I284</f>
        <v/>
      </c>
      <c r="BJ284" s="10">
        <f>MIN('02_Данные'!AB284,BI284)</f>
        <v/>
      </c>
      <c r="BK284" s="10">
        <f>BI284-BJ284</f>
        <v/>
      </c>
      <c r="BL284" s="10">
        <f>MIN('02_Данные'!AC284,BK284)</f>
        <v/>
      </c>
      <c r="BM284" s="10">
        <f>BK284-BL284</f>
        <v/>
      </c>
      <c r="BN284" s="10">
        <f>MIN('02_Данные'!AD284,BM284)</f>
        <v/>
      </c>
      <c r="BO284" s="10">
        <f>BM284-BN284</f>
        <v/>
      </c>
      <c r="BP284" s="10">
        <f>MIN('02_Данные'!AI284,BO284)</f>
        <v/>
      </c>
      <c r="BQ284" s="10">
        <f>BO284-BP284</f>
        <v/>
      </c>
      <c r="BR284" s="10">
        <f>MIN('02_Данные'!AF284,BQ284)</f>
        <v/>
      </c>
      <c r="BS284" s="10">
        <f>BQ284-BR284</f>
        <v/>
      </c>
      <c r="BT284" s="10">
        <f>MIN('02_Данные'!AE284,BS284)</f>
        <v/>
      </c>
      <c r="BU284" s="10">
        <f>BS284-BT284</f>
        <v/>
      </c>
      <c r="BV284" s="10">
        <f>MIN('02_Данные'!AG284,BU284)</f>
        <v/>
      </c>
      <c r="BW284" s="10">
        <f>BU284-BV284</f>
        <v/>
      </c>
      <c r="BX284" s="10">
        <f>MIN('02_Данные'!AH284,BW284)</f>
        <v/>
      </c>
      <c r="BY284" s="10">
        <f>BW284-BX284</f>
        <v/>
      </c>
      <c r="BZ284" s="10">
        <f>BY284+'02_Данные'!J284</f>
        <v/>
      </c>
      <c r="CA284" s="10">
        <f>MIN('02_Данные'!AJ284,BZ284)</f>
        <v/>
      </c>
      <c r="CB284" s="10">
        <f>BZ284-CA284</f>
        <v/>
      </c>
      <c r="CC284" s="10">
        <f>MIN('02_Данные'!AK284,CB284)</f>
        <v/>
      </c>
      <c r="CD284" s="10">
        <f>CB284-CC284</f>
        <v/>
      </c>
      <c r="CE284" s="10">
        <f>MIN('02_Данные'!AL284,CD284)</f>
        <v/>
      </c>
      <c r="CF284" s="10">
        <f>CD284-CE284</f>
        <v/>
      </c>
      <c r="CG284" s="10">
        <f>MIN('02_Данные'!AQ284,CF284)</f>
        <v/>
      </c>
      <c r="CH284" s="10">
        <f>CF284-CG284</f>
        <v/>
      </c>
      <c r="CI284" s="10">
        <f>MIN('02_Данные'!AN284,CH284)</f>
        <v/>
      </c>
      <c r="CJ284" s="10">
        <f>CH284-CI284</f>
        <v/>
      </c>
      <c r="CK284" s="10">
        <f>MIN('02_Данные'!AM284,CJ284)</f>
        <v/>
      </c>
      <c r="CL284" s="10">
        <f>CJ284-CK284</f>
        <v/>
      </c>
      <c r="CM284" s="10">
        <f>MIN('02_Данные'!AO284,CL284)</f>
        <v/>
      </c>
      <c r="CN284" s="10">
        <f>CL284-CM284</f>
        <v/>
      </c>
      <c r="CO284" s="10">
        <f>MIN('02_Данные'!AP284,CN284)</f>
        <v/>
      </c>
      <c r="CP284" s="10">
        <f>CN284-CO284</f>
        <v/>
      </c>
      <c r="CQ284" s="10">
        <f>CP284+'02_Данные'!K284</f>
        <v/>
      </c>
      <c r="CR284" s="10">
        <f>MIN('02_Данные'!AR284,CQ284)</f>
        <v/>
      </c>
      <c r="CS284" s="10">
        <f>CQ284-CR284</f>
        <v/>
      </c>
      <c r="CT284" s="10">
        <f>MIN('02_Данные'!AS284,CS284)</f>
        <v/>
      </c>
      <c r="CU284" s="10">
        <f>CS284-CT284</f>
        <v/>
      </c>
      <c r="CV284" s="10">
        <f>MIN('02_Данные'!AT284,CU284)</f>
        <v/>
      </c>
      <c r="CW284" s="10">
        <f>CU284-CV284</f>
        <v/>
      </c>
      <c r="CX284" s="10">
        <f>MIN('02_Данные'!AY284,CW284)</f>
        <v/>
      </c>
      <c r="CY284" s="10">
        <f>CW284-CX284</f>
        <v/>
      </c>
      <c r="CZ284" s="10">
        <f>MIN('02_Данные'!AV284,CY284)</f>
        <v/>
      </c>
      <c r="DA284" s="10">
        <f>CY284-CZ284</f>
        <v/>
      </c>
      <c r="DB284" s="10">
        <f>MIN('02_Данные'!AU284,DA284)</f>
        <v/>
      </c>
      <c r="DC284" s="10">
        <f>DA284-DB284</f>
        <v/>
      </c>
      <c r="DD284" s="10">
        <f>MIN('02_Данные'!AW284,DC284)</f>
        <v/>
      </c>
      <c r="DE284" s="10">
        <f>DC284-DD284</f>
        <v/>
      </c>
      <c r="DF284" s="10">
        <f>MIN('02_Данные'!AX284,DE284)</f>
        <v/>
      </c>
      <c r="DG284" s="10">
        <f>DE284-DF284</f>
        <v/>
      </c>
    </row>
    <row r="285">
      <c r="A285" s="9">
        <f>'02_Данные'!B285</f>
        <v/>
      </c>
      <c r="B285" s="9">
        <f>'02_Данные'!E285</f>
        <v/>
      </c>
      <c r="C285" s="10">
        <f>'02_Данные'!F285+'02_Данные'!G285+'02_Данные'!H285+'02_Данные'!I285+'02_Данные'!J285+'02_Данные'!K285</f>
        <v/>
      </c>
      <c r="D285" s="10">
        <f>SUM('02_Данные'!L285:'02_Данные'!AY285)</f>
        <v/>
      </c>
      <c r="E285" s="10">
        <f>MAX(0,D285-C285)</f>
        <v/>
      </c>
      <c r="F285" s="15">
        <f>IF(E285&gt;0.0001,"ДЕФИЦИТ",IF(Y285&gt;0.0001,"ПРОФИЦИТ","БАЛАНС"))</f>
        <v/>
      </c>
      <c r="G285" s="10">
        <f>AB285+AS285+BJ285+CA285+CR285</f>
        <v/>
      </c>
      <c r="H285" s="10">
        <f>AD285+AU285+BL285+CC285+CT285</f>
        <v/>
      </c>
      <c r="I285" s="10">
        <f>AF285+AW285+BN285+CE285+CV285</f>
        <v/>
      </c>
      <c r="J285" s="10">
        <f>AL285+BC285+BT285+CK285+DB285</f>
        <v/>
      </c>
      <c r="K285" s="10">
        <f>AJ285+BA285+BR285+CI285+CZ285</f>
        <v/>
      </c>
      <c r="L285" s="10">
        <f>AN285+BE285+BV285+CM285+DD285</f>
        <v/>
      </c>
      <c r="M285" s="10">
        <f>AP285+BG285+BX285+CO285+DF285</f>
        <v/>
      </c>
      <c r="N285" s="10">
        <f>AH285+AY285+BP285+CG285+CX285</f>
        <v/>
      </c>
      <c r="O285" s="10">
        <f>SUM(G285:N285)</f>
        <v/>
      </c>
      <c r="P285" s="10">
        <f>IFERROR(G285*MIN(1,'01_Нормативы'!$C$4/SUM(G$2:G$429)),0)</f>
        <v/>
      </c>
      <c r="Q285" s="10">
        <f>IFERROR(H285*MIN(1,'01_Нормативы'!$C$5/SUM(H$2:H$429)),0)</f>
        <v/>
      </c>
      <c r="R285" s="10">
        <f>IFERROR(I285*MIN(1,'01_Нормативы'!$C$6/SUM(I$2:I$429)),0)</f>
        <v/>
      </c>
      <c r="S285" s="10">
        <f>IFERROR(J285*MIN(1,'01_Нормативы'!$C$7/SUM(J$2:J$429)),0)</f>
        <v/>
      </c>
      <c r="T285" s="10">
        <f>IFERROR(K285*MIN(1,'01_Нормативы'!$C$8/SUM(K$2:K$429)),0)</f>
        <v/>
      </c>
      <c r="U285" s="10">
        <f>IFERROR(L285*MIN(1,'01_Нормативы'!$C$9/SUM(L$2:L$429)),0)</f>
        <v/>
      </c>
      <c r="V285" s="10">
        <f>IFERROR(M285*MIN(1,'01_Нормативы'!$C$10/SUM(M$2:M$429)),0)</f>
        <v/>
      </c>
      <c r="W285" s="10">
        <f>IFERROR(N285*MIN(1,'01_Нормативы'!$C$11/SUM(N$2:N$429)),0)</f>
        <v/>
      </c>
      <c r="X285" s="10">
        <f>SUM(P285:W285)</f>
        <v/>
      </c>
      <c r="Y285" s="10">
        <f>MAX(0,C285-X285)</f>
        <v/>
      </c>
      <c r="Z285" s="10">
        <f>IF(D285=0,100,X285/D285*100)</f>
        <v/>
      </c>
      <c r="AA285" s="10">
        <f>'02_Данные'!F285+'02_Данные'!G285</f>
        <v/>
      </c>
      <c r="AB285" s="10">
        <f>MIN('02_Данные'!L285,AA285)</f>
        <v/>
      </c>
      <c r="AC285" s="10">
        <f>AA285-AB285</f>
        <v/>
      </c>
      <c r="AD285" s="10">
        <f>MIN('02_Данные'!M285,AC285)</f>
        <v/>
      </c>
      <c r="AE285" s="10">
        <f>AC285-AD285</f>
        <v/>
      </c>
      <c r="AF285" s="10">
        <f>MIN('02_Данные'!N285,AE285)</f>
        <v/>
      </c>
      <c r="AG285" s="10">
        <f>AE285-AF285</f>
        <v/>
      </c>
      <c r="AH285" s="10">
        <f>MIN('02_Данные'!S285,AG285)</f>
        <v/>
      </c>
      <c r="AI285" s="10">
        <f>AG285-AH285</f>
        <v/>
      </c>
      <c r="AJ285" s="10">
        <f>MIN('02_Данные'!P285,AI285)</f>
        <v/>
      </c>
      <c r="AK285" s="10">
        <f>AI285-AJ285</f>
        <v/>
      </c>
      <c r="AL285" s="10">
        <f>MIN('02_Данные'!O285,AK285)</f>
        <v/>
      </c>
      <c r="AM285" s="10">
        <f>AK285-AL285</f>
        <v/>
      </c>
      <c r="AN285" s="10">
        <f>MIN('02_Данные'!Q285,AM285)</f>
        <v/>
      </c>
      <c r="AO285" s="10">
        <f>AM285-AN285</f>
        <v/>
      </c>
      <c r="AP285" s="10">
        <f>MIN('02_Данные'!R285,AO285)</f>
        <v/>
      </c>
      <c r="AQ285" s="10">
        <f>AO285-AP285</f>
        <v/>
      </c>
      <c r="AR285" s="10">
        <f>AQ285+'02_Данные'!H285</f>
        <v/>
      </c>
      <c r="AS285" s="10">
        <f>MIN('02_Данные'!T285,AR285)</f>
        <v/>
      </c>
      <c r="AT285" s="10">
        <f>AR285-AS285</f>
        <v/>
      </c>
      <c r="AU285" s="10">
        <f>MIN('02_Данные'!U285,AT285)</f>
        <v/>
      </c>
      <c r="AV285" s="10">
        <f>AT285-AU285</f>
        <v/>
      </c>
      <c r="AW285" s="10">
        <f>MIN('02_Данные'!V285,AV285)</f>
        <v/>
      </c>
      <c r="AX285" s="10">
        <f>AV285-AW285</f>
        <v/>
      </c>
      <c r="AY285" s="10">
        <f>MIN('02_Данные'!AA285,AX285)</f>
        <v/>
      </c>
      <c r="AZ285" s="10">
        <f>AX285-AY285</f>
        <v/>
      </c>
      <c r="BA285" s="10">
        <f>MIN('02_Данные'!X285,AZ285)</f>
        <v/>
      </c>
      <c r="BB285" s="10">
        <f>AZ285-BA285</f>
        <v/>
      </c>
      <c r="BC285" s="10">
        <f>MIN('02_Данные'!W285,BB285)</f>
        <v/>
      </c>
      <c r="BD285" s="10">
        <f>BB285-BC285</f>
        <v/>
      </c>
      <c r="BE285" s="10">
        <f>MIN('02_Данные'!Y285,BD285)</f>
        <v/>
      </c>
      <c r="BF285" s="10">
        <f>BD285-BE285</f>
        <v/>
      </c>
      <c r="BG285" s="10">
        <f>MIN('02_Данные'!Z285,BF285)</f>
        <v/>
      </c>
      <c r="BH285" s="10">
        <f>BF285-BG285</f>
        <v/>
      </c>
      <c r="BI285" s="10">
        <f>BH285+'02_Данные'!I285</f>
        <v/>
      </c>
      <c r="BJ285" s="10">
        <f>MIN('02_Данные'!AB285,BI285)</f>
        <v/>
      </c>
      <c r="BK285" s="10">
        <f>BI285-BJ285</f>
        <v/>
      </c>
      <c r="BL285" s="10">
        <f>MIN('02_Данные'!AC285,BK285)</f>
        <v/>
      </c>
      <c r="BM285" s="10">
        <f>BK285-BL285</f>
        <v/>
      </c>
      <c r="BN285" s="10">
        <f>MIN('02_Данные'!AD285,BM285)</f>
        <v/>
      </c>
      <c r="BO285" s="10">
        <f>BM285-BN285</f>
        <v/>
      </c>
      <c r="BP285" s="10">
        <f>MIN('02_Данные'!AI285,BO285)</f>
        <v/>
      </c>
      <c r="BQ285" s="10">
        <f>BO285-BP285</f>
        <v/>
      </c>
      <c r="BR285" s="10">
        <f>MIN('02_Данные'!AF285,BQ285)</f>
        <v/>
      </c>
      <c r="BS285" s="10">
        <f>BQ285-BR285</f>
        <v/>
      </c>
      <c r="BT285" s="10">
        <f>MIN('02_Данные'!AE285,BS285)</f>
        <v/>
      </c>
      <c r="BU285" s="10">
        <f>BS285-BT285</f>
        <v/>
      </c>
      <c r="BV285" s="10">
        <f>MIN('02_Данные'!AG285,BU285)</f>
        <v/>
      </c>
      <c r="BW285" s="10">
        <f>BU285-BV285</f>
        <v/>
      </c>
      <c r="BX285" s="10">
        <f>MIN('02_Данные'!AH285,BW285)</f>
        <v/>
      </c>
      <c r="BY285" s="10">
        <f>BW285-BX285</f>
        <v/>
      </c>
      <c r="BZ285" s="10">
        <f>BY285+'02_Данные'!J285</f>
        <v/>
      </c>
      <c r="CA285" s="10">
        <f>MIN('02_Данные'!AJ285,BZ285)</f>
        <v/>
      </c>
      <c r="CB285" s="10">
        <f>BZ285-CA285</f>
        <v/>
      </c>
      <c r="CC285" s="10">
        <f>MIN('02_Данные'!AK285,CB285)</f>
        <v/>
      </c>
      <c r="CD285" s="10">
        <f>CB285-CC285</f>
        <v/>
      </c>
      <c r="CE285" s="10">
        <f>MIN('02_Данные'!AL285,CD285)</f>
        <v/>
      </c>
      <c r="CF285" s="10">
        <f>CD285-CE285</f>
        <v/>
      </c>
      <c r="CG285" s="10">
        <f>MIN('02_Данные'!AQ285,CF285)</f>
        <v/>
      </c>
      <c r="CH285" s="10">
        <f>CF285-CG285</f>
        <v/>
      </c>
      <c r="CI285" s="10">
        <f>MIN('02_Данные'!AN285,CH285)</f>
        <v/>
      </c>
      <c r="CJ285" s="10">
        <f>CH285-CI285</f>
        <v/>
      </c>
      <c r="CK285" s="10">
        <f>MIN('02_Данные'!AM285,CJ285)</f>
        <v/>
      </c>
      <c r="CL285" s="10">
        <f>CJ285-CK285</f>
        <v/>
      </c>
      <c r="CM285" s="10">
        <f>MIN('02_Данные'!AO285,CL285)</f>
        <v/>
      </c>
      <c r="CN285" s="10">
        <f>CL285-CM285</f>
        <v/>
      </c>
      <c r="CO285" s="10">
        <f>MIN('02_Данные'!AP285,CN285)</f>
        <v/>
      </c>
      <c r="CP285" s="10">
        <f>CN285-CO285</f>
        <v/>
      </c>
      <c r="CQ285" s="10">
        <f>CP285+'02_Данные'!K285</f>
        <v/>
      </c>
      <c r="CR285" s="10">
        <f>MIN('02_Данные'!AR285,CQ285)</f>
        <v/>
      </c>
      <c r="CS285" s="10">
        <f>CQ285-CR285</f>
        <v/>
      </c>
      <c r="CT285" s="10">
        <f>MIN('02_Данные'!AS285,CS285)</f>
        <v/>
      </c>
      <c r="CU285" s="10">
        <f>CS285-CT285</f>
        <v/>
      </c>
      <c r="CV285" s="10">
        <f>MIN('02_Данные'!AT285,CU285)</f>
        <v/>
      </c>
      <c r="CW285" s="10">
        <f>CU285-CV285</f>
        <v/>
      </c>
      <c r="CX285" s="10">
        <f>MIN('02_Данные'!AY285,CW285)</f>
        <v/>
      </c>
      <c r="CY285" s="10">
        <f>CW285-CX285</f>
        <v/>
      </c>
      <c r="CZ285" s="10">
        <f>MIN('02_Данные'!AV285,CY285)</f>
        <v/>
      </c>
      <c r="DA285" s="10">
        <f>CY285-CZ285</f>
        <v/>
      </c>
      <c r="DB285" s="10">
        <f>MIN('02_Данные'!AU285,DA285)</f>
        <v/>
      </c>
      <c r="DC285" s="10">
        <f>DA285-DB285</f>
        <v/>
      </c>
      <c r="DD285" s="10">
        <f>MIN('02_Данные'!AW285,DC285)</f>
        <v/>
      </c>
      <c r="DE285" s="10">
        <f>DC285-DD285</f>
        <v/>
      </c>
      <c r="DF285" s="10">
        <f>MIN('02_Данные'!AX285,DE285)</f>
        <v/>
      </c>
      <c r="DG285" s="10">
        <f>DE285-DF285</f>
        <v/>
      </c>
    </row>
    <row r="286">
      <c r="A286" s="9">
        <f>'02_Данные'!B286</f>
        <v/>
      </c>
      <c r="B286" s="9">
        <f>'02_Данные'!E286</f>
        <v/>
      </c>
      <c r="C286" s="10">
        <f>'02_Данные'!F286+'02_Данные'!G286+'02_Данные'!H286+'02_Данные'!I286+'02_Данные'!J286+'02_Данные'!K286</f>
        <v/>
      </c>
      <c r="D286" s="10">
        <f>SUM('02_Данные'!L286:'02_Данные'!AY286)</f>
        <v/>
      </c>
      <c r="E286" s="10">
        <f>MAX(0,D286-C286)</f>
        <v/>
      </c>
      <c r="F286" s="15">
        <f>IF(E286&gt;0.0001,"ДЕФИЦИТ",IF(Y286&gt;0.0001,"ПРОФИЦИТ","БАЛАНС"))</f>
        <v/>
      </c>
      <c r="G286" s="10">
        <f>AB286+AS286+BJ286+CA286+CR286</f>
        <v/>
      </c>
      <c r="H286" s="10">
        <f>AD286+AU286+BL286+CC286+CT286</f>
        <v/>
      </c>
      <c r="I286" s="10">
        <f>AF286+AW286+BN286+CE286+CV286</f>
        <v/>
      </c>
      <c r="J286" s="10">
        <f>AL286+BC286+BT286+CK286+DB286</f>
        <v/>
      </c>
      <c r="K286" s="10">
        <f>AJ286+BA286+BR286+CI286+CZ286</f>
        <v/>
      </c>
      <c r="L286" s="10">
        <f>AN286+BE286+BV286+CM286+DD286</f>
        <v/>
      </c>
      <c r="M286" s="10">
        <f>AP286+BG286+BX286+CO286+DF286</f>
        <v/>
      </c>
      <c r="N286" s="10">
        <f>AH286+AY286+BP286+CG286+CX286</f>
        <v/>
      </c>
      <c r="O286" s="10">
        <f>SUM(G286:N286)</f>
        <v/>
      </c>
      <c r="P286" s="10">
        <f>IFERROR(G286*MIN(1,'01_Нормативы'!$C$4/SUM(G$2:G$429)),0)</f>
        <v/>
      </c>
      <c r="Q286" s="10">
        <f>IFERROR(H286*MIN(1,'01_Нормативы'!$C$5/SUM(H$2:H$429)),0)</f>
        <v/>
      </c>
      <c r="R286" s="10">
        <f>IFERROR(I286*MIN(1,'01_Нормативы'!$C$6/SUM(I$2:I$429)),0)</f>
        <v/>
      </c>
      <c r="S286" s="10">
        <f>IFERROR(J286*MIN(1,'01_Нормативы'!$C$7/SUM(J$2:J$429)),0)</f>
        <v/>
      </c>
      <c r="T286" s="10">
        <f>IFERROR(K286*MIN(1,'01_Нормативы'!$C$8/SUM(K$2:K$429)),0)</f>
        <v/>
      </c>
      <c r="U286" s="10">
        <f>IFERROR(L286*MIN(1,'01_Нормативы'!$C$9/SUM(L$2:L$429)),0)</f>
        <v/>
      </c>
      <c r="V286" s="10">
        <f>IFERROR(M286*MIN(1,'01_Нормативы'!$C$10/SUM(M$2:M$429)),0)</f>
        <v/>
      </c>
      <c r="W286" s="10">
        <f>IFERROR(N286*MIN(1,'01_Нормативы'!$C$11/SUM(N$2:N$429)),0)</f>
        <v/>
      </c>
      <c r="X286" s="10">
        <f>SUM(P286:W286)</f>
        <v/>
      </c>
      <c r="Y286" s="10">
        <f>MAX(0,C286-X286)</f>
        <v/>
      </c>
      <c r="Z286" s="10">
        <f>IF(D286=0,100,X286/D286*100)</f>
        <v/>
      </c>
      <c r="AA286" s="10">
        <f>'02_Данные'!F286+'02_Данные'!G286</f>
        <v/>
      </c>
      <c r="AB286" s="10">
        <f>MIN('02_Данные'!L286,AA286)</f>
        <v/>
      </c>
      <c r="AC286" s="10">
        <f>AA286-AB286</f>
        <v/>
      </c>
      <c r="AD286" s="10">
        <f>MIN('02_Данные'!M286,AC286)</f>
        <v/>
      </c>
      <c r="AE286" s="10">
        <f>AC286-AD286</f>
        <v/>
      </c>
      <c r="AF286" s="10">
        <f>MIN('02_Данные'!N286,AE286)</f>
        <v/>
      </c>
      <c r="AG286" s="10">
        <f>AE286-AF286</f>
        <v/>
      </c>
      <c r="AH286" s="10">
        <f>MIN('02_Данные'!S286,AG286)</f>
        <v/>
      </c>
      <c r="AI286" s="10">
        <f>AG286-AH286</f>
        <v/>
      </c>
      <c r="AJ286" s="10">
        <f>MIN('02_Данные'!P286,AI286)</f>
        <v/>
      </c>
      <c r="AK286" s="10">
        <f>AI286-AJ286</f>
        <v/>
      </c>
      <c r="AL286" s="10">
        <f>MIN('02_Данные'!O286,AK286)</f>
        <v/>
      </c>
      <c r="AM286" s="10">
        <f>AK286-AL286</f>
        <v/>
      </c>
      <c r="AN286" s="10">
        <f>MIN('02_Данные'!Q286,AM286)</f>
        <v/>
      </c>
      <c r="AO286" s="10">
        <f>AM286-AN286</f>
        <v/>
      </c>
      <c r="AP286" s="10">
        <f>MIN('02_Данные'!R286,AO286)</f>
        <v/>
      </c>
      <c r="AQ286" s="10">
        <f>AO286-AP286</f>
        <v/>
      </c>
      <c r="AR286" s="10">
        <f>AQ286+'02_Данные'!H286</f>
        <v/>
      </c>
      <c r="AS286" s="10">
        <f>MIN('02_Данные'!T286,AR286)</f>
        <v/>
      </c>
      <c r="AT286" s="10">
        <f>AR286-AS286</f>
        <v/>
      </c>
      <c r="AU286" s="10">
        <f>MIN('02_Данные'!U286,AT286)</f>
        <v/>
      </c>
      <c r="AV286" s="10">
        <f>AT286-AU286</f>
        <v/>
      </c>
      <c r="AW286" s="10">
        <f>MIN('02_Данные'!V286,AV286)</f>
        <v/>
      </c>
      <c r="AX286" s="10">
        <f>AV286-AW286</f>
        <v/>
      </c>
      <c r="AY286" s="10">
        <f>MIN('02_Данные'!AA286,AX286)</f>
        <v/>
      </c>
      <c r="AZ286" s="10">
        <f>AX286-AY286</f>
        <v/>
      </c>
      <c r="BA286" s="10">
        <f>MIN('02_Данные'!X286,AZ286)</f>
        <v/>
      </c>
      <c r="BB286" s="10">
        <f>AZ286-BA286</f>
        <v/>
      </c>
      <c r="BC286" s="10">
        <f>MIN('02_Данные'!W286,BB286)</f>
        <v/>
      </c>
      <c r="BD286" s="10">
        <f>BB286-BC286</f>
        <v/>
      </c>
      <c r="BE286" s="10">
        <f>MIN('02_Данные'!Y286,BD286)</f>
        <v/>
      </c>
      <c r="BF286" s="10">
        <f>BD286-BE286</f>
        <v/>
      </c>
      <c r="BG286" s="10">
        <f>MIN('02_Данные'!Z286,BF286)</f>
        <v/>
      </c>
      <c r="BH286" s="10">
        <f>BF286-BG286</f>
        <v/>
      </c>
      <c r="BI286" s="10">
        <f>BH286+'02_Данные'!I286</f>
        <v/>
      </c>
      <c r="BJ286" s="10">
        <f>MIN('02_Данные'!AB286,BI286)</f>
        <v/>
      </c>
      <c r="BK286" s="10">
        <f>BI286-BJ286</f>
        <v/>
      </c>
      <c r="BL286" s="10">
        <f>MIN('02_Данные'!AC286,BK286)</f>
        <v/>
      </c>
      <c r="BM286" s="10">
        <f>BK286-BL286</f>
        <v/>
      </c>
      <c r="BN286" s="10">
        <f>MIN('02_Данные'!AD286,BM286)</f>
        <v/>
      </c>
      <c r="BO286" s="10">
        <f>BM286-BN286</f>
        <v/>
      </c>
      <c r="BP286" s="10">
        <f>MIN('02_Данные'!AI286,BO286)</f>
        <v/>
      </c>
      <c r="BQ286" s="10">
        <f>BO286-BP286</f>
        <v/>
      </c>
      <c r="BR286" s="10">
        <f>MIN('02_Данные'!AF286,BQ286)</f>
        <v/>
      </c>
      <c r="BS286" s="10">
        <f>BQ286-BR286</f>
        <v/>
      </c>
      <c r="BT286" s="10">
        <f>MIN('02_Данные'!AE286,BS286)</f>
        <v/>
      </c>
      <c r="BU286" s="10">
        <f>BS286-BT286</f>
        <v/>
      </c>
      <c r="BV286" s="10">
        <f>MIN('02_Данные'!AG286,BU286)</f>
        <v/>
      </c>
      <c r="BW286" s="10">
        <f>BU286-BV286</f>
        <v/>
      </c>
      <c r="BX286" s="10">
        <f>MIN('02_Данные'!AH286,BW286)</f>
        <v/>
      </c>
      <c r="BY286" s="10">
        <f>BW286-BX286</f>
        <v/>
      </c>
      <c r="BZ286" s="10">
        <f>BY286+'02_Данные'!J286</f>
        <v/>
      </c>
      <c r="CA286" s="10">
        <f>MIN('02_Данные'!AJ286,BZ286)</f>
        <v/>
      </c>
      <c r="CB286" s="10">
        <f>BZ286-CA286</f>
        <v/>
      </c>
      <c r="CC286" s="10">
        <f>MIN('02_Данные'!AK286,CB286)</f>
        <v/>
      </c>
      <c r="CD286" s="10">
        <f>CB286-CC286</f>
        <v/>
      </c>
      <c r="CE286" s="10">
        <f>MIN('02_Данные'!AL286,CD286)</f>
        <v/>
      </c>
      <c r="CF286" s="10">
        <f>CD286-CE286</f>
        <v/>
      </c>
      <c r="CG286" s="10">
        <f>MIN('02_Данные'!AQ286,CF286)</f>
        <v/>
      </c>
      <c r="CH286" s="10">
        <f>CF286-CG286</f>
        <v/>
      </c>
      <c r="CI286" s="10">
        <f>MIN('02_Данные'!AN286,CH286)</f>
        <v/>
      </c>
      <c r="CJ286" s="10">
        <f>CH286-CI286</f>
        <v/>
      </c>
      <c r="CK286" s="10">
        <f>MIN('02_Данные'!AM286,CJ286)</f>
        <v/>
      </c>
      <c r="CL286" s="10">
        <f>CJ286-CK286</f>
        <v/>
      </c>
      <c r="CM286" s="10">
        <f>MIN('02_Данные'!AO286,CL286)</f>
        <v/>
      </c>
      <c r="CN286" s="10">
        <f>CL286-CM286</f>
        <v/>
      </c>
      <c r="CO286" s="10">
        <f>MIN('02_Данные'!AP286,CN286)</f>
        <v/>
      </c>
      <c r="CP286" s="10">
        <f>CN286-CO286</f>
        <v/>
      </c>
      <c r="CQ286" s="10">
        <f>CP286+'02_Данные'!K286</f>
        <v/>
      </c>
      <c r="CR286" s="10">
        <f>MIN('02_Данные'!AR286,CQ286)</f>
        <v/>
      </c>
      <c r="CS286" s="10">
        <f>CQ286-CR286</f>
        <v/>
      </c>
      <c r="CT286" s="10">
        <f>MIN('02_Данные'!AS286,CS286)</f>
        <v/>
      </c>
      <c r="CU286" s="10">
        <f>CS286-CT286</f>
        <v/>
      </c>
      <c r="CV286" s="10">
        <f>MIN('02_Данные'!AT286,CU286)</f>
        <v/>
      </c>
      <c r="CW286" s="10">
        <f>CU286-CV286</f>
        <v/>
      </c>
      <c r="CX286" s="10">
        <f>MIN('02_Данные'!AY286,CW286)</f>
        <v/>
      </c>
      <c r="CY286" s="10">
        <f>CW286-CX286</f>
        <v/>
      </c>
      <c r="CZ286" s="10">
        <f>MIN('02_Данные'!AV286,CY286)</f>
        <v/>
      </c>
      <c r="DA286" s="10">
        <f>CY286-CZ286</f>
        <v/>
      </c>
      <c r="DB286" s="10">
        <f>MIN('02_Данные'!AU286,DA286)</f>
        <v/>
      </c>
      <c r="DC286" s="10">
        <f>DA286-DB286</f>
        <v/>
      </c>
      <c r="DD286" s="10">
        <f>MIN('02_Данные'!AW286,DC286)</f>
        <v/>
      </c>
      <c r="DE286" s="10">
        <f>DC286-DD286</f>
        <v/>
      </c>
      <c r="DF286" s="10">
        <f>MIN('02_Данные'!AX286,DE286)</f>
        <v/>
      </c>
      <c r="DG286" s="10">
        <f>DE286-DF286</f>
        <v/>
      </c>
    </row>
    <row r="287">
      <c r="A287" s="9">
        <f>'02_Данные'!B287</f>
        <v/>
      </c>
      <c r="B287" s="9">
        <f>'02_Данные'!E287</f>
        <v/>
      </c>
      <c r="C287" s="10">
        <f>'02_Данные'!F287+'02_Данные'!G287+'02_Данные'!H287+'02_Данные'!I287+'02_Данные'!J287+'02_Данные'!K287</f>
        <v/>
      </c>
      <c r="D287" s="10">
        <f>SUM('02_Данные'!L287:'02_Данные'!AY287)</f>
        <v/>
      </c>
      <c r="E287" s="10">
        <f>MAX(0,D287-C287)</f>
        <v/>
      </c>
      <c r="F287" s="15">
        <f>IF(E287&gt;0.0001,"ДЕФИЦИТ",IF(Y287&gt;0.0001,"ПРОФИЦИТ","БАЛАНС"))</f>
        <v/>
      </c>
      <c r="G287" s="10">
        <f>AB287+AS287+BJ287+CA287+CR287</f>
        <v/>
      </c>
      <c r="H287" s="10">
        <f>AD287+AU287+BL287+CC287+CT287</f>
        <v/>
      </c>
      <c r="I287" s="10">
        <f>AF287+AW287+BN287+CE287+CV287</f>
        <v/>
      </c>
      <c r="J287" s="10">
        <f>AL287+BC287+BT287+CK287+DB287</f>
        <v/>
      </c>
      <c r="K287" s="10">
        <f>AJ287+BA287+BR287+CI287+CZ287</f>
        <v/>
      </c>
      <c r="L287" s="10">
        <f>AN287+BE287+BV287+CM287+DD287</f>
        <v/>
      </c>
      <c r="M287" s="10">
        <f>AP287+BG287+BX287+CO287+DF287</f>
        <v/>
      </c>
      <c r="N287" s="10">
        <f>AH287+AY287+BP287+CG287+CX287</f>
        <v/>
      </c>
      <c r="O287" s="10">
        <f>SUM(G287:N287)</f>
        <v/>
      </c>
      <c r="P287" s="10">
        <f>IFERROR(G287*MIN(1,'01_Нормативы'!$C$4/SUM(G$2:G$429)),0)</f>
        <v/>
      </c>
      <c r="Q287" s="10">
        <f>IFERROR(H287*MIN(1,'01_Нормативы'!$C$5/SUM(H$2:H$429)),0)</f>
        <v/>
      </c>
      <c r="R287" s="10">
        <f>IFERROR(I287*MIN(1,'01_Нормативы'!$C$6/SUM(I$2:I$429)),0)</f>
        <v/>
      </c>
      <c r="S287" s="10">
        <f>IFERROR(J287*MIN(1,'01_Нормативы'!$C$7/SUM(J$2:J$429)),0)</f>
        <v/>
      </c>
      <c r="T287" s="10">
        <f>IFERROR(K287*MIN(1,'01_Нормативы'!$C$8/SUM(K$2:K$429)),0)</f>
        <v/>
      </c>
      <c r="U287" s="10">
        <f>IFERROR(L287*MIN(1,'01_Нормативы'!$C$9/SUM(L$2:L$429)),0)</f>
        <v/>
      </c>
      <c r="V287" s="10">
        <f>IFERROR(M287*MIN(1,'01_Нормативы'!$C$10/SUM(M$2:M$429)),0)</f>
        <v/>
      </c>
      <c r="W287" s="10">
        <f>IFERROR(N287*MIN(1,'01_Нормативы'!$C$11/SUM(N$2:N$429)),0)</f>
        <v/>
      </c>
      <c r="X287" s="10">
        <f>SUM(P287:W287)</f>
        <v/>
      </c>
      <c r="Y287" s="10">
        <f>MAX(0,C287-X287)</f>
        <v/>
      </c>
      <c r="Z287" s="10">
        <f>IF(D287=0,100,X287/D287*100)</f>
        <v/>
      </c>
      <c r="AA287" s="10">
        <f>'02_Данные'!F287+'02_Данные'!G287</f>
        <v/>
      </c>
      <c r="AB287" s="10">
        <f>MIN('02_Данные'!L287,AA287)</f>
        <v/>
      </c>
      <c r="AC287" s="10">
        <f>AA287-AB287</f>
        <v/>
      </c>
      <c r="AD287" s="10">
        <f>MIN('02_Данные'!M287,AC287)</f>
        <v/>
      </c>
      <c r="AE287" s="10">
        <f>AC287-AD287</f>
        <v/>
      </c>
      <c r="AF287" s="10">
        <f>MIN('02_Данные'!N287,AE287)</f>
        <v/>
      </c>
      <c r="AG287" s="10">
        <f>AE287-AF287</f>
        <v/>
      </c>
      <c r="AH287" s="10">
        <f>MIN('02_Данные'!S287,AG287)</f>
        <v/>
      </c>
      <c r="AI287" s="10">
        <f>AG287-AH287</f>
        <v/>
      </c>
      <c r="AJ287" s="10">
        <f>MIN('02_Данные'!P287,AI287)</f>
        <v/>
      </c>
      <c r="AK287" s="10">
        <f>AI287-AJ287</f>
        <v/>
      </c>
      <c r="AL287" s="10">
        <f>MIN('02_Данные'!O287,AK287)</f>
        <v/>
      </c>
      <c r="AM287" s="10">
        <f>AK287-AL287</f>
        <v/>
      </c>
      <c r="AN287" s="10">
        <f>MIN('02_Данные'!Q287,AM287)</f>
        <v/>
      </c>
      <c r="AO287" s="10">
        <f>AM287-AN287</f>
        <v/>
      </c>
      <c r="AP287" s="10">
        <f>MIN('02_Данные'!R287,AO287)</f>
        <v/>
      </c>
      <c r="AQ287" s="10">
        <f>AO287-AP287</f>
        <v/>
      </c>
      <c r="AR287" s="10">
        <f>AQ287+'02_Данные'!H287</f>
        <v/>
      </c>
      <c r="AS287" s="10">
        <f>MIN('02_Данные'!T287,AR287)</f>
        <v/>
      </c>
      <c r="AT287" s="10">
        <f>AR287-AS287</f>
        <v/>
      </c>
      <c r="AU287" s="10">
        <f>MIN('02_Данные'!U287,AT287)</f>
        <v/>
      </c>
      <c r="AV287" s="10">
        <f>AT287-AU287</f>
        <v/>
      </c>
      <c r="AW287" s="10">
        <f>MIN('02_Данные'!V287,AV287)</f>
        <v/>
      </c>
      <c r="AX287" s="10">
        <f>AV287-AW287</f>
        <v/>
      </c>
      <c r="AY287" s="10">
        <f>MIN('02_Данные'!AA287,AX287)</f>
        <v/>
      </c>
      <c r="AZ287" s="10">
        <f>AX287-AY287</f>
        <v/>
      </c>
      <c r="BA287" s="10">
        <f>MIN('02_Данные'!X287,AZ287)</f>
        <v/>
      </c>
      <c r="BB287" s="10">
        <f>AZ287-BA287</f>
        <v/>
      </c>
      <c r="BC287" s="10">
        <f>MIN('02_Данные'!W287,BB287)</f>
        <v/>
      </c>
      <c r="BD287" s="10">
        <f>BB287-BC287</f>
        <v/>
      </c>
      <c r="BE287" s="10">
        <f>MIN('02_Данные'!Y287,BD287)</f>
        <v/>
      </c>
      <c r="BF287" s="10">
        <f>BD287-BE287</f>
        <v/>
      </c>
      <c r="BG287" s="10">
        <f>MIN('02_Данные'!Z287,BF287)</f>
        <v/>
      </c>
      <c r="BH287" s="10">
        <f>BF287-BG287</f>
        <v/>
      </c>
      <c r="BI287" s="10">
        <f>BH287+'02_Данные'!I287</f>
        <v/>
      </c>
      <c r="BJ287" s="10">
        <f>MIN('02_Данные'!AB287,BI287)</f>
        <v/>
      </c>
      <c r="BK287" s="10">
        <f>BI287-BJ287</f>
        <v/>
      </c>
      <c r="BL287" s="10">
        <f>MIN('02_Данные'!AC287,BK287)</f>
        <v/>
      </c>
      <c r="BM287" s="10">
        <f>BK287-BL287</f>
        <v/>
      </c>
      <c r="BN287" s="10">
        <f>MIN('02_Данные'!AD287,BM287)</f>
        <v/>
      </c>
      <c r="BO287" s="10">
        <f>BM287-BN287</f>
        <v/>
      </c>
      <c r="BP287" s="10">
        <f>MIN('02_Данные'!AI287,BO287)</f>
        <v/>
      </c>
      <c r="BQ287" s="10">
        <f>BO287-BP287</f>
        <v/>
      </c>
      <c r="BR287" s="10">
        <f>MIN('02_Данные'!AF287,BQ287)</f>
        <v/>
      </c>
      <c r="BS287" s="10">
        <f>BQ287-BR287</f>
        <v/>
      </c>
      <c r="BT287" s="10">
        <f>MIN('02_Данные'!AE287,BS287)</f>
        <v/>
      </c>
      <c r="BU287" s="10">
        <f>BS287-BT287</f>
        <v/>
      </c>
      <c r="BV287" s="10">
        <f>MIN('02_Данные'!AG287,BU287)</f>
        <v/>
      </c>
      <c r="BW287" s="10">
        <f>BU287-BV287</f>
        <v/>
      </c>
      <c r="BX287" s="10">
        <f>MIN('02_Данные'!AH287,BW287)</f>
        <v/>
      </c>
      <c r="BY287" s="10">
        <f>BW287-BX287</f>
        <v/>
      </c>
      <c r="BZ287" s="10">
        <f>BY287+'02_Данные'!J287</f>
        <v/>
      </c>
      <c r="CA287" s="10">
        <f>MIN('02_Данные'!AJ287,BZ287)</f>
        <v/>
      </c>
      <c r="CB287" s="10">
        <f>BZ287-CA287</f>
        <v/>
      </c>
      <c r="CC287" s="10">
        <f>MIN('02_Данные'!AK287,CB287)</f>
        <v/>
      </c>
      <c r="CD287" s="10">
        <f>CB287-CC287</f>
        <v/>
      </c>
      <c r="CE287" s="10">
        <f>MIN('02_Данные'!AL287,CD287)</f>
        <v/>
      </c>
      <c r="CF287" s="10">
        <f>CD287-CE287</f>
        <v/>
      </c>
      <c r="CG287" s="10">
        <f>MIN('02_Данные'!AQ287,CF287)</f>
        <v/>
      </c>
      <c r="CH287" s="10">
        <f>CF287-CG287</f>
        <v/>
      </c>
      <c r="CI287" s="10">
        <f>MIN('02_Данные'!AN287,CH287)</f>
        <v/>
      </c>
      <c r="CJ287" s="10">
        <f>CH287-CI287</f>
        <v/>
      </c>
      <c r="CK287" s="10">
        <f>MIN('02_Данные'!AM287,CJ287)</f>
        <v/>
      </c>
      <c r="CL287" s="10">
        <f>CJ287-CK287</f>
        <v/>
      </c>
      <c r="CM287" s="10">
        <f>MIN('02_Данные'!AO287,CL287)</f>
        <v/>
      </c>
      <c r="CN287" s="10">
        <f>CL287-CM287</f>
        <v/>
      </c>
      <c r="CO287" s="10">
        <f>MIN('02_Данные'!AP287,CN287)</f>
        <v/>
      </c>
      <c r="CP287" s="10">
        <f>CN287-CO287</f>
        <v/>
      </c>
      <c r="CQ287" s="10">
        <f>CP287+'02_Данные'!K287</f>
        <v/>
      </c>
      <c r="CR287" s="10">
        <f>MIN('02_Данные'!AR287,CQ287)</f>
        <v/>
      </c>
      <c r="CS287" s="10">
        <f>CQ287-CR287</f>
        <v/>
      </c>
      <c r="CT287" s="10">
        <f>MIN('02_Данные'!AS287,CS287)</f>
        <v/>
      </c>
      <c r="CU287" s="10">
        <f>CS287-CT287</f>
        <v/>
      </c>
      <c r="CV287" s="10">
        <f>MIN('02_Данные'!AT287,CU287)</f>
        <v/>
      </c>
      <c r="CW287" s="10">
        <f>CU287-CV287</f>
        <v/>
      </c>
      <c r="CX287" s="10">
        <f>MIN('02_Данные'!AY287,CW287)</f>
        <v/>
      </c>
      <c r="CY287" s="10">
        <f>CW287-CX287</f>
        <v/>
      </c>
      <c r="CZ287" s="10">
        <f>MIN('02_Данные'!AV287,CY287)</f>
        <v/>
      </c>
      <c r="DA287" s="10">
        <f>CY287-CZ287</f>
        <v/>
      </c>
      <c r="DB287" s="10">
        <f>MIN('02_Данные'!AU287,DA287)</f>
        <v/>
      </c>
      <c r="DC287" s="10">
        <f>DA287-DB287</f>
        <v/>
      </c>
      <c r="DD287" s="10">
        <f>MIN('02_Данные'!AW287,DC287)</f>
        <v/>
      </c>
      <c r="DE287" s="10">
        <f>DC287-DD287</f>
        <v/>
      </c>
      <c r="DF287" s="10">
        <f>MIN('02_Данные'!AX287,DE287)</f>
        <v/>
      </c>
      <c r="DG287" s="10">
        <f>DE287-DF287</f>
        <v/>
      </c>
    </row>
    <row r="288">
      <c r="A288" s="9">
        <f>'02_Данные'!B288</f>
        <v/>
      </c>
      <c r="B288" s="9">
        <f>'02_Данные'!E288</f>
        <v/>
      </c>
      <c r="C288" s="10">
        <f>'02_Данные'!F288+'02_Данные'!G288+'02_Данные'!H288+'02_Данные'!I288+'02_Данные'!J288+'02_Данные'!K288</f>
        <v/>
      </c>
      <c r="D288" s="10">
        <f>SUM('02_Данные'!L288:'02_Данные'!AY288)</f>
        <v/>
      </c>
      <c r="E288" s="10">
        <f>MAX(0,D288-C288)</f>
        <v/>
      </c>
      <c r="F288" s="15">
        <f>IF(E288&gt;0.0001,"ДЕФИЦИТ",IF(Y288&gt;0.0001,"ПРОФИЦИТ","БАЛАНС"))</f>
        <v/>
      </c>
      <c r="G288" s="10">
        <f>AB288+AS288+BJ288+CA288+CR288</f>
        <v/>
      </c>
      <c r="H288" s="10">
        <f>AD288+AU288+BL288+CC288+CT288</f>
        <v/>
      </c>
      <c r="I288" s="10">
        <f>AF288+AW288+BN288+CE288+CV288</f>
        <v/>
      </c>
      <c r="J288" s="10">
        <f>AL288+BC288+BT288+CK288+DB288</f>
        <v/>
      </c>
      <c r="K288" s="10">
        <f>AJ288+BA288+BR288+CI288+CZ288</f>
        <v/>
      </c>
      <c r="L288" s="10">
        <f>AN288+BE288+BV288+CM288+DD288</f>
        <v/>
      </c>
      <c r="M288" s="10">
        <f>AP288+BG288+BX288+CO288+DF288</f>
        <v/>
      </c>
      <c r="N288" s="10">
        <f>AH288+AY288+BP288+CG288+CX288</f>
        <v/>
      </c>
      <c r="O288" s="10">
        <f>SUM(G288:N288)</f>
        <v/>
      </c>
      <c r="P288" s="10">
        <f>IFERROR(G288*MIN(1,'01_Нормативы'!$C$4/SUM(G$2:G$429)),0)</f>
        <v/>
      </c>
      <c r="Q288" s="10">
        <f>IFERROR(H288*MIN(1,'01_Нормативы'!$C$5/SUM(H$2:H$429)),0)</f>
        <v/>
      </c>
      <c r="R288" s="10">
        <f>IFERROR(I288*MIN(1,'01_Нормативы'!$C$6/SUM(I$2:I$429)),0)</f>
        <v/>
      </c>
      <c r="S288" s="10">
        <f>IFERROR(J288*MIN(1,'01_Нормативы'!$C$7/SUM(J$2:J$429)),0)</f>
        <v/>
      </c>
      <c r="T288" s="10">
        <f>IFERROR(K288*MIN(1,'01_Нормативы'!$C$8/SUM(K$2:K$429)),0)</f>
        <v/>
      </c>
      <c r="U288" s="10">
        <f>IFERROR(L288*MIN(1,'01_Нормативы'!$C$9/SUM(L$2:L$429)),0)</f>
        <v/>
      </c>
      <c r="V288" s="10">
        <f>IFERROR(M288*MIN(1,'01_Нормативы'!$C$10/SUM(M$2:M$429)),0)</f>
        <v/>
      </c>
      <c r="W288" s="10">
        <f>IFERROR(N288*MIN(1,'01_Нормативы'!$C$11/SUM(N$2:N$429)),0)</f>
        <v/>
      </c>
      <c r="X288" s="10">
        <f>SUM(P288:W288)</f>
        <v/>
      </c>
      <c r="Y288" s="10">
        <f>MAX(0,C288-X288)</f>
        <v/>
      </c>
      <c r="Z288" s="10">
        <f>IF(D288=0,100,X288/D288*100)</f>
        <v/>
      </c>
      <c r="AA288" s="10">
        <f>'02_Данные'!F288+'02_Данные'!G288</f>
        <v/>
      </c>
      <c r="AB288" s="10">
        <f>MIN('02_Данные'!L288,AA288)</f>
        <v/>
      </c>
      <c r="AC288" s="10">
        <f>AA288-AB288</f>
        <v/>
      </c>
      <c r="AD288" s="10">
        <f>MIN('02_Данные'!M288,AC288)</f>
        <v/>
      </c>
      <c r="AE288" s="10">
        <f>AC288-AD288</f>
        <v/>
      </c>
      <c r="AF288" s="10">
        <f>MIN('02_Данные'!N288,AE288)</f>
        <v/>
      </c>
      <c r="AG288" s="10">
        <f>AE288-AF288</f>
        <v/>
      </c>
      <c r="AH288" s="10">
        <f>MIN('02_Данные'!S288,AG288)</f>
        <v/>
      </c>
      <c r="AI288" s="10">
        <f>AG288-AH288</f>
        <v/>
      </c>
      <c r="AJ288" s="10">
        <f>MIN('02_Данные'!P288,AI288)</f>
        <v/>
      </c>
      <c r="AK288" s="10">
        <f>AI288-AJ288</f>
        <v/>
      </c>
      <c r="AL288" s="10">
        <f>MIN('02_Данные'!O288,AK288)</f>
        <v/>
      </c>
      <c r="AM288" s="10">
        <f>AK288-AL288</f>
        <v/>
      </c>
      <c r="AN288" s="10">
        <f>MIN('02_Данные'!Q288,AM288)</f>
        <v/>
      </c>
      <c r="AO288" s="10">
        <f>AM288-AN288</f>
        <v/>
      </c>
      <c r="AP288" s="10">
        <f>MIN('02_Данные'!R288,AO288)</f>
        <v/>
      </c>
      <c r="AQ288" s="10">
        <f>AO288-AP288</f>
        <v/>
      </c>
      <c r="AR288" s="10">
        <f>AQ288+'02_Данные'!H288</f>
        <v/>
      </c>
      <c r="AS288" s="10">
        <f>MIN('02_Данные'!T288,AR288)</f>
        <v/>
      </c>
      <c r="AT288" s="10">
        <f>AR288-AS288</f>
        <v/>
      </c>
      <c r="AU288" s="10">
        <f>MIN('02_Данные'!U288,AT288)</f>
        <v/>
      </c>
      <c r="AV288" s="10">
        <f>AT288-AU288</f>
        <v/>
      </c>
      <c r="AW288" s="10">
        <f>MIN('02_Данные'!V288,AV288)</f>
        <v/>
      </c>
      <c r="AX288" s="10">
        <f>AV288-AW288</f>
        <v/>
      </c>
      <c r="AY288" s="10">
        <f>MIN('02_Данные'!AA288,AX288)</f>
        <v/>
      </c>
      <c r="AZ288" s="10">
        <f>AX288-AY288</f>
        <v/>
      </c>
      <c r="BA288" s="10">
        <f>MIN('02_Данные'!X288,AZ288)</f>
        <v/>
      </c>
      <c r="BB288" s="10">
        <f>AZ288-BA288</f>
        <v/>
      </c>
      <c r="BC288" s="10">
        <f>MIN('02_Данные'!W288,BB288)</f>
        <v/>
      </c>
      <c r="BD288" s="10">
        <f>BB288-BC288</f>
        <v/>
      </c>
      <c r="BE288" s="10">
        <f>MIN('02_Данные'!Y288,BD288)</f>
        <v/>
      </c>
      <c r="BF288" s="10">
        <f>BD288-BE288</f>
        <v/>
      </c>
      <c r="BG288" s="10">
        <f>MIN('02_Данные'!Z288,BF288)</f>
        <v/>
      </c>
      <c r="BH288" s="10">
        <f>BF288-BG288</f>
        <v/>
      </c>
      <c r="BI288" s="10">
        <f>BH288+'02_Данные'!I288</f>
        <v/>
      </c>
      <c r="BJ288" s="10">
        <f>MIN('02_Данные'!AB288,BI288)</f>
        <v/>
      </c>
      <c r="BK288" s="10">
        <f>BI288-BJ288</f>
        <v/>
      </c>
      <c r="BL288" s="10">
        <f>MIN('02_Данные'!AC288,BK288)</f>
        <v/>
      </c>
      <c r="BM288" s="10">
        <f>BK288-BL288</f>
        <v/>
      </c>
      <c r="BN288" s="10">
        <f>MIN('02_Данные'!AD288,BM288)</f>
        <v/>
      </c>
      <c r="BO288" s="10">
        <f>BM288-BN288</f>
        <v/>
      </c>
      <c r="BP288" s="10">
        <f>MIN('02_Данные'!AI288,BO288)</f>
        <v/>
      </c>
      <c r="BQ288" s="10">
        <f>BO288-BP288</f>
        <v/>
      </c>
      <c r="BR288" s="10">
        <f>MIN('02_Данные'!AF288,BQ288)</f>
        <v/>
      </c>
      <c r="BS288" s="10">
        <f>BQ288-BR288</f>
        <v/>
      </c>
      <c r="BT288" s="10">
        <f>MIN('02_Данные'!AE288,BS288)</f>
        <v/>
      </c>
      <c r="BU288" s="10">
        <f>BS288-BT288</f>
        <v/>
      </c>
      <c r="BV288" s="10">
        <f>MIN('02_Данные'!AG288,BU288)</f>
        <v/>
      </c>
      <c r="BW288" s="10">
        <f>BU288-BV288</f>
        <v/>
      </c>
      <c r="BX288" s="10">
        <f>MIN('02_Данные'!AH288,BW288)</f>
        <v/>
      </c>
      <c r="BY288" s="10">
        <f>BW288-BX288</f>
        <v/>
      </c>
      <c r="BZ288" s="10">
        <f>BY288+'02_Данные'!J288</f>
        <v/>
      </c>
      <c r="CA288" s="10">
        <f>MIN('02_Данные'!AJ288,BZ288)</f>
        <v/>
      </c>
      <c r="CB288" s="10">
        <f>BZ288-CA288</f>
        <v/>
      </c>
      <c r="CC288" s="10">
        <f>MIN('02_Данные'!AK288,CB288)</f>
        <v/>
      </c>
      <c r="CD288" s="10">
        <f>CB288-CC288</f>
        <v/>
      </c>
      <c r="CE288" s="10">
        <f>MIN('02_Данные'!AL288,CD288)</f>
        <v/>
      </c>
      <c r="CF288" s="10">
        <f>CD288-CE288</f>
        <v/>
      </c>
      <c r="CG288" s="10">
        <f>MIN('02_Данные'!AQ288,CF288)</f>
        <v/>
      </c>
      <c r="CH288" s="10">
        <f>CF288-CG288</f>
        <v/>
      </c>
      <c r="CI288" s="10">
        <f>MIN('02_Данные'!AN288,CH288)</f>
        <v/>
      </c>
      <c r="CJ288" s="10">
        <f>CH288-CI288</f>
        <v/>
      </c>
      <c r="CK288" s="10">
        <f>MIN('02_Данные'!AM288,CJ288)</f>
        <v/>
      </c>
      <c r="CL288" s="10">
        <f>CJ288-CK288</f>
        <v/>
      </c>
      <c r="CM288" s="10">
        <f>MIN('02_Данные'!AO288,CL288)</f>
        <v/>
      </c>
      <c r="CN288" s="10">
        <f>CL288-CM288</f>
        <v/>
      </c>
      <c r="CO288" s="10">
        <f>MIN('02_Данные'!AP288,CN288)</f>
        <v/>
      </c>
      <c r="CP288" s="10">
        <f>CN288-CO288</f>
        <v/>
      </c>
      <c r="CQ288" s="10">
        <f>CP288+'02_Данные'!K288</f>
        <v/>
      </c>
      <c r="CR288" s="10">
        <f>MIN('02_Данные'!AR288,CQ288)</f>
        <v/>
      </c>
      <c r="CS288" s="10">
        <f>CQ288-CR288</f>
        <v/>
      </c>
      <c r="CT288" s="10">
        <f>MIN('02_Данные'!AS288,CS288)</f>
        <v/>
      </c>
      <c r="CU288" s="10">
        <f>CS288-CT288</f>
        <v/>
      </c>
      <c r="CV288" s="10">
        <f>MIN('02_Данные'!AT288,CU288)</f>
        <v/>
      </c>
      <c r="CW288" s="10">
        <f>CU288-CV288</f>
        <v/>
      </c>
      <c r="CX288" s="10">
        <f>MIN('02_Данные'!AY288,CW288)</f>
        <v/>
      </c>
      <c r="CY288" s="10">
        <f>CW288-CX288</f>
        <v/>
      </c>
      <c r="CZ288" s="10">
        <f>MIN('02_Данные'!AV288,CY288)</f>
        <v/>
      </c>
      <c r="DA288" s="10">
        <f>CY288-CZ288</f>
        <v/>
      </c>
      <c r="DB288" s="10">
        <f>MIN('02_Данные'!AU288,DA288)</f>
        <v/>
      </c>
      <c r="DC288" s="10">
        <f>DA288-DB288</f>
        <v/>
      </c>
      <c r="DD288" s="10">
        <f>MIN('02_Данные'!AW288,DC288)</f>
        <v/>
      </c>
      <c r="DE288" s="10">
        <f>DC288-DD288</f>
        <v/>
      </c>
      <c r="DF288" s="10">
        <f>MIN('02_Данные'!AX288,DE288)</f>
        <v/>
      </c>
      <c r="DG288" s="10">
        <f>DE288-DF288</f>
        <v/>
      </c>
    </row>
    <row r="289">
      <c r="A289" s="9">
        <f>'02_Данные'!B289</f>
        <v/>
      </c>
      <c r="B289" s="9">
        <f>'02_Данные'!E289</f>
        <v/>
      </c>
      <c r="C289" s="10">
        <f>'02_Данные'!F289+'02_Данные'!G289+'02_Данные'!H289+'02_Данные'!I289+'02_Данные'!J289+'02_Данные'!K289</f>
        <v/>
      </c>
      <c r="D289" s="10">
        <f>SUM('02_Данные'!L289:'02_Данные'!AY289)</f>
        <v/>
      </c>
      <c r="E289" s="10">
        <f>MAX(0,D289-C289)</f>
        <v/>
      </c>
      <c r="F289" s="15">
        <f>IF(E289&gt;0.0001,"ДЕФИЦИТ",IF(Y289&gt;0.0001,"ПРОФИЦИТ","БАЛАНС"))</f>
        <v/>
      </c>
      <c r="G289" s="10">
        <f>AB289+AS289+BJ289+CA289+CR289</f>
        <v/>
      </c>
      <c r="H289" s="10">
        <f>AD289+AU289+BL289+CC289+CT289</f>
        <v/>
      </c>
      <c r="I289" s="10">
        <f>AF289+AW289+BN289+CE289+CV289</f>
        <v/>
      </c>
      <c r="J289" s="10">
        <f>AL289+BC289+BT289+CK289+DB289</f>
        <v/>
      </c>
      <c r="K289" s="10">
        <f>AJ289+BA289+BR289+CI289+CZ289</f>
        <v/>
      </c>
      <c r="L289" s="10">
        <f>AN289+BE289+BV289+CM289+DD289</f>
        <v/>
      </c>
      <c r="M289" s="10">
        <f>AP289+BG289+BX289+CO289+DF289</f>
        <v/>
      </c>
      <c r="N289" s="10">
        <f>AH289+AY289+BP289+CG289+CX289</f>
        <v/>
      </c>
      <c r="O289" s="10">
        <f>SUM(G289:N289)</f>
        <v/>
      </c>
      <c r="P289" s="10">
        <f>IFERROR(G289*MIN(1,'01_Нормативы'!$C$4/SUM(G$2:G$429)),0)</f>
        <v/>
      </c>
      <c r="Q289" s="10">
        <f>IFERROR(H289*MIN(1,'01_Нормативы'!$C$5/SUM(H$2:H$429)),0)</f>
        <v/>
      </c>
      <c r="R289" s="10">
        <f>IFERROR(I289*MIN(1,'01_Нормативы'!$C$6/SUM(I$2:I$429)),0)</f>
        <v/>
      </c>
      <c r="S289" s="10">
        <f>IFERROR(J289*MIN(1,'01_Нормативы'!$C$7/SUM(J$2:J$429)),0)</f>
        <v/>
      </c>
      <c r="T289" s="10">
        <f>IFERROR(K289*MIN(1,'01_Нормативы'!$C$8/SUM(K$2:K$429)),0)</f>
        <v/>
      </c>
      <c r="U289" s="10">
        <f>IFERROR(L289*MIN(1,'01_Нормативы'!$C$9/SUM(L$2:L$429)),0)</f>
        <v/>
      </c>
      <c r="V289" s="10">
        <f>IFERROR(M289*MIN(1,'01_Нормативы'!$C$10/SUM(M$2:M$429)),0)</f>
        <v/>
      </c>
      <c r="W289" s="10">
        <f>IFERROR(N289*MIN(1,'01_Нормативы'!$C$11/SUM(N$2:N$429)),0)</f>
        <v/>
      </c>
      <c r="X289" s="10">
        <f>SUM(P289:W289)</f>
        <v/>
      </c>
      <c r="Y289" s="10">
        <f>MAX(0,C289-X289)</f>
        <v/>
      </c>
      <c r="Z289" s="10">
        <f>IF(D289=0,100,X289/D289*100)</f>
        <v/>
      </c>
      <c r="AA289" s="10">
        <f>'02_Данные'!F289+'02_Данные'!G289</f>
        <v/>
      </c>
      <c r="AB289" s="10">
        <f>MIN('02_Данные'!L289,AA289)</f>
        <v/>
      </c>
      <c r="AC289" s="10">
        <f>AA289-AB289</f>
        <v/>
      </c>
      <c r="AD289" s="10">
        <f>MIN('02_Данные'!M289,AC289)</f>
        <v/>
      </c>
      <c r="AE289" s="10">
        <f>AC289-AD289</f>
        <v/>
      </c>
      <c r="AF289" s="10">
        <f>MIN('02_Данные'!N289,AE289)</f>
        <v/>
      </c>
      <c r="AG289" s="10">
        <f>AE289-AF289</f>
        <v/>
      </c>
      <c r="AH289" s="10">
        <f>MIN('02_Данные'!S289,AG289)</f>
        <v/>
      </c>
      <c r="AI289" s="10">
        <f>AG289-AH289</f>
        <v/>
      </c>
      <c r="AJ289" s="10">
        <f>MIN('02_Данные'!P289,AI289)</f>
        <v/>
      </c>
      <c r="AK289" s="10">
        <f>AI289-AJ289</f>
        <v/>
      </c>
      <c r="AL289" s="10">
        <f>MIN('02_Данные'!O289,AK289)</f>
        <v/>
      </c>
      <c r="AM289" s="10">
        <f>AK289-AL289</f>
        <v/>
      </c>
      <c r="AN289" s="10">
        <f>MIN('02_Данные'!Q289,AM289)</f>
        <v/>
      </c>
      <c r="AO289" s="10">
        <f>AM289-AN289</f>
        <v/>
      </c>
      <c r="AP289" s="10">
        <f>MIN('02_Данные'!R289,AO289)</f>
        <v/>
      </c>
      <c r="AQ289" s="10">
        <f>AO289-AP289</f>
        <v/>
      </c>
      <c r="AR289" s="10">
        <f>AQ289+'02_Данные'!H289</f>
        <v/>
      </c>
      <c r="AS289" s="10">
        <f>MIN('02_Данные'!T289,AR289)</f>
        <v/>
      </c>
      <c r="AT289" s="10">
        <f>AR289-AS289</f>
        <v/>
      </c>
      <c r="AU289" s="10">
        <f>MIN('02_Данные'!U289,AT289)</f>
        <v/>
      </c>
      <c r="AV289" s="10">
        <f>AT289-AU289</f>
        <v/>
      </c>
      <c r="AW289" s="10">
        <f>MIN('02_Данные'!V289,AV289)</f>
        <v/>
      </c>
      <c r="AX289" s="10">
        <f>AV289-AW289</f>
        <v/>
      </c>
      <c r="AY289" s="10">
        <f>MIN('02_Данные'!AA289,AX289)</f>
        <v/>
      </c>
      <c r="AZ289" s="10">
        <f>AX289-AY289</f>
        <v/>
      </c>
      <c r="BA289" s="10">
        <f>MIN('02_Данные'!X289,AZ289)</f>
        <v/>
      </c>
      <c r="BB289" s="10">
        <f>AZ289-BA289</f>
        <v/>
      </c>
      <c r="BC289" s="10">
        <f>MIN('02_Данные'!W289,BB289)</f>
        <v/>
      </c>
      <c r="BD289" s="10">
        <f>BB289-BC289</f>
        <v/>
      </c>
      <c r="BE289" s="10">
        <f>MIN('02_Данные'!Y289,BD289)</f>
        <v/>
      </c>
      <c r="BF289" s="10">
        <f>BD289-BE289</f>
        <v/>
      </c>
      <c r="BG289" s="10">
        <f>MIN('02_Данные'!Z289,BF289)</f>
        <v/>
      </c>
      <c r="BH289" s="10">
        <f>BF289-BG289</f>
        <v/>
      </c>
      <c r="BI289" s="10">
        <f>BH289+'02_Данные'!I289</f>
        <v/>
      </c>
      <c r="BJ289" s="10">
        <f>MIN('02_Данные'!AB289,BI289)</f>
        <v/>
      </c>
      <c r="BK289" s="10">
        <f>BI289-BJ289</f>
        <v/>
      </c>
      <c r="BL289" s="10">
        <f>MIN('02_Данные'!AC289,BK289)</f>
        <v/>
      </c>
      <c r="BM289" s="10">
        <f>BK289-BL289</f>
        <v/>
      </c>
      <c r="BN289" s="10">
        <f>MIN('02_Данные'!AD289,BM289)</f>
        <v/>
      </c>
      <c r="BO289" s="10">
        <f>BM289-BN289</f>
        <v/>
      </c>
      <c r="BP289" s="10">
        <f>MIN('02_Данные'!AI289,BO289)</f>
        <v/>
      </c>
      <c r="BQ289" s="10">
        <f>BO289-BP289</f>
        <v/>
      </c>
      <c r="BR289" s="10">
        <f>MIN('02_Данные'!AF289,BQ289)</f>
        <v/>
      </c>
      <c r="BS289" s="10">
        <f>BQ289-BR289</f>
        <v/>
      </c>
      <c r="BT289" s="10">
        <f>MIN('02_Данные'!AE289,BS289)</f>
        <v/>
      </c>
      <c r="BU289" s="10">
        <f>BS289-BT289</f>
        <v/>
      </c>
      <c r="BV289" s="10">
        <f>MIN('02_Данные'!AG289,BU289)</f>
        <v/>
      </c>
      <c r="BW289" s="10">
        <f>BU289-BV289</f>
        <v/>
      </c>
      <c r="BX289" s="10">
        <f>MIN('02_Данные'!AH289,BW289)</f>
        <v/>
      </c>
      <c r="BY289" s="10">
        <f>BW289-BX289</f>
        <v/>
      </c>
      <c r="BZ289" s="10">
        <f>BY289+'02_Данные'!J289</f>
        <v/>
      </c>
      <c r="CA289" s="10">
        <f>MIN('02_Данные'!AJ289,BZ289)</f>
        <v/>
      </c>
      <c r="CB289" s="10">
        <f>BZ289-CA289</f>
        <v/>
      </c>
      <c r="CC289" s="10">
        <f>MIN('02_Данные'!AK289,CB289)</f>
        <v/>
      </c>
      <c r="CD289" s="10">
        <f>CB289-CC289</f>
        <v/>
      </c>
      <c r="CE289" s="10">
        <f>MIN('02_Данные'!AL289,CD289)</f>
        <v/>
      </c>
      <c r="CF289" s="10">
        <f>CD289-CE289</f>
        <v/>
      </c>
      <c r="CG289" s="10">
        <f>MIN('02_Данные'!AQ289,CF289)</f>
        <v/>
      </c>
      <c r="CH289" s="10">
        <f>CF289-CG289</f>
        <v/>
      </c>
      <c r="CI289" s="10">
        <f>MIN('02_Данные'!AN289,CH289)</f>
        <v/>
      </c>
      <c r="CJ289" s="10">
        <f>CH289-CI289</f>
        <v/>
      </c>
      <c r="CK289" s="10">
        <f>MIN('02_Данные'!AM289,CJ289)</f>
        <v/>
      </c>
      <c r="CL289" s="10">
        <f>CJ289-CK289</f>
        <v/>
      </c>
      <c r="CM289" s="10">
        <f>MIN('02_Данные'!AO289,CL289)</f>
        <v/>
      </c>
      <c r="CN289" s="10">
        <f>CL289-CM289</f>
        <v/>
      </c>
      <c r="CO289" s="10">
        <f>MIN('02_Данные'!AP289,CN289)</f>
        <v/>
      </c>
      <c r="CP289" s="10">
        <f>CN289-CO289</f>
        <v/>
      </c>
      <c r="CQ289" s="10">
        <f>CP289+'02_Данные'!K289</f>
        <v/>
      </c>
      <c r="CR289" s="10">
        <f>MIN('02_Данные'!AR289,CQ289)</f>
        <v/>
      </c>
      <c r="CS289" s="10">
        <f>CQ289-CR289</f>
        <v/>
      </c>
      <c r="CT289" s="10">
        <f>MIN('02_Данные'!AS289,CS289)</f>
        <v/>
      </c>
      <c r="CU289" s="10">
        <f>CS289-CT289</f>
        <v/>
      </c>
      <c r="CV289" s="10">
        <f>MIN('02_Данные'!AT289,CU289)</f>
        <v/>
      </c>
      <c r="CW289" s="10">
        <f>CU289-CV289</f>
        <v/>
      </c>
      <c r="CX289" s="10">
        <f>MIN('02_Данные'!AY289,CW289)</f>
        <v/>
      </c>
      <c r="CY289" s="10">
        <f>CW289-CX289</f>
        <v/>
      </c>
      <c r="CZ289" s="10">
        <f>MIN('02_Данные'!AV289,CY289)</f>
        <v/>
      </c>
      <c r="DA289" s="10">
        <f>CY289-CZ289</f>
        <v/>
      </c>
      <c r="DB289" s="10">
        <f>MIN('02_Данные'!AU289,DA289)</f>
        <v/>
      </c>
      <c r="DC289" s="10">
        <f>DA289-DB289</f>
        <v/>
      </c>
      <c r="DD289" s="10">
        <f>MIN('02_Данные'!AW289,DC289)</f>
        <v/>
      </c>
      <c r="DE289" s="10">
        <f>DC289-DD289</f>
        <v/>
      </c>
      <c r="DF289" s="10">
        <f>MIN('02_Данные'!AX289,DE289)</f>
        <v/>
      </c>
      <c r="DG289" s="10">
        <f>DE289-DF289</f>
        <v/>
      </c>
    </row>
    <row r="290">
      <c r="A290" s="9">
        <f>'02_Данные'!B290</f>
        <v/>
      </c>
      <c r="B290" s="9">
        <f>'02_Данные'!E290</f>
        <v/>
      </c>
      <c r="C290" s="10">
        <f>'02_Данные'!F290+'02_Данные'!G290+'02_Данные'!H290+'02_Данные'!I290+'02_Данные'!J290+'02_Данные'!K290</f>
        <v/>
      </c>
      <c r="D290" s="10">
        <f>SUM('02_Данные'!L290:'02_Данные'!AY290)</f>
        <v/>
      </c>
      <c r="E290" s="10">
        <f>MAX(0,D290-C290)</f>
        <v/>
      </c>
      <c r="F290" s="15">
        <f>IF(E290&gt;0.0001,"ДЕФИЦИТ",IF(Y290&gt;0.0001,"ПРОФИЦИТ","БАЛАНС"))</f>
        <v/>
      </c>
      <c r="G290" s="10">
        <f>AB290+AS290+BJ290+CA290+CR290</f>
        <v/>
      </c>
      <c r="H290" s="10">
        <f>AD290+AU290+BL290+CC290+CT290</f>
        <v/>
      </c>
      <c r="I290" s="10">
        <f>AF290+AW290+BN290+CE290+CV290</f>
        <v/>
      </c>
      <c r="J290" s="10">
        <f>AL290+BC290+BT290+CK290+DB290</f>
        <v/>
      </c>
      <c r="K290" s="10">
        <f>AJ290+BA290+BR290+CI290+CZ290</f>
        <v/>
      </c>
      <c r="L290" s="10">
        <f>AN290+BE290+BV290+CM290+DD290</f>
        <v/>
      </c>
      <c r="M290" s="10">
        <f>AP290+BG290+BX290+CO290+DF290</f>
        <v/>
      </c>
      <c r="N290" s="10">
        <f>AH290+AY290+BP290+CG290+CX290</f>
        <v/>
      </c>
      <c r="O290" s="10">
        <f>SUM(G290:N290)</f>
        <v/>
      </c>
      <c r="P290" s="10">
        <f>IFERROR(G290*MIN(1,'01_Нормативы'!$C$4/SUM(G$2:G$429)),0)</f>
        <v/>
      </c>
      <c r="Q290" s="10">
        <f>IFERROR(H290*MIN(1,'01_Нормативы'!$C$5/SUM(H$2:H$429)),0)</f>
        <v/>
      </c>
      <c r="R290" s="10">
        <f>IFERROR(I290*MIN(1,'01_Нормативы'!$C$6/SUM(I$2:I$429)),0)</f>
        <v/>
      </c>
      <c r="S290" s="10">
        <f>IFERROR(J290*MIN(1,'01_Нормативы'!$C$7/SUM(J$2:J$429)),0)</f>
        <v/>
      </c>
      <c r="T290" s="10">
        <f>IFERROR(K290*MIN(1,'01_Нормативы'!$C$8/SUM(K$2:K$429)),0)</f>
        <v/>
      </c>
      <c r="U290" s="10">
        <f>IFERROR(L290*MIN(1,'01_Нормативы'!$C$9/SUM(L$2:L$429)),0)</f>
        <v/>
      </c>
      <c r="V290" s="10">
        <f>IFERROR(M290*MIN(1,'01_Нормативы'!$C$10/SUM(M$2:M$429)),0)</f>
        <v/>
      </c>
      <c r="W290" s="10">
        <f>IFERROR(N290*MIN(1,'01_Нормативы'!$C$11/SUM(N$2:N$429)),0)</f>
        <v/>
      </c>
      <c r="X290" s="10">
        <f>SUM(P290:W290)</f>
        <v/>
      </c>
      <c r="Y290" s="10">
        <f>MAX(0,C290-X290)</f>
        <v/>
      </c>
      <c r="Z290" s="10">
        <f>IF(D290=0,100,X290/D290*100)</f>
        <v/>
      </c>
      <c r="AA290" s="10">
        <f>'02_Данные'!F290+'02_Данные'!G290</f>
        <v/>
      </c>
      <c r="AB290" s="10">
        <f>MIN('02_Данные'!L290,AA290)</f>
        <v/>
      </c>
      <c r="AC290" s="10">
        <f>AA290-AB290</f>
        <v/>
      </c>
      <c r="AD290" s="10">
        <f>MIN('02_Данные'!M290,AC290)</f>
        <v/>
      </c>
      <c r="AE290" s="10">
        <f>AC290-AD290</f>
        <v/>
      </c>
      <c r="AF290" s="10">
        <f>MIN('02_Данные'!N290,AE290)</f>
        <v/>
      </c>
      <c r="AG290" s="10">
        <f>AE290-AF290</f>
        <v/>
      </c>
      <c r="AH290" s="10">
        <f>MIN('02_Данные'!S290,AG290)</f>
        <v/>
      </c>
      <c r="AI290" s="10">
        <f>AG290-AH290</f>
        <v/>
      </c>
      <c r="AJ290" s="10">
        <f>MIN('02_Данные'!P290,AI290)</f>
        <v/>
      </c>
      <c r="AK290" s="10">
        <f>AI290-AJ290</f>
        <v/>
      </c>
      <c r="AL290" s="10">
        <f>MIN('02_Данные'!O290,AK290)</f>
        <v/>
      </c>
      <c r="AM290" s="10">
        <f>AK290-AL290</f>
        <v/>
      </c>
      <c r="AN290" s="10">
        <f>MIN('02_Данные'!Q290,AM290)</f>
        <v/>
      </c>
      <c r="AO290" s="10">
        <f>AM290-AN290</f>
        <v/>
      </c>
      <c r="AP290" s="10">
        <f>MIN('02_Данные'!R290,AO290)</f>
        <v/>
      </c>
      <c r="AQ290" s="10">
        <f>AO290-AP290</f>
        <v/>
      </c>
      <c r="AR290" s="10">
        <f>AQ290+'02_Данные'!H290</f>
        <v/>
      </c>
      <c r="AS290" s="10">
        <f>MIN('02_Данные'!T290,AR290)</f>
        <v/>
      </c>
      <c r="AT290" s="10">
        <f>AR290-AS290</f>
        <v/>
      </c>
      <c r="AU290" s="10">
        <f>MIN('02_Данные'!U290,AT290)</f>
        <v/>
      </c>
      <c r="AV290" s="10">
        <f>AT290-AU290</f>
        <v/>
      </c>
      <c r="AW290" s="10">
        <f>MIN('02_Данные'!V290,AV290)</f>
        <v/>
      </c>
      <c r="AX290" s="10">
        <f>AV290-AW290</f>
        <v/>
      </c>
      <c r="AY290" s="10">
        <f>MIN('02_Данные'!AA290,AX290)</f>
        <v/>
      </c>
      <c r="AZ290" s="10">
        <f>AX290-AY290</f>
        <v/>
      </c>
      <c r="BA290" s="10">
        <f>MIN('02_Данные'!X290,AZ290)</f>
        <v/>
      </c>
      <c r="BB290" s="10">
        <f>AZ290-BA290</f>
        <v/>
      </c>
      <c r="BC290" s="10">
        <f>MIN('02_Данные'!W290,BB290)</f>
        <v/>
      </c>
      <c r="BD290" s="10">
        <f>BB290-BC290</f>
        <v/>
      </c>
      <c r="BE290" s="10">
        <f>MIN('02_Данные'!Y290,BD290)</f>
        <v/>
      </c>
      <c r="BF290" s="10">
        <f>BD290-BE290</f>
        <v/>
      </c>
      <c r="BG290" s="10">
        <f>MIN('02_Данные'!Z290,BF290)</f>
        <v/>
      </c>
      <c r="BH290" s="10">
        <f>BF290-BG290</f>
        <v/>
      </c>
      <c r="BI290" s="10">
        <f>BH290+'02_Данные'!I290</f>
        <v/>
      </c>
      <c r="BJ290" s="10">
        <f>MIN('02_Данные'!AB290,BI290)</f>
        <v/>
      </c>
      <c r="BK290" s="10">
        <f>BI290-BJ290</f>
        <v/>
      </c>
      <c r="BL290" s="10">
        <f>MIN('02_Данные'!AC290,BK290)</f>
        <v/>
      </c>
      <c r="BM290" s="10">
        <f>BK290-BL290</f>
        <v/>
      </c>
      <c r="BN290" s="10">
        <f>MIN('02_Данные'!AD290,BM290)</f>
        <v/>
      </c>
      <c r="BO290" s="10">
        <f>BM290-BN290</f>
        <v/>
      </c>
      <c r="BP290" s="10">
        <f>MIN('02_Данные'!AI290,BO290)</f>
        <v/>
      </c>
      <c r="BQ290" s="10">
        <f>BO290-BP290</f>
        <v/>
      </c>
      <c r="BR290" s="10">
        <f>MIN('02_Данные'!AF290,BQ290)</f>
        <v/>
      </c>
      <c r="BS290" s="10">
        <f>BQ290-BR290</f>
        <v/>
      </c>
      <c r="BT290" s="10">
        <f>MIN('02_Данные'!AE290,BS290)</f>
        <v/>
      </c>
      <c r="BU290" s="10">
        <f>BS290-BT290</f>
        <v/>
      </c>
      <c r="BV290" s="10">
        <f>MIN('02_Данные'!AG290,BU290)</f>
        <v/>
      </c>
      <c r="BW290" s="10">
        <f>BU290-BV290</f>
        <v/>
      </c>
      <c r="BX290" s="10">
        <f>MIN('02_Данные'!AH290,BW290)</f>
        <v/>
      </c>
      <c r="BY290" s="10">
        <f>BW290-BX290</f>
        <v/>
      </c>
      <c r="BZ290" s="10">
        <f>BY290+'02_Данные'!J290</f>
        <v/>
      </c>
      <c r="CA290" s="10">
        <f>MIN('02_Данные'!AJ290,BZ290)</f>
        <v/>
      </c>
      <c r="CB290" s="10">
        <f>BZ290-CA290</f>
        <v/>
      </c>
      <c r="CC290" s="10">
        <f>MIN('02_Данные'!AK290,CB290)</f>
        <v/>
      </c>
      <c r="CD290" s="10">
        <f>CB290-CC290</f>
        <v/>
      </c>
      <c r="CE290" s="10">
        <f>MIN('02_Данные'!AL290,CD290)</f>
        <v/>
      </c>
      <c r="CF290" s="10">
        <f>CD290-CE290</f>
        <v/>
      </c>
      <c r="CG290" s="10">
        <f>MIN('02_Данные'!AQ290,CF290)</f>
        <v/>
      </c>
      <c r="CH290" s="10">
        <f>CF290-CG290</f>
        <v/>
      </c>
      <c r="CI290" s="10">
        <f>MIN('02_Данные'!AN290,CH290)</f>
        <v/>
      </c>
      <c r="CJ290" s="10">
        <f>CH290-CI290</f>
        <v/>
      </c>
      <c r="CK290" s="10">
        <f>MIN('02_Данные'!AM290,CJ290)</f>
        <v/>
      </c>
      <c r="CL290" s="10">
        <f>CJ290-CK290</f>
        <v/>
      </c>
      <c r="CM290" s="10">
        <f>MIN('02_Данные'!AO290,CL290)</f>
        <v/>
      </c>
      <c r="CN290" s="10">
        <f>CL290-CM290</f>
        <v/>
      </c>
      <c r="CO290" s="10">
        <f>MIN('02_Данные'!AP290,CN290)</f>
        <v/>
      </c>
      <c r="CP290" s="10">
        <f>CN290-CO290</f>
        <v/>
      </c>
      <c r="CQ290" s="10">
        <f>CP290+'02_Данные'!K290</f>
        <v/>
      </c>
      <c r="CR290" s="10">
        <f>MIN('02_Данные'!AR290,CQ290)</f>
        <v/>
      </c>
      <c r="CS290" s="10">
        <f>CQ290-CR290</f>
        <v/>
      </c>
      <c r="CT290" s="10">
        <f>MIN('02_Данные'!AS290,CS290)</f>
        <v/>
      </c>
      <c r="CU290" s="10">
        <f>CS290-CT290</f>
        <v/>
      </c>
      <c r="CV290" s="10">
        <f>MIN('02_Данные'!AT290,CU290)</f>
        <v/>
      </c>
      <c r="CW290" s="10">
        <f>CU290-CV290</f>
        <v/>
      </c>
      <c r="CX290" s="10">
        <f>MIN('02_Данные'!AY290,CW290)</f>
        <v/>
      </c>
      <c r="CY290" s="10">
        <f>CW290-CX290</f>
        <v/>
      </c>
      <c r="CZ290" s="10">
        <f>MIN('02_Данные'!AV290,CY290)</f>
        <v/>
      </c>
      <c r="DA290" s="10">
        <f>CY290-CZ290</f>
        <v/>
      </c>
      <c r="DB290" s="10">
        <f>MIN('02_Данные'!AU290,DA290)</f>
        <v/>
      </c>
      <c r="DC290" s="10">
        <f>DA290-DB290</f>
        <v/>
      </c>
      <c r="DD290" s="10">
        <f>MIN('02_Данные'!AW290,DC290)</f>
        <v/>
      </c>
      <c r="DE290" s="10">
        <f>DC290-DD290</f>
        <v/>
      </c>
      <c r="DF290" s="10">
        <f>MIN('02_Данные'!AX290,DE290)</f>
        <v/>
      </c>
      <c r="DG290" s="10">
        <f>DE290-DF290</f>
        <v/>
      </c>
    </row>
    <row r="291">
      <c r="A291" s="9">
        <f>'02_Данные'!B291</f>
        <v/>
      </c>
      <c r="B291" s="9">
        <f>'02_Данные'!E291</f>
        <v/>
      </c>
      <c r="C291" s="10">
        <f>'02_Данные'!F291+'02_Данные'!G291+'02_Данные'!H291+'02_Данные'!I291+'02_Данные'!J291+'02_Данные'!K291</f>
        <v/>
      </c>
      <c r="D291" s="10">
        <f>SUM('02_Данные'!L291:'02_Данные'!AY291)</f>
        <v/>
      </c>
      <c r="E291" s="10">
        <f>MAX(0,D291-C291)</f>
        <v/>
      </c>
      <c r="F291" s="15">
        <f>IF(E291&gt;0.0001,"ДЕФИЦИТ",IF(Y291&gt;0.0001,"ПРОФИЦИТ","БАЛАНС"))</f>
        <v/>
      </c>
      <c r="G291" s="10">
        <f>AB291+AS291+BJ291+CA291+CR291</f>
        <v/>
      </c>
      <c r="H291" s="10">
        <f>AD291+AU291+BL291+CC291+CT291</f>
        <v/>
      </c>
      <c r="I291" s="10">
        <f>AF291+AW291+BN291+CE291+CV291</f>
        <v/>
      </c>
      <c r="J291" s="10">
        <f>AL291+BC291+BT291+CK291+DB291</f>
        <v/>
      </c>
      <c r="K291" s="10">
        <f>AJ291+BA291+BR291+CI291+CZ291</f>
        <v/>
      </c>
      <c r="L291" s="10">
        <f>AN291+BE291+BV291+CM291+DD291</f>
        <v/>
      </c>
      <c r="M291" s="10">
        <f>AP291+BG291+BX291+CO291+DF291</f>
        <v/>
      </c>
      <c r="N291" s="10">
        <f>AH291+AY291+BP291+CG291+CX291</f>
        <v/>
      </c>
      <c r="O291" s="10">
        <f>SUM(G291:N291)</f>
        <v/>
      </c>
      <c r="P291" s="10">
        <f>IFERROR(G291*MIN(1,'01_Нормативы'!$C$4/SUM(G$2:G$429)),0)</f>
        <v/>
      </c>
      <c r="Q291" s="10">
        <f>IFERROR(H291*MIN(1,'01_Нормативы'!$C$5/SUM(H$2:H$429)),0)</f>
        <v/>
      </c>
      <c r="R291" s="10">
        <f>IFERROR(I291*MIN(1,'01_Нормативы'!$C$6/SUM(I$2:I$429)),0)</f>
        <v/>
      </c>
      <c r="S291" s="10">
        <f>IFERROR(J291*MIN(1,'01_Нормативы'!$C$7/SUM(J$2:J$429)),0)</f>
        <v/>
      </c>
      <c r="T291" s="10">
        <f>IFERROR(K291*MIN(1,'01_Нормативы'!$C$8/SUM(K$2:K$429)),0)</f>
        <v/>
      </c>
      <c r="U291" s="10">
        <f>IFERROR(L291*MIN(1,'01_Нормативы'!$C$9/SUM(L$2:L$429)),0)</f>
        <v/>
      </c>
      <c r="V291" s="10">
        <f>IFERROR(M291*MIN(1,'01_Нормативы'!$C$10/SUM(M$2:M$429)),0)</f>
        <v/>
      </c>
      <c r="W291" s="10">
        <f>IFERROR(N291*MIN(1,'01_Нормативы'!$C$11/SUM(N$2:N$429)),0)</f>
        <v/>
      </c>
      <c r="X291" s="10">
        <f>SUM(P291:W291)</f>
        <v/>
      </c>
      <c r="Y291" s="10">
        <f>MAX(0,C291-X291)</f>
        <v/>
      </c>
      <c r="Z291" s="10">
        <f>IF(D291=0,100,X291/D291*100)</f>
        <v/>
      </c>
      <c r="AA291" s="10">
        <f>'02_Данные'!F291+'02_Данные'!G291</f>
        <v/>
      </c>
      <c r="AB291" s="10">
        <f>MIN('02_Данные'!L291,AA291)</f>
        <v/>
      </c>
      <c r="AC291" s="10">
        <f>AA291-AB291</f>
        <v/>
      </c>
      <c r="AD291" s="10">
        <f>MIN('02_Данные'!M291,AC291)</f>
        <v/>
      </c>
      <c r="AE291" s="10">
        <f>AC291-AD291</f>
        <v/>
      </c>
      <c r="AF291" s="10">
        <f>MIN('02_Данные'!N291,AE291)</f>
        <v/>
      </c>
      <c r="AG291" s="10">
        <f>AE291-AF291</f>
        <v/>
      </c>
      <c r="AH291" s="10">
        <f>MIN('02_Данные'!S291,AG291)</f>
        <v/>
      </c>
      <c r="AI291" s="10">
        <f>AG291-AH291</f>
        <v/>
      </c>
      <c r="AJ291" s="10">
        <f>MIN('02_Данные'!P291,AI291)</f>
        <v/>
      </c>
      <c r="AK291" s="10">
        <f>AI291-AJ291</f>
        <v/>
      </c>
      <c r="AL291" s="10">
        <f>MIN('02_Данные'!O291,AK291)</f>
        <v/>
      </c>
      <c r="AM291" s="10">
        <f>AK291-AL291</f>
        <v/>
      </c>
      <c r="AN291" s="10">
        <f>MIN('02_Данные'!Q291,AM291)</f>
        <v/>
      </c>
      <c r="AO291" s="10">
        <f>AM291-AN291</f>
        <v/>
      </c>
      <c r="AP291" s="10">
        <f>MIN('02_Данные'!R291,AO291)</f>
        <v/>
      </c>
      <c r="AQ291" s="10">
        <f>AO291-AP291</f>
        <v/>
      </c>
      <c r="AR291" s="10">
        <f>AQ291+'02_Данные'!H291</f>
        <v/>
      </c>
      <c r="AS291" s="10">
        <f>MIN('02_Данные'!T291,AR291)</f>
        <v/>
      </c>
      <c r="AT291" s="10">
        <f>AR291-AS291</f>
        <v/>
      </c>
      <c r="AU291" s="10">
        <f>MIN('02_Данные'!U291,AT291)</f>
        <v/>
      </c>
      <c r="AV291" s="10">
        <f>AT291-AU291</f>
        <v/>
      </c>
      <c r="AW291" s="10">
        <f>MIN('02_Данные'!V291,AV291)</f>
        <v/>
      </c>
      <c r="AX291" s="10">
        <f>AV291-AW291</f>
        <v/>
      </c>
      <c r="AY291" s="10">
        <f>MIN('02_Данные'!AA291,AX291)</f>
        <v/>
      </c>
      <c r="AZ291" s="10">
        <f>AX291-AY291</f>
        <v/>
      </c>
      <c r="BA291" s="10">
        <f>MIN('02_Данные'!X291,AZ291)</f>
        <v/>
      </c>
      <c r="BB291" s="10">
        <f>AZ291-BA291</f>
        <v/>
      </c>
      <c r="BC291" s="10">
        <f>MIN('02_Данные'!W291,BB291)</f>
        <v/>
      </c>
      <c r="BD291" s="10">
        <f>BB291-BC291</f>
        <v/>
      </c>
      <c r="BE291" s="10">
        <f>MIN('02_Данные'!Y291,BD291)</f>
        <v/>
      </c>
      <c r="BF291" s="10">
        <f>BD291-BE291</f>
        <v/>
      </c>
      <c r="BG291" s="10">
        <f>MIN('02_Данные'!Z291,BF291)</f>
        <v/>
      </c>
      <c r="BH291" s="10">
        <f>BF291-BG291</f>
        <v/>
      </c>
      <c r="BI291" s="10">
        <f>BH291+'02_Данные'!I291</f>
        <v/>
      </c>
      <c r="BJ291" s="10">
        <f>MIN('02_Данные'!AB291,BI291)</f>
        <v/>
      </c>
      <c r="BK291" s="10">
        <f>BI291-BJ291</f>
        <v/>
      </c>
      <c r="BL291" s="10">
        <f>MIN('02_Данные'!AC291,BK291)</f>
        <v/>
      </c>
      <c r="BM291" s="10">
        <f>BK291-BL291</f>
        <v/>
      </c>
      <c r="BN291" s="10">
        <f>MIN('02_Данные'!AD291,BM291)</f>
        <v/>
      </c>
      <c r="BO291" s="10">
        <f>BM291-BN291</f>
        <v/>
      </c>
      <c r="BP291" s="10">
        <f>MIN('02_Данные'!AI291,BO291)</f>
        <v/>
      </c>
      <c r="BQ291" s="10">
        <f>BO291-BP291</f>
        <v/>
      </c>
      <c r="BR291" s="10">
        <f>MIN('02_Данные'!AF291,BQ291)</f>
        <v/>
      </c>
      <c r="BS291" s="10">
        <f>BQ291-BR291</f>
        <v/>
      </c>
      <c r="BT291" s="10">
        <f>MIN('02_Данные'!AE291,BS291)</f>
        <v/>
      </c>
      <c r="BU291" s="10">
        <f>BS291-BT291</f>
        <v/>
      </c>
      <c r="BV291" s="10">
        <f>MIN('02_Данные'!AG291,BU291)</f>
        <v/>
      </c>
      <c r="BW291" s="10">
        <f>BU291-BV291</f>
        <v/>
      </c>
      <c r="BX291" s="10">
        <f>MIN('02_Данные'!AH291,BW291)</f>
        <v/>
      </c>
      <c r="BY291" s="10">
        <f>BW291-BX291</f>
        <v/>
      </c>
      <c r="BZ291" s="10">
        <f>BY291+'02_Данные'!J291</f>
        <v/>
      </c>
      <c r="CA291" s="10">
        <f>MIN('02_Данные'!AJ291,BZ291)</f>
        <v/>
      </c>
      <c r="CB291" s="10">
        <f>BZ291-CA291</f>
        <v/>
      </c>
      <c r="CC291" s="10">
        <f>MIN('02_Данные'!AK291,CB291)</f>
        <v/>
      </c>
      <c r="CD291" s="10">
        <f>CB291-CC291</f>
        <v/>
      </c>
      <c r="CE291" s="10">
        <f>MIN('02_Данные'!AL291,CD291)</f>
        <v/>
      </c>
      <c r="CF291" s="10">
        <f>CD291-CE291</f>
        <v/>
      </c>
      <c r="CG291" s="10">
        <f>MIN('02_Данные'!AQ291,CF291)</f>
        <v/>
      </c>
      <c r="CH291" s="10">
        <f>CF291-CG291</f>
        <v/>
      </c>
      <c r="CI291" s="10">
        <f>MIN('02_Данные'!AN291,CH291)</f>
        <v/>
      </c>
      <c r="CJ291" s="10">
        <f>CH291-CI291</f>
        <v/>
      </c>
      <c r="CK291" s="10">
        <f>MIN('02_Данные'!AM291,CJ291)</f>
        <v/>
      </c>
      <c r="CL291" s="10">
        <f>CJ291-CK291</f>
        <v/>
      </c>
      <c r="CM291" s="10">
        <f>MIN('02_Данные'!AO291,CL291)</f>
        <v/>
      </c>
      <c r="CN291" s="10">
        <f>CL291-CM291</f>
        <v/>
      </c>
      <c r="CO291" s="10">
        <f>MIN('02_Данные'!AP291,CN291)</f>
        <v/>
      </c>
      <c r="CP291" s="10">
        <f>CN291-CO291</f>
        <v/>
      </c>
      <c r="CQ291" s="10">
        <f>CP291+'02_Данные'!K291</f>
        <v/>
      </c>
      <c r="CR291" s="10">
        <f>MIN('02_Данные'!AR291,CQ291)</f>
        <v/>
      </c>
      <c r="CS291" s="10">
        <f>CQ291-CR291</f>
        <v/>
      </c>
      <c r="CT291" s="10">
        <f>MIN('02_Данные'!AS291,CS291)</f>
        <v/>
      </c>
      <c r="CU291" s="10">
        <f>CS291-CT291</f>
        <v/>
      </c>
      <c r="CV291" s="10">
        <f>MIN('02_Данные'!AT291,CU291)</f>
        <v/>
      </c>
      <c r="CW291" s="10">
        <f>CU291-CV291</f>
        <v/>
      </c>
      <c r="CX291" s="10">
        <f>MIN('02_Данные'!AY291,CW291)</f>
        <v/>
      </c>
      <c r="CY291" s="10">
        <f>CW291-CX291</f>
        <v/>
      </c>
      <c r="CZ291" s="10">
        <f>MIN('02_Данные'!AV291,CY291)</f>
        <v/>
      </c>
      <c r="DA291" s="10">
        <f>CY291-CZ291</f>
        <v/>
      </c>
      <c r="DB291" s="10">
        <f>MIN('02_Данные'!AU291,DA291)</f>
        <v/>
      </c>
      <c r="DC291" s="10">
        <f>DA291-DB291</f>
        <v/>
      </c>
      <c r="DD291" s="10">
        <f>MIN('02_Данные'!AW291,DC291)</f>
        <v/>
      </c>
      <c r="DE291" s="10">
        <f>DC291-DD291</f>
        <v/>
      </c>
      <c r="DF291" s="10">
        <f>MIN('02_Данные'!AX291,DE291)</f>
        <v/>
      </c>
      <c r="DG291" s="10">
        <f>DE291-DF291</f>
        <v/>
      </c>
    </row>
    <row r="292">
      <c r="A292" s="9">
        <f>'02_Данные'!B292</f>
        <v/>
      </c>
      <c r="B292" s="9">
        <f>'02_Данные'!E292</f>
        <v/>
      </c>
      <c r="C292" s="10">
        <f>'02_Данные'!F292+'02_Данные'!G292+'02_Данные'!H292+'02_Данные'!I292+'02_Данные'!J292+'02_Данные'!K292</f>
        <v/>
      </c>
      <c r="D292" s="10">
        <f>SUM('02_Данные'!L292:'02_Данные'!AY292)</f>
        <v/>
      </c>
      <c r="E292" s="10">
        <f>MAX(0,D292-C292)</f>
        <v/>
      </c>
      <c r="F292" s="15">
        <f>IF(E292&gt;0.0001,"ДЕФИЦИТ",IF(Y292&gt;0.0001,"ПРОФИЦИТ","БАЛАНС"))</f>
        <v/>
      </c>
      <c r="G292" s="10">
        <f>AB292+AS292+BJ292+CA292+CR292</f>
        <v/>
      </c>
      <c r="H292" s="10">
        <f>AD292+AU292+BL292+CC292+CT292</f>
        <v/>
      </c>
      <c r="I292" s="10">
        <f>AF292+AW292+BN292+CE292+CV292</f>
        <v/>
      </c>
      <c r="J292" s="10">
        <f>AL292+BC292+BT292+CK292+DB292</f>
        <v/>
      </c>
      <c r="K292" s="10">
        <f>AJ292+BA292+BR292+CI292+CZ292</f>
        <v/>
      </c>
      <c r="L292" s="10">
        <f>AN292+BE292+BV292+CM292+DD292</f>
        <v/>
      </c>
      <c r="M292" s="10">
        <f>AP292+BG292+BX292+CO292+DF292</f>
        <v/>
      </c>
      <c r="N292" s="10">
        <f>AH292+AY292+BP292+CG292+CX292</f>
        <v/>
      </c>
      <c r="O292" s="10">
        <f>SUM(G292:N292)</f>
        <v/>
      </c>
      <c r="P292" s="10">
        <f>IFERROR(G292*MIN(1,'01_Нормативы'!$C$4/SUM(G$2:G$429)),0)</f>
        <v/>
      </c>
      <c r="Q292" s="10">
        <f>IFERROR(H292*MIN(1,'01_Нормативы'!$C$5/SUM(H$2:H$429)),0)</f>
        <v/>
      </c>
      <c r="R292" s="10">
        <f>IFERROR(I292*MIN(1,'01_Нормативы'!$C$6/SUM(I$2:I$429)),0)</f>
        <v/>
      </c>
      <c r="S292" s="10">
        <f>IFERROR(J292*MIN(1,'01_Нормативы'!$C$7/SUM(J$2:J$429)),0)</f>
        <v/>
      </c>
      <c r="T292" s="10">
        <f>IFERROR(K292*MIN(1,'01_Нормативы'!$C$8/SUM(K$2:K$429)),0)</f>
        <v/>
      </c>
      <c r="U292" s="10">
        <f>IFERROR(L292*MIN(1,'01_Нормативы'!$C$9/SUM(L$2:L$429)),0)</f>
        <v/>
      </c>
      <c r="V292" s="10">
        <f>IFERROR(M292*MIN(1,'01_Нормативы'!$C$10/SUM(M$2:M$429)),0)</f>
        <v/>
      </c>
      <c r="W292" s="10">
        <f>IFERROR(N292*MIN(1,'01_Нормативы'!$C$11/SUM(N$2:N$429)),0)</f>
        <v/>
      </c>
      <c r="X292" s="10">
        <f>SUM(P292:W292)</f>
        <v/>
      </c>
      <c r="Y292" s="10">
        <f>MAX(0,C292-X292)</f>
        <v/>
      </c>
      <c r="Z292" s="10">
        <f>IF(D292=0,100,X292/D292*100)</f>
        <v/>
      </c>
      <c r="AA292" s="10">
        <f>'02_Данные'!F292+'02_Данные'!G292</f>
        <v/>
      </c>
      <c r="AB292" s="10">
        <f>MIN('02_Данные'!L292,AA292)</f>
        <v/>
      </c>
      <c r="AC292" s="10">
        <f>AA292-AB292</f>
        <v/>
      </c>
      <c r="AD292" s="10">
        <f>MIN('02_Данные'!M292,AC292)</f>
        <v/>
      </c>
      <c r="AE292" s="10">
        <f>AC292-AD292</f>
        <v/>
      </c>
      <c r="AF292" s="10">
        <f>MIN('02_Данные'!N292,AE292)</f>
        <v/>
      </c>
      <c r="AG292" s="10">
        <f>AE292-AF292</f>
        <v/>
      </c>
      <c r="AH292" s="10">
        <f>MIN('02_Данные'!S292,AG292)</f>
        <v/>
      </c>
      <c r="AI292" s="10">
        <f>AG292-AH292</f>
        <v/>
      </c>
      <c r="AJ292" s="10">
        <f>MIN('02_Данные'!P292,AI292)</f>
        <v/>
      </c>
      <c r="AK292" s="10">
        <f>AI292-AJ292</f>
        <v/>
      </c>
      <c r="AL292" s="10">
        <f>MIN('02_Данные'!O292,AK292)</f>
        <v/>
      </c>
      <c r="AM292" s="10">
        <f>AK292-AL292</f>
        <v/>
      </c>
      <c r="AN292" s="10">
        <f>MIN('02_Данные'!Q292,AM292)</f>
        <v/>
      </c>
      <c r="AO292" s="10">
        <f>AM292-AN292</f>
        <v/>
      </c>
      <c r="AP292" s="10">
        <f>MIN('02_Данные'!R292,AO292)</f>
        <v/>
      </c>
      <c r="AQ292" s="10">
        <f>AO292-AP292</f>
        <v/>
      </c>
      <c r="AR292" s="10">
        <f>AQ292+'02_Данные'!H292</f>
        <v/>
      </c>
      <c r="AS292" s="10">
        <f>MIN('02_Данные'!T292,AR292)</f>
        <v/>
      </c>
      <c r="AT292" s="10">
        <f>AR292-AS292</f>
        <v/>
      </c>
      <c r="AU292" s="10">
        <f>MIN('02_Данные'!U292,AT292)</f>
        <v/>
      </c>
      <c r="AV292" s="10">
        <f>AT292-AU292</f>
        <v/>
      </c>
      <c r="AW292" s="10">
        <f>MIN('02_Данные'!V292,AV292)</f>
        <v/>
      </c>
      <c r="AX292" s="10">
        <f>AV292-AW292</f>
        <v/>
      </c>
      <c r="AY292" s="10">
        <f>MIN('02_Данные'!AA292,AX292)</f>
        <v/>
      </c>
      <c r="AZ292" s="10">
        <f>AX292-AY292</f>
        <v/>
      </c>
      <c r="BA292" s="10">
        <f>MIN('02_Данные'!X292,AZ292)</f>
        <v/>
      </c>
      <c r="BB292" s="10">
        <f>AZ292-BA292</f>
        <v/>
      </c>
      <c r="BC292" s="10">
        <f>MIN('02_Данные'!W292,BB292)</f>
        <v/>
      </c>
      <c r="BD292" s="10">
        <f>BB292-BC292</f>
        <v/>
      </c>
      <c r="BE292" s="10">
        <f>MIN('02_Данные'!Y292,BD292)</f>
        <v/>
      </c>
      <c r="BF292" s="10">
        <f>BD292-BE292</f>
        <v/>
      </c>
      <c r="BG292" s="10">
        <f>MIN('02_Данные'!Z292,BF292)</f>
        <v/>
      </c>
      <c r="BH292" s="10">
        <f>BF292-BG292</f>
        <v/>
      </c>
      <c r="BI292" s="10">
        <f>BH292+'02_Данные'!I292</f>
        <v/>
      </c>
      <c r="BJ292" s="10">
        <f>MIN('02_Данные'!AB292,BI292)</f>
        <v/>
      </c>
      <c r="BK292" s="10">
        <f>BI292-BJ292</f>
        <v/>
      </c>
      <c r="BL292" s="10">
        <f>MIN('02_Данные'!AC292,BK292)</f>
        <v/>
      </c>
      <c r="BM292" s="10">
        <f>BK292-BL292</f>
        <v/>
      </c>
      <c r="BN292" s="10">
        <f>MIN('02_Данные'!AD292,BM292)</f>
        <v/>
      </c>
      <c r="BO292" s="10">
        <f>BM292-BN292</f>
        <v/>
      </c>
      <c r="BP292" s="10">
        <f>MIN('02_Данные'!AI292,BO292)</f>
        <v/>
      </c>
      <c r="BQ292" s="10">
        <f>BO292-BP292</f>
        <v/>
      </c>
      <c r="BR292" s="10">
        <f>MIN('02_Данные'!AF292,BQ292)</f>
        <v/>
      </c>
      <c r="BS292" s="10">
        <f>BQ292-BR292</f>
        <v/>
      </c>
      <c r="BT292" s="10">
        <f>MIN('02_Данные'!AE292,BS292)</f>
        <v/>
      </c>
      <c r="BU292" s="10">
        <f>BS292-BT292</f>
        <v/>
      </c>
      <c r="BV292" s="10">
        <f>MIN('02_Данные'!AG292,BU292)</f>
        <v/>
      </c>
      <c r="BW292" s="10">
        <f>BU292-BV292</f>
        <v/>
      </c>
      <c r="BX292" s="10">
        <f>MIN('02_Данные'!AH292,BW292)</f>
        <v/>
      </c>
      <c r="BY292" s="10">
        <f>BW292-BX292</f>
        <v/>
      </c>
      <c r="BZ292" s="10">
        <f>BY292+'02_Данные'!J292</f>
        <v/>
      </c>
      <c r="CA292" s="10">
        <f>MIN('02_Данные'!AJ292,BZ292)</f>
        <v/>
      </c>
      <c r="CB292" s="10">
        <f>BZ292-CA292</f>
        <v/>
      </c>
      <c r="CC292" s="10">
        <f>MIN('02_Данные'!AK292,CB292)</f>
        <v/>
      </c>
      <c r="CD292" s="10">
        <f>CB292-CC292</f>
        <v/>
      </c>
      <c r="CE292" s="10">
        <f>MIN('02_Данные'!AL292,CD292)</f>
        <v/>
      </c>
      <c r="CF292" s="10">
        <f>CD292-CE292</f>
        <v/>
      </c>
      <c r="CG292" s="10">
        <f>MIN('02_Данные'!AQ292,CF292)</f>
        <v/>
      </c>
      <c r="CH292" s="10">
        <f>CF292-CG292</f>
        <v/>
      </c>
      <c r="CI292" s="10">
        <f>MIN('02_Данные'!AN292,CH292)</f>
        <v/>
      </c>
      <c r="CJ292" s="10">
        <f>CH292-CI292</f>
        <v/>
      </c>
      <c r="CK292" s="10">
        <f>MIN('02_Данные'!AM292,CJ292)</f>
        <v/>
      </c>
      <c r="CL292" s="10">
        <f>CJ292-CK292</f>
        <v/>
      </c>
      <c r="CM292" s="10">
        <f>MIN('02_Данные'!AO292,CL292)</f>
        <v/>
      </c>
      <c r="CN292" s="10">
        <f>CL292-CM292</f>
        <v/>
      </c>
      <c r="CO292" s="10">
        <f>MIN('02_Данные'!AP292,CN292)</f>
        <v/>
      </c>
      <c r="CP292" s="10">
        <f>CN292-CO292</f>
        <v/>
      </c>
      <c r="CQ292" s="10">
        <f>CP292+'02_Данные'!K292</f>
        <v/>
      </c>
      <c r="CR292" s="10">
        <f>MIN('02_Данные'!AR292,CQ292)</f>
        <v/>
      </c>
      <c r="CS292" s="10">
        <f>CQ292-CR292</f>
        <v/>
      </c>
      <c r="CT292" s="10">
        <f>MIN('02_Данные'!AS292,CS292)</f>
        <v/>
      </c>
      <c r="CU292" s="10">
        <f>CS292-CT292</f>
        <v/>
      </c>
      <c r="CV292" s="10">
        <f>MIN('02_Данные'!AT292,CU292)</f>
        <v/>
      </c>
      <c r="CW292" s="10">
        <f>CU292-CV292</f>
        <v/>
      </c>
      <c r="CX292" s="10">
        <f>MIN('02_Данные'!AY292,CW292)</f>
        <v/>
      </c>
      <c r="CY292" s="10">
        <f>CW292-CX292</f>
        <v/>
      </c>
      <c r="CZ292" s="10">
        <f>MIN('02_Данные'!AV292,CY292)</f>
        <v/>
      </c>
      <c r="DA292" s="10">
        <f>CY292-CZ292</f>
        <v/>
      </c>
      <c r="DB292" s="10">
        <f>MIN('02_Данные'!AU292,DA292)</f>
        <v/>
      </c>
      <c r="DC292" s="10">
        <f>DA292-DB292</f>
        <v/>
      </c>
      <c r="DD292" s="10">
        <f>MIN('02_Данные'!AW292,DC292)</f>
        <v/>
      </c>
      <c r="DE292" s="10">
        <f>DC292-DD292</f>
        <v/>
      </c>
      <c r="DF292" s="10">
        <f>MIN('02_Данные'!AX292,DE292)</f>
        <v/>
      </c>
      <c r="DG292" s="10">
        <f>DE292-DF292</f>
        <v/>
      </c>
    </row>
    <row r="293">
      <c r="A293" s="9">
        <f>'02_Данные'!B293</f>
        <v/>
      </c>
      <c r="B293" s="9">
        <f>'02_Данные'!E293</f>
        <v/>
      </c>
      <c r="C293" s="10">
        <f>'02_Данные'!F293+'02_Данные'!G293+'02_Данные'!H293+'02_Данные'!I293+'02_Данные'!J293+'02_Данные'!K293</f>
        <v/>
      </c>
      <c r="D293" s="10">
        <f>SUM('02_Данные'!L293:'02_Данные'!AY293)</f>
        <v/>
      </c>
      <c r="E293" s="10">
        <f>MAX(0,D293-C293)</f>
        <v/>
      </c>
      <c r="F293" s="15">
        <f>IF(E293&gt;0.0001,"ДЕФИЦИТ",IF(Y293&gt;0.0001,"ПРОФИЦИТ","БАЛАНС"))</f>
        <v/>
      </c>
      <c r="G293" s="10">
        <f>AB293+AS293+BJ293+CA293+CR293</f>
        <v/>
      </c>
      <c r="H293" s="10">
        <f>AD293+AU293+BL293+CC293+CT293</f>
        <v/>
      </c>
      <c r="I293" s="10">
        <f>AF293+AW293+BN293+CE293+CV293</f>
        <v/>
      </c>
      <c r="J293" s="10">
        <f>AL293+BC293+BT293+CK293+DB293</f>
        <v/>
      </c>
      <c r="K293" s="10">
        <f>AJ293+BA293+BR293+CI293+CZ293</f>
        <v/>
      </c>
      <c r="L293" s="10">
        <f>AN293+BE293+BV293+CM293+DD293</f>
        <v/>
      </c>
      <c r="M293" s="10">
        <f>AP293+BG293+BX293+CO293+DF293</f>
        <v/>
      </c>
      <c r="N293" s="10">
        <f>AH293+AY293+BP293+CG293+CX293</f>
        <v/>
      </c>
      <c r="O293" s="10">
        <f>SUM(G293:N293)</f>
        <v/>
      </c>
      <c r="P293" s="10">
        <f>IFERROR(G293*MIN(1,'01_Нормативы'!$C$4/SUM(G$2:G$429)),0)</f>
        <v/>
      </c>
      <c r="Q293" s="10">
        <f>IFERROR(H293*MIN(1,'01_Нормативы'!$C$5/SUM(H$2:H$429)),0)</f>
        <v/>
      </c>
      <c r="R293" s="10">
        <f>IFERROR(I293*MIN(1,'01_Нормативы'!$C$6/SUM(I$2:I$429)),0)</f>
        <v/>
      </c>
      <c r="S293" s="10">
        <f>IFERROR(J293*MIN(1,'01_Нормативы'!$C$7/SUM(J$2:J$429)),0)</f>
        <v/>
      </c>
      <c r="T293" s="10">
        <f>IFERROR(K293*MIN(1,'01_Нормативы'!$C$8/SUM(K$2:K$429)),0)</f>
        <v/>
      </c>
      <c r="U293" s="10">
        <f>IFERROR(L293*MIN(1,'01_Нормативы'!$C$9/SUM(L$2:L$429)),0)</f>
        <v/>
      </c>
      <c r="V293" s="10">
        <f>IFERROR(M293*MIN(1,'01_Нормативы'!$C$10/SUM(M$2:M$429)),0)</f>
        <v/>
      </c>
      <c r="W293" s="10">
        <f>IFERROR(N293*MIN(1,'01_Нормативы'!$C$11/SUM(N$2:N$429)),0)</f>
        <v/>
      </c>
      <c r="X293" s="10">
        <f>SUM(P293:W293)</f>
        <v/>
      </c>
      <c r="Y293" s="10">
        <f>MAX(0,C293-X293)</f>
        <v/>
      </c>
      <c r="Z293" s="10">
        <f>IF(D293=0,100,X293/D293*100)</f>
        <v/>
      </c>
      <c r="AA293" s="10">
        <f>'02_Данные'!F293+'02_Данные'!G293</f>
        <v/>
      </c>
      <c r="AB293" s="10">
        <f>MIN('02_Данные'!L293,AA293)</f>
        <v/>
      </c>
      <c r="AC293" s="10">
        <f>AA293-AB293</f>
        <v/>
      </c>
      <c r="AD293" s="10">
        <f>MIN('02_Данные'!M293,AC293)</f>
        <v/>
      </c>
      <c r="AE293" s="10">
        <f>AC293-AD293</f>
        <v/>
      </c>
      <c r="AF293" s="10">
        <f>MIN('02_Данные'!N293,AE293)</f>
        <v/>
      </c>
      <c r="AG293" s="10">
        <f>AE293-AF293</f>
        <v/>
      </c>
      <c r="AH293" s="10">
        <f>MIN('02_Данные'!S293,AG293)</f>
        <v/>
      </c>
      <c r="AI293" s="10">
        <f>AG293-AH293</f>
        <v/>
      </c>
      <c r="AJ293" s="10">
        <f>MIN('02_Данные'!P293,AI293)</f>
        <v/>
      </c>
      <c r="AK293" s="10">
        <f>AI293-AJ293</f>
        <v/>
      </c>
      <c r="AL293" s="10">
        <f>MIN('02_Данные'!O293,AK293)</f>
        <v/>
      </c>
      <c r="AM293" s="10">
        <f>AK293-AL293</f>
        <v/>
      </c>
      <c r="AN293" s="10">
        <f>MIN('02_Данные'!Q293,AM293)</f>
        <v/>
      </c>
      <c r="AO293" s="10">
        <f>AM293-AN293</f>
        <v/>
      </c>
      <c r="AP293" s="10">
        <f>MIN('02_Данные'!R293,AO293)</f>
        <v/>
      </c>
      <c r="AQ293" s="10">
        <f>AO293-AP293</f>
        <v/>
      </c>
      <c r="AR293" s="10">
        <f>AQ293+'02_Данные'!H293</f>
        <v/>
      </c>
      <c r="AS293" s="10">
        <f>MIN('02_Данные'!T293,AR293)</f>
        <v/>
      </c>
      <c r="AT293" s="10">
        <f>AR293-AS293</f>
        <v/>
      </c>
      <c r="AU293" s="10">
        <f>MIN('02_Данные'!U293,AT293)</f>
        <v/>
      </c>
      <c r="AV293" s="10">
        <f>AT293-AU293</f>
        <v/>
      </c>
      <c r="AW293" s="10">
        <f>MIN('02_Данные'!V293,AV293)</f>
        <v/>
      </c>
      <c r="AX293" s="10">
        <f>AV293-AW293</f>
        <v/>
      </c>
      <c r="AY293" s="10">
        <f>MIN('02_Данные'!AA293,AX293)</f>
        <v/>
      </c>
      <c r="AZ293" s="10">
        <f>AX293-AY293</f>
        <v/>
      </c>
      <c r="BA293" s="10">
        <f>MIN('02_Данные'!X293,AZ293)</f>
        <v/>
      </c>
      <c r="BB293" s="10">
        <f>AZ293-BA293</f>
        <v/>
      </c>
      <c r="BC293" s="10">
        <f>MIN('02_Данные'!W293,BB293)</f>
        <v/>
      </c>
      <c r="BD293" s="10">
        <f>BB293-BC293</f>
        <v/>
      </c>
      <c r="BE293" s="10">
        <f>MIN('02_Данные'!Y293,BD293)</f>
        <v/>
      </c>
      <c r="BF293" s="10">
        <f>BD293-BE293</f>
        <v/>
      </c>
      <c r="BG293" s="10">
        <f>MIN('02_Данные'!Z293,BF293)</f>
        <v/>
      </c>
      <c r="BH293" s="10">
        <f>BF293-BG293</f>
        <v/>
      </c>
      <c r="BI293" s="10">
        <f>BH293+'02_Данные'!I293</f>
        <v/>
      </c>
      <c r="BJ293" s="10">
        <f>MIN('02_Данные'!AB293,BI293)</f>
        <v/>
      </c>
      <c r="BK293" s="10">
        <f>BI293-BJ293</f>
        <v/>
      </c>
      <c r="BL293" s="10">
        <f>MIN('02_Данные'!AC293,BK293)</f>
        <v/>
      </c>
      <c r="BM293" s="10">
        <f>BK293-BL293</f>
        <v/>
      </c>
      <c r="BN293" s="10">
        <f>MIN('02_Данные'!AD293,BM293)</f>
        <v/>
      </c>
      <c r="BO293" s="10">
        <f>BM293-BN293</f>
        <v/>
      </c>
      <c r="BP293" s="10">
        <f>MIN('02_Данные'!AI293,BO293)</f>
        <v/>
      </c>
      <c r="BQ293" s="10">
        <f>BO293-BP293</f>
        <v/>
      </c>
      <c r="BR293" s="10">
        <f>MIN('02_Данные'!AF293,BQ293)</f>
        <v/>
      </c>
      <c r="BS293" s="10">
        <f>BQ293-BR293</f>
        <v/>
      </c>
      <c r="BT293" s="10">
        <f>MIN('02_Данные'!AE293,BS293)</f>
        <v/>
      </c>
      <c r="BU293" s="10">
        <f>BS293-BT293</f>
        <v/>
      </c>
      <c r="BV293" s="10">
        <f>MIN('02_Данные'!AG293,BU293)</f>
        <v/>
      </c>
      <c r="BW293" s="10">
        <f>BU293-BV293</f>
        <v/>
      </c>
      <c r="BX293" s="10">
        <f>MIN('02_Данные'!AH293,BW293)</f>
        <v/>
      </c>
      <c r="BY293" s="10">
        <f>BW293-BX293</f>
        <v/>
      </c>
      <c r="BZ293" s="10">
        <f>BY293+'02_Данные'!J293</f>
        <v/>
      </c>
      <c r="CA293" s="10">
        <f>MIN('02_Данные'!AJ293,BZ293)</f>
        <v/>
      </c>
      <c r="CB293" s="10">
        <f>BZ293-CA293</f>
        <v/>
      </c>
      <c r="CC293" s="10">
        <f>MIN('02_Данные'!AK293,CB293)</f>
        <v/>
      </c>
      <c r="CD293" s="10">
        <f>CB293-CC293</f>
        <v/>
      </c>
      <c r="CE293" s="10">
        <f>MIN('02_Данные'!AL293,CD293)</f>
        <v/>
      </c>
      <c r="CF293" s="10">
        <f>CD293-CE293</f>
        <v/>
      </c>
      <c r="CG293" s="10">
        <f>MIN('02_Данные'!AQ293,CF293)</f>
        <v/>
      </c>
      <c r="CH293" s="10">
        <f>CF293-CG293</f>
        <v/>
      </c>
      <c r="CI293" s="10">
        <f>MIN('02_Данные'!AN293,CH293)</f>
        <v/>
      </c>
      <c r="CJ293" s="10">
        <f>CH293-CI293</f>
        <v/>
      </c>
      <c r="CK293" s="10">
        <f>MIN('02_Данные'!AM293,CJ293)</f>
        <v/>
      </c>
      <c r="CL293" s="10">
        <f>CJ293-CK293</f>
        <v/>
      </c>
      <c r="CM293" s="10">
        <f>MIN('02_Данные'!AO293,CL293)</f>
        <v/>
      </c>
      <c r="CN293" s="10">
        <f>CL293-CM293</f>
        <v/>
      </c>
      <c r="CO293" s="10">
        <f>MIN('02_Данные'!AP293,CN293)</f>
        <v/>
      </c>
      <c r="CP293" s="10">
        <f>CN293-CO293</f>
        <v/>
      </c>
      <c r="CQ293" s="10">
        <f>CP293+'02_Данные'!K293</f>
        <v/>
      </c>
      <c r="CR293" s="10">
        <f>MIN('02_Данные'!AR293,CQ293)</f>
        <v/>
      </c>
      <c r="CS293" s="10">
        <f>CQ293-CR293</f>
        <v/>
      </c>
      <c r="CT293" s="10">
        <f>MIN('02_Данные'!AS293,CS293)</f>
        <v/>
      </c>
      <c r="CU293" s="10">
        <f>CS293-CT293</f>
        <v/>
      </c>
      <c r="CV293" s="10">
        <f>MIN('02_Данные'!AT293,CU293)</f>
        <v/>
      </c>
      <c r="CW293" s="10">
        <f>CU293-CV293</f>
        <v/>
      </c>
      <c r="CX293" s="10">
        <f>MIN('02_Данные'!AY293,CW293)</f>
        <v/>
      </c>
      <c r="CY293" s="10">
        <f>CW293-CX293</f>
        <v/>
      </c>
      <c r="CZ293" s="10">
        <f>MIN('02_Данные'!AV293,CY293)</f>
        <v/>
      </c>
      <c r="DA293" s="10">
        <f>CY293-CZ293</f>
        <v/>
      </c>
      <c r="DB293" s="10">
        <f>MIN('02_Данные'!AU293,DA293)</f>
        <v/>
      </c>
      <c r="DC293" s="10">
        <f>DA293-DB293</f>
        <v/>
      </c>
      <c r="DD293" s="10">
        <f>MIN('02_Данные'!AW293,DC293)</f>
        <v/>
      </c>
      <c r="DE293" s="10">
        <f>DC293-DD293</f>
        <v/>
      </c>
      <c r="DF293" s="10">
        <f>MIN('02_Данные'!AX293,DE293)</f>
        <v/>
      </c>
      <c r="DG293" s="10">
        <f>DE293-DF293</f>
        <v/>
      </c>
    </row>
    <row r="294">
      <c r="A294" s="9">
        <f>'02_Данные'!B294</f>
        <v/>
      </c>
      <c r="B294" s="9">
        <f>'02_Данные'!E294</f>
        <v/>
      </c>
      <c r="C294" s="10">
        <f>'02_Данные'!F294+'02_Данные'!G294+'02_Данные'!H294+'02_Данные'!I294+'02_Данные'!J294+'02_Данные'!K294</f>
        <v/>
      </c>
      <c r="D294" s="10">
        <f>SUM('02_Данные'!L294:'02_Данные'!AY294)</f>
        <v/>
      </c>
      <c r="E294" s="10">
        <f>MAX(0,D294-C294)</f>
        <v/>
      </c>
      <c r="F294" s="15">
        <f>IF(E294&gt;0.0001,"ДЕФИЦИТ",IF(Y294&gt;0.0001,"ПРОФИЦИТ","БАЛАНС"))</f>
        <v/>
      </c>
      <c r="G294" s="10">
        <f>AB294+AS294+BJ294+CA294+CR294</f>
        <v/>
      </c>
      <c r="H294" s="10">
        <f>AD294+AU294+BL294+CC294+CT294</f>
        <v/>
      </c>
      <c r="I294" s="10">
        <f>AF294+AW294+BN294+CE294+CV294</f>
        <v/>
      </c>
      <c r="J294" s="10">
        <f>AL294+BC294+BT294+CK294+DB294</f>
        <v/>
      </c>
      <c r="K294" s="10">
        <f>AJ294+BA294+BR294+CI294+CZ294</f>
        <v/>
      </c>
      <c r="L294" s="10">
        <f>AN294+BE294+BV294+CM294+DD294</f>
        <v/>
      </c>
      <c r="M294" s="10">
        <f>AP294+BG294+BX294+CO294+DF294</f>
        <v/>
      </c>
      <c r="N294" s="10">
        <f>AH294+AY294+BP294+CG294+CX294</f>
        <v/>
      </c>
      <c r="O294" s="10">
        <f>SUM(G294:N294)</f>
        <v/>
      </c>
      <c r="P294" s="10">
        <f>IFERROR(G294*MIN(1,'01_Нормативы'!$C$4/SUM(G$2:G$429)),0)</f>
        <v/>
      </c>
      <c r="Q294" s="10">
        <f>IFERROR(H294*MIN(1,'01_Нормативы'!$C$5/SUM(H$2:H$429)),0)</f>
        <v/>
      </c>
      <c r="R294" s="10">
        <f>IFERROR(I294*MIN(1,'01_Нормативы'!$C$6/SUM(I$2:I$429)),0)</f>
        <v/>
      </c>
      <c r="S294" s="10">
        <f>IFERROR(J294*MIN(1,'01_Нормативы'!$C$7/SUM(J$2:J$429)),0)</f>
        <v/>
      </c>
      <c r="T294" s="10">
        <f>IFERROR(K294*MIN(1,'01_Нормативы'!$C$8/SUM(K$2:K$429)),0)</f>
        <v/>
      </c>
      <c r="U294" s="10">
        <f>IFERROR(L294*MIN(1,'01_Нормативы'!$C$9/SUM(L$2:L$429)),0)</f>
        <v/>
      </c>
      <c r="V294" s="10">
        <f>IFERROR(M294*MIN(1,'01_Нормативы'!$C$10/SUM(M$2:M$429)),0)</f>
        <v/>
      </c>
      <c r="W294" s="10">
        <f>IFERROR(N294*MIN(1,'01_Нормативы'!$C$11/SUM(N$2:N$429)),0)</f>
        <v/>
      </c>
      <c r="X294" s="10">
        <f>SUM(P294:W294)</f>
        <v/>
      </c>
      <c r="Y294" s="10">
        <f>MAX(0,C294-X294)</f>
        <v/>
      </c>
      <c r="Z294" s="10">
        <f>IF(D294=0,100,X294/D294*100)</f>
        <v/>
      </c>
      <c r="AA294" s="10">
        <f>'02_Данные'!F294+'02_Данные'!G294</f>
        <v/>
      </c>
      <c r="AB294" s="10">
        <f>MIN('02_Данные'!L294,AA294)</f>
        <v/>
      </c>
      <c r="AC294" s="10">
        <f>AA294-AB294</f>
        <v/>
      </c>
      <c r="AD294" s="10">
        <f>MIN('02_Данные'!M294,AC294)</f>
        <v/>
      </c>
      <c r="AE294" s="10">
        <f>AC294-AD294</f>
        <v/>
      </c>
      <c r="AF294" s="10">
        <f>MIN('02_Данные'!N294,AE294)</f>
        <v/>
      </c>
      <c r="AG294" s="10">
        <f>AE294-AF294</f>
        <v/>
      </c>
      <c r="AH294" s="10">
        <f>MIN('02_Данные'!S294,AG294)</f>
        <v/>
      </c>
      <c r="AI294" s="10">
        <f>AG294-AH294</f>
        <v/>
      </c>
      <c r="AJ294" s="10">
        <f>MIN('02_Данные'!P294,AI294)</f>
        <v/>
      </c>
      <c r="AK294" s="10">
        <f>AI294-AJ294</f>
        <v/>
      </c>
      <c r="AL294" s="10">
        <f>MIN('02_Данные'!O294,AK294)</f>
        <v/>
      </c>
      <c r="AM294" s="10">
        <f>AK294-AL294</f>
        <v/>
      </c>
      <c r="AN294" s="10">
        <f>MIN('02_Данные'!Q294,AM294)</f>
        <v/>
      </c>
      <c r="AO294" s="10">
        <f>AM294-AN294</f>
        <v/>
      </c>
      <c r="AP294" s="10">
        <f>MIN('02_Данные'!R294,AO294)</f>
        <v/>
      </c>
      <c r="AQ294" s="10">
        <f>AO294-AP294</f>
        <v/>
      </c>
      <c r="AR294" s="10">
        <f>AQ294+'02_Данные'!H294</f>
        <v/>
      </c>
      <c r="AS294" s="10">
        <f>MIN('02_Данные'!T294,AR294)</f>
        <v/>
      </c>
      <c r="AT294" s="10">
        <f>AR294-AS294</f>
        <v/>
      </c>
      <c r="AU294" s="10">
        <f>MIN('02_Данные'!U294,AT294)</f>
        <v/>
      </c>
      <c r="AV294" s="10">
        <f>AT294-AU294</f>
        <v/>
      </c>
      <c r="AW294" s="10">
        <f>MIN('02_Данные'!V294,AV294)</f>
        <v/>
      </c>
      <c r="AX294" s="10">
        <f>AV294-AW294</f>
        <v/>
      </c>
      <c r="AY294" s="10">
        <f>MIN('02_Данные'!AA294,AX294)</f>
        <v/>
      </c>
      <c r="AZ294" s="10">
        <f>AX294-AY294</f>
        <v/>
      </c>
      <c r="BA294" s="10">
        <f>MIN('02_Данные'!X294,AZ294)</f>
        <v/>
      </c>
      <c r="BB294" s="10">
        <f>AZ294-BA294</f>
        <v/>
      </c>
      <c r="BC294" s="10">
        <f>MIN('02_Данные'!W294,BB294)</f>
        <v/>
      </c>
      <c r="BD294" s="10">
        <f>BB294-BC294</f>
        <v/>
      </c>
      <c r="BE294" s="10">
        <f>MIN('02_Данные'!Y294,BD294)</f>
        <v/>
      </c>
      <c r="BF294" s="10">
        <f>BD294-BE294</f>
        <v/>
      </c>
      <c r="BG294" s="10">
        <f>MIN('02_Данные'!Z294,BF294)</f>
        <v/>
      </c>
      <c r="BH294" s="10">
        <f>BF294-BG294</f>
        <v/>
      </c>
      <c r="BI294" s="10">
        <f>BH294+'02_Данные'!I294</f>
        <v/>
      </c>
      <c r="BJ294" s="10">
        <f>MIN('02_Данные'!AB294,BI294)</f>
        <v/>
      </c>
      <c r="BK294" s="10">
        <f>BI294-BJ294</f>
        <v/>
      </c>
      <c r="BL294" s="10">
        <f>MIN('02_Данные'!AC294,BK294)</f>
        <v/>
      </c>
      <c r="BM294" s="10">
        <f>BK294-BL294</f>
        <v/>
      </c>
      <c r="BN294" s="10">
        <f>MIN('02_Данные'!AD294,BM294)</f>
        <v/>
      </c>
      <c r="BO294" s="10">
        <f>BM294-BN294</f>
        <v/>
      </c>
      <c r="BP294" s="10">
        <f>MIN('02_Данные'!AI294,BO294)</f>
        <v/>
      </c>
      <c r="BQ294" s="10">
        <f>BO294-BP294</f>
        <v/>
      </c>
      <c r="BR294" s="10">
        <f>MIN('02_Данные'!AF294,BQ294)</f>
        <v/>
      </c>
      <c r="BS294" s="10">
        <f>BQ294-BR294</f>
        <v/>
      </c>
      <c r="BT294" s="10">
        <f>MIN('02_Данные'!AE294,BS294)</f>
        <v/>
      </c>
      <c r="BU294" s="10">
        <f>BS294-BT294</f>
        <v/>
      </c>
      <c r="BV294" s="10">
        <f>MIN('02_Данные'!AG294,BU294)</f>
        <v/>
      </c>
      <c r="BW294" s="10">
        <f>BU294-BV294</f>
        <v/>
      </c>
      <c r="BX294" s="10">
        <f>MIN('02_Данные'!AH294,BW294)</f>
        <v/>
      </c>
      <c r="BY294" s="10">
        <f>BW294-BX294</f>
        <v/>
      </c>
      <c r="BZ294" s="10">
        <f>BY294+'02_Данные'!J294</f>
        <v/>
      </c>
      <c r="CA294" s="10">
        <f>MIN('02_Данные'!AJ294,BZ294)</f>
        <v/>
      </c>
      <c r="CB294" s="10">
        <f>BZ294-CA294</f>
        <v/>
      </c>
      <c r="CC294" s="10">
        <f>MIN('02_Данные'!AK294,CB294)</f>
        <v/>
      </c>
      <c r="CD294" s="10">
        <f>CB294-CC294</f>
        <v/>
      </c>
      <c r="CE294" s="10">
        <f>MIN('02_Данные'!AL294,CD294)</f>
        <v/>
      </c>
      <c r="CF294" s="10">
        <f>CD294-CE294</f>
        <v/>
      </c>
      <c r="CG294" s="10">
        <f>MIN('02_Данные'!AQ294,CF294)</f>
        <v/>
      </c>
      <c r="CH294" s="10">
        <f>CF294-CG294</f>
        <v/>
      </c>
      <c r="CI294" s="10">
        <f>MIN('02_Данные'!AN294,CH294)</f>
        <v/>
      </c>
      <c r="CJ294" s="10">
        <f>CH294-CI294</f>
        <v/>
      </c>
      <c r="CK294" s="10">
        <f>MIN('02_Данные'!AM294,CJ294)</f>
        <v/>
      </c>
      <c r="CL294" s="10">
        <f>CJ294-CK294</f>
        <v/>
      </c>
      <c r="CM294" s="10">
        <f>MIN('02_Данные'!AO294,CL294)</f>
        <v/>
      </c>
      <c r="CN294" s="10">
        <f>CL294-CM294</f>
        <v/>
      </c>
      <c r="CO294" s="10">
        <f>MIN('02_Данные'!AP294,CN294)</f>
        <v/>
      </c>
      <c r="CP294" s="10">
        <f>CN294-CO294</f>
        <v/>
      </c>
      <c r="CQ294" s="10">
        <f>CP294+'02_Данные'!K294</f>
        <v/>
      </c>
      <c r="CR294" s="10">
        <f>MIN('02_Данные'!AR294,CQ294)</f>
        <v/>
      </c>
      <c r="CS294" s="10">
        <f>CQ294-CR294</f>
        <v/>
      </c>
      <c r="CT294" s="10">
        <f>MIN('02_Данные'!AS294,CS294)</f>
        <v/>
      </c>
      <c r="CU294" s="10">
        <f>CS294-CT294</f>
        <v/>
      </c>
      <c r="CV294" s="10">
        <f>MIN('02_Данные'!AT294,CU294)</f>
        <v/>
      </c>
      <c r="CW294" s="10">
        <f>CU294-CV294</f>
        <v/>
      </c>
      <c r="CX294" s="10">
        <f>MIN('02_Данные'!AY294,CW294)</f>
        <v/>
      </c>
      <c r="CY294" s="10">
        <f>CW294-CX294</f>
        <v/>
      </c>
      <c r="CZ294" s="10">
        <f>MIN('02_Данные'!AV294,CY294)</f>
        <v/>
      </c>
      <c r="DA294" s="10">
        <f>CY294-CZ294</f>
        <v/>
      </c>
      <c r="DB294" s="10">
        <f>MIN('02_Данные'!AU294,DA294)</f>
        <v/>
      </c>
      <c r="DC294" s="10">
        <f>DA294-DB294</f>
        <v/>
      </c>
      <c r="DD294" s="10">
        <f>MIN('02_Данные'!AW294,DC294)</f>
        <v/>
      </c>
      <c r="DE294" s="10">
        <f>DC294-DD294</f>
        <v/>
      </c>
      <c r="DF294" s="10">
        <f>MIN('02_Данные'!AX294,DE294)</f>
        <v/>
      </c>
      <c r="DG294" s="10">
        <f>DE294-DF294</f>
        <v/>
      </c>
    </row>
    <row r="295">
      <c r="A295" s="9">
        <f>'02_Данные'!B295</f>
        <v/>
      </c>
      <c r="B295" s="9">
        <f>'02_Данные'!E295</f>
        <v/>
      </c>
      <c r="C295" s="10">
        <f>'02_Данные'!F295+'02_Данные'!G295+'02_Данные'!H295+'02_Данные'!I295+'02_Данные'!J295+'02_Данные'!K295</f>
        <v/>
      </c>
      <c r="D295" s="10">
        <f>SUM('02_Данные'!L295:'02_Данные'!AY295)</f>
        <v/>
      </c>
      <c r="E295" s="10">
        <f>MAX(0,D295-C295)</f>
        <v/>
      </c>
      <c r="F295" s="15">
        <f>IF(E295&gt;0.0001,"ДЕФИЦИТ",IF(Y295&gt;0.0001,"ПРОФИЦИТ","БАЛАНС"))</f>
        <v/>
      </c>
      <c r="G295" s="10">
        <f>AB295+AS295+BJ295+CA295+CR295</f>
        <v/>
      </c>
      <c r="H295" s="10">
        <f>AD295+AU295+BL295+CC295+CT295</f>
        <v/>
      </c>
      <c r="I295" s="10">
        <f>AF295+AW295+BN295+CE295+CV295</f>
        <v/>
      </c>
      <c r="J295" s="10">
        <f>AL295+BC295+BT295+CK295+DB295</f>
        <v/>
      </c>
      <c r="K295" s="10">
        <f>AJ295+BA295+BR295+CI295+CZ295</f>
        <v/>
      </c>
      <c r="L295" s="10">
        <f>AN295+BE295+BV295+CM295+DD295</f>
        <v/>
      </c>
      <c r="M295" s="10">
        <f>AP295+BG295+BX295+CO295+DF295</f>
        <v/>
      </c>
      <c r="N295" s="10">
        <f>AH295+AY295+BP295+CG295+CX295</f>
        <v/>
      </c>
      <c r="O295" s="10">
        <f>SUM(G295:N295)</f>
        <v/>
      </c>
      <c r="P295" s="10">
        <f>IFERROR(G295*MIN(1,'01_Нормативы'!$C$4/SUM(G$2:G$429)),0)</f>
        <v/>
      </c>
      <c r="Q295" s="10">
        <f>IFERROR(H295*MIN(1,'01_Нормативы'!$C$5/SUM(H$2:H$429)),0)</f>
        <v/>
      </c>
      <c r="R295" s="10">
        <f>IFERROR(I295*MIN(1,'01_Нормативы'!$C$6/SUM(I$2:I$429)),0)</f>
        <v/>
      </c>
      <c r="S295" s="10">
        <f>IFERROR(J295*MIN(1,'01_Нормативы'!$C$7/SUM(J$2:J$429)),0)</f>
        <v/>
      </c>
      <c r="T295" s="10">
        <f>IFERROR(K295*MIN(1,'01_Нормативы'!$C$8/SUM(K$2:K$429)),0)</f>
        <v/>
      </c>
      <c r="U295" s="10">
        <f>IFERROR(L295*MIN(1,'01_Нормативы'!$C$9/SUM(L$2:L$429)),0)</f>
        <v/>
      </c>
      <c r="V295" s="10">
        <f>IFERROR(M295*MIN(1,'01_Нормативы'!$C$10/SUM(M$2:M$429)),0)</f>
        <v/>
      </c>
      <c r="W295" s="10">
        <f>IFERROR(N295*MIN(1,'01_Нормативы'!$C$11/SUM(N$2:N$429)),0)</f>
        <v/>
      </c>
      <c r="X295" s="10">
        <f>SUM(P295:W295)</f>
        <v/>
      </c>
      <c r="Y295" s="10">
        <f>MAX(0,C295-X295)</f>
        <v/>
      </c>
      <c r="Z295" s="10">
        <f>IF(D295=0,100,X295/D295*100)</f>
        <v/>
      </c>
      <c r="AA295" s="10">
        <f>'02_Данные'!F295+'02_Данные'!G295</f>
        <v/>
      </c>
      <c r="AB295" s="10">
        <f>MIN('02_Данные'!L295,AA295)</f>
        <v/>
      </c>
      <c r="AC295" s="10">
        <f>AA295-AB295</f>
        <v/>
      </c>
      <c r="AD295" s="10">
        <f>MIN('02_Данные'!M295,AC295)</f>
        <v/>
      </c>
      <c r="AE295" s="10">
        <f>AC295-AD295</f>
        <v/>
      </c>
      <c r="AF295" s="10">
        <f>MIN('02_Данные'!N295,AE295)</f>
        <v/>
      </c>
      <c r="AG295" s="10">
        <f>AE295-AF295</f>
        <v/>
      </c>
      <c r="AH295" s="10">
        <f>MIN('02_Данные'!S295,AG295)</f>
        <v/>
      </c>
      <c r="AI295" s="10">
        <f>AG295-AH295</f>
        <v/>
      </c>
      <c r="AJ295" s="10">
        <f>MIN('02_Данные'!P295,AI295)</f>
        <v/>
      </c>
      <c r="AK295" s="10">
        <f>AI295-AJ295</f>
        <v/>
      </c>
      <c r="AL295" s="10">
        <f>MIN('02_Данные'!O295,AK295)</f>
        <v/>
      </c>
      <c r="AM295" s="10">
        <f>AK295-AL295</f>
        <v/>
      </c>
      <c r="AN295" s="10">
        <f>MIN('02_Данные'!Q295,AM295)</f>
        <v/>
      </c>
      <c r="AO295" s="10">
        <f>AM295-AN295</f>
        <v/>
      </c>
      <c r="AP295" s="10">
        <f>MIN('02_Данные'!R295,AO295)</f>
        <v/>
      </c>
      <c r="AQ295" s="10">
        <f>AO295-AP295</f>
        <v/>
      </c>
      <c r="AR295" s="10">
        <f>AQ295+'02_Данные'!H295</f>
        <v/>
      </c>
      <c r="AS295" s="10">
        <f>MIN('02_Данные'!T295,AR295)</f>
        <v/>
      </c>
      <c r="AT295" s="10">
        <f>AR295-AS295</f>
        <v/>
      </c>
      <c r="AU295" s="10">
        <f>MIN('02_Данные'!U295,AT295)</f>
        <v/>
      </c>
      <c r="AV295" s="10">
        <f>AT295-AU295</f>
        <v/>
      </c>
      <c r="AW295" s="10">
        <f>MIN('02_Данные'!V295,AV295)</f>
        <v/>
      </c>
      <c r="AX295" s="10">
        <f>AV295-AW295</f>
        <v/>
      </c>
      <c r="AY295" s="10">
        <f>MIN('02_Данные'!AA295,AX295)</f>
        <v/>
      </c>
      <c r="AZ295" s="10">
        <f>AX295-AY295</f>
        <v/>
      </c>
      <c r="BA295" s="10">
        <f>MIN('02_Данные'!X295,AZ295)</f>
        <v/>
      </c>
      <c r="BB295" s="10">
        <f>AZ295-BA295</f>
        <v/>
      </c>
      <c r="BC295" s="10">
        <f>MIN('02_Данные'!W295,BB295)</f>
        <v/>
      </c>
      <c r="BD295" s="10">
        <f>BB295-BC295</f>
        <v/>
      </c>
      <c r="BE295" s="10">
        <f>MIN('02_Данные'!Y295,BD295)</f>
        <v/>
      </c>
      <c r="BF295" s="10">
        <f>BD295-BE295</f>
        <v/>
      </c>
      <c r="BG295" s="10">
        <f>MIN('02_Данные'!Z295,BF295)</f>
        <v/>
      </c>
      <c r="BH295" s="10">
        <f>BF295-BG295</f>
        <v/>
      </c>
      <c r="BI295" s="10">
        <f>BH295+'02_Данные'!I295</f>
        <v/>
      </c>
      <c r="BJ295" s="10">
        <f>MIN('02_Данные'!AB295,BI295)</f>
        <v/>
      </c>
      <c r="BK295" s="10">
        <f>BI295-BJ295</f>
        <v/>
      </c>
      <c r="BL295" s="10">
        <f>MIN('02_Данные'!AC295,BK295)</f>
        <v/>
      </c>
      <c r="BM295" s="10">
        <f>BK295-BL295</f>
        <v/>
      </c>
      <c r="BN295" s="10">
        <f>MIN('02_Данные'!AD295,BM295)</f>
        <v/>
      </c>
      <c r="BO295" s="10">
        <f>BM295-BN295</f>
        <v/>
      </c>
      <c r="BP295" s="10">
        <f>MIN('02_Данные'!AI295,BO295)</f>
        <v/>
      </c>
      <c r="BQ295" s="10">
        <f>BO295-BP295</f>
        <v/>
      </c>
      <c r="BR295" s="10">
        <f>MIN('02_Данные'!AF295,BQ295)</f>
        <v/>
      </c>
      <c r="BS295" s="10">
        <f>BQ295-BR295</f>
        <v/>
      </c>
      <c r="BT295" s="10">
        <f>MIN('02_Данные'!AE295,BS295)</f>
        <v/>
      </c>
      <c r="BU295" s="10">
        <f>BS295-BT295</f>
        <v/>
      </c>
      <c r="BV295" s="10">
        <f>MIN('02_Данные'!AG295,BU295)</f>
        <v/>
      </c>
      <c r="BW295" s="10">
        <f>BU295-BV295</f>
        <v/>
      </c>
      <c r="BX295" s="10">
        <f>MIN('02_Данные'!AH295,BW295)</f>
        <v/>
      </c>
      <c r="BY295" s="10">
        <f>BW295-BX295</f>
        <v/>
      </c>
      <c r="BZ295" s="10">
        <f>BY295+'02_Данные'!J295</f>
        <v/>
      </c>
      <c r="CA295" s="10">
        <f>MIN('02_Данные'!AJ295,BZ295)</f>
        <v/>
      </c>
      <c r="CB295" s="10">
        <f>BZ295-CA295</f>
        <v/>
      </c>
      <c r="CC295" s="10">
        <f>MIN('02_Данные'!AK295,CB295)</f>
        <v/>
      </c>
      <c r="CD295" s="10">
        <f>CB295-CC295</f>
        <v/>
      </c>
      <c r="CE295" s="10">
        <f>MIN('02_Данные'!AL295,CD295)</f>
        <v/>
      </c>
      <c r="CF295" s="10">
        <f>CD295-CE295</f>
        <v/>
      </c>
      <c r="CG295" s="10">
        <f>MIN('02_Данные'!AQ295,CF295)</f>
        <v/>
      </c>
      <c r="CH295" s="10">
        <f>CF295-CG295</f>
        <v/>
      </c>
      <c r="CI295" s="10">
        <f>MIN('02_Данные'!AN295,CH295)</f>
        <v/>
      </c>
      <c r="CJ295" s="10">
        <f>CH295-CI295</f>
        <v/>
      </c>
      <c r="CK295" s="10">
        <f>MIN('02_Данные'!AM295,CJ295)</f>
        <v/>
      </c>
      <c r="CL295" s="10">
        <f>CJ295-CK295</f>
        <v/>
      </c>
      <c r="CM295" s="10">
        <f>MIN('02_Данные'!AO295,CL295)</f>
        <v/>
      </c>
      <c r="CN295" s="10">
        <f>CL295-CM295</f>
        <v/>
      </c>
      <c r="CO295" s="10">
        <f>MIN('02_Данные'!AP295,CN295)</f>
        <v/>
      </c>
      <c r="CP295" s="10">
        <f>CN295-CO295</f>
        <v/>
      </c>
      <c r="CQ295" s="10">
        <f>CP295+'02_Данные'!K295</f>
        <v/>
      </c>
      <c r="CR295" s="10">
        <f>MIN('02_Данные'!AR295,CQ295)</f>
        <v/>
      </c>
      <c r="CS295" s="10">
        <f>CQ295-CR295</f>
        <v/>
      </c>
      <c r="CT295" s="10">
        <f>MIN('02_Данные'!AS295,CS295)</f>
        <v/>
      </c>
      <c r="CU295" s="10">
        <f>CS295-CT295</f>
        <v/>
      </c>
      <c r="CV295" s="10">
        <f>MIN('02_Данные'!AT295,CU295)</f>
        <v/>
      </c>
      <c r="CW295" s="10">
        <f>CU295-CV295</f>
        <v/>
      </c>
      <c r="CX295" s="10">
        <f>MIN('02_Данные'!AY295,CW295)</f>
        <v/>
      </c>
      <c r="CY295" s="10">
        <f>CW295-CX295</f>
        <v/>
      </c>
      <c r="CZ295" s="10">
        <f>MIN('02_Данные'!AV295,CY295)</f>
        <v/>
      </c>
      <c r="DA295" s="10">
        <f>CY295-CZ295</f>
        <v/>
      </c>
      <c r="DB295" s="10">
        <f>MIN('02_Данные'!AU295,DA295)</f>
        <v/>
      </c>
      <c r="DC295" s="10">
        <f>DA295-DB295</f>
        <v/>
      </c>
      <c r="DD295" s="10">
        <f>MIN('02_Данные'!AW295,DC295)</f>
        <v/>
      </c>
      <c r="DE295" s="10">
        <f>DC295-DD295</f>
        <v/>
      </c>
      <c r="DF295" s="10">
        <f>MIN('02_Данные'!AX295,DE295)</f>
        <v/>
      </c>
      <c r="DG295" s="10">
        <f>DE295-DF295</f>
        <v/>
      </c>
    </row>
    <row r="296">
      <c r="A296" s="9">
        <f>'02_Данные'!B296</f>
        <v/>
      </c>
      <c r="B296" s="9">
        <f>'02_Данные'!E296</f>
        <v/>
      </c>
      <c r="C296" s="10">
        <f>'02_Данные'!F296+'02_Данные'!G296+'02_Данные'!H296+'02_Данные'!I296+'02_Данные'!J296+'02_Данные'!K296</f>
        <v/>
      </c>
      <c r="D296" s="10">
        <f>SUM('02_Данные'!L296:'02_Данные'!AY296)</f>
        <v/>
      </c>
      <c r="E296" s="10">
        <f>MAX(0,D296-C296)</f>
        <v/>
      </c>
      <c r="F296" s="15">
        <f>IF(E296&gt;0.0001,"ДЕФИЦИТ",IF(Y296&gt;0.0001,"ПРОФИЦИТ","БАЛАНС"))</f>
        <v/>
      </c>
      <c r="G296" s="10">
        <f>AB296+AS296+BJ296+CA296+CR296</f>
        <v/>
      </c>
      <c r="H296" s="10">
        <f>AD296+AU296+BL296+CC296+CT296</f>
        <v/>
      </c>
      <c r="I296" s="10">
        <f>AF296+AW296+BN296+CE296+CV296</f>
        <v/>
      </c>
      <c r="J296" s="10">
        <f>AL296+BC296+BT296+CK296+DB296</f>
        <v/>
      </c>
      <c r="K296" s="10">
        <f>AJ296+BA296+BR296+CI296+CZ296</f>
        <v/>
      </c>
      <c r="L296" s="10">
        <f>AN296+BE296+BV296+CM296+DD296</f>
        <v/>
      </c>
      <c r="M296" s="10">
        <f>AP296+BG296+BX296+CO296+DF296</f>
        <v/>
      </c>
      <c r="N296" s="10">
        <f>AH296+AY296+BP296+CG296+CX296</f>
        <v/>
      </c>
      <c r="O296" s="10">
        <f>SUM(G296:N296)</f>
        <v/>
      </c>
      <c r="P296" s="10">
        <f>IFERROR(G296*MIN(1,'01_Нормативы'!$C$4/SUM(G$2:G$429)),0)</f>
        <v/>
      </c>
      <c r="Q296" s="10">
        <f>IFERROR(H296*MIN(1,'01_Нормативы'!$C$5/SUM(H$2:H$429)),0)</f>
        <v/>
      </c>
      <c r="R296" s="10">
        <f>IFERROR(I296*MIN(1,'01_Нормативы'!$C$6/SUM(I$2:I$429)),0)</f>
        <v/>
      </c>
      <c r="S296" s="10">
        <f>IFERROR(J296*MIN(1,'01_Нормативы'!$C$7/SUM(J$2:J$429)),0)</f>
        <v/>
      </c>
      <c r="T296" s="10">
        <f>IFERROR(K296*MIN(1,'01_Нормативы'!$C$8/SUM(K$2:K$429)),0)</f>
        <v/>
      </c>
      <c r="U296" s="10">
        <f>IFERROR(L296*MIN(1,'01_Нормативы'!$C$9/SUM(L$2:L$429)),0)</f>
        <v/>
      </c>
      <c r="V296" s="10">
        <f>IFERROR(M296*MIN(1,'01_Нормативы'!$C$10/SUM(M$2:M$429)),0)</f>
        <v/>
      </c>
      <c r="W296" s="10">
        <f>IFERROR(N296*MIN(1,'01_Нормативы'!$C$11/SUM(N$2:N$429)),0)</f>
        <v/>
      </c>
      <c r="X296" s="10">
        <f>SUM(P296:W296)</f>
        <v/>
      </c>
      <c r="Y296" s="10">
        <f>MAX(0,C296-X296)</f>
        <v/>
      </c>
      <c r="Z296" s="10">
        <f>IF(D296=0,100,X296/D296*100)</f>
        <v/>
      </c>
      <c r="AA296" s="10">
        <f>'02_Данные'!F296+'02_Данные'!G296</f>
        <v/>
      </c>
      <c r="AB296" s="10">
        <f>MIN('02_Данные'!L296,AA296)</f>
        <v/>
      </c>
      <c r="AC296" s="10">
        <f>AA296-AB296</f>
        <v/>
      </c>
      <c r="AD296" s="10">
        <f>MIN('02_Данные'!M296,AC296)</f>
        <v/>
      </c>
      <c r="AE296" s="10">
        <f>AC296-AD296</f>
        <v/>
      </c>
      <c r="AF296" s="10">
        <f>MIN('02_Данные'!N296,AE296)</f>
        <v/>
      </c>
      <c r="AG296" s="10">
        <f>AE296-AF296</f>
        <v/>
      </c>
      <c r="AH296" s="10">
        <f>MIN('02_Данные'!S296,AG296)</f>
        <v/>
      </c>
      <c r="AI296" s="10">
        <f>AG296-AH296</f>
        <v/>
      </c>
      <c r="AJ296" s="10">
        <f>MIN('02_Данные'!P296,AI296)</f>
        <v/>
      </c>
      <c r="AK296" s="10">
        <f>AI296-AJ296</f>
        <v/>
      </c>
      <c r="AL296" s="10">
        <f>MIN('02_Данные'!O296,AK296)</f>
        <v/>
      </c>
      <c r="AM296" s="10">
        <f>AK296-AL296</f>
        <v/>
      </c>
      <c r="AN296" s="10">
        <f>MIN('02_Данные'!Q296,AM296)</f>
        <v/>
      </c>
      <c r="AO296" s="10">
        <f>AM296-AN296</f>
        <v/>
      </c>
      <c r="AP296" s="10">
        <f>MIN('02_Данные'!R296,AO296)</f>
        <v/>
      </c>
      <c r="AQ296" s="10">
        <f>AO296-AP296</f>
        <v/>
      </c>
      <c r="AR296" s="10">
        <f>AQ296+'02_Данные'!H296</f>
        <v/>
      </c>
      <c r="AS296" s="10">
        <f>MIN('02_Данные'!T296,AR296)</f>
        <v/>
      </c>
      <c r="AT296" s="10">
        <f>AR296-AS296</f>
        <v/>
      </c>
      <c r="AU296" s="10">
        <f>MIN('02_Данные'!U296,AT296)</f>
        <v/>
      </c>
      <c r="AV296" s="10">
        <f>AT296-AU296</f>
        <v/>
      </c>
      <c r="AW296" s="10">
        <f>MIN('02_Данные'!V296,AV296)</f>
        <v/>
      </c>
      <c r="AX296" s="10">
        <f>AV296-AW296</f>
        <v/>
      </c>
      <c r="AY296" s="10">
        <f>MIN('02_Данные'!AA296,AX296)</f>
        <v/>
      </c>
      <c r="AZ296" s="10">
        <f>AX296-AY296</f>
        <v/>
      </c>
      <c r="BA296" s="10">
        <f>MIN('02_Данные'!X296,AZ296)</f>
        <v/>
      </c>
      <c r="BB296" s="10">
        <f>AZ296-BA296</f>
        <v/>
      </c>
      <c r="BC296" s="10">
        <f>MIN('02_Данные'!W296,BB296)</f>
        <v/>
      </c>
      <c r="BD296" s="10">
        <f>BB296-BC296</f>
        <v/>
      </c>
      <c r="BE296" s="10">
        <f>MIN('02_Данные'!Y296,BD296)</f>
        <v/>
      </c>
      <c r="BF296" s="10">
        <f>BD296-BE296</f>
        <v/>
      </c>
      <c r="BG296" s="10">
        <f>MIN('02_Данные'!Z296,BF296)</f>
        <v/>
      </c>
      <c r="BH296" s="10">
        <f>BF296-BG296</f>
        <v/>
      </c>
      <c r="BI296" s="10">
        <f>BH296+'02_Данные'!I296</f>
        <v/>
      </c>
      <c r="BJ296" s="10">
        <f>MIN('02_Данные'!AB296,BI296)</f>
        <v/>
      </c>
      <c r="BK296" s="10">
        <f>BI296-BJ296</f>
        <v/>
      </c>
      <c r="BL296" s="10">
        <f>MIN('02_Данные'!AC296,BK296)</f>
        <v/>
      </c>
      <c r="BM296" s="10">
        <f>BK296-BL296</f>
        <v/>
      </c>
      <c r="BN296" s="10">
        <f>MIN('02_Данные'!AD296,BM296)</f>
        <v/>
      </c>
      <c r="BO296" s="10">
        <f>BM296-BN296</f>
        <v/>
      </c>
      <c r="BP296" s="10">
        <f>MIN('02_Данные'!AI296,BO296)</f>
        <v/>
      </c>
      <c r="BQ296" s="10">
        <f>BO296-BP296</f>
        <v/>
      </c>
      <c r="BR296" s="10">
        <f>MIN('02_Данные'!AF296,BQ296)</f>
        <v/>
      </c>
      <c r="BS296" s="10">
        <f>BQ296-BR296</f>
        <v/>
      </c>
      <c r="BT296" s="10">
        <f>MIN('02_Данные'!AE296,BS296)</f>
        <v/>
      </c>
      <c r="BU296" s="10">
        <f>BS296-BT296</f>
        <v/>
      </c>
      <c r="BV296" s="10">
        <f>MIN('02_Данные'!AG296,BU296)</f>
        <v/>
      </c>
      <c r="BW296" s="10">
        <f>BU296-BV296</f>
        <v/>
      </c>
      <c r="BX296" s="10">
        <f>MIN('02_Данные'!AH296,BW296)</f>
        <v/>
      </c>
      <c r="BY296" s="10">
        <f>BW296-BX296</f>
        <v/>
      </c>
      <c r="BZ296" s="10">
        <f>BY296+'02_Данные'!J296</f>
        <v/>
      </c>
      <c r="CA296" s="10">
        <f>MIN('02_Данные'!AJ296,BZ296)</f>
        <v/>
      </c>
      <c r="CB296" s="10">
        <f>BZ296-CA296</f>
        <v/>
      </c>
      <c r="CC296" s="10">
        <f>MIN('02_Данные'!AK296,CB296)</f>
        <v/>
      </c>
      <c r="CD296" s="10">
        <f>CB296-CC296</f>
        <v/>
      </c>
      <c r="CE296" s="10">
        <f>MIN('02_Данные'!AL296,CD296)</f>
        <v/>
      </c>
      <c r="CF296" s="10">
        <f>CD296-CE296</f>
        <v/>
      </c>
      <c r="CG296" s="10">
        <f>MIN('02_Данные'!AQ296,CF296)</f>
        <v/>
      </c>
      <c r="CH296" s="10">
        <f>CF296-CG296</f>
        <v/>
      </c>
      <c r="CI296" s="10">
        <f>MIN('02_Данные'!AN296,CH296)</f>
        <v/>
      </c>
      <c r="CJ296" s="10">
        <f>CH296-CI296</f>
        <v/>
      </c>
      <c r="CK296" s="10">
        <f>MIN('02_Данные'!AM296,CJ296)</f>
        <v/>
      </c>
      <c r="CL296" s="10">
        <f>CJ296-CK296</f>
        <v/>
      </c>
      <c r="CM296" s="10">
        <f>MIN('02_Данные'!AO296,CL296)</f>
        <v/>
      </c>
      <c r="CN296" s="10">
        <f>CL296-CM296</f>
        <v/>
      </c>
      <c r="CO296" s="10">
        <f>MIN('02_Данные'!AP296,CN296)</f>
        <v/>
      </c>
      <c r="CP296" s="10">
        <f>CN296-CO296</f>
        <v/>
      </c>
      <c r="CQ296" s="10">
        <f>CP296+'02_Данные'!K296</f>
        <v/>
      </c>
      <c r="CR296" s="10">
        <f>MIN('02_Данные'!AR296,CQ296)</f>
        <v/>
      </c>
      <c r="CS296" s="10">
        <f>CQ296-CR296</f>
        <v/>
      </c>
      <c r="CT296" s="10">
        <f>MIN('02_Данные'!AS296,CS296)</f>
        <v/>
      </c>
      <c r="CU296" s="10">
        <f>CS296-CT296</f>
        <v/>
      </c>
      <c r="CV296" s="10">
        <f>MIN('02_Данные'!AT296,CU296)</f>
        <v/>
      </c>
      <c r="CW296" s="10">
        <f>CU296-CV296</f>
        <v/>
      </c>
      <c r="CX296" s="10">
        <f>MIN('02_Данные'!AY296,CW296)</f>
        <v/>
      </c>
      <c r="CY296" s="10">
        <f>CW296-CX296</f>
        <v/>
      </c>
      <c r="CZ296" s="10">
        <f>MIN('02_Данные'!AV296,CY296)</f>
        <v/>
      </c>
      <c r="DA296" s="10">
        <f>CY296-CZ296</f>
        <v/>
      </c>
      <c r="DB296" s="10">
        <f>MIN('02_Данные'!AU296,DA296)</f>
        <v/>
      </c>
      <c r="DC296" s="10">
        <f>DA296-DB296</f>
        <v/>
      </c>
      <c r="DD296" s="10">
        <f>MIN('02_Данные'!AW296,DC296)</f>
        <v/>
      </c>
      <c r="DE296" s="10">
        <f>DC296-DD296</f>
        <v/>
      </c>
      <c r="DF296" s="10">
        <f>MIN('02_Данные'!AX296,DE296)</f>
        <v/>
      </c>
      <c r="DG296" s="10">
        <f>DE296-DF296</f>
        <v/>
      </c>
    </row>
    <row r="297">
      <c r="A297" s="9">
        <f>'02_Данные'!B297</f>
        <v/>
      </c>
      <c r="B297" s="9">
        <f>'02_Данные'!E297</f>
        <v/>
      </c>
      <c r="C297" s="10">
        <f>'02_Данные'!F297+'02_Данные'!G297+'02_Данные'!H297+'02_Данные'!I297+'02_Данные'!J297+'02_Данные'!K297</f>
        <v/>
      </c>
      <c r="D297" s="10">
        <f>SUM('02_Данные'!L297:'02_Данные'!AY297)</f>
        <v/>
      </c>
      <c r="E297" s="10">
        <f>MAX(0,D297-C297)</f>
        <v/>
      </c>
      <c r="F297" s="15">
        <f>IF(E297&gt;0.0001,"ДЕФИЦИТ",IF(Y297&gt;0.0001,"ПРОФИЦИТ","БАЛАНС"))</f>
        <v/>
      </c>
      <c r="G297" s="10">
        <f>AB297+AS297+BJ297+CA297+CR297</f>
        <v/>
      </c>
      <c r="H297" s="10">
        <f>AD297+AU297+BL297+CC297+CT297</f>
        <v/>
      </c>
      <c r="I297" s="10">
        <f>AF297+AW297+BN297+CE297+CV297</f>
        <v/>
      </c>
      <c r="J297" s="10">
        <f>AL297+BC297+BT297+CK297+DB297</f>
        <v/>
      </c>
      <c r="K297" s="10">
        <f>AJ297+BA297+BR297+CI297+CZ297</f>
        <v/>
      </c>
      <c r="L297" s="10">
        <f>AN297+BE297+BV297+CM297+DD297</f>
        <v/>
      </c>
      <c r="M297" s="10">
        <f>AP297+BG297+BX297+CO297+DF297</f>
        <v/>
      </c>
      <c r="N297" s="10">
        <f>AH297+AY297+BP297+CG297+CX297</f>
        <v/>
      </c>
      <c r="O297" s="10">
        <f>SUM(G297:N297)</f>
        <v/>
      </c>
      <c r="P297" s="10">
        <f>IFERROR(G297*MIN(1,'01_Нормативы'!$C$4/SUM(G$2:G$429)),0)</f>
        <v/>
      </c>
      <c r="Q297" s="10">
        <f>IFERROR(H297*MIN(1,'01_Нормативы'!$C$5/SUM(H$2:H$429)),0)</f>
        <v/>
      </c>
      <c r="R297" s="10">
        <f>IFERROR(I297*MIN(1,'01_Нормативы'!$C$6/SUM(I$2:I$429)),0)</f>
        <v/>
      </c>
      <c r="S297" s="10">
        <f>IFERROR(J297*MIN(1,'01_Нормативы'!$C$7/SUM(J$2:J$429)),0)</f>
        <v/>
      </c>
      <c r="T297" s="10">
        <f>IFERROR(K297*MIN(1,'01_Нормативы'!$C$8/SUM(K$2:K$429)),0)</f>
        <v/>
      </c>
      <c r="U297" s="10">
        <f>IFERROR(L297*MIN(1,'01_Нормативы'!$C$9/SUM(L$2:L$429)),0)</f>
        <v/>
      </c>
      <c r="V297" s="10">
        <f>IFERROR(M297*MIN(1,'01_Нормативы'!$C$10/SUM(M$2:M$429)),0)</f>
        <v/>
      </c>
      <c r="W297" s="10">
        <f>IFERROR(N297*MIN(1,'01_Нормативы'!$C$11/SUM(N$2:N$429)),0)</f>
        <v/>
      </c>
      <c r="X297" s="10">
        <f>SUM(P297:W297)</f>
        <v/>
      </c>
      <c r="Y297" s="10">
        <f>MAX(0,C297-X297)</f>
        <v/>
      </c>
      <c r="Z297" s="10">
        <f>IF(D297=0,100,X297/D297*100)</f>
        <v/>
      </c>
      <c r="AA297" s="10">
        <f>'02_Данные'!F297+'02_Данные'!G297</f>
        <v/>
      </c>
      <c r="AB297" s="10">
        <f>MIN('02_Данные'!L297,AA297)</f>
        <v/>
      </c>
      <c r="AC297" s="10">
        <f>AA297-AB297</f>
        <v/>
      </c>
      <c r="AD297" s="10">
        <f>MIN('02_Данные'!M297,AC297)</f>
        <v/>
      </c>
      <c r="AE297" s="10">
        <f>AC297-AD297</f>
        <v/>
      </c>
      <c r="AF297" s="10">
        <f>MIN('02_Данные'!N297,AE297)</f>
        <v/>
      </c>
      <c r="AG297" s="10">
        <f>AE297-AF297</f>
        <v/>
      </c>
      <c r="AH297" s="10">
        <f>MIN('02_Данные'!S297,AG297)</f>
        <v/>
      </c>
      <c r="AI297" s="10">
        <f>AG297-AH297</f>
        <v/>
      </c>
      <c r="AJ297" s="10">
        <f>MIN('02_Данные'!P297,AI297)</f>
        <v/>
      </c>
      <c r="AK297" s="10">
        <f>AI297-AJ297</f>
        <v/>
      </c>
      <c r="AL297" s="10">
        <f>MIN('02_Данные'!O297,AK297)</f>
        <v/>
      </c>
      <c r="AM297" s="10">
        <f>AK297-AL297</f>
        <v/>
      </c>
      <c r="AN297" s="10">
        <f>MIN('02_Данные'!Q297,AM297)</f>
        <v/>
      </c>
      <c r="AO297" s="10">
        <f>AM297-AN297</f>
        <v/>
      </c>
      <c r="AP297" s="10">
        <f>MIN('02_Данные'!R297,AO297)</f>
        <v/>
      </c>
      <c r="AQ297" s="10">
        <f>AO297-AP297</f>
        <v/>
      </c>
      <c r="AR297" s="10">
        <f>AQ297+'02_Данные'!H297</f>
        <v/>
      </c>
      <c r="AS297" s="10">
        <f>MIN('02_Данные'!T297,AR297)</f>
        <v/>
      </c>
      <c r="AT297" s="10">
        <f>AR297-AS297</f>
        <v/>
      </c>
      <c r="AU297" s="10">
        <f>MIN('02_Данные'!U297,AT297)</f>
        <v/>
      </c>
      <c r="AV297" s="10">
        <f>AT297-AU297</f>
        <v/>
      </c>
      <c r="AW297" s="10">
        <f>MIN('02_Данные'!V297,AV297)</f>
        <v/>
      </c>
      <c r="AX297" s="10">
        <f>AV297-AW297</f>
        <v/>
      </c>
      <c r="AY297" s="10">
        <f>MIN('02_Данные'!AA297,AX297)</f>
        <v/>
      </c>
      <c r="AZ297" s="10">
        <f>AX297-AY297</f>
        <v/>
      </c>
      <c r="BA297" s="10">
        <f>MIN('02_Данные'!X297,AZ297)</f>
        <v/>
      </c>
      <c r="BB297" s="10">
        <f>AZ297-BA297</f>
        <v/>
      </c>
      <c r="BC297" s="10">
        <f>MIN('02_Данные'!W297,BB297)</f>
        <v/>
      </c>
      <c r="BD297" s="10">
        <f>BB297-BC297</f>
        <v/>
      </c>
      <c r="BE297" s="10">
        <f>MIN('02_Данные'!Y297,BD297)</f>
        <v/>
      </c>
      <c r="BF297" s="10">
        <f>BD297-BE297</f>
        <v/>
      </c>
      <c r="BG297" s="10">
        <f>MIN('02_Данные'!Z297,BF297)</f>
        <v/>
      </c>
      <c r="BH297" s="10">
        <f>BF297-BG297</f>
        <v/>
      </c>
      <c r="BI297" s="10">
        <f>BH297+'02_Данные'!I297</f>
        <v/>
      </c>
      <c r="BJ297" s="10">
        <f>MIN('02_Данные'!AB297,BI297)</f>
        <v/>
      </c>
      <c r="BK297" s="10">
        <f>BI297-BJ297</f>
        <v/>
      </c>
      <c r="BL297" s="10">
        <f>MIN('02_Данные'!AC297,BK297)</f>
        <v/>
      </c>
      <c r="BM297" s="10">
        <f>BK297-BL297</f>
        <v/>
      </c>
      <c r="BN297" s="10">
        <f>MIN('02_Данные'!AD297,BM297)</f>
        <v/>
      </c>
      <c r="BO297" s="10">
        <f>BM297-BN297</f>
        <v/>
      </c>
      <c r="BP297" s="10">
        <f>MIN('02_Данные'!AI297,BO297)</f>
        <v/>
      </c>
      <c r="BQ297" s="10">
        <f>BO297-BP297</f>
        <v/>
      </c>
      <c r="BR297" s="10">
        <f>MIN('02_Данные'!AF297,BQ297)</f>
        <v/>
      </c>
      <c r="BS297" s="10">
        <f>BQ297-BR297</f>
        <v/>
      </c>
      <c r="BT297" s="10">
        <f>MIN('02_Данные'!AE297,BS297)</f>
        <v/>
      </c>
      <c r="BU297" s="10">
        <f>BS297-BT297</f>
        <v/>
      </c>
      <c r="BV297" s="10">
        <f>MIN('02_Данные'!AG297,BU297)</f>
        <v/>
      </c>
      <c r="BW297" s="10">
        <f>BU297-BV297</f>
        <v/>
      </c>
      <c r="BX297" s="10">
        <f>MIN('02_Данные'!AH297,BW297)</f>
        <v/>
      </c>
      <c r="BY297" s="10">
        <f>BW297-BX297</f>
        <v/>
      </c>
      <c r="BZ297" s="10">
        <f>BY297+'02_Данные'!J297</f>
        <v/>
      </c>
      <c r="CA297" s="10">
        <f>MIN('02_Данные'!AJ297,BZ297)</f>
        <v/>
      </c>
      <c r="CB297" s="10">
        <f>BZ297-CA297</f>
        <v/>
      </c>
      <c r="CC297" s="10">
        <f>MIN('02_Данные'!AK297,CB297)</f>
        <v/>
      </c>
      <c r="CD297" s="10">
        <f>CB297-CC297</f>
        <v/>
      </c>
      <c r="CE297" s="10">
        <f>MIN('02_Данные'!AL297,CD297)</f>
        <v/>
      </c>
      <c r="CF297" s="10">
        <f>CD297-CE297</f>
        <v/>
      </c>
      <c r="CG297" s="10">
        <f>MIN('02_Данные'!AQ297,CF297)</f>
        <v/>
      </c>
      <c r="CH297" s="10">
        <f>CF297-CG297</f>
        <v/>
      </c>
      <c r="CI297" s="10">
        <f>MIN('02_Данные'!AN297,CH297)</f>
        <v/>
      </c>
      <c r="CJ297" s="10">
        <f>CH297-CI297</f>
        <v/>
      </c>
      <c r="CK297" s="10">
        <f>MIN('02_Данные'!AM297,CJ297)</f>
        <v/>
      </c>
      <c r="CL297" s="10">
        <f>CJ297-CK297</f>
        <v/>
      </c>
      <c r="CM297" s="10">
        <f>MIN('02_Данные'!AO297,CL297)</f>
        <v/>
      </c>
      <c r="CN297" s="10">
        <f>CL297-CM297</f>
        <v/>
      </c>
      <c r="CO297" s="10">
        <f>MIN('02_Данные'!AP297,CN297)</f>
        <v/>
      </c>
      <c r="CP297" s="10">
        <f>CN297-CO297</f>
        <v/>
      </c>
      <c r="CQ297" s="10">
        <f>CP297+'02_Данные'!K297</f>
        <v/>
      </c>
      <c r="CR297" s="10">
        <f>MIN('02_Данные'!AR297,CQ297)</f>
        <v/>
      </c>
      <c r="CS297" s="10">
        <f>CQ297-CR297</f>
        <v/>
      </c>
      <c r="CT297" s="10">
        <f>MIN('02_Данные'!AS297,CS297)</f>
        <v/>
      </c>
      <c r="CU297" s="10">
        <f>CS297-CT297</f>
        <v/>
      </c>
      <c r="CV297" s="10">
        <f>MIN('02_Данные'!AT297,CU297)</f>
        <v/>
      </c>
      <c r="CW297" s="10">
        <f>CU297-CV297</f>
        <v/>
      </c>
      <c r="CX297" s="10">
        <f>MIN('02_Данные'!AY297,CW297)</f>
        <v/>
      </c>
      <c r="CY297" s="10">
        <f>CW297-CX297</f>
        <v/>
      </c>
      <c r="CZ297" s="10">
        <f>MIN('02_Данные'!AV297,CY297)</f>
        <v/>
      </c>
      <c r="DA297" s="10">
        <f>CY297-CZ297</f>
        <v/>
      </c>
      <c r="DB297" s="10">
        <f>MIN('02_Данные'!AU297,DA297)</f>
        <v/>
      </c>
      <c r="DC297" s="10">
        <f>DA297-DB297</f>
        <v/>
      </c>
      <c r="DD297" s="10">
        <f>MIN('02_Данные'!AW297,DC297)</f>
        <v/>
      </c>
      <c r="DE297" s="10">
        <f>DC297-DD297</f>
        <v/>
      </c>
      <c r="DF297" s="10">
        <f>MIN('02_Данные'!AX297,DE297)</f>
        <v/>
      </c>
      <c r="DG297" s="10">
        <f>DE297-DF297</f>
        <v/>
      </c>
    </row>
    <row r="298">
      <c r="A298" s="9">
        <f>'02_Данные'!B298</f>
        <v/>
      </c>
      <c r="B298" s="9">
        <f>'02_Данные'!E298</f>
        <v/>
      </c>
      <c r="C298" s="10">
        <f>'02_Данные'!F298+'02_Данные'!G298+'02_Данные'!H298+'02_Данные'!I298+'02_Данные'!J298+'02_Данные'!K298</f>
        <v/>
      </c>
      <c r="D298" s="10">
        <f>SUM('02_Данные'!L298:'02_Данные'!AY298)</f>
        <v/>
      </c>
      <c r="E298" s="10">
        <f>MAX(0,D298-C298)</f>
        <v/>
      </c>
      <c r="F298" s="15">
        <f>IF(E298&gt;0.0001,"ДЕФИЦИТ",IF(Y298&gt;0.0001,"ПРОФИЦИТ","БАЛАНС"))</f>
        <v/>
      </c>
      <c r="G298" s="10">
        <f>AB298+AS298+BJ298+CA298+CR298</f>
        <v/>
      </c>
      <c r="H298" s="10">
        <f>AD298+AU298+BL298+CC298+CT298</f>
        <v/>
      </c>
      <c r="I298" s="10">
        <f>AF298+AW298+BN298+CE298+CV298</f>
        <v/>
      </c>
      <c r="J298" s="10">
        <f>AL298+BC298+BT298+CK298+DB298</f>
        <v/>
      </c>
      <c r="K298" s="10">
        <f>AJ298+BA298+BR298+CI298+CZ298</f>
        <v/>
      </c>
      <c r="L298" s="10">
        <f>AN298+BE298+BV298+CM298+DD298</f>
        <v/>
      </c>
      <c r="M298" s="10">
        <f>AP298+BG298+BX298+CO298+DF298</f>
        <v/>
      </c>
      <c r="N298" s="10">
        <f>AH298+AY298+BP298+CG298+CX298</f>
        <v/>
      </c>
      <c r="O298" s="10">
        <f>SUM(G298:N298)</f>
        <v/>
      </c>
      <c r="P298" s="10">
        <f>IFERROR(G298*MIN(1,'01_Нормативы'!$C$4/SUM(G$2:G$429)),0)</f>
        <v/>
      </c>
      <c r="Q298" s="10">
        <f>IFERROR(H298*MIN(1,'01_Нормативы'!$C$5/SUM(H$2:H$429)),0)</f>
        <v/>
      </c>
      <c r="R298" s="10">
        <f>IFERROR(I298*MIN(1,'01_Нормативы'!$C$6/SUM(I$2:I$429)),0)</f>
        <v/>
      </c>
      <c r="S298" s="10">
        <f>IFERROR(J298*MIN(1,'01_Нормативы'!$C$7/SUM(J$2:J$429)),0)</f>
        <v/>
      </c>
      <c r="T298" s="10">
        <f>IFERROR(K298*MIN(1,'01_Нормативы'!$C$8/SUM(K$2:K$429)),0)</f>
        <v/>
      </c>
      <c r="U298" s="10">
        <f>IFERROR(L298*MIN(1,'01_Нормативы'!$C$9/SUM(L$2:L$429)),0)</f>
        <v/>
      </c>
      <c r="V298" s="10">
        <f>IFERROR(M298*MIN(1,'01_Нормативы'!$C$10/SUM(M$2:M$429)),0)</f>
        <v/>
      </c>
      <c r="W298" s="10">
        <f>IFERROR(N298*MIN(1,'01_Нормативы'!$C$11/SUM(N$2:N$429)),0)</f>
        <v/>
      </c>
      <c r="X298" s="10">
        <f>SUM(P298:W298)</f>
        <v/>
      </c>
      <c r="Y298" s="10">
        <f>MAX(0,C298-X298)</f>
        <v/>
      </c>
      <c r="Z298" s="10">
        <f>IF(D298=0,100,X298/D298*100)</f>
        <v/>
      </c>
      <c r="AA298" s="10">
        <f>'02_Данные'!F298+'02_Данные'!G298</f>
        <v/>
      </c>
      <c r="AB298" s="10">
        <f>MIN('02_Данные'!L298,AA298)</f>
        <v/>
      </c>
      <c r="AC298" s="10">
        <f>AA298-AB298</f>
        <v/>
      </c>
      <c r="AD298" s="10">
        <f>MIN('02_Данные'!M298,AC298)</f>
        <v/>
      </c>
      <c r="AE298" s="10">
        <f>AC298-AD298</f>
        <v/>
      </c>
      <c r="AF298" s="10">
        <f>MIN('02_Данные'!N298,AE298)</f>
        <v/>
      </c>
      <c r="AG298" s="10">
        <f>AE298-AF298</f>
        <v/>
      </c>
      <c r="AH298" s="10">
        <f>MIN('02_Данные'!S298,AG298)</f>
        <v/>
      </c>
      <c r="AI298" s="10">
        <f>AG298-AH298</f>
        <v/>
      </c>
      <c r="AJ298" s="10">
        <f>MIN('02_Данные'!P298,AI298)</f>
        <v/>
      </c>
      <c r="AK298" s="10">
        <f>AI298-AJ298</f>
        <v/>
      </c>
      <c r="AL298" s="10">
        <f>MIN('02_Данные'!O298,AK298)</f>
        <v/>
      </c>
      <c r="AM298" s="10">
        <f>AK298-AL298</f>
        <v/>
      </c>
      <c r="AN298" s="10">
        <f>MIN('02_Данные'!Q298,AM298)</f>
        <v/>
      </c>
      <c r="AO298" s="10">
        <f>AM298-AN298</f>
        <v/>
      </c>
      <c r="AP298" s="10">
        <f>MIN('02_Данные'!R298,AO298)</f>
        <v/>
      </c>
      <c r="AQ298" s="10">
        <f>AO298-AP298</f>
        <v/>
      </c>
      <c r="AR298" s="10">
        <f>AQ298+'02_Данные'!H298</f>
        <v/>
      </c>
      <c r="AS298" s="10">
        <f>MIN('02_Данные'!T298,AR298)</f>
        <v/>
      </c>
      <c r="AT298" s="10">
        <f>AR298-AS298</f>
        <v/>
      </c>
      <c r="AU298" s="10">
        <f>MIN('02_Данные'!U298,AT298)</f>
        <v/>
      </c>
      <c r="AV298" s="10">
        <f>AT298-AU298</f>
        <v/>
      </c>
      <c r="AW298" s="10">
        <f>MIN('02_Данные'!V298,AV298)</f>
        <v/>
      </c>
      <c r="AX298" s="10">
        <f>AV298-AW298</f>
        <v/>
      </c>
      <c r="AY298" s="10">
        <f>MIN('02_Данные'!AA298,AX298)</f>
        <v/>
      </c>
      <c r="AZ298" s="10">
        <f>AX298-AY298</f>
        <v/>
      </c>
      <c r="BA298" s="10">
        <f>MIN('02_Данные'!X298,AZ298)</f>
        <v/>
      </c>
      <c r="BB298" s="10">
        <f>AZ298-BA298</f>
        <v/>
      </c>
      <c r="BC298" s="10">
        <f>MIN('02_Данные'!W298,BB298)</f>
        <v/>
      </c>
      <c r="BD298" s="10">
        <f>BB298-BC298</f>
        <v/>
      </c>
      <c r="BE298" s="10">
        <f>MIN('02_Данные'!Y298,BD298)</f>
        <v/>
      </c>
      <c r="BF298" s="10">
        <f>BD298-BE298</f>
        <v/>
      </c>
      <c r="BG298" s="10">
        <f>MIN('02_Данные'!Z298,BF298)</f>
        <v/>
      </c>
      <c r="BH298" s="10">
        <f>BF298-BG298</f>
        <v/>
      </c>
      <c r="BI298" s="10">
        <f>BH298+'02_Данные'!I298</f>
        <v/>
      </c>
      <c r="BJ298" s="10">
        <f>MIN('02_Данные'!AB298,BI298)</f>
        <v/>
      </c>
      <c r="BK298" s="10">
        <f>BI298-BJ298</f>
        <v/>
      </c>
      <c r="BL298" s="10">
        <f>MIN('02_Данные'!AC298,BK298)</f>
        <v/>
      </c>
      <c r="BM298" s="10">
        <f>BK298-BL298</f>
        <v/>
      </c>
      <c r="BN298" s="10">
        <f>MIN('02_Данные'!AD298,BM298)</f>
        <v/>
      </c>
      <c r="BO298" s="10">
        <f>BM298-BN298</f>
        <v/>
      </c>
      <c r="BP298" s="10">
        <f>MIN('02_Данные'!AI298,BO298)</f>
        <v/>
      </c>
      <c r="BQ298" s="10">
        <f>BO298-BP298</f>
        <v/>
      </c>
      <c r="BR298" s="10">
        <f>MIN('02_Данные'!AF298,BQ298)</f>
        <v/>
      </c>
      <c r="BS298" s="10">
        <f>BQ298-BR298</f>
        <v/>
      </c>
      <c r="BT298" s="10">
        <f>MIN('02_Данные'!AE298,BS298)</f>
        <v/>
      </c>
      <c r="BU298" s="10">
        <f>BS298-BT298</f>
        <v/>
      </c>
      <c r="BV298" s="10">
        <f>MIN('02_Данные'!AG298,BU298)</f>
        <v/>
      </c>
      <c r="BW298" s="10">
        <f>BU298-BV298</f>
        <v/>
      </c>
      <c r="BX298" s="10">
        <f>MIN('02_Данные'!AH298,BW298)</f>
        <v/>
      </c>
      <c r="BY298" s="10">
        <f>BW298-BX298</f>
        <v/>
      </c>
      <c r="BZ298" s="10">
        <f>BY298+'02_Данные'!J298</f>
        <v/>
      </c>
      <c r="CA298" s="10">
        <f>MIN('02_Данные'!AJ298,BZ298)</f>
        <v/>
      </c>
      <c r="CB298" s="10">
        <f>BZ298-CA298</f>
        <v/>
      </c>
      <c r="CC298" s="10">
        <f>MIN('02_Данные'!AK298,CB298)</f>
        <v/>
      </c>
      <c r="CD298" s="10">
        <f>CB298-CC298</f>
        <v/>
      </c>
      <c r="CE298" s="10">
        <f>MIN('02_Данные'!AL298,CD298)</f>
        <v/>
      </c>
      <c r="CF298" s="10">
        <f>CD298-CE298</f>
        <v/>
      </c>
      <c r="CG298" s="10">
        <f>MIN('02_Данные'!AQ298,CF298)</f>
        <v/>
      </c>
      <c r="CH298" s="10">
        <f>CF298-CG298</f>
        <v/>
      </c>
      <c r="CI298" s="10">
        <f>MIN('02_Данные'!AN298,CH298)</f>
        <v/>
      </c>
      <c r="CJ298" s="10">
        <f>CH298-CI298</f>
        <v/>
      </c>
      <c r="CK298" s="10">
        <f>MIN('02_Данные'!AM298,CJ298)</f>
        <v/>
      </c>
      <c r="CL298" s="10">
        <f>CJ298-CK298</f>
        <v/>
      </c>
      <c r="CM298" s="10">
        <f>MIN('02_Данные'!AO298,CL298)</f>
        <v/>
      </c>
      <c r="CN298" s="10">
        <f>CL298-CM298</f>
        <v/>
      </c>
      <c r="CO298" s="10">
        <f>MIN('02_Данные'!AP298,CN298)</f>
        <v/>
      </c>
      <c r="CP298" s="10">
        <f>CN298-CO298</f>
        <v/>
      </c>
      <c r="CQ298" s="10">
        <f>CP298+'02_Данные'!K298</f>
        <v/>
      </c>
      <c r="CR298" s="10">
        <f>MIN('02_Данные'!AR298,CQ298)</f>
        <v/>
      </c>
      <c r="CS298" s="10">
        <f>CQ298-CR298</f>
        <v/>
      </c>
      <c r="CT298" s="10">
        <f>MIN('02_Данные'!AS298,CS298)</f>
        <v/>
      </c>
      <c r="CU298" s="10">
        <f>CS298-CT298</f>
        <v/>
      </c>
      <c r="CV298" s="10">
        <f>MIN('02_Данные'!AT298,CU298)</f>
        <v/>
      </c>
      <c r="CW298" s="10">
        <f>CU298-CV298</f>
        <v/>
      </c>
      <c r="CX298" s="10">
        <f>MIN('02_Данные'!AY298,CW298)</f>
        <v/>
      </c>
      <c r="CY298" s="10">
        <f>CW298-CX298</f>
        <v/>
      </c>
      <c r="CZ298" s="10">
        <f>MIN('02_Данные'!AV298,CY298)</f>
        <v/>
      </c>
      <c r="DA298" s="10">
        <f>CY298-CZ298</f>
        <v/>
      </c>
      <c r="DB298" s="10">
        <f>MIN('02_Данные'!AU298,DA298)</f>
        <v/>
      </c>
      <c r="DC298" s="10">
        <f>DA298-DB298</f>
        <v/>
      </c>
      <c r="DD298" s="10">
        <f>MIN('02_Данные'!AW298,DC298)</f>
        <v/>
      </c>
      <c r="DE298" s="10">
        <f>DC298-DD298</f>
        <v/>
      </c>
      <c r="DF298" s="10">
        <f>MIN('02_Данные'!AX298,DE298)</f>
        <v/>
      </c>
      <c r="DG298" s="10">
        <f>DE298-DF298</f>
        <v/>
      </c>
    </row>
    <row r="299">
      <c r="A299" s="9">
        <f>'02_Данные'!B299</f>
        <v/>
      </c>
      <c r="B299" s="9">
        <f>'02_Данные'!E299</f>
        <v/>
      </c>
      <c r="C299" s="10">
        <f>'02_Данные'!F299+'02_Данные'!G299+'02_Данные'!H299+'02_Данные'!I299+'02_Данные'!J299+'02_Данные'!K299</f>
        <v/>
      </c>
      <c r="D299" s="10">
        <f>SUM('02_Данные'!L299:'02_Данные'!AY299)</f>
        <v/>
      </c>
      <c r="E299" s="10">
        <f>MAX(0,D299-C299)</f>
        <v/>
      </c>
      <c r="F299" s="15">
        <f>IF(E299&gt;0.0001,"ДЕФИЦИТ",IF(Y299&gt;0.0001,"ПРОФИЦИТ","БАЛАНС"))</f>
        <v/>
      </c>
      <c r="G299" s="10">
        <f>AB299+AS299+BJ299+CA299+CR299</f>
        <v/>
      </c>
      <c r="H299" s="10">
        <f>AD299+AU299+BL299+CC299+CT299</f>
        <v/>
      </c>
      <c r="I299" s="10">
        <f>AF299+AW299+BN299+CE299+CV299</f>
        <v/>
      </c>
      <c r="J299" s="10">
        <f>AL299+BC299+BT299+CK299+DB299</f>
        <v/>
      </c>
      <c r="K299" s="10">
        <f>AJ299+BA299+BR299+CI299+CZ299</f>
        <v/>
      </c>
      <c r="L299" s="10">
        <f>AN299+BE299+BV299+CM299+DD299</f>
        <v/>
      </c>
      <c r="M299" s="10">
        <f>AP299+BG299+BX299+CO299+DF299</f>
        <v/>
      </c>
      <c r="N299" s="10">
        <f>AH299+AY299+BP299+CG299+CX299</f>
        <v/>
      </c>
      <c r="O299" s="10">
        <f>SUM(G299:N299)</f>
        <v/>
      </c>
      <c r="P299" s="10">
        <f>IFERROR(G299*MIN(1,'01_Нормативы'!$C$4/SUM(G$2:G$429)),0)</f>
        <v/>
      </c>
      <c r="Q299" s="10">
        <f>IFERROR(H299*MIN(1,'01_Нормативы'!$C$5/SUM(H$2:H$429)),0)</f>
        <v/>
      </c>
      <c r="R299" s="10">
        <f>IFERROR(I299*MIN(1,'01_Нормативы'!$C$6/SUM(I$2:I$429)),0)</f>
        <v/>
      </c>
      <c r="S299" s="10">
        <f>IFERROR(J299*MIN(1,'01_Нормативы'!$C$7/SUM(J$2:J$429)),0)</f>
        <v/>
      </c>
      <c r="T299" s="10">
        <f>IFERROR(K299*MIN(1,'01_Нормативы'!$C$8/SUM(K$2:K$429)),0)</f>
        <v/>
      </c>
      <c r="U299" s="10">
        <f>IFERROR(L299*MIN(1,'01_Нормативы'!$C$9/SUM(L$2:L$429)),0)</f>
        <v/>
      </c>
      <c r="V299" s="10">
        <f>IFERROR(M299*MIN(1,'01_Нормативы'!$C$10/SUM(M$2:M$429)),0)</f>
        <v/>
      </c>
      <c r="W299" s="10">
        <f>IFERROR(N299*MIN(1,'01_Нормативы'!$C$11/SUM(N$2:N$429)),0)</f>
        <v/>
      </c>
      <c r="X299" s="10">
        <f>SUM(P299:W299)</f>
        <v/>
      </c>
      <c r="Y299" s="10">
        <f>MAX(0,C299-X299)</f>
        <v/>
      </c>
      <c r="Z299" s="10">
        <f>IF(D299=0,100,X299/D299*100)</f>
        <v/>
      </c>
      <c r="AA299" s="10">
        <f>'02_Данные'!F299+'02_Данные'!G299</f>
        <v/>
      </c>
      <c r="AB299" s="10">
        <f>MIN('02_Данные'!L299,AA299)</f>
        <v/>
      </c>
      <c r="AC299" s="10">
        <f>AA299-AB299</f>
        <v/>
      </c>
      <c r="AD299" s="10">
        <f>MIN('02_Данные'!M299,AC299)</f>
        <v/>
      </c>
      <c r="AE299" s="10">
        <f>AC299-AD299</f>
        <v/>
      </c>
      <c r="AF299" s="10">
        <f>MIN('02_Данные'!N299,AE299)</f>
        <v/>
      </c>
      <c r="AG299" s="10">
        <f>AE299-AF299</f>
        <v/>
      </c>
      <c r="AH299" s="10">
        <f>MIN('02_Данные'!S299,AG299)</f>
        <v/>
      </c>
      <c r="AI299" s="10">
        <f>AG299-AH299</f>
        <v/>
      </c>
      <c r="AJ299" s="10">
        <f>MIN('02_Данные'!P299,AI299)</f>
        <v/>
      </c>
      <c r="AK299" s="10">
        <f>AI299-AJ299</f>
        <v/>
      </c>
      <c r="AL299" s="10">
        <f>MIN('02_Данные'!O299,AK299)</f>
        <v/>
      </c>
      <c r="AM299" s="10">
        <f>AK299-AL299</f>
        <v/>
      </c>
      <c r="AN299" s="10">
        <f>MIN('02_Данные'!Q299,AM299)</f>
        <v/>
      </c>
      <c r="AO299" s="10">
        <f>AM299-AN299</f>
        <v/>
      </c>
      <c r="AP299" s="10">
        <f>MIN('02_Данные'!R299,AO299)</f>
        <v/>
      </c>
      <c r="AQ299" s="10">
        <f>AO299-AP299</f>
        <v/>
      </c>
      <c r="AR299" s="10">
        <f>AQ299+'02_Данные'!H299</f>
        <v/>
      </c>
      <c r="AS299" s="10">
        <f>MIN('02_Данные'!T299,AR299)</f>
        <v/>
      </c>
      <c r="AT299" s="10">
        <f>AR299-AS299</f>
        <v/>
      </c>
      <c r="AU299" s="10">
        <f>MIN('02_Данные'!U299,AT299)</f>
        <v/>
      </c>
      <c r="AV299" s="10">
        <f>AT299-AU299</f>
        <v/>
      </c>
      <c r="AW299" s="10">
        <f>MIN('02_Данные'!V299,AV299)</f>
        <v/>
      </c>
      <c r="AX299" s="10">
        <f>AV299-AW299</f>
        <v/>
      </c>
      <c r="AY299" s="10">
        <f>MIN('02_Данные'!AA299,AX299)</f>
        <v/>
      </c>
      <c r="AZ299" s="10">
        <f>AX299-AY299</f>
        <v/>
      </c>
      <c r="BA299" s="10">
        <f>MIN('02_Данные'!X299,AZ299)</f>
        <v/>
      </c>
      <c r="BB299" s="10">
        <f>AZ299-BA299</f>
        <v/>
      </c>
      <c r="BC299" s="10">
        <f>MIN('02_Данные'!W299,BB299)</f>
        <v/>
      </c>
      <c r="BD299" s="10">
        <f>BB299-BC299</f>
        <v/>
      </c>
      <c r="BE299" s="10">
        <f>MIN('02_Данные'!Y299,BD299)</f>
        <v/>
      </c>
      <c r="BF299" s="10">
        <f>BD299-BE299</f>
        <v/>
      </c>
      <c r="BG299" s="10">
        <f>MIN('02_Данные'!Z299,BF299)</f>
        <v/>
      </c>
      <c r="BH299" s="10">
        <f>BF299-BG299</f>
        <v/>
      </c>
      <c r="BI299" s="10">
        <f>BH299+'02_Данные'!I299</f>
        <v/>
      </c>
      <c r="BJ299" s="10">
        <f>MIN('02_Данные'!AB299,BI299)</f>
        <v/>
      </c>
      <c r="BK299" s="10">
        <f>BI299-BJ299</f>
        <v/>
      </c>
      <c r="BL299" s="10">
        <f>MIN('02_Данные'!AC299,BK299)</f>
        <v/>
      </c>
      <c r="BM299" s="10">
        <f>BK299-BL299</f>
        <v/>
      </c>
      <c r="BN299" s="10">
        <f>MIN('02_Данные'!AD299,BM299)</f>
        <v/>
      </c>
      <c r="BO299" s="10">
        <f>BM299-BN299</f>
        <v/>
      </c>
      <c r="BP299" s="10">
        <f>MIN('02_Данные'!AI299,BO299)</f>
        <v/>
      </c>
      <c r="BQ299" s="10">
        <f>BO299-BP299</f>
        <v/>
      </c>
      <c r="BR299" s="10">
        <f>MIN('02_Данные'!AF299,BQ299)</f>
        <v/>
      </c>
      <c r="BS299" s="10">
        <f>BQ299-BR299</f>
        <v/>
      </c>
      <c r="BT299" s="10">
        <f>MIN('02_Данные'!AE299,BS299)</f>
        <v/>
      </c>
      <c r="BU299" s="10">
        <f>BS299-BT299</f>
        <v/>
      </c>
      <c r="BV299" s="10">
        <f>MIN('02_Данные'!AG299,BU299)</f>
        <v/>
      </c>
      <c r="BW299" s="10">
        <f>BU299-BV299</f>
        <v/>
      </c>
      <c r="BX299" s="10">
        <f>MIN('02_Данные'!AH299,BW299)</f>
        <v/>
      </c>
      <c r="BY299" s="10">
        <f>BW299-BX299</f>
        <v/>
      </c>
      <c r="BZ299" s="10">
        <f>BY299+'02_Данные'!J299</f>
        <v/>
      </c>
      <c r="CA299" s="10">
        <f>MIN('02_Данные'!AJ299,BZ299)</f>
        <v/>
      </c>
      <c r="CB299" s="10">
        <f>BZ299-CA299</f>
        <v/>
      </c>
      <c r="CC299" s="10">
        <f>MIN('02_Данные'!AK299,CB299)</f>
        <v/>
      </c>
      <c r="CD299" s="10">
        <f>CB299-CC299</f>
        <v/>
      </c>
      <c r="CE299" s="10">
        <f>MIN('02_Данные'!AL299,CD299)</f>
        <v/>
      </c>
      <c r="CF299" s="10">
        <f>CD299-CE299</f>
        <v/>
      </c>
      <c r="CG299" s="10">
        <f>MIN('02_Данные'!AQ299,CF299)</f>
        <v/>
      </c>
      <c r="CH299" s="10">
        <f>CF299-CG299</f>
        <v/>
      </c>
      <c r="CI299" s="10">
        <f>MIN('02_Данные'!AN299,CH299)</f>
        <v/>
      </c>
      <c r="CJ299" s="10">
        <f>CH299-CI299</f>
        <v/>
      </c>
      <c r="CK299" s="10">
        <f>MIN('02_Данные'!AM299,CJ299)</f>
        <v/>
      </c>
      <c r="CL299" s="10">
        <f>CJ299-CK299</f>
        <v/>
      </c>
      <c r="CM299" s="10">
        <f>MIN('02_Данные'!AO299,CL299)</f>
        <v/>
      </c>
      <c r="CN299" s="10">
        <f>CL299-CM299</f>
        <v/>
      </c>
      <c r="CO299" s="10">
        <f>MIN('02_Данные'!AP299,CN299)</f>
        <v/>
      </c>
      <c r="CP299" s="10">
        <f>CN299-CO299</f>
        <v/>
      </c>
      <c r="CQ299" s="10">
        <f>CP299+'02_Данные'!K299</f>
        <v/>
      </c>
      <c r="CR299" s="10">
        <f>MIN('02_Данные'!AR299,CQ299)</f>
        <v/>
      </c>
      <c r="CS299" s="10">
        <f>CQ299-CR299</f>
        <v/>
      </c>
      <c r="CT299" s="10">
        <f>MIN('02_Данные'!AS299,CS299)</f>
        <v/>
      </c>
      <c r="CU299" s="10">
        <f>CS299-CT299</f>
        <v/>
      </c>
      <c r="CV299" s="10">
        <f>MIN('02_Данные'!AT299,CU299)</f>
        <v/>
      </c>
      <c r="CW299" s="10">
        <f>CU299-CV299</f>
        <v/>
      </c>
      <c r="CX299" s="10">
        <f>MIN('02_Данные'!AY299,CW299)</f>
        <v/>
      </c>
      <c r="CY299" s="10">
        <f>CW299-CX299</f>
        <v/>
      </c>
      <c r="CZ299" s="10">
        <f>MIN('02_Данные'!AV299,CY299)</f>
        <v/>
      </c>
      <c r="DA299" s="10">
        <f>CY299-CZ299</f>
        <v/>
      </c>
      <c r="DB299" s="10">
        <f>MIN('02_Данные'!AU299,DA299)</f>
        <v/>
      </c>
      <c r="DC299" s="10">
        <f>DA299-DB299</f>
        <v/>
      </c>
      <c r="DD299" s="10">
        <f>MIN('02_Данные'!AW299,DC299)</f>
        <v/>
      </c>
      <c r="DE299" s="10">
        <f>DC299-DD299</f>
        <v/>
      </c>
      <c r="DF299" s="10">
        <f>MIN('02_Данные'!AX299,DE299)</f>
        <v/>
      </c>
      <c r="DG299" s="10">
        <f>DE299-DF299</f>
        <v/>
      </c>
    </row>
    <row r="300">
      <c r="A300" s="9">
        <f>'02_Данные'!B300</f>
        <v/>
      </c>
      <c r="B300" s="9">
        <f>'02_Данные'!E300</f>
        <v/>
      </c>
      <c r="C300" s="10">
        <f>'02_Данные'!F300+'02_Данные'!G300+'02_Данные'!H300+'02_Данные'!I300+'02_Данные'!J300+'02_Данные'!K300</f>
        <v/>
      </c>
      <c r="D300" s="10">
        <f>SUM('02_Данные'!L300:'02_Данные'!AY300)</f>
        <v/>
      </c>
      <c r="E300" s="10">
        <f>MAX(0,D300-C300)</f>
        <v/>
      </c>
      <c r="F300" s="15">
        <f>IF(E300&gt;0.0001,"ДЕФИЦИТ",IF(Y300&gt;0.0001,"ПРОФИЦИТ","БАЛАНС"))</f>
        <v/>
      </c>
      <c r="G300" s="10">
        <f>AB300+AS300+BJ300+CA300+CR300</f>
        <v/>
      </c>
      <c r="H300" s="10">
        <f>AD300+AU300+BL300+CC300+CT300</f>
        <v/>
      </c>
      <c r="I300" s="10">
        <f>AF300+AW300+BN300+CE300+CV300</f>
        <v/>
      </c>
      <c r="J300" s="10">
        <f>AL300+BC300+BT300+CK300+DB300</f>
        <v/>
      </c>
      <c r="K300" s="10">
        <f>AJ300+BA300+BR300+CI300+CZ300</f>
        <v/>
      </c>
      <c r="L300" s="10">
        <f>AN300+BE300+BV300+CM300+DD300</f>
        <v/>
      </c>
      <c r="M300" s="10">
        <f>AP300+BG300+BX300+CO300+DF300</f>
        <v/>
      </c>
      <c r="N300" s="10">
        <f>AH300+AY300+BP300+CG300+CX300</f>
        <v/>
      </c>
      <c r="O300" s="10">
        <f>SUM(G300:N300)</f>
        <v/>
      </c>
      <c r="P300" s="10">
        <f>IFERROR(G300*MIN(1,'01_Нормативы'!$C$4/SUM(G$2:G$429)),0)</f>
        <v/>
      </c>
      <c r="Q300" s="10">
        <f>IFERROR(H300*MIN(1,'01_Нормативы'!$C$5/SUM(H$2:H$429)),0)</f>
        <v/>
      </c>
      <c r="R300" s="10">
        <f>IFERROR(I300*MIN(1,'01_Нормативы'!$C$6/SUM(I$2:I$429)),0)</f>
        <v/>
      </c>
      <c r="S300" s="10">
        <f>IFERROR(J300*MIN(1,'01_Нормативы'!$C$7/SUM(J$2:J$429)),0)</f>
        <v/>
      </c>
      <c r="T300" s="10">
        <f>IFERROR(K300*MIN(1,'01_Нормативы'!$C$8/SUM(K$2:K$429)),0)</f>
        <v/>
      </c>
      <c r="U300" s="10">
        <f>IFERROR(L300*MIN(1,'01_Нормативы'!$C$9/SUM(L$2:L$429)),0)</f>
        <v/>
      </c>
      <c r="V300" s="10">
        <f>IFERROR(M300*MIN(1,'01_Нормативы'!$C$10/SUM(M$2:M$429)),0)</f>
        <v/>
      </c>
      <c r="W300" s="10">
        <f>IFERROR(N300*MIN(1,'01_Нормативы'!$C$11/SUM(N$2:N$429)),0)</f>
        <v/>
      </c>
      <c r="X300" s="10">
        <f>SUM(P300:W300)</f>
        <v/>
      </c>
      <c r="Y300" s="10">
        <f>MAX(0,C300-X300)</f>
        <v/>
      </c>
      <c r="Z300" s="10">
        <f>IF(D300=0,100,X300/D300*100)</f>
        <v/>
      </c>
      <c r="AA300" s="10">
        <f>'02_Данные'!F300+'02_Данные'!G300</f>
        <v/>
      </c>
      <c r="AB300" s="10">
        <f>MIN('02_Данные'!L300,AA300)</f>
        <v/>
      </c>
      <c r="AC300" s="10">
        <f>AA300-AB300</f>
        <v/>
      </c>
      <c r="AD300" s="10">
        <f>MIN('02_Данные'!M300,AC300)</f>
        <v/>
      </c>
      <c r="AE300" s="10">
        <f>AC300-AD300</f>
        <v/>
      </c>
      <c r="AF300" s="10">
        <f>MIN('02_Данные'!N300,AE300)</f>
        <v/>
      </c>
      <c r="AG300" s="10">
        <f>AE300-AF300</f>
        <v/>
      </c>
      <c r="AH300" s="10">
        <f>MIN('02_Данные'!S300,AG300)</f>
        <v/>
      </c>
      <c r="AI300" s="10">
        <f>AG300-AH300</f>
        <v/>
      </c>
      <c r="AJ300" s="10">
        <f>MIN('02_Данные'!P300,AI300)</f>
        <v/>
      </c>
      <c r="AK300" s="10">
        <f>AI300-AJ300</f>
        <v/>
      </c>
      <c r="AL300" s="10">
        <f>MIN('02_Данные'!O300,AK300)</f>
        <v/>
      </c>
      <c r="AM300" s="10">
        <f>AK300-AL300</f>
        <v/>
      </c>
      <c r="AN300" s="10">
        <f>MIN('02_Данные'!Q300,AM300)</f>
        <v/>
      </c>
      <c r="AO300" s="10">
        <f>AM300-AN300</f>
        <v/>
      </c>
      <c r="AP300" s="10">
        <f>MIN('02_Данные'!R300,AO300)</f>
        <v/>
      </c>
      <c r="AQ300" s="10">
        <f>AO300-AP300</f>
        <v/>
      </c>
      <c r="AR300" s="10">
        <f>AQ300+'02_Данные'!H300</f>
        <v/>
      </c>
      <c r="AS300" s="10">
        <f>MIN('02_Данные'!T300,AR300)</f>
        <v/>
      </c>
      <c r="AT300" s="10">
        <f>AR300-AS300</f>
        <v/>
      </c>
      <c r="AU300" s="10">
        <f>MIN('02_Данные'!U300,AT300)</f>
        <v/>
      </c>
      <c r="AV300" s="10">
        <f>AT300-AU300</f>
        <v/>
      </c>
      <c r="AW300" s="10">
        <f>MIN('02_Данные'!V300,AV300)</f>
        <v/>
      </c>
      <c r="AX300" s="10">
        <f>AV300-AW300</f>
        <v/>
      </c>
      <c r="AY300" s="10">
        <f>MIN('02_Данные'!AA300,AX300)</f>
        <v/>
      </c>
      <c r="AZ300" s="10">
        <f>AX300-AY300</f>
        <v/>
      </c>
      <c r="BA300" s="10">
        <f>MIN('02_Данные'!X300,AZ300)</f>
        <v/>
      </c>
      <c r="BB300" s="10">
        <f>AZ300-BA300</f>
        <v/>
      </c>
      <c r="BC300" s="10">
        <f>MIN('02_Данные'!W300,BB300)</f>
        <v/>
      </c>
      <c r="BD300" s="10">
        <f>BB300-BC300</f>
        <v/>
      </c>
      <c r="BE300" s="10">
        <f>MIN('02_Данные'!Y300,BD300)</f>
        <v/>
      </c>
      <c r="BF300" s="10">
        <f>BD300-BE300</f>
        <v/>
      </c>
      <c r="BG300" s="10">
        <f>MIN('02_Данные'!Z300,BF300)</f>
        <v/>
      </c>
      <c r="BH300" s="10">
        <f>BF300-BG300</f>
        <v/>
      </c>
      <c r="BI300" s="10">
        <f>BH300+'02_Данные'!I300</f>
        <v/>
      </c>
      <c r="BJ300" s="10">
        <f>MIN('02_Данные'!AB300,BI300)</f>
        <v/>
      </c>
      <c r="BK300" s="10">
        <f>BI300-BJ300</f>
        <v/>
      </c>
      <c r="BL300" s="10">
        <f>MIN('02_Данные'!AC300,BK300)</f>
        <v/>
      </c>
      <c r="BM300" s="10">
        <f>BK300-BL300</f>
        <v/>
      </c>
      <c r="BN300" s="10">
        <f>MIN('02_Данные'!AD300,BM300)</f>
        <v/>
      </c>
      <c r="BO300" s="10">
        <f>BM300-BN300</f>
        <v/>
      </c>
      <c r="BP300" s="10">
        <f>MIN('02_Данные'!AI300,BO300)</f>
        <v/>
      </c>
      <c r="BQ300" s="10">
        <f>BO300-BP300</f>
        <v/>
      </c>
      <c r="BR300" s="10">
        <f>MIN('02_Данные'!AF300,BQ300)</f>
        <v/>
      </c>
      <c r="BS300" s="10">
        <f>BQ300-BR300</f>
        <v/>
      </c>
      <c r="BT300" s="10">
        <f>MIN('02_Данные'!AE300,BS300)</f>
        <v/>
      </c>
      <c r="BU300" s="10">
        <f>BS300-BT300</f>
        <v/>
      </c>
      <c r="BV300" s="10">
        <f>MIN('02_Данные'!AG300,BU300)</f>
        <v/>
      </c>
      <c r="BW300" s="10">
        <f>BU300-BV300</f>
        <v/>
      </c>
      <c r="BX300" s="10">
        <f>MIN('02_Данные'!AH300,BW300)</f>
        <v/>
      </c>
      <c r="BY300" s="10">
        <f>BW300-BX300</f>
        <v/>
      </c>
      <c r="BZ300" s="10">
        <f>BY300+'02_Данные'!J300</f>
        <v/>
      </c>
      <c r="CA300" s="10">
        <f>MIN('02_Данные'!AJ300,BZ300)</f>
        <v/>
      </c>
      <c r="CB300" s="10">
        <f>BZ300-CA300</f>
        <v/>
      </c>
      <c r="CC300" s="10">
        <f>MIN('02_Данные'!AK300,CB300)</f>
        <v/>
      </c>
      <c r="CD300" s="10">
        <f>CB300-CC300</f>
        <v/>
      </c>
      <c r="CE300" s="10">
        <f>MIN('02_Данные'!AL300,CD300)</f>
        <v/>
      </c>
      <c r="CF300" s="10">
        <f>CD300-CE300</f>
        <v/>
      </c>
      <c r="CG300" s="10">
        <f>MIN('02_Данные'!AQ300,CF300)</f>
        <v/>
      </c>
      <c r="CH300" s="10">
        <f>CF300-CG300</f>
        <v/>
      </c>
      <c r="CI300" s="10">
        <f>MIN('02_Данные'!AN300,CH300)</f>
        <v/>
      </c>
      <c r="CJ300" s="10">
        <f>CH300-CI300</f>
        <v/>
      </c>
      <c r="CK300" s="10">
        <f>MIN('02_Данные'!AM300,CJ300)</f>
        <v/>
      </c>
      <c r="CL300" s="10">
        <f>CJ300-CK300</f>
        <v/>
      </c>
      <c r="CM300" s="10">
        <f>MIN('02_Данные'!AO300,CL300)</f>
        <v/>
      </c>
      <c r="CN300" s="10">
        <f>CL300-CM300</f>
        <v/>
      </c>
      <c r="CO300" s="10">
        <f>MIN('02_Данные'!AP300,CN300)</f>
        <v/>
      </c>
      <c r="CP300" s="10">
        <f>CN300-CO300</f>
        <v/>
      </c>
      <c r="CQ300" s="10">
        <f>CP300+'02_Данные'!K300</f>
        <v/>
      </c>
      <c r="CR300" s="10">
        <f>MIN('02_Данные'!AR300,CQ300)</f>
        <v/>
      </c>
      <c r="CS300" s="10">
        <f>CQ300-CR300</f>
        <v/>
      </c>
      <c r="CT300" s="10">
        <f>MIN('02_Данные'!AS300,CS300)</f>
        <v/>
      </c>
      <c r="CU300" s="10">
        <f>CS300-CT300</f>
        <v/>
      </c>
      <c r="CV300" s="10">
        <f>MIN('02_Данные'!AT300,CU300)</f>
        <v/>
      </c>
      <c r="CW300" s="10">
        <f>CU300-CV300</f>
        <v/>
      </c>
      <c r="CX300" s="10">
        <f>MIN('02_Данные'!AY300,CW300)</f>
        <v/>
      </c>
      <c r="CY300" s="10">
        <f>CW300-CX300</f>
        <v/>
      </c>
      <c r="CZ300" s="10">
        <f>MIN('02_Данные'!AV300,CY300)</f>
        <v/>
      </c>
      <c r="DA300" s="10">
        <f>CY300-CZ300</f>
        <v/>
      </c>
      <c r="DB300" s="10">
        <f>MIN('02_Данные'!AU300,DA300)</f>
        <v/>
      </c>
      <c r="DC300" s="10">
        <f>DA300-DB300</f>
        <v/>
      </c>
      <c r="DD300" s="10">
        <f>MIN('02_Данные'!AW300,DC300)</f>
        <v/>
      </c>
      <c r="DE300" s="10">
        <f>DC300-DD300</f>
        <v/>
      </c>
      <c r="DF300" s="10">
        <f>MIN('02_Данные'!AX300,DE300)</f>
        <v/>
      </c>
      <c r="DG300" s="10">
        <f>DE300-DF300</f>
        <v/>
      </c>
    </row>
    <row r="301">
      <c r="A301" s="9">
        <f>'02_Данные'!B301</f>
        <v/>
      </c>
      <c r="B301" s="9">
        <f>'02_Данные'!E301</f>
        <v/>
      </c>
      <c r="C301" s="10">
        <f>'02_Данные'!F301+'02_Данные'!G301+'02_Данные'!H301+'02_Данные'!I301+'02_Данные'!J301+'02_Данные'!K301</f>
        <v/>
      </c>
      <c r="D301" s="10">
        <f>SUM('02_Данные'!L301:'02_Данные'!AY301)</f>
        <v/>
      </c>
      <c r="E301" s="10">
        <f>MAX(0,D301-C301)</f>
        <v/>
      </c>
      <c r="F301" s="15">
        <f>IF(E301&gt;0.0001,"ДЕФИЦИТ",IF(Y301&gt;0.0001,"ПРОФИЦИТ","БАЛАНС"))</f>
        <v/>
      </c>
      <c r="G301" s="10">
        <f>AB301+AS301+BJ301+CA301+CR301</f>
        <v/>
      </c>
      <c r="H301" s="10">
        <f>AD301+AU301+BL301+CC301+CT301</f>
        <v/>
      </c>
      <c r="I301" s="10">
        <f>AF301+AW301+BN301+CE301+CV301</f>
        <v/>
      </c>
      <c r="J301" s="10">
        <f>AL301+BC301+BT301+CK301+DB301</f>
        <v/>
      </c>
      <c r="K301" s="10">
        <f>AJ301+BA301+BR301+CI301+CZ301</f>
        <v/>
      </c>
      <c r="L301" s="10">
        <f>AN301+BE301+BV301+CM301+DD301</f>
        <v/>
      </c>
      <c r="M301" s="10">
        <f>AP301+BG301+BX301+CO301+DF301</f>
        <v/>
      </c>
      <c r="N301" s="10">
        <f>AH301+AY301+BP301+CG301+CX301</f>
        <v/>
      </c>
      <c r="O301" s="10">
        <f>SUM(G301:N301)</f>
        <v/>
      </c>
      <c r="P301" s="10">
        <f>IFERROR(G301*MIN(1,'01_Нормативы'!$C$4/SUM(G$2:G$429)),0)</f>
        <v/>
      </c>
      <c r="Q301" s="10">
        <f>IFERROR(H301*MIN(1,'01_Нормативы'!$C$5/SUM(H$2:H$429)),0)</f>
        <v/>
      </c>
      <c r="R301" s="10">
        <f>IFERROR(I301*MIN(1,'01_Нормативы'!$C$6/SUM(I$2:I$429)),0)</f>
        <v/>
      </c>
      <c r="S301" s="10">
        <f>IFERROR(J301*MIN(1,'01_Нормативы'!$C$7/SUM(J$2:J$429)),0)</f>
        <v/>
      </c>
      <c r="T301" s="10">
        <f>IFERROR(K301*MIN(1,'01_Нормативы'!$C$8/SUM(K$2:K$429)),0)</f>
        <v/>
      </c>
      <c r="U301" s="10">
        <f>IFERROR(L301*MIN(1,'01_Нормативы'!$C$9/SUM(L$2:L$429)),0)</f>
        <v/>
      </c>
      <c r="V301" s="10">
        <f>IFERROR(M301*MIN(1,'01_Нормативы'!$C$10/SUM(M$2:M$429)),0)</f>
        <v/>
      </c>
      <c r="W301" s="10">
        <f>IFERROR(N301*MIN(1,'01_Нормативы'!$C$11/SUM(N$2:N$429)),0)</f>
        <v/>
      </c>
      <c r="X301" s="10">
        <f>SUM(P301:W301)</f>
        <v/>
      </c>
      <c r="Y301" s="10">
        <f>MAX(0,C301-X301)</f>
        <v/>
      </c>
      <c r="Z301" s="10">
        <f>IF(D301=0,100,X301/D301*100)</f>
        <v/>
      </c>
      <c r="AA301" s="10">
        <f>'02_Данные'!F301+'02_Данные'!G301</f>
        <v/>
      </c>
      <c r="AB301" s="10">
        <f>MIN('02_Данные'!L301,AA301)</f>
        <v/>
      </c>
      <c r="AC301" s="10">
        <f>AA301-AB301</f>
        <v/>
      </c>
      <c r="AD301" s="10">
        <f>MIN('02_Данные'!M301,AC301)</f>
        <v/>
      </c>
      <c r="AE301" s="10">
        <f>AC301-AD301</f>
        <v/>
      </c>
      <c r="AF301" s="10">
        <f>MIN('02_Данные'!N301,AE301)</f>
        <v/>
      </c>
      <c r="AG301" s="10">
        <f>AE301-AF301</f>
        <v/>
      </c>
      <c r="AH301" s="10">
        <f>MIN('02_Данные'!S301,AG301)</f>
        <v/>
      </c>
      <c r="AI301" s="10">
        <f>AG301-AH301</f>
        <v/>
      </c>
      <c r="AJ301" s="10">
        <f>MIN('02_Данные'!P301,AI301)</f>
        <v/>
      </c>
      <c r="AK301" s="10">
        <f>AI301-AJ301</f>
        <v/>
      </c>
      <c r="AL301" s="10">
        <f>MIN('02_Данные'!O301,AK301)</f>
        <v/>
      </c>
      <c r="AM301" s="10">
        <f>AK301-AL301</f>
        <v/>
      </c>
      <c r="AN301" s="10">
        <f>MIN('02_Данные'!Q301,AM301)</f>
        <v/>
      </c>
      <c r="AO301" s="10">
        <f>AM301-AN301</f>
        <v/>
      </c>
      <c r="AP301" s="10">
        <f>MIN('02_Данные'!R301,AO301)</f>
        <v/>
      </c>
      <c r="AQ301" s="10">
        <f>AO301-AP301</f>
        <v/>
      </c>
      <c r="AR301" s="10">
        <f>AQ301+'02_Данные'!H301</f>
        <v/>
      </c>
      <c r="AS301" s="10">
        <f>MIN('02_Данные'!T301,AR301)</f>
        <v/>
      </c>
      <c r="AT301" s="10">
        <f>AR301-AS301</f>
        <v/>
      </c>
      <c r="AU301" s="10">
        <f>MIN('02_Данные'!U301,AT301)</f>
        <v/>
      </c>
      <c r="AV301" s="10">
        <f>AT301-AU301</f>
        <v/>
      </c>
      <c r="AW301" s="10">
        <f>MIN('02_Данные'!V301,AV301)</f>
        <v/>
      </c>
      <c r="AX301" s="10">
        <f>AV301-AW301</f>
        <v/>
      </c>
      <c r="AY301" s="10">
        <f>MIN('02_Данные'!AA301,AX301)</f>
        <v/>
      </c>
      <c r="AZ301" s="10">
        <f>AX301-AY301</f>
        <v/>
      </c>
      <c r="BA301" s="10">
        <f>MIN('02_Данные'!X301,AZ301)</f>
        <v/>
      </c>
      <c r="BB301" s="10">
        <f>AZ301-BA301</f>
        <v/>
      </c>
      <c r="BC301" s="10">
        <f>MIN('02_Данные'!W301,BB301)</f>
        <v/>
      </c>
      <c r="BD301" s="10">
        <f>BB301-BC301</f>
        <v/>
      </c>
      <c r="BE301" s="10">
        <f>MIN('02_Данные'!Y301,BD301)</f>
        <v/>
      </c>
      <c r="BF301" s="10">
        <f>BD301-BE301</f>
        <v/>
      </c>
      <c r="BG301" s="10">
        <f>MIN('02_Данные'!Z301,BF301)</f>
        <v/>
      </c>
      <c r="BH301" s="10">
        <f>BF301-BG301</f>
        <v/>
      </c>
      <c r="BI301" s="10">
        <f>BH301+'02_Данные'!I301</f>
        <v/>
      </c>
      <c r="BJ301" s="10">
        <f>MIN('02_Данные'!AB301,BI301)</f>
        <v/>
      </c>
      <c r="BK301" s="10">
        <f>BI301-BJ301</f>
        <v/>
      </c>
      <c r="BL301" s="10">
        <f>MIN('02_Данные'!AC301,BK301)</f>
        <v/>
      </c>
      <c r="BM301" s="10">
        <f>BK301-BL301</f>
        <v/>
      </c>
      <c r="BN301" s="10">
        <f>MIN('02_Данные'!AD301,BM301)</f>
        <v/>
      </c>
      <c r="BO301" s="10">
        <f>BM301-BN301</f>
        <v/>
      </c>
      <c r="BP301" s="10">
        <f>MIN('02_Данные'!AI301,BO301)</f>
        <v/>
      </c>
      <c r="BQ301" s="10">
        <f>BO301-BP301</f>
        <v/>
      </c>
      <c r="BR301" s="10">
        <f>MIN('02_Данные'!AF301,BQ301)</f>
        <v/>
      </c>
      <c r="BS301" s="10">
        <f>BQ301-BR301</f>
        <v/>
      </c>
      <c r="BT301" s="10">
        <f>MIN('02_Данные'!AE301,BS301)</f>
        <v/>
      </c>
      <c r="BU301" s="10">
        <f>BS301-BT301</f>
        <v/>
      </c>
      <c r="BV301" s="10">
        <f>MIN('02_Данные'!AG301,BU301)</f>
        <v/>
      </c>
      <c r="BW301" s="10">
        <f>BU301-BV301</f>
        <v/>
      </c>
      <c r="BX301" s="10">
        <f>MIN('02_Данные'!AH301,BW301)</f>
        <v/>
      </c>
      <c r="BY301" s="10">
        <f>BW301-BX301</f>
        <v/>
      </c>
      <c r="BZ301" s="10">
        <f>BY301+'02_Данные'!J301</f>
        <v/>
      </c>
      <c r="CA301" s="10">
        <f>MIN('02_Данные'!AJ301,BZ301)</f>
        <v/>
      </c>
      <c r="CB301" s="10">
        <f>BZ301-CA301</f>
        <v/>
      </c>
      <c r="CC301" s="10">
        <f>MIN('02_Данные'!AK301,CB301)</f>
        <v/>
      </c>
      <c r="CD301" s="10">
        <f>CB301-CC301</f>
        <v/>
      </c>
      <c r="CE301" s="10">
        <f>MIN('02_Данные'!AL301,CD301)</f>
        <v/>
      </c>
      <c r="CF301" s="10">
        <f>CD301-CE301</f>
        <v/>
      </c>
      <c r="CG301" s="10">
        <f>MIN('02_Данные'!AQ301,CF301)</f>
        <v/>
      </c>
      <c r="CH301" s="10">
        <f>CF301-CG301</f>
        <v/>
      </c>
      <c r="CI301" s="10">
        <f>MIN('02_Данные'!AN301,CH301)</f>
        <v/>
      </c>
      <c r="CJ301" s="10">
        <f>CH301-CI301</f>
        <v/>
      </c>
      <c r="CK301" s="10">
        <f>MIN('02_Данные'!AM301,CJ301)</f>
        <v/>
      </c>
      <c r="CL301" s="10">
        <f>CJ301-CK301</f>
        <v/>
      </c>
      <c r="CM301" s="10">
        <f>MIN('02_Данные'!AO301,CL301)</f>
        <v/>
      </c>
      <c r="CN301" s="10">
        <f>CL301-CM301</f>
        <v/>
      </c>
      <c r="CO301" s="10">
        <f>MIN('02_Данные'!AP301,CN301)</f>
        <v/>
      </c>
      <c r="CP301" s="10">
        <f>CN301-CO301</f>
        <v/>
      </c>
      <c r="CQ301" s="10">
        <f>CP301+'02_Данные'!K301</f>
        <v/>
      </c>
      <c r="CR301" s="10">
        <f>MIN('02_Данные'!AR301,CQ301)</f>
        <v/>
      </c>
      <c r="CS301" s="10">
        <f>CQ301-CR301</f>
        <v/>
      </c>
      <c r="CT301" s="10">
        <f>MIN('02_Данные'!AS301,CS301)</f>
        <v/>
      </c>
      <c r="CU301" s="10">
        <f>CS301-CT301</f>
        <v/>
      </c>
      <c r="CV301" s="10">
        <f>MIN('02_Данные'!AT301,CU301)</f>
        <v/>
      </c>
      <c r="CW301" s="10">
        <f>CU301-CV301</f>
        <v/>
      </c>
      <c r="CX301" s="10">
        <f>MIN('02_Данные'!AY301,CW301)</f>
        <v/>
      </c>
      <c r="CY301" s="10">
        <f>CW301-CX301</f>
        <v/>
      </c>
      <c r="CZ301" s="10">
        <f>MIN('02_Данные'!AV301,CY301)</f>
        <v/>
      </c>
      <c r="DA301" s="10">
        <f>CY301-CZ301</f>
        <v/>
      </c>
      <c r="DB301" s="10">
        <f>MIN('02_Данные'!AU301,DA301)</f>
        <v/>
      </c>
      <c r="DC301" s="10">
        <f>DA301-DB301</f>
        <v/>
      </c>
      <c r="DD301" s="10">
        <f>MIN('02_Данные'!AW301,DC301)</f>
        <v/>
      </c>
      <c r="DE301" s="10">
        <f>DC301-DD301</f>
        <v/>
      </c>
      <c r="DF301" s="10">
        <f>MIN('02_Данные'!AX301,DE301)</f>
        <v/>
      </c>
      <c r="DG301" s="10">
        <f>DE301-DF301</f>
        <v/>
      </c>
    </row>
    <row r="302">
      <c r="A302" s="9">
        <f>'02_Данные'!B302</f>
        <v/>
      </c>
      <c r="B302" s="9">
        <f>'02_Данные'!E302</f>
        <v/>
      </c>
      <c r="C302" s="10">
        <f>'02_Данные'!F302+'02_Данные'!G302+'02_Данные'!H302+'02_Данные'!I302+'02_Данные'!J302+'02_Данные'!K302</f>
        <v/>
      </c>
      <c r="D302" s="10">
        <f>SUM('02_Данные'!L302:'02_Данные'!AY302)</f>
        <v/>
      </c>
      <c r="E302" s="10">
        <f>MAX(0,D302-C302)</f>
        <v/>
      </c>
      <c r="F302" s="15">
        <f>IF(E302&gt;0.0001,"ДЕФИЦИТ",IF(Y302&gt;0.0001,"ПРОФИЦИТ","БАЛАНС"))</f>
        <v/>
      </c>
      <c r="G302" s="10">
        <f>AB302+AS302+BJ302+CA302+CR302</f>
        <v/>
      </c>
      <c r="H302" s="10">
        <f>AD302+AU302+BL302+CC302+CT302</f>
        <v/>
      </c>
      <c r="I302" s="10">
        <f>AF302+AW302+BN302+CE302+CV302</f>
        <v/>
      </c>
      <c r="J302" s="10">
        <f>AL302+BC302+BT302+CK302+DB302</f>
        <v/>
      </c>
      <c r="K302" s="10">
        <f>AJ302+BA302+BR302+CI302+CZ302</f>
        <v/>
      </c>
      <c r="L302" s="10">
        <f>AN302+BE302+BV302+CM302+DD302</f>
        <v/>
      </c>
      <c r="M302" s="10">
        <f>AP302+BG302+BX302+CO302+DF302</f>
        <v/>
      </c>
      <c r="N302" s="10">
        <f>AH302+AY302+BP302+CG302+CX302</f>
        <v/>
      </c>
      <c r="O302" s="10">
        <f>SUM(G302:N302)</f>
        <v/>
      </c>
      <c r="P302" s="10">
        <f>IFERROR(G302*MIN(1,'01_Нормативы'!$C$4/SUM(G$2:G$429)),0)</f>
        <v/>
      </c>
      <c r="Q302" s="10">
        <f>IFERROR(H302*MIN(1,'01_Нормативы'!$C$5/SUM(H$2:H$429)),0)</f>
        <v/>
      </c>
      <c r="R302" s="10">
        <f>IFERROR(I302*MIN(1,'01_Нормативы'!$C$6/SUM(I$2:I$429)),0)</f>
        <v/>
      </c>
      <c r="S302" s="10">
        <f>IFERROR(J302*MIN(1,'01_Нормативы'!$C$7/SUM(J$2:J$429)),0)</f>
        <v/>
      </c>
      <c r="T302" s="10">
        <f>IFERROR(K302*MIN(1,'01_Нормативы'!$C$8/SUM(K$2:K$429)),0)</f>
        <v/>
      </c>
      <c r="U302" s="10">
        <f>IFERROR(L302*MIN(1,'01_Нормативы'!$C$9/SUM(L$2:L$429)),0)</f>
        <v/>
      </c>
      <c r="V302" s="10">
        <f>IFERROR(M302*MIN(1,'01_Нормативы'!$C$10/SUM(M$2:M$429)),0)</f>
        <v/>
      </c>
      <c r="W302" s="10">
        <f>IFERROR(N302*MIN(1,'01_Нормативы'!$C$11/SUM(N$2:N$429)),0)</f>
        <v/>
      </c>
      <c r="X302" s="10">
        <f>SUM(P302:W302)</f>
        <v/>
      </c>
      <c r="Y302" s="10">
        <f>MAX(0,C302-X302)</f>
        <v/>
      </c>
      <c r="Z302" s="10">
        <f>IF(D302=0,100,X302/D302*100)</f>
        <v/>
      </c>
      <c r="AA302" s="10">
        <f>'02_Данные'!F302+'02_Данные'!G302</f>
        <v/>
      </c>
      <c r="AB302" s="10">
        <f>MIN('02_Данные'!L302,AA302)</f>
        <v/>
      </c>
      <c r="AC302" s="10">
        <f>AA302-AB302</f>
        <v/>
      </c>
      <c r="AD302" s="10">
        <f>MIN('02_Данные'!M302,AC302)</f>
        <v/>
      </c>
      <c r="AE302" s="10">
        <f>AC302-AD302</f>
        <v/>
      </c>
      <c r="AF302" s="10">
        <f>MIN('02_Данные'!N302,AE302)</f>
        <v/>
      </c>
      <c r="AG302" s="10">
        <f>AE302-AF302</f>
        <v/>
      </c>
      <c r="AH302" s="10">
        <f>MIN('02_Данные'!S302,AG302)</f>
        <v/>
      </c>
      <c r="AI302" s="10">
        <f>AG302-AH302</f>
        <v/>
      </c>
      <c r="AJ302" s="10">
        <f>MIN('02_Данные'!P302,AI302)</f>
        <v/>
      </c>
      <c r="AK302" s="10">
        <f>AI302-AJ302</f>
        <v/>
      </c>
      <c r="AL302" s="10">
        <f>MIN('02_Данные'!O302,AK302)</f>
        <v/>
      </c>
      <c r="AM302" s="10">
        <f>AK302-AL302</f>
        <v/>
      </c>
      <c r="AN302" s="10">
        <f>MIN('02_Данные'!Q302,AM302)</f>
        <v/>
      </c>
      <c r="AO302" s="10">
        <f>AM302-AN302</f>
        <v/>
      </c>
      <c r="AP302" s="10">
        <f>MIN('02_Данные'!R302,AO302)</f>
        <v/>
      </c>
      <c r="AQ302" s="10">
        <f>AO302-AP302</f>
        <v/>
      </c>
      <c r="AR302" s="10">
        <f>AQ302+'02_Данные'!H302</f>
        <v/>
      </c>
      <c r="AS302" s="10">
        <f>MIN('02_Данные'!T302,AR302)</f>
        <v/>
      </c>
      <c r="AT302" s="10">
        <f>AR302-AS302</f>
        <v/>
      </c>
      <c r="AU302" s="10">
        <f>MIN('02_Данные'!U302,AT302)</f>
        <v/>
      </c>
      <c r="AV302" s="10">
        <f>AT302-AU302</f>
        <v/>
      </c>
      <c r="AW302" s="10">
        <f>MIN('02_Данные'!V302,AV302)</f>
        <v/>
      </c>
      <c r="AX302" s="10">
        <f>AV302-AW302</f>
        <v/>
      </c>
      <c r="AY302" s="10">
        <f>MIN('02_Данные'!AA302,AX302)</f>
        <v/>
      </c>
      <c r="AZ302" s="10">
        <f>AX302-AY302</f>
        <v/>
      </c>
      <c r="BA302" s="10">
        <f>MIN('02_Данные'!X302,AZ302)</f>
        <v/>
      </c>
      <c r="BB302" s="10">
        <f>AZ302-BA302</f>
        <v/>
      </c>
      <c r="BC302" s="10">
        <f>MIN('02_Данные'!W302,BB302)</f>
        <v/>
      </c>
      <c r="BD302" s="10">
        <f>BB302-BC302</f>
        <v/>
      </c>
      <c r="BE302" s="10">
        <f>MIN('02_Данные'!Y302,BD302)</f>
        <v/>
      </c>
      <c r="BF302" s="10">
        <f>BD302-BE302</f>
        <v/>
      </c>
      <c r="BG302" s="10">
        <f>MIN('02_Данные'!Z302,BF302)</f>
        <v/>
      </c>
      <c r="BH302" s="10">
        <f>BF302-BG302</f>
        <v/>
      </c>
      <c r="BI302" s="10">
        <f>BH302+'02_Данные'!I302</f>
        <v/>
      </c>
      <c r="BJ302" s="10">
        <f>MIN('02_Данные'!AB302,BI302)</f>
        <v/>
      </c>
      <c r="BK302" s="10">
        <f>BI302-BJ302</f>
        <v/>
      </c>
      <c r="BL302" s="10">
        <f>MIN('02_Данные'!AC302,BK302)</f>
        <v/>
      </c>
      <c r="BM302" s="10">
        <f>BK302-BL302</f>
        <v/>
      </c>
      <c r="BN302" s="10">
        <f>MIN('02_Данные'!AD302,BM302)</f>
        <v/>
      </c>
      <c r="BO302" s="10">
        <f>BM302-BN302</f>
        <v/>
      </c>
      <c r="BP302" s="10">
        <f>MIN('02_Данные'!AI302,BO302)</f>
        <v/>
      </c>
      <c r="BQ302" s="10">
        <f>BO302-BP302</f>
        <v/>
      </c>
      <c r="BR302" s="10">
        <f>MIN('02_Данные'!AF302,BQ302)</f>
        <v/>
      </c>
      <c r="BS302" s="10">
        <f>BQ302-BR302</f>
        <v/>
      </c>
      <c r="BT302" s="10">
        <f>MIN('02_Данные'!AE302,BS302)</f>
        <v/>
      </c>
      <c r="BU302" s="10">
        <f>BS302-BT302</f>
        <v/>
      </c>
      <c r="BV302" s="10">
        <f>MIN('02_Данные'!AG302,BU302)</f>
        <v/>
      </c>
      <c r="BW302" s="10">
        <f>BU302-BV302</f>
        <v/>
      </c>
      <c r="BX302" s="10">
        <f>MIN('02_Данные'!AH302,BW302)</f>
        <v/>
      </c>
      <c r="BY302" s="10">
        <f>BW302-BX302</f>
        <v/>
      </c>
      <c r="BZ302" s="10">
        <f>BY302+'02_Данные'!J302</f>
        <v/>
      </c>
      <c r="CA302" s="10">
        <f>MIN('02_Данные'!AJ302,BZ302)</f>
        <v/>
      </c>
      <c r="CB302" s="10">
        <f>BZ302-CA302</f>
        <v/>
      </c>
      <c r="CC302" s="10">
        <f>MIN('02_Данные'!AK302,CB302)</f>
        <v/>
      </c>
      <c r="CD302" s="10">
        <f>CB302-CC302</f>
        <v/>
      </c>
      <c r="CE302" s="10">
        <f>MIN('02_Данные'!AL302,CD302)</f>
        <v/>
      </c>
      <c r="CF302" s="10">
        <f>CD302-CE302</f>
        <v/>
      </c>
      <c r="CG302" s="10">
        <f>MIN('02_Данные'!AQ302,CF302)</f>
        <v/>
      </c>
      <c r="CH302" s="10">
        <f>CF302-CG302</f>
        <v/>
      </c>
      <c r="CI302" s="10">
        <f>MIN('02_Данные'!AN302,CH302)</f>
        <v/>
      </c>
      <c r="CJ302" s="10">
        <f>CH302-CI302</f>
        <v/>
      </c>
      <c r="CK302" s="10">
        <f>MIN('02_Данные'!AM302,CJ302)</f>
        <v/>
      </c>
      <c r="CL302" s="10">
        <f>CJ302-CK302</f>
        <v/>
      </c>
      <c r="CM302" s="10">
        <f>MIN('02_Данные'!AO302,CL302)</f>
        <v/>
      </c>
      <c r="CN302" s="10">
        <f>CL302-CM302</f>
        <v/>
      </c>
      <c r="CO302" s="10">
        <f>MIN('02_Данные'!AP302,CN302)</f>
        <v/>
      </c>
      <c r="CP302" s="10">
        <f>CN302-CO302</f>
        <v/>
      </c>
      <c r="CQ302" s="10">
        <f>CP302+'02_Данные'!K302</f>
        <v/>
      </c>
      <c r="CR302" s="10">
        <f>MIN('02_Данные'!AR302,CQ302)</f>
        <v/>
      </c>
      <c r="CS302" s="10">
        <f>CQ302-CR302</f>
        <v/>
      </c>
      <c r="CT302" s="10">
        <f>MIN('02_Данные'!AS302,CS302)</f>
        <v/>
      </c>
      <c r="CU302" s="10">
        <f>CS302-CT302</f>
        <v/>
      </c>
      <c r="CV302" s="10">
        <f>MIN('02_Данные'!AT302,CU302)</f>
        <v/>
      </c>
      <c r="CW302" s="10">
        <f>CU302-CV302</f>
        <v/>
      </c>
      <c r="CX302" s="10">
        <f>MIN('02_Данные'!AY302,CW302)</f>
        <v/>
      </c>
      <c r="CY302" s="10">
        <f>CW302-CX302</f>
        <v/>
      </c>
      <c r="CZ302" s="10">
        <f>MIN('02_Данные'!AV302,CY302)</f>
        <v/>
      </c>
      <c r="DA302" s="10">
        <f>CY302-CZ302</f>
        <v/>
      </c>
      <c r="DB302" s="10">
        <f>MIN('02_Данные'!AU302,DA302)</f>
        <v/>
      </c>
      <c r="DC302" s="10">
        <f>DA302-DB302</f>
        <v/>
      </c>
      <c r="DD302" s="10">
        <f>MIN('02_Данные'!AW302,DC302)</f>
        <v/>
      </c>
      <c r="DE302" s="10">
        <f>DC302-DD302</f>
        <v/>
      </c>
      <c r="DF302" s="10">
        <f>MIN('02_Данные'!AX302,DE302)</f>
        <v/>
      </c>
      <c r="DG302" s="10">
        <f>DE302-DF302</f>
        <v/>
      </c>
    </row>
    <row r="303">
      <c r="A303" s="9">
        <f>'02_Данные'!B303</f>
        <v/>
      </c>
      <c r="B303" s="9">
        <f>'02_Данные'!E303</f>
        <v/>
      </c>
      <c r="C303" s="10">
        <f>'02_Данные'!F303+'02_Данные'!G303+'02_Данные'!H303+'02_Данные'!I303+'02_Данные'!J303+'02_Данные'!K303</f>
        <v/>
      </c>
      <c r="D303" s="10">
        <f>SUM('02_Данные'!L303:'02_Данные'!AY303)</f>
        <v/>
      </c>
      <c r="E303" s="10">
        <f>MAX(0,D303-C303)</f>
        <v/>
      </c>
      <c r="F303" s="15">
        <f>IF(E303&gt;0.0001,"ДЕФИЦИТ",IF(Y303&gt;0.0001,"ПРОФИЦИТ","БАЛАНС"))</f>
        <v/>
      </c>
      <c r="G303" s="10">
        <f>AB303+AS303+BJ303+CA303+CR303</f>
        <v/>
      </c>
      <c r="H303" s="10">
        <f>AD303+AU303+BL303+CC303+CT303</f>
        <v/>
      </c>
      <c r="I303" s="10">
        <f>AF303+AW303+BN303+CE303+CV303</f>
        <v/>
      </c>
      <c r="J303" s="10">
        <f>AL303+BC303+BT303+CK303+DB303</f>
        <v/>
      </c>
      <c r="K303" s="10">
        <f>AJ303+BA303+BR303+CI303+CZ303</f>
        <v/>
      </c>
      <c r="L303" s="10">
        <f>AN303+BE303+BV303+CM303+DD303</f>
        <v/>
      </c>
      <c r="M303" s="10">
        <f>AP303+BG303+BX303+CO303+DF303</f>
        <v/>
      </c>
      <c r="N303" s="10">
        <f>AH303+AY303+BP303+CG303+CX303</f>
        <v/>
      </c>
      <c r="O303" s="10">
        <f>SUM(G303:N303)</f>
        <v/>
      </c>
      <c r="P303" s="10">
        <f>IFERROR(G303*MIN(1,'01_Нормативы'!$C$4/SUM(G$2:G$429)),0)</f>
        <v/>
      </c>
      <c r="Q303" s="10">
        <f>IFERROR(H303*MIN(1,'01_Нормативы'!$C$5/SUM(H$2:H$429)),0)</f>
        <v/>
      </c>
      <c r="R303" s="10">
        <f>IFERROR(I303*MIN(1,'01_Нормативы'!$C$6/SUM(I$2:I$429)),0)</f>
        <v/>
      </c>
      <c r="S303" s="10">
        <f>IFERROR(J303*MIN(1,'01_Нормативы'!$C$7/SUM(J$2:J$429)),0)</f>
        <v/>
      </c>
      <c r="T303" s="10">
        <f>IFERROR(K303*MIN(1,'01_Нормативы'!$C$8/SUM(K$2:K$429)),0)</f>
        <v/>
      </c>
      <c r="U303" s="10">
        <f>IFERROR(L303*MIN(1,'01_Нормативы'!$C$9/SUM(L$2:L$429)),0)</f>
        <v/>
      </c>
      <c r="V303" s="10">
        <f>IFERROR(M303*MIN(1,'01_Нормативы'!$C$10/SUM(M$2:M$429)),0)</f>
        <v/>
      </c>
      <c r="W303" s="10">
        <f>IFERROR(N303*MIN(1,'01_Нормативы'!$C$11/SUM(N$2:N$429)),0)</f>
        <v/>
      </c>
      <c r="X303" s="10">
        <f>SUM(P303:W303)</f>
        <v/>
      </c>
      <c r="Y303" s="10">
        <f>MAX(0,C303-X303)</f>
        <v/>
      </c>
      <c r="Z303" s="10">
        <f>IF(D303=0,100,X303/D303*100)</f>
        <v/>
      </c>
      <c r="AA303" s="10">
        <f>'02_Данные'!F303+'02_Данные'!G303</f>
        <v/>
      </c>
      <c r="AB303" s="10">
        <f>MIN('02_Данные'!L303,AA303)</f>
        <v/>
      </c>
      <c r="AC303" s="10">
        <f>AA303-AB303</f>
        <v/>
      </c>
      <c r="AD303" s="10">
        <f>MIN('02_Данные'!M303,AC303)</f>
        <v/>
      </c>
      <c r="AE303" s="10">
        <f>AC303-AD303</f>
        <v/>
      </c>
      <c r="AF303" s="10">
        <f>MIN('02_Данные'!N303,AE303)</f>
        <v/>
      </c>
      <c r="AG303" s="10">
        <f>AE303-AF303</f>
        <v/>
      </c>
      <c r="AH303" s="10">
        <f>MIN('02_Данные'!S303,AG303)</f>
        <v/>
      </c>
      <c r="AI303" s="10">
        <f>AG303-AH303</f>
        <v/>
      </c>
      <c r="AJ303" s="10">
        <f>MIN('02_Данные'!P303,AI303)</f>
        <v/>
      </c>
      <c r="AK303" s="10">
        <f>AI303-AJ303</f>
        <v/>
      </c>
      <c r="AL303" s="10">
        <f>MIN('02_Данные'!O303,AK303)</f>
        <v/>
      </c>
      <c r="AM303" s="10">
        <f>AK303-AL303</f>
        <v/>
      </c>
      <c r="AN303" s="10">
        <f>MIN('02_Данные'!Q303,AM303)</f>
        <v/>
      </c>
      <c r="AO303" s="10">
        <f>AM303-AN303</f>
        <v/>
      </c>
      <c r="AP303" s="10">
        <f>MIN('02_Данные'!R303,AO303)</f>
        <v/>
      </c>
      <c r="AQ303" s="10">
        <f>AO303-AP303</f>
        <v/>
      </c>
      <c r="AR303" s="10">
        <f>AQ303+'02_Данные'!H303</f>
        <v/>
      </c>
      <c r="AS303" s="10">
        <f>MIN('02_Данные'!T303,AR303)</f>
        <v/>
      </c>
      <c r="AT303" s="10">
        <f>AR303-AS303</f>
        <v/>
      </c>
      <c r="AU303" s="10">
        <f>MIN('02_Данные'!U303,AT303)</f>
        <v/>
      </c>
      <c r="AV303" s="10">
        <f>AT303-AU303</f>
        <v/>
      </c>
      <c r="AW303" s="10">
        <f>MIN('02_Данные'!V303,AV303)</f>
        <v/>
      </c>
      <c r="AX303" s="10">
        <f>AV303-AW303</f>
        <v/>
      </c>
      <c r="AY303" s="10">
        <f>MIN('02_Данные'!AA303,AX303)</f>
        <v/>
      </c>
      <c r="AZ303" s="10">
        <f>AX303-AY303</f>
        <v/>
      </c>
      <c r="BA303" s="10">
        <f>MIN('02_Данные'!X303,AZ303)</f>
        <v/>
      </c>
      <c r="BB303" s="10">
        <f>AZ303-BA303</f>
        <v/>
      </c>
      <c r="BC303" s="10">
        <f>MIN('02_Данные'!W303,BB303)</f>
        <v/>
      </c>
      <c r="BD303" s="10">
        <f>BB303-BC303</f>
        <v/>
      </c>
      <c r="BE303" s="10">
        <f>MIN('02_Данные'!Y303,BD303)</f>
        <v/>
      </c>
      <c r="BF303" s="10">
        <f>BD303-BE303</f>
        <v/>
      </c>
      <c r="BG303" s="10">
        <f>MIN('02_Данные'!Z303,BF303)</f>
        <v/>
      </c>
      <c r="BH303" s="10">
        <f>BF303-BG303</f>
        <v/>
      </c>
      <c r="BI303" s="10">
        <f>BH303+'02_Данные'!I303</f>
        <v/>
      </c>
      <c r="BJ303" s="10">
        <f>MIN('02_Данные'!AB303,BI303)</f>
        <v/>
      </c>
      <c r="BK303" s="10">
        <f>BI303-BJ303</f>
        <v/>
      </c>
      <c r="BL303" s="10">
        <f>MIN('02_Данные'!AC303,BK303)</f>
        <v/>
      </c>
      <c r="BM303" s="10">
        <f>BK303-BL303</f>
        <v/>
      </c>
      <c r="BN303" s="10">
        <f>MIN('02_Данные'!AD303,BM303)</f>
        <v/>
      </c>
      <c r="BO303" s="10">
        <f>BM303-BN303</f>
        <v/>
      </c>
      <c r="BP303" s="10">
        <f>MIN('02_Данные'!AI303,BO303)</f>
        <v/>
      </c>
      <c r="BQ303" s="10">
        <f>BO303-BP303</f>
        <v/>
      </c>
      <c r="BR303" s="10">
        <f>MIN('02_Данные'!AF303,BQ303)</f>
        <v/>
      </c>
      <c r="BS303" s="10">
        <f>BQ303-BR303</f>
        <v/>
      </c>
      <c r="BT303" s="10">
        <f>MIN('02_Данные'!AE303,BS303)</f>
        <v/>
      </c>
      <c r="BU303" s="10">
        <f>BS303-BT303</f>
        <v/>
      </c>
      <c r="BV303" s="10">
        <f>MIN('02_Данные'!AG303,BU303)</f>
        <v/>
      </c>
      <c r="BW303" s="10">
        <f>BU303-BV303</f>
        <v/>
      </c>
      <c r="BX303" s="10">
        <f>MIN('02_Данные'!AH303,BW303)</f>
        <v/>
      </c>
      <c r="BY303" s="10">
        <f>BW303-BX303</f>
        <v/>
      </c>
      <c r="BZ303" s="10">
        <f>BY303+'02_Данные'!J303</f>
        <v/>
      </c>
      <c r="CA303" s="10">
        <f>MIN('02_Данные'!AJ303,BZ303)</f>
        <v/>
      </c>
      <c r="CB303" s="10">
        <f>BZ303-CA303</f>
        <v/>
      </c>
      <c r="CC303" s="10">
        <f>MIN('02_Данные'!AK303,CB303)</f>
        <v/>
      </c>
      <c r="CD303" s="10">
        <f>CB303-CC303</f>
        <v/>
      </c>
      <c r="CE303" s="10">
        <f>MIN('02_Данные'!AL303,CD303)</f>
        <v/>
      </c>
      <c r="CF303" s="10">
        <f>CD303-CE303</f>
        <v/>
      </c>
      <c r="CG303" s="10">
        <f>MIN('02_Данные'!AQ303,CF303)</f>
        <v/>
      </c>
      <c r="CH303" s="10">
        <f>CF303-CG303</f>
        <v/>
      </c>
      <c r="CI303" s="10">
        <f>MIN('02_Данные'!AN303,CH303)</f>
        <v/>
      </c>
      <c r="CJ303" s="10">
        <f>CH303-CI303</f>
        <v/>
      </c>
      <c r="CK303" s="10">
        <f>MIN('02_Данные'!AM303,CJ303)</f>
        <v/>
      </c>
      <c r="CL303" s="10">
        <f>CJ303-CK303</f>
        <v/>
      </c>
      <c r="CM303" s="10">
        <f>MIN('02_Данные'!AO303,CL303)</f>
        <v/>
      </c>
      <c r="CN303" s="10">
        <f>CL303-CM303</f>
        <v/>
      </c>
      <c r="CO303" s="10">
        <f>MIN('02_Данные'!AP303,CN303)</f>
        <v/>
      </c>
      <c r="CP303" s="10">
        <f>CN303-CO303</f>
        <v/>
      </c>
      <c r="CQ303" s="10">
        <f>CP303+'02_Данные'!K303</f>
        <v/>
      </c>
      <c r="CR303" s="10">
        <f>MIN('02_Данные'!AR303,CQ303)</f>
        <v/>
      </c>
      <c r="CS303" s="10">
        <f>CQ303-CR303</f>
        <v/>
      </c>
      <c r="CT303" s="10">
        <f>MIN('02_Данные'!AS303,CS303)</f>
        <v/>
      </c>
      <c r="CU303" s="10">
        <f>CS303-CT303</f>
        <v/>
      </c>
      <c r="CV303" s="10">
        <f>MIN('02_Данные'!AT303,CU303)</f>
        <v/>
      </c>
      <c r="CW303" s="10">
        <f>CU303-CV303</f>
        <v/>
      </c>
      <c r="CX303" s="10">
        <f>MIN('02_Данные'!AY303,CW303)</f>
        <v/>
      </c>
      <c r="CY303" s="10">
        <f>CW303-CX303</f>
        <v/>
      </c>
      <c r="CZ303" s="10">
        <f>MIN('02_Данные'!AV303,CY303)</f>
        <v/>
      </c>
      <c r="DA303" s="10">
        <f>CY303-CZ303</f>
        <v/>
      </c>
      <c r="DB303" s="10">
        <f>MIN('02_Данные'!AU303,DA303)</f>
        <v/>
      </c>
      <c r="DC303" s="10">
        <f>DA303-DB303</f>
        <v/>
      </c>
      <c r="DD303" s="10">
        <f>MIN('02_Данные'!AW303,DC303)</f>
        <v/>
      </c>
      <c r="DE303" s="10">
        <f>DC303-DD303</f>
        <v/>
      </c>
      <c r="DF303" s="10">
        <f>MIN('02_Данные'!AX303,DE303)</f>
        <v/>
      </c>
      <c r="DG303" s="10">
        <f>DE303-DF303</f>
        <v/>
      </c>
    </row>
    <row r="304">
      <c r="A304" s="9">
        <f>'02_Данные'!B304</f>
        <v/>
      </c>
      <c r="B304" s="9">
        <f>'02_Данные'!E304</f>
        <v/>
      </c>
      <c r="C304" s="10">
        <f>'02_Данные'!F304+'02_Данные'!G304+'02_Данные'!H304+'02_Данные'!I304+'02_Данные'!J304+'02_Данные'!K304</f>
        <v/>
      </c>
      <c r="D304" s="10">
        <f>SUM('02_Данные'!L304:'02_Данные'!AY304)</f>
        <v/>
      </c>
      <c r="E304" s="10">
        <f>MAX(0,D304-C304)</f>
        <v/>
      </c>
      <c r="F304" s="15">
        <f>IF(E304&gt;0.0001,"ДЕФИЦИТ",IF(Y304&gt;0.0001,"ПРОФИЦИТ","БАЛАНС"))</f>
        <v/>
      </c>
      <c r="G304" s="10">
        <f>AB304+AS304+BJ304+CA304+CR304</f>
        <v/>
      </c>
      <c r="H304" s="10">
        <f>AD304+AU304+BL304+CC304+CT304</f>
        <v/>
      </c>
      <c r="I304" s="10">
        <f>AF304+AW304+BN304+CE304+CV304</f>
        <v/>
      </c>
      <c r="J304" s="10">
        <f>AL304+BC304+BT304+CK304+DB304</f>
        <v/>
      </c>
      <c r="K304" s="10">
        <f>AJ304+BA304+BR304+CI304+CZ304</f>
        <v/>
      </c>
      <c r="L304" s="10">
        <f>AN304+BE304+BV304+CM304+DD304</f>
        <v/>
      </c>
      <c r="M304" s="10">
        <f>AP304+BG304+BX304+CO304+DF304</f>
        <v/>
      </c>
      <c r="N304" s="10">
        <f>AH304+AY304+BP304+CG304+CX304</f>
        <v/>
      </c>
      <c r="O304" s="10">
        <f>SUM(G304:N304)</f>
        <v/>
      </c>
      <c r="P304" s="10">
        <f>IFERROR(G304*MIN(1,'01_Нормативы'!$C$4/SUM(G$2:G$429)),0)</f>
        <v/>
      </c>
      <c r="Q304" s="10">
        <f>IFERROR(H304*MIN(1,'01_Нормативы'!$C$5/SUM(H$2:H$429)),0)</f>
        <v/>
      </c>
      <c r="R304" s="10">
        <f>IFERROR(I304*MIN(1,'01_Нормативы'!$C$6/SUM(I$2:I$429)),0)</f>
        <v/>
      </c>
      <c r="S304" s="10">
        <f>IFERROR(J304*MIN(1,'01_Нормативы'!$C$7/SUM(J$2:J$429)),0)</f>
        <v/>
      </c>
      <c r="T304" s="10">
        <f>IFERROR(K304*MIN(1,'01_Нормативы'!$C$8/SUM(K$2:K$429)),0)</f>
        <v/>
      </c>
      <c r="U304" s="10">
        <f>IFERROR(L304*MIN(1,'01_Нормативы'!$C$9/SUM(L$2:L$429)),0)</f>
        <v/>
      </c>
      <c r="V304" s="10">
        <f>IFERROR(M304*MIN(1,'01_Нормативы'!$C$10/SUM(M$2:M$429)),0)</f>
        <v/>
      </c>
      <c r="W304" s="10">
        <f>IFERROR(N304*MIN(1,'01_Нормативы'!$C$11/SUM(N$2:N$429)),0)</f>
        <v/>
      </c>
      <c r="X304" s="10">
        <f>SUM(P304:W304)</f>
        <v/>
      </c>
      <c r="Y304" s="10">
        <f>MAX(0,C304-X304)</f>
        <v/>
      </c>
      <c r="Z304" s="10">
        <f>IF(D304=0,100,X304/D304*100)</f>
        <v/>
      </c>
      <c r="AA304" s="10">
        <f>'02_Данные'!F304+'02_Данные'!G304</f>
        <v/>
      </c>
      <c r="AB304" s="10">
        <f>MIN('02_Данные'!L304,AA304)</f>
        <v/>
      </c>
      <c r="AC304" s="10">
        <f>AA304-AB304</f>
        <v/>
      </c>
      <c r="AD304" s="10">
        <f>MIN('02_Данные'!M304,AC304)</f>
        <v/>
      </c>
      <c r="AE304" s="10">
        <f>AC304-AD304</f>
        <v/>
      </c>
      <c r="AF304" s="10">
        <f>MIN('02_Данные'!N304,AE304)</f>
        <v/>
      </c>
      <c r="AG304" s="10">
        <f>AE304-AF304</f>
        <v/>
      </c>
      <c r="AH304" s="10">
        <f>MIN('02_Данные'!S304,AG304)</f>
        <v/>
      </c>
      <c r="AI304" s="10">
        <f>AG304-AH304</f>
        <v/>
      </c>
      <c r="AJ304" s="10">
        <f>MIN('02_Данные'!P304,AI304)</f>
        <v/>
      </c>
      <c r="AK304" s="10">
        <f>AI304-AJ304</f>
        <v/>
      </c>
      <c r="AL304" s="10">
        <f>MIN('02_Данные'!O304,AK304)</f>
        <v/>
      </c>
      <c r="AM304" s="10">
        <f>AK304-AL304</f>
        <v/>
      </c>
      <c r="AN304" s="10">
        <f>MIN('02_Данные'!Q304,AM304)</f>
        <v/>
      </c>
      <c r="AO304" s="10">
        <f>AM304-AN304</f>
        <v/>
      </c>
      <c r="AP304" s="10">
        <f>MIN('02_Данные'!R304,AO304)</f>
        <v/>
      </c>
      <c r="AQ304" s="10">
        <f>AO304-AP304</f>
        <v/>
      </c>
      <c r="AR304" s="10">
        <f>AQ304+'02_Данные'!H304</f>
        <v/>
      </c>
      <c r="AS304" s="10">
        <f>MIN('02_Данные'!T304,AR304)</f>
        <v/>
      </c>
      <c r="AT304" s="10">
        <f>AR304-AS304</f>
        <v/>
      </c>
      <c r="AU304" s="10">
        <f>MIN('02_Данные'!U304,AT304)</f>
        <v/>
      </c>
      <c r="AV304" s="10">
        <f>AT304-AU304</f>
        <v/>
      </c>
      <c r="AW304" s="10">
        <f>MIN('02_Данные'!V304,AV304)</f>
        <v/>
      </c>
      <c r="AX304" s="10">
        <f>AV304-AW304</f>
        <v/>
      </c>
      <c r="AY304" s="10">
        <f>MIN('02_Данные'!AA304,AX304)</f>
        <v/>
      </c>
      <c r="AZ304" s="10">
        <f>AX304-AY304</f>
        <v/>
      </c>
      <c r="BA304" s="10">
        <f>MIN('02_Данные'!X304,AZ304)</f>
        <v/>
      </c>
      <c r="BB304" s="10">
        <f>AZ304-BA304</f>
        <v/>
      </c>
      <c r="BC304" s="10">
        <f>MIN('02_Данные'!W304,BB304)</f>
        <v/>
      </c>
      <c r="BD304" s="10">
        <f>BB304-BC304</f>
        <v/>
      </c>
      <c r="BE304" s="10">
        <f>MIN('02_Данные'!Y304,BD304)</f>
        <v/>
      </c>
      <c r="BF304" s="10">
        <f>BD304-BE304</f>
        <v/>
      </c>
      <c r="BG304" s="10">
        <f>MIN('02_Данные'!Z304,BF304)</f>
        <v/>
      </c>
      <c r="BH304" s="10">
        <f>BF304-BG304</f>
        <v/>
      </c>
      <c r="BI304" s="10">
        <f>BH304+'02_Данные'!I304</f>
        <v/>
      </c>
      <c r="BJ304" s="10">
        <f>MIN('02_Данные'!AB304,BI304)</f>
        <v/>
      </c>
      <c r="BK304" s="10">
        <f>BI304-BJ304</f>
        <v/>
      </c>
      <c r="BL304" s="10">
        <f>MIN('02_Данные'!AC304,BK304)</f>
        <v/>
      </c>
      <c r="BM304" s="10">
        <f>BK304-BL304</f>
        <v/>
      </c>
      <c r="BN304" s="10">
        <f>MIN('02_Данные'!AD304,BM304)</f>
        <v/>
      </c>
      <c r="BO304" s="10">
        <f>BM304-BN304</f>
        <v/>
      </c>
      <c r="BP304" s="10">
        <f>MIN('02_Данные'!AI304,BO304)</f>
        <v/>
      </c>
      <c r="BQ304" s="10">
        <f>BO304-BP304</f>
        <v/>
      </c>
      <c r="BR304" s="10">
        <f>MIN('02_Данные'!AF304,BQ304)</f>
        <v/>
      </c>
      <c r="BS304" s="10">
        <f>BQ304-BR304</f>
        <v/>
      </c>
      <c r="BT304" s="10">
        <f>MIN('02_Данные'!AE304,BS304)</f>
        <v/>
      </c>
      <c r="BU304" s="10">
        <f>BS304-BT304</f>
        <v/>
      </c>
      <c r="BV304" s="10">
        <f>MIN('02_Данные'!AG304,BU304)</f>
        <v/>
      </c>
      <c r="BW304" s="10">
        <f>BU304-BV304</f>
        <v/>
      </c>
      <c r="BX304" s="10">
        <f>MIN('02_Данные'!AH304,BW304)</f>
        <v/>
      </c>
      <c r="BY304" s="10">
        <f>BW304-BX304</f>
        <v/>
      </c>
      <c r="BZ304" s="10">
        <f>BY304+'02_Данные'!J304</f>
        <v/>
      </c>
      <c r="CA304" s="10">
        <f>MIN('02_Данные'!AJ304,BZ304)</f>
        <v/>
      </c>
      <c r="CB304" s="10">
        <f>BZ304-CA304</f>
        <v/>
      </c>
      <c r="CC304" s="10">
        <f>MIN('02_Данные'!AK304,CB304)</f>
        <v/>
      </c>
      <c r="CD304" s="10">
        <f>CB304-CC304</f>
        <v/>
      </c>
      <c r="CE304" s="10">
        <f>MIN('02_Данные'!AL304,CD304)</f>
        <v/>
      </c>
      <c r="CF304" s="10">
        <f>CD304-CE304</f>
        <v/>
      </c>
      <c r="CG304" s="10">
        <f>MIN('02_Данные'!AQ304,CF304)</f>
        <v/>
      </c>
      <c r="CH304" s="10">
        <f>CF304-CG304</f>
        <v/>
      </c>
      <c r="CI304" s="10">
        <f>MIN('02_Данные'!AN304,CH304)</f>
        <v/>
      </c>
      <c r="CJ304" s="10">
        <f>CH304-CI304</f>
        <v/>
      </c>
      <c r="CK304" s="10">
        <f>MIN('02_Данные'!AM304,CJ304)</f>
        <v/>
      </c>
      <c r="CL304" s="10">
        <f>CJ304-CK304</f>
        <v/>
      </c>
      <c r="CM304" s="10">
        <f>MIN('02_Данные'!AO304,CL304)</f>
        <v/>
      </c>
      <c r="CN304" s="10">
        <f>CL304-CM304</f>
        <v/>
      </c>
      <c r="CO304" s="10">
        <f>MIN('02_Данные'!AP304,CN304)</f>
        <v/>
      </c>
      <c r="CP304" s="10">
        <f>CN304-CO304</f>
        <v/>
      </c>
      <c r="CQ304" s="10">
        <f>CP304+'02_Данные'!K304</f>
        <v/>
      </c>
      <c r="CR304" s="10">
        <f>MIN('02_Данные'!AR304,CQ304)</f>
        <v/>
      </c>
      <c r="CS304" s="10">
        <f>CQ304-CR304</f>
        <v/>
      </c>
      <c r="CT304" s="10">
        <f>MIN('02_Данные'!AS304,CS304)</f>
        <v/>
      </c>
      <c r="CU304" s="10">
        <f>CS304-CT304</f>
        <v/>
      </c>
      <c r="CV304" s="10">
        <f>MIN('02_Данные'!AT304,CU304)</f>
        <v/>
      </c>
      <c r="CW304" s="10">
        <f>CU304-CV304</f>
        <v/>
      </c>
      <c r="CX304" s="10">
        <f>MIN('02_Данные'!AY304,CW304)</f>
        <v/>
      </c>
      <c r="CY304" s="10">
        <f>CW304-CX304</f>
        <v/>
      </c>
      <c r="CZ304" s="10">
        <f>MIN('02_Данные'!AV304,CY304)</f>
        <v/>
      </c>
      <c r="DA304" s="10">
        <f>CY304-CZ304</f>
        <v/>
      </c>
      <c r="DB304" s="10">
        <f>MIN('02_Данные'!AU304,DA304)</f>
        <v/>
      </c>
      <c r="DC304" s="10">
        <f>DA304-DB304</f>
        <v/>
      </c>
      <c r="DD304" s="10">
        <f>MIN('02_Данные'!AW304,DC304)</f>
        <v/>
      </c>
      <c r="DE304" s="10">
        <f>DC304-DD304</f>
        <v/>
      </c>
      <c r="DF304" s="10">
        <f>MIN('02_Данные'!AX304,DE304)</f>
        <v/>
      </c>
      <c r="DG304" s="10">
        <f>DE304-DF304</f>
        <v/>
      </c>
    </row>
    <row r="305">
      <c r="A305" s="9">
        <f>'02_Данные'!B305</f>
        <v/>
      </c>
      <c r="B305" s="9">
        <f>'02_Данные'!E305</f>
        <v/>
      </c>
      <c r="C305" s="10">
        <f>'02_Данные'!F305+'02_Данные'!G305+'02_Данные'!H305+'02_Данные'!I305+'02_Данные'!J305+'02_Данные'!K305</f>
        <v/>
      </c>
      <c r="D305" s="10">
        <f>SUM('02_Данные'!L305:'02_Данные'!AY305)</f>
        <v/>
      </c>
      <c r="E305" s="10">
        <f>MAX(0,D305-C305)</f>
        <v/>
      </c>
      <c r="F305" s="15">
        <f>IF(E305&gt;0.0001,"ДЕФИЦИТ",IF(Y305&gt;0.0001,"ПРОФИЦИТ","БАЛАНС"))</f>
        <v/>
      </c>
      <c r="G305" s="10">
        <f>AB305+AS305+BJ305+CA305+CR305</f>
        <v/>
      </c>
      <c r="H305" s="10">
        <f>AD305+AU305+BL305+CC305+CT305</f>
        <v/>
      </c>
      <c r="I305" s="10">
        <f>AF305+AW305+BN305+CE305+CV305</f>
        <v/>
      </c>
      <c r="J305" s="10">
        <f>AL305+BC305+BT305+CK305+DB305</f>
        <v/>
      </c>
      <c r="K305" s="10">
        <f>AJ305+BA305+BR305+CI305+CZ305</f>
        <v/>
      </c>
      <c r="L305" s="10">
        <f>AN305+BE305+BV305+CM305+DD305</f>
        <v/>
      </c>
      <c r="M305" s="10">
        <f>AP305+BG305+BX305+CO305+DF305</f>
        <v/>
      </c>
      <c r="N305" s="10">
        <f>AH305+AY305+BP305+CG305+CX305</f>
        <v/>
      </c>
      <c r="O305" s="10">
        <f>SUM(G305:N305)</f>
        <v/>
      </c>
      <c r="P305" s="10">
        <f>IFERROR(G305*MIN(1,'01_Нормативы'!$C$4/SUM(G$2:G$429)),0)</f>
        <v/>
      </c>
      <c r="Q305" s="10">
        <f>IFERROR(H305*MIN(1,'01_Нормативы'!$C$5/SUM(H$2:H$429)),0)</f>
        <v/>
      </c>
      <c r="R305" s="10">
        <f>IFERROR(I305*MIN(1,'01_Нормативы'!$C$6/SUM(I$2:I$429)),0)</f>
        <v/>
      </c>
      <c r="S305" s="10">
        <f>IFERROR(J305*MIN(1,'01_Нормативы'!$C$7/SUM(J$2:J$429)),0)</f>
        <v/>
      </c>
      <c r="T305" s="10">
        <f>IFERROR(K305*MIN(1,'01_Нормативы'!$C$8/SUM(K$2:K$429)),0)</f>
        <v/>
      </c>
      <c r="U305" s="10">
        <f>IFERROR(L305*MIN(1,'01_Нормативы'!$C$9/SUM(L$2:L$429)),0)</f>
        <v/>
      </c>
      <c r="V305" s="10">
        <f>IFERROR(M305*MIN(1,'01_Нормативы'!$C$10/SUM(M$2:M$429)),0)</f>
        <v/>
      </c>
      <c r="W305" s="10">
        <f>IFERROR(N305*MIN(1,'01_Нормативы'!$C$11/SUM(N$2:N$429)),0)</f>
        <v/>
      </c>
      <c r="X305" s="10">
        <f>SUM(P305:W305)</f>
        <v/>
      </c>
      <c r="Y305" s="10">
        <f>MAX(0,C305-X305)</f>
        <v/>
      </c>
      <c r="Z305" s="10">
        <f>IF(D305=0,100,X305/D305*100)</f>
        <v/>
      </c>
      <c r="AA305" s="10">
        <f>'02_Данные'!F305+'02_Данные'!G305</f>
        <v/>
      </c>
      <c r="AB305" s="10">
        <f>MIN('02_Данные'!L305,AA305)</f>
        <v/>
      </c>
      <c r="AC305" s="10">
        <f>AA305-AB305</f>
        <v/>
      </c>
      <c r="AD305" s="10">
        <f>MIN('02_Данные'!M305,AC305)</f>
        <v/>
      </c>
      <c r="AE305" s="10">
        <f>AC305-AD305</f>
        <v/>
      </c>
      <c r="AF305" s="10">
        <f>MIN('02_Данные'!N305,AE305)</f>
        <v/>
      </c>
      <c r="AG305" s="10">
        <f>AE305-AF305</f>
        <v/>
      </c>
      <c r="AH305" s="10">
        <f>MIN('02_Данные'!S305,AG305)</f>
        <v/>
      </c>
      <c r="AI305" s="10">
        <f>AG305-AH305</f>
        <v/>
      </c>
      <c r="AJ305" s="10">
        <f>MIN('02_Данные'!P305,AI305)</f>
        <v/>
      </c>
      <c r="AK305" s="10">
        <f>AI305-AJ305</f>
        <v/>
      </c>
      <c r="AL305" s="10">
        <f>MIN('02_Данные'!O305,AK305)</f>
        <v/>
      </c>
      <c r="AM305" s="10">
        <f>AK305-AL305</f>
        <v/>
      </c>
      <c r="AN305" s="10">
        <f>MIN('02_Данные'!Q305,AM305)</f>
        <v/>
      </c>
      <c r="AO305" s="10">
        <f>AM305-AN305</f>
        <v/>
      </c>
      <c r="AP305" s="10">
        <f>MIN('02_Данные'!R305,AO305)</f>
        <v/>
      </c>
      <c r="AQ305" s="10">
        <f>AO305-AP305</f>
        <v/>
      </c>
      <c r="AR305" s="10">
        <f>AQ305+'02_Данные'!H305</f>
        <v/>
      </c>
      <c r="AS305" s="10">
        <f>MIN('02_Данные'!T305,AR305)</f>
        <v/>
      </c>
      <c r="AT305" s="10">
        <f>AR305-AS305</f>
        <v/>
      </c>
      <c r="AU305" s="10">
        <f>MIN('02_Данные'!U305,AT305)</f>
        <v/>
      </c>
      <c r="AV305" s="10">
        <f>AT305-AU305</f>
        <v/>
      </c>
      <c r="AW305" s="10">
        <f>MIN('02_Данные'!V305,AV305)</f>
        <v/>
      </c>
      <c r="AX305" s="10">
        <f>AV305-AW305</f>
        <v/>
      </c>
      <c r="AY305" s="10">
        <f>MIN('02_Данные'!AA305,AX305)</f>
        <v/>
      </c>
      <c r="AZ305" s="10">
        <f>AX305-AY305</f>
        <v/>
      </c>
      <c r="BA305" s="10">
        <f>MIN('02_Данные'!X305,AZ305)</f>
        <v/>
      </c>
      <c r="BB305" s="10">
        <f>AZ305-BA305</f>
        <v/>
      </c>
      <c r="BC305" s="10">
        <f>MIN('02_Данные'!W305,BB305)</f>
        <v/>
      </c>
      <c r="BD305" s="10">
        <f>BB305-BC305</f>
        <v/>
      </c>
      <c r="BE305" s="10">
        <f>MIN('02_Данные'!Y305,BD305)</f>
        <v/>
      </c>
      <c r="BF305" s="10">
        <f>BD305-BE305</f>
        <v/>
      </c>
      <c r="BG305" s="10">
        <f>MIN('02_Данные'!Z305,BF305)</f>
        <v/>
      </c>
      <c r="BH305" s="10">
        <f>BF305-BG305</f>
        <v/>
      </c>
      <c r="BI305" s="10">
        <f>BH305+'02_Данные'!I305</f>
        <v/>
      </c>
      <c r="BJ305" s="10">
        <f>MIN('02_Данные'!AB305,BI305)</f>
        <v/>
      </c>
      <c r="BK305" s="10">
        <f>BI305-BJ305</f>
        <v/>
      </c>
      <c r="BL305" s="10">
        <f>MIN('02_Данные'!AC305,BK305)</f>
        <v/>
      </c>
      <c r="BM305" s="10">
        <f>BK305-BL305</f>
        <v/>
      </c>
      <c r="BN305" s="10">
        <f>MIN('02_Данные'!AD305,BM305)</f>
        <v/>
      </c>
      <c r="BO305" s="10">
        <f>BM305-BN305</f>
        <v/>
      </c>
      <c r="BP305" s="10">
        <f>MIN('02_Данные'!AI305,BO305)</f>
        <v/>
      </c>
      <c r="BQ305" s="10">
        <f>BO305-BP305</f>
        <v/>
      </c>
      <c r="BR305" s="10">
        <f>MIN('02_Данные'!AF305,BQ305)</f>
        <v/>
      </c>
      <c r="BS305" s="10">
        <f>BQ305-BR305</f>
        <v/>
      </c>
      <c r="BT305" s="10">
        <f>MIN('02_Данные'!AE305,BS305)</f>
        <v/>
      </c>
      <c r="BU305" s="10">
        <f>BS305-BT305</f>
        <v/>
      </c>
      <c r="BV305" s="10">
        <f>MIN('02_Данные'!AG305,BU305)</f>
        <v/>
      </c>
      <c r="BW305" s="10">
        <f>BU305-BV305</f>
        <v/>
      </c>
      <c r="BX305" s="10">
        <f>MIN('02_Данные'!AH305,BW305)</f>
        <v/>
      </c>
      <c r="BY305" s="10">
        <f>BW305-BX305</f>
        <v/>
      </c>
      <c r="BZ305" s="10">
        <f>BY305+'02_Данные'!J305</f>
        <v/>
      </c>
      <c r="CA305" s="10">
        <f>MIN('02_Данные'!AJ305,BZ305)</f>
        <v/>
      </c>
      <c r="CB305" s="10">
        <f>BZ305-CA305</f>
        <v/>
      </c>
      <c r="CC305" s="10">
        <f>MIN('02_Данные'!AK305,CB305)</f>
        <v/>
      </c>
      <c r="CD305" s="10">
        <f>CB305-CC305</f>
        <v/>
      </c>
      <c r="CE305" s="10">
        <f>MIN('02_Данные'!AL305,CD305)</f>
        <v/>
      </c>
      <c r="CF305" s="10">
        <f>CD305-CE305</f>
        <v/>
      </c>
      <c r="CG305" s="10">
        <f>MIN('02_Данные'!AQ305,CF305)</f>
        <v/>
      </c>
      <c r="CH305" s="10">
        <f>CF305-CG305</f>
        <v/>
      </c>
      <c r="CI305" s="10">
        <f>MIN('02_Данные'!AN305,CH305)</f>
        <v/>
      </c>
      <c r="CJ305" s="10">
        <f>CH305-CI305</f>
        <v/>
      </c>
      <c r="CK305" s="10">
        <f>MIN('02_Данные'!AM305,CJ305)</f>
        <v/>
      </c>
      <c r="CL305" s="10">
        <f>CJ305-CK305</f>
        <v/>
      </c>
      <c r="CM305" s="10">
        <f>MIN('02_Данные'!AO305,CL305)</f>
        <v/>
      </c>
      <c r="CN305" s="10">
        <f>CL305-CM305</f>
        <v/>
      </c>
      <c r="CO305" s="10">
        <f>MIN('02_Данные'!AP305,CN305)</f>
        <v/>
      </c>
      <c r="CP305" s="10">
        <f>CN305-CO305</f>
        <v/>
      </c>
      <c r="CQ305" s="10">
        <f>CP305+'02_Данные'!K305</f>
        <v/>
      </c>
      <c r="CR305" s="10">
        <f>MIN('02_Данные'!AR305,CQ305)</f>
        <v/>
      </c>
      <c r="CS305" s="10">
        <f>CQ305-CR305</f>
        <v/>
      </c>
      <c r="CT305" s="10">
        <f>MIN('02_Данные'!AS305,CS305)</f>
        <v/>
      </c>
      <c r="CU305" s="10">
        <f>CS305-CT305</f>
        <v/>
      </c>
      <c r="CV305" s="10">
        <f>MIN('02_Данные'!AT305,CU305)</f>
        <v/>
      </c>
      <c r="CW305" s="10">
        <f>CU305-CV305</f>
        <v/>
      </c>
      <c r="CX305" s="10">
        <f>MIN('02_Данные'!AY305,CW305)</f>
        <v/>
      </c>
      <c r="CY305" s="10">
        <f>CW305-CX305</f>
        <v/>
      </c>
      <c r="CZ305" s="10">
        <f>MIN('02_Данные'!AV305,CY305)</f>
        <v/>
      </c>
      <c r="DA305" s="10">
        <f>CY305-CZ305</f>
        <v/>
      </c>
      <c r="DB305" s="10">
        <f>MIN('02_Данные'!AU305,DA305)</f>
        <v/>
      </c>
      <c r="DC305" s="10">
        <f>DA305-DB305</f>
        <v/>
      </c>
      <c r="DD305" s="10">
        <f>MIN('02_Данные'!AW305,DC305)</f>
        <v/>
      </c>
      <c r="DE305" s="10">
        <f>DC305-DD305</f>
        <v/>
      </c>
      <c r="DF305" s="10">
        <f>MIN('02_Данные'!AX305,DE305)</f>
        <v/>
      </c>
      <c r="DG305" s="10">
        <f>DE305-DF305</f>
        <v/>
      </c>
    </row>
    <row r="306">
      <c r="A306" s="9">
        <f>'02_Данные'!B306</f>
        <v/>
      </c>
      <c r="B306" s="9">
        <f>'02_Данные'!E306</f>
        <v/>
      </c>
      <c r="C306" s="10">
        <f>'02_Данные'!F306+'02_Данные'!G306+'02_Данные'!H306+'02_Данные'!I306+'02_Данные'!J306+'02_Данные'!K306</f>
        <v/>
      </c>
      <c r="D306" s="10">
        <f>SUM('02_Данные'!L306:'02_Данные'!AY306)</f>
        <v/>
      </c>
      <c r="E306" s="10">
        <f>MAX(0,D306-C306)</f>
        <v/>
      </c>
      <c r="F306" s="15">
        <f>IF(E306&gt;0.0001,"ДЕФИЦИТ",IF(Y306&gt;0.0001,"ПРОФИЦИТ","БАЛАНС"))</f>
        <v/>
      </c>
      <c r="G306" s="10">
        <f>AB306+AS306+BJ306+CA306+CR306</f>
        <v/>
      </c>
      <c r="H306" s="10">
        <f>AD306+AU306+BL306+CC306+CT306</f>
        <v/>
      </c>
      <c r="I306" s="10">
        <f>AF306+AW306+BN306+CE306+CV306</f>
        <v/>
      </c>
      <c r="J306" s="10">
        <f>AL306+BC306+BT306+CK306+DB306</f>
        <v/>
      </c>
      <c r="K306" s="10">
        <f>AJ306+BA306+BR306+CI306+CZ306</f>
        <v/>
      </c>
      <c r="L306" s="10">
        <f>AN306+BE306+BV306+CM306+DD306</f>
        <v/>
      </c>
      <c r="M306" s="10">
        <f>AP306+BG306+BX306+CO306+DF306</f>
        <v/>
      </c>
      <c r="N306" s="10">
        <f>AH306+AY306+BP306+CG306+CX306</f>
        <v/>
      </c>
      <c r="O306" s="10">
        <f>SUM(G306:N306)</f>
        <v/>
      </c>
      <c r="P306" s="10">
        <f>IFERROR(G306*MIN(1,'01_Нормативы'!$C$4/SUM(G$2:G$429)),0)</f>
        <v/>
      </c>
      <c r="Q306" s="10">
        <f>IFERROR(H306*MIN(1,'01_Нормативы'!$C$5/SUM(H$2:H$429)),0)</f>
        <v/>
      </c>
      <c r="R306" s="10">
        <f>IFERROR(I306*MIN(1,'01_Нормативы'!$C$6/SUM(I$2:I$429)),0)</f>
        <v/>
      </c>
      <c r="S306" s="10">
        <f>IFERROR(J306*MIN(1,'01_Нормативы'!$C$7/SUM(J$2:J$429)),0)</f>
        <v/>
      </c>
      <c r="T306" s="10">
        <f>IFERROR(K306*MIN(1,'01_Нормативы'!$C$8/SUM(K$2:K$429)),0)</f>
        <v/>
      </c>
      <c r="U306" s="10">
        <f>IFERROR(L306*MIN(1,'01_Нормативы'!$C$9/SUM(L$2:L$429)),0)</f>
        <v/>
      </c>
      <c r="V306" s="10">
        <f>IFERROR(M306*MIN(1,'01_Нормативы'!$C$10/SUM(M$2:M$429)),0)</f>
        <v/>
      </c>
      <c r="W306" s="10">
        <f>IFERROR(N306*MIN(1,'01_Нормативы'!$C$11/SUM(N$2:N$429)),0)</f>
        <v/>
      </c>
      <c r="X306" s="10">
        <f>SUM(P306:W306)</f>
        <v/>
      </c>
      <c r="Y306" s="10">
        <f>MAX(0,C306-X306)</f>
        <v/>
      </c>
      <c r="Z306" s="10">
        <f>IF(D306=0,100,X306/D306*100)</f>
        <v/>
      </c>
      <c r="AA306" s="10">
        <f>'02_Данные'!F306+'02_Данные'!G306</f>
        <v/>
      </c>
      <c r="AB306" s="10">
        <f>MIN('02_Данные'!L306,AA306)</f>
        <v/>
      </c>
      <c r="AC306" s="10">
        <f>AA306-AB306</f>
        <v/>
      </c>
      <c r="AD306" s="10">
        <f>MIN('02_Данные'!M306,AC306)</f>
        <v/>
      </c>
      <c r="AE306" s="10">
        <f>AC306-AD306</f>
        <v/>
      </c>
      <c r="AF306" s="10">
        <f>MIN('02_Данные'!N306,AE306)</f>
        <v/>
      </c>
      <c r="AG306" s="10">
        <f>AE306-AF306</f>
        <v/>
      </c>
      <c r="AH306" s="10">
        <f>MIN('02_Данные'!S306,AG306)</f>
        <v/>
      </c>
      <c r="AI306" s="10">
        <f>AG306-AH306</f>
        <v/>
      </c>
      <c r="AJ306" s="10">
        <f>MIN('02_Данные'!P306,AI306)</f>
        <v/>
      </c>
      <c r="AK306" s="10">
        <f>AI306-AJ306</f>
        <v/>
      </c>
      <c r="AL306" s="10">
        <f>MIN('02_Данные'!O306,AK306)</f>
        <v/>
      </c>
      <c r="AM306" s="10">
        <f>AK306-AL306</f>
        <v/>
      </c>
      <c r="AN306" s="10">
        <f>MIN('02_Данные'!Q306,AM306)</f>
        <v/>
      </c>
      <c r="AO306" s="10">
        <f>AM306-AN306</f>
        <v/>
      </c>
      <c r="AP306" s="10">
        <f>MIN('02_Данные'!R306,AO306)</f>
        <v/>
      </c>
      <c r="AQ306" s="10">
        <f>AO306-AP306</f>
        <v/>
      </c>
      <c r="AR306" s="10">
        <f>AQ306+'02_Данные'!H306</f>
        <v/>
      </c>
      <c r="AS306" s="10">
        <f>MIN('02_Данные'!T306,AR306)</f>
        <v/>
      </c>
      <c r="AT306" s="10">
        <f>AR306-AS306</f>
        <v/>
      </c>
      <c r="AU306" s="10">
        <f>MIN('02_Данные'!U306,AT306)</f>
        <v/>
      </c>
      <c r="AV306" s="10">
        <f>AT306-AU306</f>
        <v/>
      </c>
      <c r="AW306" s="10">
        <f>MIN('02_Данные'!V306,AV306)</f>
        <v/>
      </c>
      <c r="AX306" s="10">
        <f>AV306-AW306</f>
        <v/>
      </c>
      <c r="AY306" s="10">
        <f>MIN('02_Данные'!AA306,AX306)</f>
        <v/>
      </c>
      <c r="AZ306" s="10">
        <f>AX306-AY306</f>
        <v/>
      </c>
      <c r="BA306" s="10">
        <f>MIN('02_Данные'!X306,AZ306)</f>
        <v/>
      </c>
      <c r="BB306" s="10">
        <f>AZ306-BA306</f>
        <v/>
      </c>
      <c r="BC306" s="10">
        <f>MIN('02_Данные'!W306,BB306)</f>
        <v/>
      </c>
      <c r="BD306" s="10">
        <f>BB306-BC306</f>
        <v/>
      </c>
      <c r="BE306" s="10">
        <f>MIN('02_Данные'!Y306,BD306)</f>
        <v/>
      </c>
      <c r="BF306" s="10">
        <f>BD306-BE306</f>
        <v/>
      </c>
      <c r="BG306" s="10">
        <f>MIN('02_Данные'!Z306,BF306)</f>
        <v/>
      </c>
      <c r="BH306" s="10">
        <f>BF306-BG306</f>
        <v/>
      </c>
      <c r="BI306" s="10">
        <f>BH306+'02_Данные'!I306</f>
        <v/>
      </c>
      <c r="BJ306" s="10">
        <f>MIN('02_Данные'!AB306,BI306)</f>
        <v/>
      </c>
      <c r="BK306" s="10">
        <f>BI306-BJ306</f>
        <v/>
      </c>
      <c r="BL306" s="10">
        <f>MIN('02_Данные'!AC306,BK306)</f>
        <v/>
      </c>
      <c r="BM306" s="10">
        <f>BK306-BL306</f>
        <v/>
      </c>
      <c r="BN306" s="10">
        <f>MIN('02_Данные'!AD306,BM306)</f>
        <v/>
      </c>
      <c r="BO306" s="10">
        <f>BM306-BN306</f>
        <v/>
      </c>
      <c r="BP306" s="10">
        <f>MIN('02_Данные'!AI306,BO306)</f>
        <v/>
      </c>
      <c r="BQ306" s="10">
        <f>BO306-BP306</f>
        <v/>
      </c>
      <c r="BR306" s="10">
        <f>MIN('02_Данные'!AF306,BQ306)</f>
        <v/>
      </c>
      <c r="BS306" s="10">
        <f>BQ306-BR306</f>
        <v/>
      </c>
      <c r="BT306" s="10">
        <f>MIN('02_Данные'!AE306,BS306)</f>
        <v/>
      </c>
      <c r="BU306" s="10">
        <f>BS306-BT306</f>
        <v/>
      </c>
      <c r="BV306" s="10">
        <f>MIN('02_Данные'!AG306,BU306)</f>
        <v/>
      </c>
      <c r="BW306" s="10">
        <f>BU306-BV306</f>
        <v/>
      </c>
      <c r="BX306" s="10">
        <f>MIN('02_Данные'!AH306,BW306)</f>
        <v/>
      </c>
      <c r="BY306" s="10">
        <f>BW306-BX306</f>
        <v/>
      </c>
      <c r="BZ306" s="10">
        <f>BY306+'02_Данные'!J306</f>
        <v/>
      </c>
      <c r="CA306" s="10">
        <f>MIN('02_Данные'!AJ306,BZ306)</f>
        <v/>
      </c>
      <c r="CB306" s="10">
        <f>BZ306-CA306</f>
        <v/>
      </c>
      <c r="CC306" s="10">
        <f>MIN('02_Данные'!AK306,CB306)</f>
        <v/>
      </c>
      <c r="CD306" s="10">
        <f>CB306-CC306</f>
        <v/>
      </c>
      <c r="CE306" s="10">
        <f>MIN('02_Данные'!AL306,CD306)</f>
        <v/>
      </c>
      <c r="CF306" s="10">
        <f>CD306-CE306</f>
        <v/>
      </c>
      <c r="CG306" s="10">
        <f>MIN('02_Данные'!AQ306,CF306)</f>
        <v/>
      </c>
      <c r="CH306" s="10">
        <f>CF306-CG306</f>
        <v/>
      </c>
      <c r="CI306" s="10">
        <f>MIN('02_Данные'!AN306,CH306)</f>
        <v/>
      </c>
      <c r="CJ306" s="10">
        <f>CH306-CI306</f>
        <v/>
      </c>
      <c r="CK306" s="10">
        <f>MIN('02_Данные'!AM306,CJ306)</f>
        <v/>
      </c>
      <c r="CL306" s="10">
        <f>CJ306-CK306</f>
        <v/>
      </c>
      <c r="CM306" s="10">
        <f>MIN('02_Данные'!AO306,CL306)</f>
        <v/>
      </c>
      <c r="CN306" s="10">
        <f>CL306-CM306</f>
        <v/>
      </c>
      <c r="CO306" s="10">
        <f>MIN('02_Данные'!AP306,CN306)</f>
        <v/>
      </c>
      <c r="CP306" s="10">
        <f>CN306-CO306</f>
        <v/>
      </c>
      <c r="CQ306" s="10">
        <f>CP306+'02_Данные'!K306</f>
        <v/>
      </c>
      <c r="CR306" s="10">
        <f>MIN('02_Данные'!AR306,CQ306)</f>
        <v/>
      </c>
      <c r="CS306" s="10">
        <f>CQ306-CR306</f>
        <v/>
      </c>
      <c r="CT306" s="10">
        <f>MIN('02_Данные'!AS306,CS306)</f>
        <v/>
      </c>
      <c r="CU306" s="10">
        <f>CS306-CT306</f>
        <v/>
      </c>
      <c r="CV306" s="10">
        <f>MIN('02_Данные'!AT306,CU306)</f>
        <v/>
      </c>
      <c r="CW306" s="10">
        <f>CU306-CV306</f>
        <v/>
      </c>
      <c r="CX306" s="10">
        <f>MIN('02_Данные'!AY306,CW306)</f>
        <v/>
      </c>
      <c r="CY306" s="10">
        <f>CW306-CX306</f>
        <v/>
      </c>
      <c r="CZ306" s="10">
        <f>MIN('02_Данные'!AV306,CY306)</f>
        <v/>
      </c>
      <c r="DA306" s="10">
        <f>CY306-CZ306</f>
        <v/>
      </c>
      <c r="DB306" s="10">
        <f>MIN('02_Данные'!AU306,DA306)</f>
        <v/>
      </c>
      <c r="DC306" s="10">
        <f>DA306-DB306</f>
        <v/>
      </c>
      <c r="DD306" s="10">
        <f>MIN('02_Данные'!AW306,DC306)</f>
        <v/>
      </c>
      <c r="DE306" s="10">
        <f>DC306-DD306</f>
        <v/>
      </c>
      <c r="DF306" s="10">
        <f>MIN('02_Данные'!AX306,DE306)</f>
        <v/>
      </c>
      <c r="DG306" s="10">
        <f>DE306-DF306</f>
        <v/>
      </c>
    </row>
    <row r="307">
      <c r="A307" s="9">
        <f>'02_Данные'!B307</f>
        <v/>
      </c>
      <c r="B307" s="9">
        <f>'02_Данные'!E307</f>
        <v/>
      </c>
      <c r="C307" s="10">
        <f>'02_Данные'!F307+'02_Данные'!G307+'02_Данные'!H307+'02_Данные'!I307+'02_Данные'!J307+'02_Данные'!K307</f>
        <v/>
      </c>
      <c r="D307" s="10">
        <f>SUM('02_Данные'!L307:'02_Данные'!AY307)</f>
        <v/>
      </c>
      <c r="E307" s="10">
        <f>MAX(0,D307-C307)</f>
        <v/>
      </c>
      <c r="F307" s="15">
        <f>IF(E307&gt;0.0001,"ДЕФИЦИТ",IF(Y307&gt;0.0001,"ПРОФИЦИТ","БАЛАНС"))</f>
        <v/>
      </c>
      <c r="G307" s="10">
        <f>AB307+AS307+BJ307+CA307+CR307</f>
        <v/>
      </c>
      <c r="H307" s="10">
        <f>AD307+AU307+BL307+CC307+CT307</f>
        <v/>
      </c>
      <c r="I307" s="10">
        <f>AF307+AW307+BN307+CE307+CV307</f>
        <v/>
      </c>
      <c r="J307" s="10">
        <f>AL307+BC307+BT307+CK307+DB307</f>
        <v/>
      </c>
      <c r="K307" s="10">
        <f>AJ307+BA307+BR307+CI307+CZ307</f>
        <v/>
      </c>
      <c r="L307" s="10">
        <f>AN307+BE307+BV307+CM307+DD307</f>
        <v/>
      </c>
      <c r="M307" s="10">
        <f>AP307+BG307+BX307+CO307+DF307</f>
        <v/>
      </c>
      <c r="N307" s="10">
        <f>AH307+AY307+BP307+CG307+CX307</f>
        <v/>
      </c>
      <c r="O307" s="10">
        <f>SUM(G307:N307)</f>
        <v/>
      </c>
      <c r="P307" s="10">
        <f>IFERROR(G307*MIN(1,'01_Нормативы'!$C$4/SUM(G$2:G$429)),0)</f>
        <v/>
      </c>
      <c r="Q307" s="10">
        <f>IFERROR(H307*MIN(1,'01_Нормативы'!$C$5/SUM(H$2:H$429)),0)</f>
        <v/>
      </c>
      <c r="R307" s="10">
        <f>IFERROR(I307*MIN(1,'01_Нормативы'!$C$6/SUM(I$2:I$429)),0)</f>
        <v/>
      </c>
      <c r="S307" s="10">
        <f>IFERROR(J307*MIN(1,'01_Нормативы'!$C$7/SUM(J$2:J$429)),0)</f>
        <v/>
      </c>
      <c r="T307" s="10">
        <f>IFERROR(K307*MIN(1,'01_Нормативы'!$C$8/SUM(K$2:K$429)),0)</f>
        <v/>
      </c>
      <c r="U307" s="10">
        <f>IFERROR(L307*MIN(1,'01_Нормативы'!$C$9/SUM(L$2:L$429)),0)</f>
        <v/>
      </c>
      <c r="V307" s="10">
        <f>IFERROR(M307*MIN(1,'01_Нормативы'!$C$10/SUM(M$2:M$429)),0)</f>
        <v/>
      </c>
      <c r="W307" s="10">
        <f>IFERROR(N307*MIN(1,'01_Нормативы'!$C$11/SUM(N$2:N$429)),0)</f>
        <v/>
      </c>
      <c r="X307" s="10">
        <f>SUM(P307:W307)</f>
        <v/>
      </c>
      <c r="Y307" s="10">
        <f>MAX(0,C307-X307)</f>
        <v/>
      </c>
      <c r="Z307" s="10">
        <f>IF(D307=0,100,X307/D307*100)</f>
        <v/>
      </c>
      <c r="AA307" s="10">
        <f>'02_Данные'!F307+'02_Данные'!G307</f>
        <v/>
      </c>
      <c r="AB307" s="10">
        <f>MIN('02_Данные'!L307,AA307)</f>
        <v/>
      </c>
      <c r="AC307" s="10">
        <f>AA307-AB307</f>
        <v/>
      </c>
      <c r="AD307" s="10">
        <f>MIN('02_Данные'!M307,AC307)</f>
        <v/>
      </c>
      <c r="AE307" s="10">
        <f>AC307-AD307</f>
        <v/>
      </c>
      <c r="AF307" s="10">
        <f>MIN('02_Данные'!N307,AE307)</f>
        <v/>
      </c>
      <c r="AG307" s="10">
        <f>AE307-AF307</f>
        <v/>
      </c>
      <c r="AH307" s="10">
        <f>MIN('02_Данные'!S307,AG307)</f>
        <v/>
      </c>
      <c r="AI307" s="10">
        <f>AG307-AH307</f>
        <v/>
      </c>
      <c r="AJ307" s="10">
        <f>MIN('02_Данные'!P307,AI307)</f>
        <v/>
      </c>
      <c r="AK307" s="10">
        <f>AI307-AJ307</f>
        <v/>
      </c>
      <c r="AL307" s="10">
        <f>MIN('02_Данные'!O307,AK307)</f>
        <v/>
      </c>
      <c r="AM307" s="10">
        <f>AK307-AL307</f>
        <v/>
      </c>
      <c r="AN307" s="10">
        <f>MIN('02_Данные'!Q307,AM307)</f>
        <v/>
      </c>
      <c r="AO307" s="10">
        <f>AM307-AN307</f>
        <v/>
      </c>
      <c r="AP307" s="10">
        <f>MIN('02_Данные'!R307,AO307)</f>
        <v/>
      </c>
      <c r="AQ307" s="10">
        <f>AO307-AP307</f>
        <v/>
      </c>
      <c r="AR307" s="10">
        <f>AQ307+'02_Данные'!H307</f>
        <v/>
      </c>
      <c r="AS307" s="10">
        <f>MIN('02_Данные'!T307,AR307)</f>
        <v/>
      </c>
      <c r="AT307" s="10">
        <f>AR307-AS307</f>
        <v/>
      </c>
      <c r="AU307" s="10">
        <f>MIN('02_Данные'!U307,AT307)</f>
        <v/>
      </c>
      <c r="AV307" s="10">
        <f>AT307-AU307</f>
        <v/>
      </c>
      <c r="AW307" s="10">
        <f>MIN('02_Данные'!V307,AV307)</f>
        <v/>
      </c>
      <c r="AX307" s="10">
        <f>AV307-AW307</f>
        <v/>
      </c>
      <c r="AY307" s="10">
        <f>MIN('02_Данные'!AA307,AX307)</f>
        <v/>
      </c>
      <c r="AZ307" s="10">
        <f>AX307-AY307</f>
        <v/>
      </c>
      <c r="BA307" s="10">
        <f>MIN('02_Данные'!X307,AZ307)</f>
        <v/>
      </c>
      <c r="BB307" s="10">
        <f>AZ307-BA307</f>
        <v/>
      </c>
      <c r="BC307" s="10">
        <f>MIN('02_Данные'!W307,BB307)</f>
        <v/>
      </c>
      <c r="BD307" s="10">
        <f>BB307-BC307</f>
        <v/>
      </c>
      <c r="BE307" s="10">
        <f>MIN('02_Данные'!Y307,BD307)</f>
        <v/>
      </c>
      <c r="BF307" s="10">
        <f>BD307-BE307</f>
        <v/>
      </c>
      <c r="BG307" s="10">
        <f>MIN('02_Данные'!Z307,BF307)</f>
        <v/>
      </c>
      <c r="BH307" s="10">
        <f>BF307-BG307</f>
        <v/>
      </c>
      <c r="BI307" s="10">
        <f>BH307+'02_Данные'!I307</f>
        <v/>
      </c>
      <c r="BJ307" s="10">
        <f>MIN('02_Данные'!AB307,BI307)</f>
        <v/>
      </c>
      <c r="BK307" s="10">
        <f>BI307-BJ307</f>
        <v/>
      </c>
      <c r="BL307" s="10">
        <f>MIN('02_Данные'!AC307,BK307)</f>
        <v/>
      </c>
      <c r="BM307" s="10">
        <f>BK307-BL307</f>
        <v/>
      </c>
      <c r="BN307" s="10">
        <f>MIN('02_Данные'!AD307,BM307)</f>
        <v/>
      </c>
      <c r="BO307" s="10">
        <f>BM307-BN307</f>
        <v/>
      </c>
      <c r="BP307" s="10">
        <f>MIN('02_Данные'!AI307,BO307)</f>
        <v/>
      </c>
      <c r="BQ307" s="10">
        <f>BO307-BP307</f>
        <v/>
      </c>
      <c r="BR307" s="10">
        <f>MIN('02_Данные'!AF307,BQ307)</f>
        <v/>
      </c>
      <c r="BS307" s="10">
        <f>BQ307-BR307</f>
        <v/>
      </c>
      <c r="BT307" s="10">
        <f>MIN('02_Данные'!AE307,BS307)</f>
        <v/>
      </c>
      <c r="BU307" s="10">
        <f>BS307-BT307</f>
        <v/>
      </c>
      <c r="BV307" s="10">
        <f>MIN('02_Данные'!AG307,BU307)</f>
        <v/>
      </c>
      <c r="BW307" s="10">
        <f>BU307-BV307</f>
        <v/>
      </c>
      <c r="BX307" s="10">
        <f>MIN('02_Данные'!AH307,BW307)</f>
        <v/>
      </c>
      <c r="BY307" s="10">
        <f>BW307-BX307</f>
        <v/>
      </c>
      <c r="BZ307" s="10">
        <f>BY307+'02_Данные'!J307</f>
        <v/>
      </c>
      <c r="CA307" s="10">
        <f>MIN('02_Данные'!AJ307,BZ307)</f>
        <v/>
      </c>
      <c r="CB307" s="10">
        <f>BZ307-CA307</f>
        <v/>
      </c>
      <c r="CC307" s="10">
        <f>MIN('02_Данные'!AK307,CB307)</f>
        <v/>
      </c>
      <c r="CD307" s="10">
        <f>CB307-CC307</f>
        <v/>
      </c>
      <c r="CE307" s="10">
        <f>MIN('02_Данные'!AL307,CD307)</f>
        <v/>
      </c>
      <c r="CF307" s="10">
        <f>CD307-CE307</f>
        <v/>
      </c>
      <c r="CG307" s="10">
        <f>MIN('02_Данные'!AQ307,CF307)</f>
        <v/>
      </c>
      <c r="CH307" s="10">
        <f>CF307-CG307</f>
        <v/>
      </c>
      <c r="CI307" s="10">
        <f>MIN('02_Данные'!AN307,CH307)</f>
        <v/>
      </c>
      <c r="CJ307" s="10">
        <f>CH307-CI307</f>
        <v/>
      </c>
      <c r="CK307" s="10">
        <f>MIN('02_Данные'!AM307,CJ307)</f>
        <v/>
      </c>
      <c r="CL307" s="10">
        <f>CJ307-CK307</f>
        <v/>
      </c>
      <c r="CM307" s="10">
        <f>MIN('02_Данные'!AO307,CL307)</f>
        <v/>
      </c>
      <c r="CN307" s="10">
        <f>CL307-CM307</f>
        <v/>
      </c>
      <c r="CO307" s="10">
        <f>MIN('02_Данные'!AP307,CN307)</f>
        <v/>
      </c>
      <c r="CP307" s="10">
        <f>CN307-CO307</f>
        <v/>
      </c>
      <c r="CQ307" s="10">
        <f>CP307+'02_Данные'!K307</f>
        <v/>
      </c>
      <c r="CR307" s="10">
        <f>MIN('02_Данные'!AR307,CQ307)</f>
        <v/>
      </c>
      <c r="CS307" s="10">
        <f>CQ307-CR307</f>
        <v/>
      </c>
      <c r="CT307" s="10">
        <f>MIN('02_Данные'!AS307,CS307)</f>
        <v/>
      </c>
      <c r="CU307" s="10">
        <f>CS307-CT307</f>
        <v/>
      </c>
      <c r="CV307" s="10">
        <f>MIN('02_Данные'!AT307,CU307)</f>
        <v/>
      </c>
      <c r="CW307" s="10">
        <f>CU307-CV307</f>
        <v/>
      </c>
      <c r="CX307" s="10">
        <f>MIN('02_Данные'!AY307,CW307)</f>
        <v/>
      </c>
      <c r="CY307" s="10">
        <f>CW307-CX307</f>
        <v/>
      </c>
      <c r="CZ307" s="10">
        <f>MIN('02_Данные'!AV307,CY307)</f>
        <v/>
      </c>
      <c r="DA307" s="10">
        <f>CY307-CZ307</f>
        <v/>
      </c>
      <c r="DB307" s="10">
        <f>MIN('02_Данные'!AU307,DA307)</f>
        <v/>
      </c>
      <c r="DC307" s="10">
        <f>DA307-DB307</f>
        <v/>
      </c>
      <c r="DD307" s="10">
        <f>MIN('02_Данные'!AW307,DC307)</f>
        <v/>
      </c>
      <c r="DE307" s="10">
        <f>DC307-DD307</f>
        <v/>
      </c>
      <c r="DF307" s="10">
        <f>MIN('02_Данные'!AX307,DE307)</f>
        <v/>
      </c>
      <c r="DG307" s="10">
        <f>DE307-DF307</f>
        <v/>
      </c>
    </row>
    <row r="308">
      <c r="A308" s="9">
        <f>'02_Данные'!B308</f>
        <v/>
      </c>
      <c r="B308" s="9">
        <f>'02_Данные'!E308</f>
        <v/>
      </c>
      <c r="C308" s="10">
        <f>'02_Данные'!F308+'02_Данные'!G308+'02_Данные'!H308+'02_Данные'!I308+'02_Данные'!J308+'02_Данные'!K308</f>
        <v/>
      </c>
      <c r="D308" s="10">
        <f>SUM('02_Данные'!L308:'02_Данные'!AY308)</f>
        <v/>
      </c>
      <c r="E308" s="10">
        <f>MAX(0,D308-C308)</f>
        <v/>
      </c>
      <c r="F308" s="15">
        <f>IF(E308&gt;0.0001,"ДЕФИЦИТ",IF(Y308&gt;0.0001,"ПРОФИЦИТ","БАЛАНС"))</f>
        <v/>
      </c>
      <c r="G308" s="10">
        <f>AB308+AS308+BJ308+CA308+CR308</f>
        <v/>
      </c>
      <c r="H308" s="10">
        <f>AD308+AU308+BL308+CC308+CT308</f>
        <v/>
      </c>
      <c r="I308" s="10">
        <f>AF308+AW308+BN308+CE308+CV308</f>
        <v/>
      </c>
      <c r="J308" s="10">
        <f>AL308+BC308+BT308+CK308+DB308</f>
        <v/>
      </c>
      <c r="K308" s="10">
        <f>AJ308+BA308+BR308+CI308+CZ308</f>
        <v/>
      </c>
      <c r="L308" s="10">
        <f>AN308+BE308+BV308+CM308+DD308</f>
        <v/>
      </c>
      <c r="M308" s="10">
        <f>AP308+BG308+BX308+CO308+DF308</f>
        <v/>
      </c>
      <c r="N308" s="10">
        <f>AH308+AY308+BP308+CG308+CX308</f>
        <v/>
      </c>
      <c r="O308" s="10">
        <f>SUM(G308:N308)</f>
        <v/>
      </c>
      <c r="P308" s="10">
        <f>IFERROR(G308*MIN(1,'01_Нормативы'!$C$4/SUM(G$2:G$429)),0)</f>
        <v/>
      </c>
      <c r="Q308" s="10">
        <f>IFERROR(H308*MIN(1,'01_Нормативы'!$C$5/SUM(H$2:H$429)),0)</f>
        <v/>
      </c>
      <c r="R308" s="10">
        <f>IFERROR(I308*MIN(1,'01_Нормативы'!$C$6/SUM(I$2:I$429)),0)</f>
        <v/>
      </c>
      <c r="S308" s="10">
        <f>IFERROR(J308*MIN(1,'01_Нормативы'!$C$7/SUM(J$2:J$429)),0)</f>
        <v/>
      </c>
      <c r="T308" s="10">
        <f>IFERROR(K308*MIN(1,'01_Нормативы'!$C$8/SUM(K$2:K$429)),0)</f>
        <v/>
      </c>
      <c r="U308" s="10">
        <f>IFERROR(L308*MIN(1,'01_Нормативы'!$C$9/SUM(L$2:L$429)),0)</f>
        <v/>
      </c>
      <c r="V308" s="10">
        <f>IFERROR(M308*MIN(1,'01_Нормативы'!$C$10/SUM(M$2:M$429)),0)</f>
        <v/>
      </c>
      <c r="W308" s="10">
        <f>IFERROR(N308*MIN(1,'01_Нормативы'!$C$11/SUM(N$2:N$429)),0)</f>
        <v/>
      </c>
      <c r="X308" s="10">
        <f>SUM(P308:W308)</f>
        <v/>
      </c>
      <c r="Y308" s="10">
        <f>MAX(0,C308-X308)</f>
        <v/>
      </c>
      <c r="Z308" s="10">
        <f>IF(D308=0,100,X308/D308*100)</f>
        <v/>
      </c>
      <c r="AA308" s="10">
        <f>'02_Данные'!F308+'02_Данные'!G308</f>
        <v/>
      </c>
      <c r="AB308" s="10">
        <f>MIN('02_Данные'!L308,AA308)</f>
        <v/>
      </c>
      <c r="AC308" s="10">
        <f>AA308-AB308</f>
        <v/>
      </c>
      <c r="AD308" s="10">
        <f>MIN('02_Данные'!M308,AC308)</f>
        <v/>
      </c>
      <c r="AE308" s="10">
        <f>AC308-AD308</f>
        <v/>
      </c>
      <c r="AF308" s="10">
        <f>MIN('02_Данные'!N308,AE308)</f>
        <v/>
      </c>
      <c r="AG308" s="10">
        <f>AE308-AF308</f>
        <v/>
      </c>
      <c r="AH308" s="10">
        <f>MIN('02_Данные'!S308,AG308)</f>
        <v/>
      </c>
      <c r="AI308" s="10">
        <f>AG308-AH308</f>
        <v/>
      </c>
      <c r="AJ308" s="10">
        <f>MIN('02_Данные'!P308,AI308)</f>
        <v/>
      </c>
      <c r="AK308" s="10">
        <f>AI308-AJ308</f>
        <v/>
      </c>
      <c r="AL308" s="10">
        <f>MIN('02_Данные'!O308,AK308)</f>
        <v/>
      </c>
      <c r="AM308" s="10">
        <f>AK308-AL308</f>
        <v/>
      </c>
      <c r="AN308" s="10">
        <f>MIN('02_Данные'!Q308,AM308)</f>
        <v/>
      </c>
      <c r="AO308" s="10">
        <f>AM308-AN308</f>
        <v/>
      </c>
      <c r="AP308" s="10">
        <f>MIN('02_Данные'!R308,AO308)</f>
        <v/>
      </c>
      <c r="AQ308" s="10">
        <f>AO308-AP308</f>
        <v/>
      </c>
      <c r="AR308" s="10">
        <f>AQ308+'02_Данные'!H308</f>
        <v/>
      </c>
      <c r="AS308" s="10">
        <f>MIN('02_Данные'!T308,AR308)</f>
        <v/>
      </c>
      <c r="AT308" s="10">
        <f>AR308-AS308</f>
        <v/>
      </c>
      <c r="AU308" s="10">
        <f>MIN('02_Данные'!U308,AT308)</f>
        <v/>
      </c>
      <c r="AV308" s="10">
        <f>AT308-AU308</f>
        <v/>
      </c>
      <c r="AW308" s="10">
        <f>MIN('02_Данные'!V308,AV308)</f>
        <v/>
      </c>
      <c r="AX308" s="10">
        <f>AV308-AW308</f>
        <v/>
      </c>
      <c r="AY308" s="10">
        <f>MIN('02_Данные'!AA308,AX308)</f>
        <v/>
      </c>
      <c r="AZ308" s="10">
        <f>AX308-AY308</f>
        <v/>
      </c>
      <c r="BA308" s="10">
        <f>MIN('02_Данные'!X308,AZ308)</f>
        <v/>
      </c>
      <c r="BB308" s="10">
        <f>AZ308-BA308</f>
        <v/>
      </c>
      <c r="BC308" s="10">
        <f>MIN('02_Данные'!W308,BB308)</f>
        <v/>
      </c>
      <c r="BD308" s="10">
        <f>BB308-BC308</f>
        <v/>
      </c>
      <c r="BE308" s="10">
        <f>MIN('02_Данные'!Y308,BD308)</f>
        <v/>
      </c>
      <c r="BF308" s="10">
        <f>BD308-BE308</f>
        <v/>
      </c>
      <c r="BG308" s="10">
        <f>MIN('02_Данные'!Z308,BF308)</f>
        <v/>
      </c>
      <c r="BH308" s="10">
        <f>BF308-BG308</f>
        <v/>
      </c>
      <c r="BI308" s="10">
        <f>BH308+'02_Данные'!I308</f>
        <v/>
      </c>
      <c r="BJ308" s="10">
        <f>MIN('02_Данные'!AB308,BI308)</f>
        <v/>
      </c>
      <c r="BK308" s="10">
        <f>BI308-BJ308</f>
        <v/>
      </c>
      <c r="BL308" s="10">
        <f>MIN('02_Данные'!AC308,BK308)</f>
        <v/>
      </c>
      <c r="BM308" s="10">
        <f>BK308-BL308</f>
        <v/>
      </c>
      <c r="BN308" s="10">
        <f>MIN('02_Данные'!AD308,BM308)</f>
        <v/>
      </c>
      <c r="BO308" s="10">
        <f>BM308-BN308</f>
        <v/>
      </c>
      <c r="BP308" s="10">
        <f>MIN('02_Данные'!AI308,BO308)</f>
        <v/>
      </c>
      <c r="BQ308" s="10">
        <f>BO308-BP308</f>
        <v/>
      </c>
      <c r="BR308" s="10">
        <f>MIN('02_Данные'!AF308,BQ308)</f>
        <v/>
      </c>
      <c r="BS308" s="10">
        <f>BQ308-BR308</f>
        <v/>
      </c>
      <c r="BT308" s="10">
        <f>MIN('02_Данные'!AE308,BS308)</f>
        <v/>
      </c>
      <c r="BU308" s="10">
        <f>BS308-BT308</f>
        <v/>
      </c>
      <c r="BV308" s="10">
        <f>MIN('02_Данные'!AG308,BU308)</f>
        <v/>
      </c>
      <c r="BW308" s="10">
        <f>BU308-BV308</f>
        <v/>
      </c>
      <c r="BX308" s="10">
        <f>MIN('02_Данные'!AH308,BW308)</f>
        <v/>
      </c>
      <c r="BY308" s="10">
        <f>BW308-BX308</f>
        <v/>
      </c>
      <c r="BZ308" s="10">
        <f>BY308+'02_Данные'!J308</f>
        <v/>
      </c>
      <c r="CA308" s="10">
        <f>MIN('02_Данные'!AJ308,BZ308)</f>
        <v/>
      </c>
      <c r="CB308" s="10">
        <f>BZ308-CA308</f>
        <v/>
      </c>
      <c r="CC308" s="10">
        <f>MIN('02_Данные'!AK308,CB308)</f>
        <v/>
      </c>
      <c r="CD308" s="10">
        <f>CB308-CC308</f>
        <v/>
      </c>
      <c r="CE308" s="10">
        <f>MIN('02_Данные'!AL308,CD308)</f>
        <v/>
      </c>
      <c r="CF308" s="10">
        <f>CD308-CE308</f>
        <v/>
      </c>
      <c r="CG308" s="10">
        <f>MIN('02_Данные'!AQ308,CF308)</f>
        <v/>
      </c>
      <c r="CH308" s="10">
        <f>CF308-CG308</f>
        <v/>
      </c>
      <c r="CI308" s="10">
        <f>MIN('02_Данные'!AN308,CH308)</f>
        <v/>
      </c>
      <c r="CJ308" s="10">
        <f>CH308-CI308</f>
        <v/>
      </c>
      <c r="CK308" s="10">
        <f>MIN('02_Данные'!AM308,CJ308)</f>
        <v/>
      </c>
      <c r="CL308" s="10">
        <f>CJ308-CK308</f>
        <v/>
      </c>
      <c r="CM308" s="10">
        <f>MIN('02_Данные'!AO308,CL308)</f>
        <v/>
      </c>
      <c r="CN308" s="10">
        <f>CL308-CM308</f>
        <v/>
      </c>
      <c r="CO308" s="10">
        <f>MIN('02_Данные'!AP308,CN308)</f>
        <v/>
      </c>
      <c r="CP308" s="10">
        <f>CN308-CO308</f>
        <v/>
      </c>
      <c r="CQ308" s="10">
        <f>CP308+'02_Данные'!K308</f>
        <v/>
      </c>
      <c r="CR308" s="10">
        <f>MIN('02_Данные'!AR308,CQ308)</f>
        <v/>
      </c>
      <c r="CS308" s="10">
        <f>CQ308-CR308</f>
        <v/>
      </c>
      <c r="CT308" s="10">
        <f>MIN('02_Данные'!AS308,CS308)</f>
        <v/>
      </c>
      <c r="CU308" s="10">
        <f>CS308-CT308</f>
        <v/>
      </c>
      <c r="CV308" s="10">
        <f>MIN('02_Данные'!AT308,CU308)</f>
        <v/>
      </c>
      <c r="CW308" s="10">
        <f>CU308-CV308</f>
        <v/>
      </c>
      <c r="CX308" s="10">
        <f>MIN('02_Данные'!AY308,CW308)</f>
        <v/>
      </c>
      <c r="CY308" s="10">
        <f>CW308-CX308</f>
        <v/>
      </c>
      <c r="CZ308" s="10">
        <f>MIN('02_Данные'!AV308,CY308)</f>
        <v/>
      </c>
      <c r="DA308" s="10">
        <f>CY308-CZ308</f>
        <v/>
      </c>
      <c r="DB308" s="10">
        <f>MIN('02_Данные'!AU308,DA308)</f>
        <v/>
      </c>
      <c r="DC308" s="10">
        <f>DA308-DB308</f>
        <v/>
      </c>
      <c r="DD308" s="10">
        <f>MIN('02_Данные'!AW308,DC308)</f>
        <v/>
      </c>
      <c r="DE308" s="10">
        <f>DC308-DD308</f>
        <v/>
      </c>
      <c r="DF308" s="10">
        <f>MIN('02_Данные'!AX308,DE308)</f>
        <v/>
      </c>
      <c r="DG308" s="10">
        <f>DE308-DF308</f>
        <v/>
      </c>
    </row>
    <row r="309">
      <c r="A309" s="9">
        <f>'02_Данные'!B309</f>
        <v/>
      </c>
      <c r="B309" s="9">
        <f>'02_Данные'!E309</f>
        <v/>
      </c>
      <c r="C309" s="10">
        <f>'02_Данные'!F309+'02_Данные'!G309+'02_Данные'!H309+'02_Данные'!I309+'02_Данные'!J309+'02_Данные'!K309</f>
        <v/>
      </c>
      <c r="D309" s="10">
        <f>SUM('02_Данные'!L309:'02_Данные'!AY309)</f>
        <v/>
      </c>
      <c r="E309" s="10">
        <f>MAX(0,D309-C309)</f>
        <v/>
      </c>
      <c r="F309" s="15">
        <f>IF(E309&gt;0.0001,"ДЕФИЦИТ",IF(Y309&gt;0.0001,"ПРОФИЦИТ","БАЛАНС"))</f>
        <v/>
      </c>
      <c r="G309" s="10">
        <f>AB309+AS309+BJ309+CA309+CR309</f>
        <v/>
      </c>
      <c r="H309" s="10">
        <f>AD309+AU309+BL309+CC309+CT309</f>
        <v/>
      </c>
      <c r="I309" s="10">
        <f>AF309+AW309+BN309+CE309+CV309</f>
        <v/>
      </c>
      <c r="J309" s="10">
        <f>AL309+BC309+BT309+CK309+DB309</f>
        <v/>
      </c>
      <c r="K309" s="10">
        <f>AJ309+BA309+BR309+CI309+CZ309</f>
        <v/>
      </c>
      <c r="L309" s="10">
        <f>AN309+BE309+BV309+CM309+DD309</f>
        <v/>
      </c>
      <c r="M309" s="10">
        <f>AP309+BG309+BX309+CO309+DF309</f>
        <v/>
      </c>
      <c r="N309" s="10">
        <f>AH309+AY309+BP309+CG309+CX309</f>
        <v/>
      </c>
      <c r="O309" s="10">
        <f>SUM(G309:N309)</f>
        <v/>
      </c>
      <c r="P309" s="10">
        <f>IFERROR(G309*MIN(1,'01_Нормативы'!$C$4/SUM(G$2:G$429)),0)</f>
        <v/>
      </c>
      <c r="Q309" s="10">
        <f>IFERROR(H309*MIN(1,'01_Нормативы'!$C$5/SUM(H$2:H$429)),0)</f>
        <v/>
      </c>
      <c r="R309" s="10">
        <f>IFERROR(I309*MIN(1,'01_Нормативы'!$C$6/SUM(I$2:I$429)),0)</f>
        <v/>
      </c>
      <c r="S309" s="10">
        <f>IFERROR(J309*MIN(1,'01_Нормативы'!$C$7/SUM(J$2:J$429)),0)</f>
        <v/>
      </c>
      <c r="T309" s="10">
        <f>IFERROR(K309*MIN(1,'01_Нормативы'!$C$8/SUM(K$2:K$429)),0)</f>
        <v/>
      </c>
      <c r="U309" s="10">
        <f>IFERROR(L309*MIN(1,'01_Нормативы'!$C$9/SUM(L$2:L$429)),0)</f>
        <v/>
      </c>
      <c r="V309" s="10">
        <f>IFERROR(M309*MIN(1,'01_Нормативы'!$C$10/SUM(M$2:M$429)),0)</f>
        <v/>
      </c>
      <c r="W309" s="10">
        <f>IFERROR(N309*MIN(1,'01_Нормативы'!$C$11/SUM(N$2:N$429)),0)</f>
        <v/>
      </c>
      <c r="X309" s="10">
        <f>SUM(P309:W309)</f>
        <v/>
      </c>
      <c r="Y309" s="10">
        <f>MAX(0,C309-X309)</f>
        <v/>
      </c>
      <c r="Z309" s="10">
        <f>IF(D309=0,100,X309/D309*100)</f>
        <v/>
      </c>
      <c r="AA309" s="10">
        <f>'02_Данные'!F309+'02_Данные'!G309</f>
        <v/>
      </c>
      <c r="AB309" s="10">
        <f>MIN('02_Данные'!L309,AA309)</f>
        <v/>
      </c>
      <c r="AC309" s="10">
        <f>AA309-AB309</f>
        <v/>
      </c>
      <c r="AD309" s="10">
        <f>MIN('02_Данные'!M309,AC309)</f>
        <v/>
      </c>
      <c r="AE309" s="10">
        <f>AC309-AD309</f>
        <v/>
      </c>
      <c r="AF309" s="10">
        <f>MIN('02_Данные'!N309,AE309)</f>
        <v/>
      </c>
      <c r="AG309" s="10">
        <f>AE309-AF309</f>
        <v/>
      </c>
      <c r="AH309" s="10">
        <f>MIN('02_Данные'!S309,AG309)</f>
        <v/>
      </c>
      <c r="AI309" s="10">
        <f>AG309-AH309</f>
        <v/>
      </c>
      <c r="AJ309" s="10">
        <f>MIN('02_Данные'!P309,AI309)</f>
        <v/>
      </c>
      <c r="AK309" s="10">
        <f>AI309-AJ309</f>
        <v/>
      </c>
      <c r="AL309" s="10">
        <f>MIN('02_Данные'!O309,AK309)</f>
        <v/>
      </c>
      <c r="AM309" s="10">
        <f>AK309-AL309</f>
        <v/>
      </c>
      <c r="AN309" s="10">
        <f>MIN('02_Данные'!Q309,AM309)</f>
        <v/>
      </c>
      <c r="AO309" s="10">
        <f>AM309-AN309</f>
        <v/>
      </c>
      <c r="AP309" s="10">
        <f>MIN('02_Данные'!R309,AO309)</f>
        <v/>
      </c>
      <c r="AQ309" s="10">
        <f>AO309-AP309</f>
        <v/>
      </c>
      <c r="AR309" s="10">
        <f>AQ309+'02_Данные'!H309</f>
        <v/>
      </c>
      <c r="AS309" s="10">
        <f>MIN('02_Данные'!T309,AR309)</f>
        <v/>
      </c>
      <c r="AT309" s="10">
        <f>AR309-AS309</f>
        <v/>
      </c>
      <c r="AU309" s="10">
        <f>MIN('02_Данные'!U309,AT309)</f>
        <v/>
      </c>
      <c r="AV309" s="10">
        <f>AT309-AU309</f>
        <v/>
      </c>
      <c r="AW309" s="10">
        <f>MIN('02_Данные'!V309,AV309)</f>
        <v/>
      </c>
      <c r="AX309" s="10">
        <f>AV309-AW309</f>
        <v/>
      </c>
      <c r="AY309" s="10">
        <f>MIN('02_Данные'!AA309,AX309)</f>
        <v/>
      </c>
      <c r="AZ309" s="10">
        <f>AX309-AY309</f>
        <v/>
      </c>
      <c r="BA309" s="10">
        <f>MIN('02_Данные'!X309,AZ309)</f>
        <v/>
      </c>
      <c r="BB309" s="10">
        <f>AZ309-BA309</f>
        <v/>
      </c>
      <c r="BC309" s="10">
        <f>MIN('02_Данные'!W309,BB309)</f>
        <v/>
      </c>
      <c r="BD309" s="10">
        <f>BB309-BC309</f>
        <v/>
      </c>
      <c r="BE309" s="10">
        <f>MIN('02_Данные'!Y309,BD309)</f>
        <v/>
      </c>
      <c r="BF309" s="10">
        <f>BD309-BE309</f>
        <v/>
      </c>
      <c r="BG309" s="10">
        <f>MIN('02_Данные'!Z309,BF309)</f>
        <v/>
      </c>
      <c r="BH309" s="10">
        <f>BF309-BG309</f>
        <v/>
      </c>
      <c r="BI309" s="10">
        <f>BH309+'02_Данные'!I309</f>
        <v/>
      </c>
      <c r="BJ309" s="10">
        <f>MIN('02_Данные'!AB309,BI309)</f>
        <v/>
      </c>
      <c r="BK309" s="10">
        <f>BI309-BJ309</f>
        <v/>
      </c>
      <c r="BL309" s="10">
        <f>MIN('02_Данные'!AC309,BK309)</f>
        <v/>
      </c>
      <c r="BM309" s="10">
        <f>BK309-BL309</f>
        <v/>
      </c>
      <c r="BN309" s="10">
        <f>MIN('02_Данные'!AD309,BM309)</f>
        <v/>
      </c>
      <c r="BO309" s="10">
        <f>BM309-BN309</f>
        <v/>
      </c>
      <c r="BP309" s="10">
        <f>MIN('02_Данные'!AI309,BO309)</f>
        <v/>
      </c>
      <c r="BQ309" s="10">
        <f>BO309-BP309</f>
        <v/>
      </c>
      <c r="BR309" s="10">
        <f>MIN('02_Данные'!AF309,BQ309)</f>
        <v/>
      </c>
      <c r="BS309" s="10">
        <f>BQ309-BR309</f>
        <v/>
      </c>
      <c r="BT309" s="10">
        <f>MIN('02_Данные'!AE309,BS309)</f>
        <v/>
      </c>
      <c r="BU309" s="10">
        <f>BS309-BT309</f>
        <v/>
      </c>
      <c r="BV309" s="10">
        <f>MIN('02_Данные'!AG309,BU309)</f>
        <v/>
      </c>
      <c r="BW309" s="10">
        <f>BU309-BV309</f>
        <v/>
      </c>
      <c r="BX309" s="10">
        <f>MIN('02_Данные'!AH309,BW309)</f>
        <v/>
      </c>
      <c r="BY309" s="10">
        <f>BW309-BX309</f>
        <v/>
      </c>
      <c r="BZ309" s="10">
        <f>BY309+'02_Данные'!J309</f>
        <v/>
      </c>
      <c r="CA309" s="10">
        <f>MIN('02_Данные'!AJ309,BZ309)</f>
        <v/>
      </c>
      <c r="CB309" s="10">
        <f>BZ309-CA309</f>
        <v/>
      </c>
      <c r="CC309" s="10">
        <f>MIN('02_Данные'!AK309,CB309)</f>
        <v/>
      </c>
      <c r="CD309" s="10">
        <f>CB309-CC309</f>
        <v/>
      </c>
      <c r="CE309" s="10">
        <f>MIN('02_Данные'!AL309,CD309)</f>
        <v/>
      </c>
      <c r="CF309" s="10">
        <f>CD309-CE309</f>
        <v/>
      </c>
      <c r="CG309" s="10">
        <f>MIN('02_Данные'!AQ309,CF309)</f>
        <v/>
      </c>
      <c r="CH309" s="10">
        <f>CF309-CG309</f>
        <v/>
      </c>
      <c r="CI309" s="10">
        <f>MIN('02_Данные'!AN309,CH309)</f>
        <v/>
      </c>
      <c r="CJ309" s="10">
        <f>CH309-CI309</f>
        <v/>
      </c>
      <c r="CK309" s="10">
        <f>MIN('02_Данные'!AM309,CJ309)</f>
        <v/>
      </c>
      <c r="CL309" s="10">
        <f>CJ309-CK309</f>
        <v/>
      </c>
      <c r="CM309" s="10">
        <f>MIN('02_Данные'!AO309,CL309)</f>
        <v/>
      </c>
      <c r="CN309" s="10">
        <f>CL309-CM309</f>
        <v/>
      </c>
      <c r="CO309" s="10">
        <f>MIN('02_Данные'!AP309,CN309)</f>
        <v/>
      </c>
      <c r="CP309" s="10">
        <f>CN309-CO309</f>
        <v/>
      </c>
      <c r="CQ309" s="10">
        <f>CP309+'02_Данные'!K309</f>
        <v/>
      </c>
      <c r="CR309" s="10">
        <f>MIN('02_Данные'!AR309,CQ309)</f>
        <v/>
      </c>
      <c r="CS309" s="10">
        <f>CQ309-CR309</f>
        <v/>
      </c>
      <c r="CT309" s="10">
        <f>MIN('02_Данные'!AS309,CS309)</f>
        <v/>
      </c>
      <c r="CU309" s="10">
        <f>CS309-CT309</f>
        <v/>
      </c>
      <c r="CV309" s="10">
        <f>MIN('02_Данные'!AT309,CU309)</f>
        <v/>
      </c>
      <c r="CW309" s="10">
        <f>CU309-CV309</f>
        <v/>
      </c>
      <c r="CX309" s="10">
        <f>MIN('02_Данные'!AY309,CW309)</f>
        <v/>
      </c>
      <c r="CY309" s="10">
        <f>CW309-CX309</f>
        <v/>
      </c>
      <c r="CZ309" s="10">
        <f>MIN('02_Данные'!AV309,CY309)</f>
        <v/>
      </c>
      <c r="DA309" s="10">
        <f>CY309-CZ309</f>
        <v/>
      </c>
      <c r="DB309" s="10">
        <f>MIN('02_Данные'!AU309,DA309)</f>
        <v/>
      </c>
      <c r="DC309" s="10">
        <f>DA309-DB309</f>
        <v/>
      </c>
      <c r="DD309" s="10">
        <f>MIN('02_Данные'!AW309,DC309)</f>
        <v/>
      </c>
      <c r="DE309" s="10">
        <f>DC309-DD309</f>
        <v/>
      </c>
      <c r="DF309" s="10">
        <f>MIN('02_Данные'!AX309,DE309)</f>
        <v/>
      </c>
      <c r="DG309" s="10">
        <f>DE309-DF309</f>
        <v/>
      </c>
    </row>
    <row r="310">
      <c r="A310" s="9">
        <f>'02_Данные'!B310</f>
        <v/>
      </c>
      <c r="B310" s="9">
        <f>'02_Данные'!E310</f>
        <v/>
      </c>
      <c r="C310" s="10">
        <f>'02_Данные'!F310+'02_Данные'!G310+'02_Данные'!H310+'02_Данные'!I310+'02_Данные'!J310+'02_Данные'!K310</f>
        <v/>
      </c>
      <c r="D310" s="10">
        <f>SUM('02_Данные'!L310:'02_Данные'!AY310)</f>
        <v/>
      </c>
      <c r="E310" s="10">
        <f>MAX(0,D310-C310)</f>
        <v/>
      </c>
      <c r="F310" s="15">
        <f>IF(E310&gt;0.0001,"ДЕФИЦИТ",IF(Y310&gt;0.0001,"ПРОФИЦИТ","БАЛАНС"))</f>
        <v/>
      </c>
      <c r="G310" s="10">
        <f>AB310+AS310+BJ310+CA310+CR310</f>
        <v/>
      </c>
      <c r="H310" s="10">
        <f>AD310+AU310+BL310+CC310+CT310</f>
        <v/>
      </c>
      <c r="I310" s="10">
        <f>AF310+AW310+BN310+CE310+CV310</f>
        <v/>
      </c>
      <c r="J310" s="10">
        <f>AL310+BC310+BT310+CK310+DB310</f>
        <v/>
      </c>
      <c r="K310" s="10">
        <f>AJ310+BA310+BR310+CI310+CZ310</f>
        <v/>
      </c>
      <c r="L310" s="10">
        <f>AN310+BE310+BV310+CM310+DD310</f>
        <v/>
      </c>
      <c r="M310" s="10">
        <f>AP310+BG310+BX310+CO310+DF310</f>
        <v/>
      </c>
      <c r="N310" s="10">
        <f>AH310+AY310+BP310+CG310+CX310</f>
        <v/>
      </c>
      <c r="O310" s="10">
        <f>SUM(G310:N310)</f>
        <v/>
      </c>
      <c r="P310" s="10">
        <f>IFERROR(G310*MIN(1,'01_Нормативы'!$C$4/SUM(G$2:G$429)),0)</f>
        <v/>
      </c>
      <c r="Q310" s="10">
        <f>IFERROR(H310*MIN(1,'01_Нормативы'!$C$5/SUM(H$2:H$429)),0)</f>
        <v/>
      </c>
      <c r="R310" s="10">
        <f>IFERROR(I310*MIN(1,'01_Нормативы'!$C$6/SUM(I$2:I$429)),0)</f>
        <v/>
      </c>
      <c r="S310" s="10">
        <f>IFERROR(J310*MIN(1,'01_Нормативы'!$C$7/SUM(J$2:J$429)),0)</f>
        <v/>
      </c>
      <c r="T310" s="10">
        <f>IFERROR(K310*MIN(1,'01_Нормативы'!$C$8/SUM(K$2:K$429)),0)</f>
        <v/>
      </c>
      <c r="U310" s="10">
        <f>IFERROR(L310*MIN(1,'01_Нормативы'!$C$9/SUM(L$2:L$429)),0)</f>
        <v/>
      </c>
      <c r="V310" s="10">
        <f>IFERROR(M310*MIN(1,'01_Нормативы'!$C$10/SUM(M$2:M$429)),0)</f>
        <v/>
      </c>
      <c r="W310" s="10">
        <f>IFERROR(N310*MIN(1,'01_Нормативы'!$C$11/SUM(N$2:N$429)),0)</f>
        <v/>
      </c>
      <c r="X310" s="10">
        <f>SUM(P310:W310)</f>
        <v/>
      </c>
      <c r="Y310" s="10">
        <f>MAX(0,C310-X310)</f>
        <v/>
      </c>
      <c r="Z310" s="10">
        <f>IF(D310=0,100,X310/D310*100)</f>
        <v/>
      </c>
      <c r="AA310" s="10">
        <f>'02_Данные'!F310+'02_Данные'!G310</f>
        <v/>
      </c>
      <c r="AB310" s="10">
        <f>MIN('02_Данные'!L310,AA310)</f>
        <v/>
      </c>
      <c r="AC310" s="10">
        <f>AA310-AB310</f>
        <v/>
      </c>
      <c r="AD310" s="10">
        <f>MIN('02_Данные'!M310,AC310)</f>
        <v/>
      </c>
      <c r="AE310" s="10">
        <f>AC310-AD310</f>
        <v/>
      </c>
      <c r="AF310" s="10">
        <f>MIN('02_Данные'!N310,AE310)</f>
        <v/>
      </c>
      <c r="AG310" s="10">
        <f>AE310-AF310</f>
        <v/>
      </c>
      <c r="AH310" s="10">
        <f>MIN('02_Данные'!S310,AG310)</f>
        <v/>
      </c>
      <c r="AI310" s="10">
        <f>AG310-AH310</f>
        <v/>
      </c>
      <c r="AJ310" s="10">
        <f>MIN('02_Данные'!P310,AI310)</f>
        <v/>
      </c>
      <c r="AK310" s="10">
        <f>AI310-AJ310</f>
        <v/>
      </c>
      <c r="AL310" s="10">
        <f>MIN('02_Данные'!O310,AK310)</f>
        <v/>
      </c>
      <c r="AM310" s="10">
        <f>AK310-AL310</f>
        <v/>
      </c>
      <c r="AN310" s="10">
        <f>MIN('02_Данные'!Q310,AM310)</f>
        <v/>
      </c>
      <c r="AO310" s="10">
        <f>AM310-AN310</f>
        <v/>
      </c>
      <c r="AP310" s="10">
        <f>MIN('02_Данные'!R310,AO310)</f>
        <v/>
      </c>
      <c r="AQ310" s="10">
        <f>AO310-AP310</f>
        <v/>
      </c>
      <c r="AR310" s="10">
        <f>AQ310+'02_Данные'!H310</f>
        <v/>
      </c>
      <c r="AS310" s="10">
        <f>MIN('02_Данные'!T310,AR310)</f>
        <v/>
      </c>
      <c r="AT310" s="10">
        <f>AR310-AS310</f>
        <v/>
      </c>
      <c r="AU310" s="10">
        <f>MIN('02_Данные'!U310,AT310)</f>
        <v/>
      </c>
      <c r="AV310" s="10">
        <f>AT310-AU310</f>
        <v/>
      </c>
      <c r="AW310" s="10">
        <f>MIN('02_Данные'!V310,AV310)</f>
        <v/>
      </c>
      <c r="AX310" s="10">
        <f>AV310-AW310</f>
        <v/>
      </c>
      <c r="AY310" s="10">
        <f>MIN('02_Данные'!AA310,AX310)</f>
        <v/>
      </c>
      <c r="AZ310" s="10">
        <f>AX310-AY310</f>
        <v/>
      </c>
      <c r="BA310" s="10">
        <f>MIN('02_Данные'!X310,AZ310)</f>
        <v/>
      </c>
      <c r="BB310" s="10">
        <f>AZ310-BA310</f>
        <v/>
      </c>
      <c r="BC310" s="10">
        <f>MIN('02_Данные'!W310,BB310)</f>
        <v/>
      </c>
      <c r="BD310" s="10">
        <f>BB310-BC310</f>
        <v/>
      </c>
      <c r="BE310" s="10">
        <f>MIN('02_Данные'!Y310,BD310)</f>
        <v/>
      </c>
      <c r="BF310" s="10">
        <f>BD310-BE310</f>
        <v/>
      </c>
      <c r="BG310" s="10">
        <f>MIN('02_Данные'!Z310,BF310)</f>
        <v/>
      </c>
      <c r="BH310" s="10">
        <f>BF310-BG310</f>
        <v/>
      </c>
      <c r="BI310" s="10">
        <f>BH310+'02_Данные'!I310</f>
        <v/>
      </c>
      <c r="BJ310" s="10">
        <f>MIN('02_Данные'!AB310,BI310)</f>
        <v/>
      </c>
      <c r="BK310" s="10">
        <f>BI310-BJ310</f>
        <v/>
      </c>
      <c r="BL310" s="10">
        <f>MIN('02_Данные'!AC310,BK310)</f>
        <v/>
      </c>
      <c r="BM310" s="10">
        <f>BK310-BL310</f>
        <v/>
      </c>
      <c r="BN310" s="10">
        <f>MIN('02_Данные'!AD310,BM310)</f>
        <v/>
      </c>
      <c r="BO310" s="10">
        <f>BM310-BN310</f>
        <v/>
      </c>
      <c r="BP310" s="10">
        <f>MIN('02_Данные'!AI310,BO310)</f>
        <v/>
      </c>
      <c r="BQ310" s="10">
        <f>BO310-BP310</f>
        <v/>
      </c>
      <c r="BR310" s="10">
        <f>MIN('02_Данные'!AF310,BQ310)</f>
        <v/>
      </c>
      <c r="BS310" s="10">
        <f>BQ310-BR310</f>
        <v/>
      </c>
      <c r="BT310" s="10">
        <f>MIN('02_Данные'!AE310,BS310)</f>
        <v/>
      </c>
      <c r="BU310" s="10">
        <f>BS310-BT310</f>
        <v/>
      </c>
      <c r="BV310" s="10">
        <f>MIN('02_Данные'!AG310,BU310)</f>
        <v/>
      </c>
      <c r="BW310" s="10">
        <f>BU310-BV310</f>
        <v/>
      </c>
      <c r="BX310" s="10">
        <f>MIN('02_Данные'!AH310,BW310)</f>
        <v/>
      </c>
      <c r="BY310" s="10">
        <f>BW310-BX310</f>
        <v/>
      </c>
      <c r="BZ310" s="10">
        <f>BY310+'02_Данные'!J310</f>
        <v/>
      </c>
      <c r="CA310" s="10">
        <f>MIN('02_Данные'!AJ310,BZ310)</f>
        <v/>
      </c>
      <c r="CB310" s="10">
        <f>BZ310-CA310</f>
        <v/>
      </c>
      <c r="CC310" s="10">
        <f>MIN('02_Данные'!AK310,CB310)</f>
        <v/>
      </c>
      <c r="CD310" s="10">
        <f>CB310-CC310</f>
        <v/>
      </c>
      <c r="CE310" s="10">
        <f>MIN('02_Данные'!AL310,CD310)</f>
        <v/>
      </c>
      <c r="CF310" s="10">
        <f>CD310-CE310</f>
        <v/>
      </c>
      <c r="CG310" s="10">
        <f>MIN('02_Данные'!AQ310,CF310)</f>
        <v/>
      </c>
      <c r="CH310" s="10">
        <f>CF310-CG310</f>
        <v/>
      </c>
      <c r="CI310" s="10">
        <f>MIN('02_Данные'!AN310,CH310)</f>
        <v/>
      </c>
      <c r="CJ310" s="10">
        <f>CH310-CI310</f>
        <v/>
      </c>
      <c r="CK310" s="10">
        <f>MIN('02_Данные'!AM310,CJ310)</f>
        <v/>
      </c>
      <c r="CL310" s="10">
        <f>CJ310-CK310</f>
        <v/>
      </c>
      <c r="CM310" s="10">
        <f>MIN('02_Данные'!AO310,CL310)</f>
        <v/>
      </c>
      <c r="CN310" s="10">
        <f>CL310-CM310</f>
        <v/>
      </c>
      <c r="CO310" s="10">
        <f>MIN('02_Данные'!AP310,CN310)</f>
        <v/>
      </c>
      <c r="CP310" s="10">
        <f>CN310-CO310</f>
        <v/>
      </c>
      <c r="CQ310" s="10">
        <f>CP310+'02_Данные'!K310</f>
        <v/>
      </c>
      <c r="CR310" s="10">
        <f>MIN('02_Данные'!AR310,CQ310)</f>
        <v/>
      </c>
      <c r="CS310" s="10">
        <f>CQ310-CR310</f>
        <v/>
      </c>
      <c r="CT310" s="10">
        <f>MIN('02_Данные'!AS310,CS310)</f>
        <v/>
      </c>
      <c r="CU310" s="10">
        <f>CS310-CT310</f>
        <v/>
      </c>
      <c r="CV310" s="10">
        <f>MIN('02_Данные'!AT310,CU310)</f>
        <v/>
      </c>
      <c r="CW310" s="10">
        <f>CU310-CV310</f>
        <v/>
      </c>
      <c r="CX310" s="10">
        <f>MIN('02_Данные'!AY310,CW310)</f>
        <v/>
      </c>
      <c r="CY310" s="10">
        <f>CW310-CX310</f>
        <v/>
      </c>
      <c r="CZ310" s="10">
        <f>MIN('02_Данные'!AV310,CY310)</f>
        <v/>
      </c>
      <c r="DA310" s="10">
        <f>CY310-CZ310</f>
        <v/>
      </c>
      <c r="DB310" s="10">
        <f>MIN('02_Данные'!AU310,DA310)</f>
        <v/>
      </c>
      <c r="DC310" s="10">
        <f>DA310-DB310</f>
        <v/>
      </c>
      <c r="DD310" s="10">
        <f>MIN('02_Данные'!AW310,DC310)</f>
        <v/>
      </c>
      <c r="DE310" s="10">
        <f>DC310-DD310</f>
        <v/>
      </c>
      <c r="DF310" s="10">
        <f>MIN('02_Данные'!AX310,DE310)</f>
        <v/>
      </c>
      <c r="DG310" s="10">
        <f>DE310-DF310</f>
        <v/>
      </c>
    </row>
    <row r="311">
      <c r="A311" s="9">
        <f>'02_Данные'!B311</f>
        <v/>
      </c>
      <c r="B311" s="9">
        <f>'02_Данные'!E311</f>
        <v/>
      </c>
      <c r="C311" s="10">
        <f>'02_Данные'!F311+'02_Данные'!G311+'02_Данные'!H311+'02_Данные'!I311+'02_Данные'!J311+'02_Данные'!K311</f>
        <v/>
      </c>
      <c r="D311" s="10">
        <f>SUM('02_Данные'!L311:'02_Данные'!AY311)</f>
        <v/>
      </c>
      <c r="E311" s="10">
        <f>MAX(0,D311-C311)</f>
        <v/>
      </c>
      <c r="F311" s="15">
        <f>IF(E311&gt;0.0001,"ДЕФИЦИТ",IF(Y311&gt;0.0001,"ПРОФИЦИТ","БАЛАНС"))</f>
        <v/>
      </c>
      <c r="G311" s="10">
        <f>AB311+AS311+BJ311+CA311+CR311</f>
        <v/>
      </c>
      <c r="H311" s="10">
        <f>AD311+AU311+BL311+CC311+CT311</f>
        <v/>
      </c>
      <c r="I311" s="10">
        <f>AF311+AW311+BN311+CE311+CV311</f>
        <v/>
      </c>
      <c r="J311" s="10">
        <f>AL311+BC311+BT311+CK311+DB311</f>
        <v/>
      </c>
      <c r="K311" s="10">
        <f>AJ311+BA311+BR311+CI311+CZ311</f>
        <v/>
      </c>
      <c r="L311" s="10">
        <f>AN311+BE311+BV311+CM311+DD311</f>
        <v/>
      </c>
      <c r="M311" s="10">
        <f>AP311+BG311+BX311+CO311+DF311</f>
        <v/>
      </c>
      <c r="N311" s="10">
        <f>AH311+AY311+BP311+CG311+CX311</f>
        <v/>
      </c>
      <c r="O311" s="10">
        <f>SUM(G311:N311)</f>
        <v/>
      </c>
      <c r="P311" s="10">
        <f>IFERROR(G311*MIN(1,'01_Нормативы'!$C$4/SUM(G$2:G$429)),0)</f>
        <v/>
      </c>
      <c r="Q311" s="10">
        <f>IFERROR(H311*MIN(1,'01_Нормативы'!$C$5/SUM(H$2:H$429)),0)</f>
        <v/>
      </c>
      <c r="R311" s="10">
        <f>IFERROR(I311*MIN(1,'01_Нормативы'!$C$6/SUM(I$2:I$429)),0)</f>
        <v/>
      </c>
      <c r="S311" s="10">
        <f>IFERROR(J311*MIN(1,'01_Нормативы'!$C$7/SUM(J$2:J$429)),0)</f>
        <v/>
      </c>
      <c r="T311" s="10">
        <f>IFERROR(K311*MIN(1,'01_Нормативы'!$C$8/SUM(K$2:K$429)),0)</f>
        <v/>
      </c>
      <c r="U311" s="10">
        <f>IFERROR(L311*MIN(1,'01_Нормативы'!$C$9/SUM(L$2:L$429)),0)</f>
        <v/>
      </c>
      <c r="V311" s="10">
        <f>IFERROR(M311*MIN(1,'01_Нормативы'!$C$10/SUM(M$2:M$429)),0)</f>
        <v/>
      </c>
      <c r="W311" s="10">
        <f>IFERROR(N311*MIN(1,'01_Нормативы'!$C$11/SUM(N$2:N$429)),0)</f>
        <v/>
      </c>
      <c r="X311" s="10">
        <f>SUM(P311:W311)</f>
        <v/>
      </c>
      <c r="Y311" s="10">
        <f>MAX(0,C311-X311)</f>
        <v/>
      </c>
      <c r="Z311" s="10">
        <f>IF(D311=0,100,X311/D311*100)</f>
        <v/>
      </c>
      <c r="AA311" s="10">
        <f>'02_Данные'!F311+'02_Данные'!G311</f>
        <v/>
      </c>
      <c r="AB311" s="10">
        <f>MIN('02_Данные'!L311,AA311)</f>
        <v/>
      </c>
      <c r="AC311" s="10">
        <f>AA311-AB311</f>
        <v/>
      </c>
      <c r="AD311" s="10">
        <f>MIN('02_Данные'!M311,AC311)</f>
        <v/>
      </c>
      <c r="AE311" s="10">
        <f>AC311-AD311</f>
        <v/>
      </c>
      <c r="AF311" s="10">
        <f>MIN('02_Данные'!N311,AE311)</f>
        <v/>
      </c>
      <c r="AG311" s="10">
        <f>AE311-AF311</f>
        <v/>
      </c>
      <c r="AH311" s="10">
        <f>MIN('02_Данные'!S311,AG311)</f>
        <v/>
      </c>
      <c r="AI311" s="10">
        <f>AG311-AH311</f>
        <v/>
      </c>
      <c r="AJ311" s="10">
        <f>MIN('02_Данные'!P311,AI311)</f>
        <v/>
      </c>
      <c r="AK311" s="10">
        <f>AI311-AJ311</f>
        <v/>
      </c>
      <c r="AL311" s="10">
        <f>MIN('02_Данные'!O311,AK311)</f>
        <v/>
      </c>
      <c r="AM311" s="10">
        <f>AK311-AL311</f>
        <v/>
      </c>
      <c r="AN311" s="10">
        <f>MIN('02_Данные'!Q311,AM311)</f>
        <v/>
      </c>
      <c r="AO311" s="10">
        <f>AM311-AN311</f>
        <v/>
      </c>
      <c r="AP311" s="10">
        <f>MIN('02_Данные'!R311,AO311)</f>
        <v/>
      </c>
      <c r="AQ311" s="10">
        <f>AO311-AP311</f>
        <v/>
      </c>
      <c r="AR311" s="10">
        <f>AQ311+'02_Данные'!H311</f>
        <v/>
      </c>
      <c r="AS311" s="10">
        <f>MIN('02_Данные'!T311,AR311)</f>
        <v/>
      </c>
      <c r="AT311" s="10">
        <f>AR311-AS311</f>
        <v/>
      </c>
      <c r="AU311" s="10">
        <f>MIN('02_Данные'!U311,AT311)</f>
        <v/>
      </c>
      <c r="AV311" s="10">
        <f>AT311-AU311</f>
        <v/>
      </c>
      <c r="AW311" s="10">
        <f>MIN('02_Данные'!V311,AV311)</f>
        <v/>
      </c>
      <c r="AX311" s="10">
        <f>AV311-AW311</f>
        <v/>
      </c>
      <c r="AY311" s="10">
        <f>MIN('02_Данные'!AA311,AX311)</f>
        <v/>
      </c>
      <c r="AZ311" s="10">
        <f>AX311-AY311</f>
        <v/>
      </c>
      <c r="BA311" s="10">
        <f>MIN('02_Данные'!X311,AZ311)</f>
        <v/>
      </c>
      <c r="BB311" s="10">
        <f>AZ311-BA311</f>
        <v/>
      </c>
      <c r="BC311" s="10">
        <f>MIN('02_Данные'!W311,BB311)</f>
        <v/>
      </c>
      <c r="BD311" s="10">
        <f>BB311-BC311</f>
        <v/>
      </c>
      <c r="BE311" s="10">
        <f>MIN('02_Данные'!Y311,BD311)</f>
        <v/>
      </c>
      <c r="BF311" s="10">
        <f>BD311-BE311</f>
        <v/>
      </c>
      <c r="BG311" s="10">
        <f>MIN('02_Данные'!Z311,BF311)</f>
        <v/>
      </c>
      <c r="BH311" s="10">
        <f>BF311-BG311</f>
        <v/>
      </c>
      <c r="BI311" s="10">
        <f>BH311+'02_Данные'!I311</f>
        <v/>
      </c>
      <c r="BJ311" s="10">
        <f>MIN('02_Данные'!AB311,BI311)</f>
        <v/>
      </c>
      <c r="BK311" s="10">
        <f>BI311-BJ311</f>
        <v/>
      </c>
      <c r="BL311" s="10">
        <f>MIN('02_Данные'!AC311,BK311)</f>
        <v/>
      </c>
      <c r="BM311" s="10">
        <f>BK311-BL311</f>
        <v/>
      </c>
      <c r="BN311" s="10">
        <f>MIN('02_Данные'!AD311,BM311)</f>
        <v/>
      </c>
      <c r="BO311" s="10">
        <f>BM311-BN311</f>
        <v/>
      </c>
      <c r="BP311" s="10">
        <f>MIN('02_Данные'!AI311,BO311)</f>
        <v/>
      </c>
      <c r="BQ311" s="10">
        <f>BO311-BP311</f>
        <v/>
      </c>
      <c r="BR311" s="10">
        <f>MIN('02_Данные'!AF311,BQ311)</f>
        <v/>
      </c>
      <c r="BS311" s="10">
        <f>BQ311-BR311</f>
        <v/>
      </c>
      <c r="BT311" s="10">
        <f>MIN('02_Данные'!AE311,BS311)</f>
        <v/>
      </c>
      <c r="BU311" s="10">
        <f>BS311-BT311</f>
        <v/>
      </c>
      <c r="BV311" s="10">
        <f>MIN('02_Данные'!AG311,BU311)</f>
        <v/>
      </c>
      <c r="BW311" s="10">
        <f>BU311-BV311</f>
        <v/>
      </c>
      <c r="BX311" s="10">
        <f>MIN('02_Данные'!AH311,BW311)</f>
        <v/>
      </c>
      <c r="BY311" s="10">
        <f>BW311-BX311</f>
        <v/>
      </c>
      <c r="BZ311" s="10">
        <f>BY311+'02_Данные'!J311</f>
        <v/>
      </c>
      <c r="CA311" s="10">
        <f>MIN('02_Данные'!AJ311,BZ311)</f>
        <v/>
      </c>
      <c r="CB311" s="10">
        <f>BZ311-CA311</f>
        <v/>
      </c>
      <c r="CC311" s="10">
        <f>MIN('02_Данные'!AK311,CB311)</f>
        <v/>
      </c>
      <c r="CD311" s="10">
        <f>CB311-CC311</f>
        <v/>
      </c>
      <c r="CE311" s="10">
        <f>MIN('02_Данные'!AL311,CD311)</f>
        <v/>
      </c>
      <c r="CF311" s="10">
        <f>CD311-CE311</f>
        <v/>
      </c>
      <c r="CG311" s="10">
        <f>MIN('02_Данные'!AQ311,CF311)</f>
        <v/>
      </c>
      <c r="CH311" s="10">
        <f>CF311-CG311</f>
        <v/>
      </c>
      <c r="CI311" s="10">
        <f>MIN('02_Данные'!AN311,CH311)</f>
        <v/>
      </c>
      <c r="CJ311" s="10">
        <f>CH311-CI311</f>
        <v/>
      </c>
      <c r="CK311" s="10">
        <f>MIN('02_Данные'!AM311,CJ311)</f>
        <v/>
      </c>
      <c r="CL311" s="10">
        <f>CJ311-CK311</f>
        <v/>
      </c>
      <c r="CM311" s="10">
        <f>MIN('02_Данные'!AO311,CL311)</f>
        <v/>
      </c>
      <c r="CN311" s="10">
        <f>CL311-CM311</f>
        <v/>
      </c>
      <c r="CO311" s="10">
        <f>MIN('02_Данные'!AP311,CN311)</f>
        <v/>
      </c>
      <c r="CP311" s="10">
        <f>CN311-CO311</f>
        <v/>
      </c>
      <c r="CQ311" s="10">
        <f>CP311+'02_Данные'!K311</f>
        <v/>
      </c>
      <c r="CR311" s="10">
        <f>MIN('02_Данные'!AR311,CQ311)</f>
        <v/>
      </c>
      <c r="CS311" s="10">
        <f>CQ311-CR311</f>
        <v/>
      </c>
      <c r="CT311" s="10">
        <f>MIN('02_Данные'!AS311,CS311)</f>
        <v/>
      </c>
      <c r="CU311" s="10">
        <f>CS311-CT311</f>
        <v/>
      </c>
      <c r="CV311" s="10">
        <f>MIN('02_Данные'!AT311,CU311)</f>
        <v/>
      </c>
      <c r="CW311" s="10">
        <f>CU311-CV311</f>
        <v/>
      </c>
      <c r="CX311" s="10">
        <f>MIN('02_Данные'!AY311,CW311)</f>
        <v/>
      </c>
      <c r="CY311" s="10">
        <f>CW311-CX311</f>
        <v/>
      </c>
      <c r="CZ311" s="10">
        <f>MIN('02_Данные'!AV311,CY311)</f>
        <v/>
      </c>
      <c r="DA311" s="10">
        <f>CY311-CZ311</f>
        <v/>
      </c>
      <c r="DB311" s="10">
        <f>MIN('02_Данные'!AU311,DA311)</f>
        <v/>
      </c>
      <c r="DC311" s="10">
        <f>DA311-DB311</f>
        <v/>
      </c>
      <c r="DD311" s="10">
        <f>MIN('02_Данные'!AW311,DC311)</f>
        <v/>
      </c>
      <c r="DE311" s="10">
        <f>DC311-DD311</f>
        <v/>
      </c>
      <c r="DF311" s="10">
        <f>MIN('02_Данные'!AX311,DE311)</f>
        <v/>
      </c>
      <c r="DG311" s="10">
        <f>DE311-DF311</f>
        <v/>
      </c>
    </row>
    <row r="312">
      <c r="A312" s="9">
        <f>'02_Данные'!B312</f>
        <v/>
      </c>
      <c r="B312" s="9">
        <f>'02_Данные'!E312</f>
        <v/>
      </c>
      <c r="C312" s="10">
        <f>'02_Данные'!F312+'02_Данные'!G312+'02_Данные'!H312+'02_Данные'!I312+'02_Данные'!J312+'02_Данные'!K312</f>
        <v/>
      </c>
      <c r="D312" s="10">
        <f>SUM('02_Данные'!L312:'02_Данные'!AY312)</f>
        <v/>
      </c>
      <c r="E312" s="10">
        <f>MAX(0,D312-C312)</f>
        <v/>
      </c>
      <c r="F312" s="15">
        <f>IF(E312&gt;0.0001,"ДЕФИЦИТ",IF(Y312&gt;0.0001,"ПРОФИЦИТ","БАЛАНС"))</f>
        <v/>
      </c>
      <c r="G312" s="10">
        <f>AB312+AS312+BJ312+CA312+CR312</f>
        <v/>
      </c>
      <c r="H312" s="10">
        <f>AD312+AU312+BL312+CC312+CT312</f>
        <v/>
      </c>
      <c r="I312" s="10">
        <f>AF312+AW312+BN312+CE312+CV312</f>
        <v/>
      </c>
      <c r="J312" s="10">
        <f>AL312+BC312+BT312+CK312+DB312</f>
        <v/>
      </c>
      <c r="K312" s="10">
        <f>AJ312+BA312+BR312+CI312+CZ312</f>
        <v/>
      </c>
      <c r="L312" s="10">
        <f>AN312+BE312+BV312+CM312+DD312</f>
        <v/>
      </c>
      <c r="M312" s="10">
        <f>AP312+BG312+BX312+CO312+DF312</f>
        <v/>
      </c>
      <c r="N312" s="10">
        <f>AH312+AY312+BP312+CG312+CX312</f>
        <v/>
      </c>
      <c r="O312" s="10">
        <f>SUM(G312:N312)</f>
        <v/>
      </c>
      <c r="P312" s="10">
        <f>IFERROR(G312*MIN(1,'01_Нормативы'!$C$4/SUM(G$2:G$429)),0)</f>
        <v/>
      </c>
      <c r="Q312" s="10">
        <f>IFERROR(H312*MIN(1,'01_Нормативы'!$C$5/SUM(H$2:H$429)),0)</f>
        <v/>
      </c>
      <c r="R312" s="10">
        <f>IFERROR(I312*MIN(1,'01_Нормативы'!$C$6/SUM(I$2:I$429)),0)</f>
        <v/>
      </c>
      <c r="S312" s="10">
        <f>IFERROR(J312*MIN(1,'01_Нормативы'!$C$7/SUM(J$2:J$429)),0)</f>
        <v/>
      </c>
      <c r="T312" s="10">
        <f>IFERROR(K312*MIN(1,'01_Нормативы'!$C$8/SUM(K$2:K$429)),0)</f>
        <v/>
      </c>
      <c r="U312" s="10">
        <f>IFERROR(L312*MIN(1,'01_Нормативы'!$C$9/SUM(L$2:L$429)),0)</f>
        <v/>
      </c>
      <c r="V312" s="10">
        <f>IFERROR(M312*MIN(1,'01_Нормативы'!$C$10/SUM(M$2:M$429)),0)</f>
        <v/>
      </c>
      <c r="W312" s="10">
        <f>IFERROR(N312*MIN(1,'01_Нормативы'!$C$11/SUM(N$2:N$429)),0)</f>
        <v/>
      </c>
      <c r="X312" s="10">
        <f>SUM(P312:W312)</f>
        <v/>
      </c>
      <c r="Y312" s="10">
        <f>MAX(0,C312-X312)</f>
        <v/>
      </c>
      <c r="Z312" s="10">
        <f>IF(D312=0,100,X312/D312*100)</f>
        <v/>
      </c>
      <c r="AA312" s="10">
        <f>'02_Данные'!F312+'02_Данные'!G312</f>
        <v/>
      </c>
      <c r="AB312" s="10">
        <f>MIN('02_Данные'!L312,AA312)</f>
        <v/>
      </c>
      <c r="AC312" s="10">
        <f>AA312-AB312</f>
        <v/>
      </c>
      <c r="AD312" s="10">
        <f>MIN('02_Данные'!M312,AC312)</f>
        <v/>
      </c>
      <c r="AE312" s="10">
        <f>AC312-AD312</f>
        <v/>
      </c>
      <c r="AF312" s="10">
        <f>MIN('02_Данные'!N312,AE312)</f>
        <v/>
      </c>
      <c r="AG312" s="10">
        <f>AE312-AF312</f>
        <v/>
      </c>
      <c r="AH312" s="10">
        <f>MIN('02_Данные'!S312,AG312)</f>
        <v/>
      </c>
      <c r="AI312" s="10">
        <f>AG312-AH312</f>
        <v/>
      </c>
      <c r="AJ312" s="10">
        <f>MIN('02_Данные'!P312,AI312)</f>
        <v/>
      </c>
      <c r="AK312" s="10">
        <f>AI312-AJ312</f>
        <v/>
      </c>
      <c r="AL312" s="10">
        <f>MIN('02_Данные'!O312,AK312)</f>
        <v/>
      </c>
      <c r="AM312" s="10">
        <f>AK312-AL312</f>
        <v/>
      </c>
      <c r="AN312" s="10">
        <f>MIN('02_Данные'!Q312,AM312)</f>
        <v/>
      </c>
      <c r="AO312" s="10">
        <f>AM312-AN312</f>
        <v/>
      </c>
      <c r="AP312" s="10">
        <f>MIN('02_Данные'!R312,AO312)</f>
        <v/>
      </c>
      <c r="AQ312" s="10">
        <f>AO312-AP312</f>
        <v/>
      </c>
      <c r="AR312" s="10">
        <f>AQ312+'02_Данные'!H312</f>
        <v/>
      </c>
      <c r="AS312" s="10">
        <f>MIN('02_Данные'!T312,AR312)</f>
        <v/>
      </c>
      <c r="AT312" s="10">
        <f>AR312-AS312</f>
        <v/>
      </c>
      <c r="AU312" s="10">
        <f>MIN('02_Данные'!U312,AT312)</f>
        <v/>
      </c>
      <c r="AV312" s="10">
        <f>AT312-AU312</f>
        <v/>
      </c>
      <c r="AW312" s="10">
        <f>MIN('02_Данные'!V312,AV312)</f>
        <v/>
      </c>
      <c r="AX312" s="10">
        <f>AV312-AW312</f>
        <v/>
      </c>
      <c r="AY312" s="10">
        <f>MIN('02_Данные'!AA312,AX312)</f>
        <v/>
      </c>
      <c r="AZ312" s="10">
        <f>AX312-AY312</f>
        <v/>
      </c>
      <c r="BA312" s="10">
        <f>MIN('02_Данные'!X312,AZ312)</f>
        <v/>
      </c>
      <c r="BB312" s="10">
        <f>AZ312-BA312</f>
        <v/>
      </c>
      <c r="BC312" s="10">
        <f>MIN('02_Данные'!W312,BB312)</f>
        <v/>
      </c>
      <c r="BD312" s="10">
        <f>BB312-BC312</f>
        <v/>
      </c>
      <c r="BE312" s="10">
        <f>MIN('02_Данные'!Y312,BD312)</f>
        <v/>
      </c>
      <c r="BF312" s="10">
        <f>BD312-BE312</f>
        <v/>
      </c>
      <c r="BG312" s="10">
        <f>MIN('02_Данные'!Z312,BF312)</f>
        <v/>
      </c>
      <c r="BH312" s="10">
        <f>BF312-BG312</f>
        <v/>
      </c>
      <c r="BI312" s="10">
        <f>BH312+'02_Данные'!I312</f>
        <v/>
      </c>
      <c r="BJ312" s="10">
        <f>MIN('02_Данные'!AB312,BI312)</f>
        <v/>
      </c>
      <c r="BK312" s="10">
        <f>BI312-BJ312</f>
        <v/>
      </c>
      <c r="BL312" s="10">
        <f>MIN('02_Данные'!AC312,BK312)</f>
        <v/>
      </c>
      <c r="BM312" s="10">
        <f>BK312-BL312</f>
        <v/>
      </c>
      <c r="BN312" s="10">
        <f>MIN('02_Данные'!AD312,BM312)</f>
        <v/>
      </c>
      <c r="BO312" s="10">
        <f>BM312-BN312</f>
        <v/>
      </c>
      <c r="BP312" s="10">
        <f>MIN('02_Данные'!AI312,BO312)</f>
        <v/>
      </c>
      <c r="BQ312" s="10">
        <f>BO312-BP312</f>
        <v/>
      </c>
      <c r="BR312" s="10">
        <f>MIN('02_Данные'!AF312,BQ312)</f>
        <v/>
      </c>
      <c r="BS312" s="10">
        <f>BQ312-BR312</f>
        <v/>
      </c>
      <c r="BT312" s="10">
        <f>MIN('02_Данные'!AE312,BS312)</f>
        <v/>
      </c>
      <c r="BU312" s="10">
        <f>BS312-BT312</f>
        <v/>
      </c>
      <c r="BV312" s="10">
        <f>MIN('02_Данные'!AG312,BU312)</f>
        <v/>
      </c>
      <c r="BW312" s="10">
        <f>BU312-BV312</f>
        <v/>
      </c>
      <c r="BX312" s="10">
        <f>MIN('02_Данные'!AH312,BW312)</f>
        <v/>
      </c>
      <c r="BY312" s="10">
        <f>BW312-BX312</f>
        <v/>
      </c>
      <c r="BZ312" s="10">
        <f>BY312+'02_Данные'!J312</f>
        <v/>
      </c>
      <c r="CA312" s="10">
        <f>MIN('02_Данные'!AJ312,BZ312)</f>
        <v/>
      </c>
      <c r="CB312" s="10">
        <f>BZ312-CA312</f>
        <v/>
      </c>
      <c r="CC312" s="10">
        <f>MIN('02_Данные'!AK312,CB312)</f>
        <v/>
      </c>
      <c r="CD312" s="10">
        <f>CB312-CC312</f>
        <v/>
      </c>
      <c r="CE312" s="10">
        <f>MIN('02_Данные'!AL312,CD312)</f>
        <v/>
      </c>
      <c r="CF312" s="10">
        <f>CD312-CE312</f>
        <v/>
      </c>
      <c r="CG312" s="10">
        <f>MIN('02_Данные'!AQ312,CF312)</f>
        <v/>
      </c>
      <c r="CH312" s="10">
        <f>CF312-CG312</f>
        <v/>
      </c>
      <c r="CI312" s="10">
        <f>MIN('02_Данные'!AN312,CH312)</f>
        <v/>
      </c>
      <c r="CJ312" s="10">
        <f>CH312-CI312</f>
        <v/>
      </c>
      <c r="CK312" s="10">
        <f>MIN('02_Данные'!AM312,CJ312)</f>
        <v/>
      </c>
      <c r="CL312" s="10">
        <f>CJ312-CK312</f>
        <v/>
      </c>
      <c r="CM312" s="10">
        <f>MIN('02_Данные'!AO312,CL312)</f>
        <v/>
      </c>
      <c r="CN312" s="10">
        <f>CL312-CM312</f>
        <v/>
      </c>
      <c r="CO312" s="10">
        <f>MIN('02_Данные'!AP312,CN312)</f>
        <v/>
      </c>
      <c r="CP312" s="10">
        <f>CN312-CO312</f>
        <v/>
      </c>
      <c r="CQ312" s="10">
        <f>CP312+'02_Данные'!K312</f>
        <v/>
      </c>
      <c r="CR312" s="10">
        <f>MIN('02_Данные'!AR312,CQ312)</f>
        <v/>
      </c>
      <c r="CS312" s="10">
        <f>CQ312-CR312</f>
        <v/>
      </c>
      <c r="CT312" s="10">
        <f>MIN('02_Данные'!AS312,CS312)</f>
        <v/>
      </c>
      <c r="CU312" s="10">
        <f>CS312-CT312</f>
        <v/>
      </c>
      <c r="CV312" s="10">
        <f>MIN('02_Данные'!AT312,CU312)</f>
        <v/>
      </c>
      <c r="CW312" s="10">
        <f>CU312-CV312</f>
        <v/>
      </c>
      <c r="CX312" s="10">
        <f>MIN('02_Данные'!AY312,CW312)</f>
        <v/>
      </c>
      <c r="CY312" s="10">
        <f>CW312-CX312</f>
        <v/>
      </c>
      <c r="CZ312" s="10">
        <f>MIN('02_Данные'!AV312,CY312)</f>
        <v/>
      </c>
      <c r="DA312" s="10">
        <f>CY312-CZ312</f>
        <v/>
      </c>
      <c r="DB312" s="10">
        <f>MIN('02_Данные'!AU312,DA312)</f>
        <v/>
      </c>
      <c r="DC312" s="10">
        <f>DA312-DB312</f>
        <v/>
      </c>
      <c r="DD312" s="10">
        <f>MIN('02_Данные'!AW312,DC312)</f>
        <v/>
      </c>
      <c r="DE312" s="10">
        <f>DC312-DD312</f>
        <v/>
      </c>
      <c r="DF312" s="10">
        <f>MIN('02_Данные'!AX312,DE312)</f>
        <v/>
      </c>
      <c r="DG312" s="10">
        <f>DE312-DF312</f>
        <v/>
      </c>
    </row>
    <row r="313">
      <c r="A313" s="9">
        <f>'02_Данные'!B313</f>
        <v/>
      </c>
      <c r="B313" s="9">
        <f>'02_Данные'!E313</f>
        <v/>
      </c>
      <c r="C313" s="10">
        <f>'02_Данные'!F313+'02_Данные'!G313+'02_Данные'!H313+'02_Данные'!I313+'02_Данные'!J313+'02_Данные'!K313</f>
        <v/>
      </c>
      <c r="D313" s="10">
        <f>SUM('02_Данные'!L313:'02_Данные'!AY313)</f>
        <v/>
      </c>
      <c r="E313" s="10">
        <f>MAX(0,D313-C313)</f>
        <v/>
      </c>
      <c r="F313" s="15">
        <f>IF(E313&gt;0.0001,"ДЕФИЦИТ",IF(Y313&gt;0.0001,"ПРОФИЦИТ","БАЛАНС"))</f>
        <v/>
      </c>
      <c r="G313" s="10">
        <f>AB313+AS313+BJ313+CA313+CR313</f>
        <v/>
      </c>
      <c r="H313" s="10">
        <f>AD313+AU313+BL313+CC313+CT313</f>
        <v/>
      </c>
      <c r="I313" s="10">
        <f>AF313+AW313+BN313+CE313+CV313</f>
        <v/>
      </c>
      <c r="J313" s="10">
        <f>AL313+BC313+BT313+CK313+DB313</f>
        <v/>
      </c>
      <c r="K313" s="10">
        <f>AJ313+BA313+BR313+CI313+CZ313</f>
        <v/>
      </c>
      <c r="L313" s="10">
        <f>AN313+BE313+BV313+CM313+DD313</f>
        <v/>
      </c>
      <c r="M313" s="10">
        <f>AP313+BG313+BX313+CO313+DF313</f>
        <v/>
      </c>
      <c r="N313" s="10">
        <f>AH313+AY313+BP313+CG313+CX313</f>
        <v/>
      </c>
      <c r="O313" s="10">
        <f>SUM(G313:N313)</f>
        <v/>
      </c>
      <c r="P313" s="10">
        <f>IFERROR(G313*MIN(1,'01_Нормативы'!$C$4/SUM(G$2:G$429)),0)</f>
        <v/>
      </c>
      <c r="Q313" s="10">
        <f>IFERROR(H313*MIN(1,'01_Нормативы'!$C$5/SUM(H$2:H$429)),0)</f>
        <v/>
      </c>
      <c r="R313" s="10">
        <f>IFERROR(I313*MIN(1,'01_Нормативы'!$C$6/SUM(I$2:I$429)),0)</f>
        <v/>
      </c>
      <c r="S313" s="10">
        <f>IFERROR(J313*MIN(1,'01_Нормативы'!$C$7/SUM(J$2:J$429)),0)</f>
        <v/>
      </c>
      <c r="T313" s="10">
        <f>IFERROR(K313*MIN(1,'01_Нормативы'!$C$8/SUM(K$2:K$429)),0)</f>
        <v/>
      </c>
      <c r="U313" s="10">
        <f>IFERROR(L313*MIN(1,'01_Нормативы'!$C$9/SUM(L$2:L$429)),0)</f>
        <v/>
      </c>
      <c r="V313" s="10">
        <f>IFERROR(M313*MIN(1,'01_Нормативы'!$C$10/SUM(M$2:M$429)),0)</f>
        <v/>
      </c>
      <c r="W313" s="10">
        <f>IFERROR(N313*MIN(1,'01_Нормативы'!$C$11/SUM(N$2:N$429)),0)</f>
        <v/>
      </c>
      <c r="X313" s="10">
        <f>SUM(P313:W313)</f>
        <v/>
      </c>
      <c r="Y313" s="10">
        <f>MAX(0,C313-X313)</f>
        <v/>
      </c>
      <c r="Z313" s="10">
        <f>IF(D313=0,100,X313/D313*100)</f>
        <v/>
      </c>
      <c r="AA313" s="10">
        <f>'02_Данные'!F313+'02_Данные'!G313</f>
        <v/>
      </c>
      <c r="AB313" s="10">
        <f>MIN('02_Данные'!L313,AA313)</f>
        <v/>
      </c>
      <c r="AC313" s="10">
        <f>AA313-AB313</f>
        <v/>
      </c>
      <c r="AD313" s="10">
        <f>MIN('02_Данные'!M313,AC313)</f>
        <v/>
      </c>
      <c r="AE313" s="10">
        <f>AC313-AD313</f>
        <v/>
      </c>
      <c r="AF313" s="10">
        <f>MIN('02_Данные'!N313,AE313)</f>
        <v/>
      </c>
      <c r="AG313" s="10">
        <f>AE313-AF313</f>
        <v/>
      </c>
      <c r="AH313" s="10">
        <f>MIN('02_Данные'!S313,AG313)</f>
        <v/>
      </c>
      <c r="AI313" s="10">
        <f>AG313-AH313</f>
        <v/>
      </c>
      <c r="AJ313" s="10">
        <f>MIN('02_Данные'!P313,AI313)</f>
        <v/>
      </c>
      <c r="AK313" s="10">
        <f>AI313-AJ313</f>
        <v/>
      </c>
      <c r="AL313" s="10">
        <f>MIN('02_Данные'!O313,AK313)</f>
        <v/>
      </c>
      <c r="AM313" s="10">
        <f>AK313-AL313</f>
        <v/>
      </c>
      <c r="AN313" s="10">
        <f>MIN('02_Данные'!Q313,AM313)</f>
        <v/>
      </c>
      <c r="AO313" s="10">
        <f>AM313-AN313</f>
        <v/>
      </c>
      <c r="AP313" s="10">
        <f>MIN('02_Данные'!R313,AO313)</f>
        <v/>
      </c>
      <c r="AQ313" s="10">
        <f>AO313-AP313</f>
        <v/>
      </c>
      <c r="AR313" s="10">
        <f>AQ313+'02_Данные'!H313</f>
        <v/>
      </c>
      <c r="AS313" s="10">
        <f>MIN('02_Данные'!T313,AR313)</f>
        <v/>
      </c>
      <c r="AT313" s="10">
        <f>AR313-AS313</f>
        <v/>
      </c>
      <c r="AU313" s="10">
        <f>MIN('02_Данные'!U313,AT313)</f>
        <v/>
      </c>
      <c r="AV313" s="10">
        <f>AT313-AU313</f>
        <v/>
      </c>
      <c r="AW313" s="10">
        <f>MIN('02_Данные'!V313,AV313)</f>
        <v/>
      </c>
      <c r="AX313" s="10">
        <f>AV313-AW313</f>
        <v/>
      </c>
      <c r="AY313" s="10">
        <f>MIN('02_Данные'!AA313,AX313)</f>
        <v/>
      </c>
      <c r="AZ313" s="10">
        <f>AX313-AY313</f>
        <v/>
      </c>
      <c r="BA313" s="10">
        <f>MIN('02_Данные'!X313,AZ313)</f>
        <v/>
      </c>
      <c r="BB313" s="10">
        <f>AZ313-BA313</f>
        <v/>
      </c>
      <c r="BC313" s="10">
        <f>MIN('02_Данные'!W313,BB313)</f>
        <v/>
      </c>
      <c r="BD313" s="10">
        <f>BB313-BC313</f>
        <v/>
      </c>
      <c r="BE313" s="10">
        <f>MIN('02_Данные'!Y313,BD313)</f>
        <v/>
      </c>
      <c r="BF313" s="10">
        <f>BD313-BE313</f>
        <v/>
      </c>
      <c r="BG313" s="10">
        <f>MIN('02_Данные'!Z313,BF313)</f>
        <v/>
      </c>
      <c r="BH313" s="10">
        <f>BF313-BG313</f>
        <v/>
      </c>
      <c r="BI313" s="10">
        <f>BH313+'02_Данные'!I313</f>
        <v/>
      </c>
      <c r="BJ313" s="10">
        <f>MIN('02_Данные'!AB313,BI313)</f>
        <v/>
      </c>
      <c r="BK313" s="10">
        <f>BI313-BJ313</f>
        <v/>
      </c>
      <c r="BL313" s="10">
        <f>MIN('02_Данные'!AC313,BK313)</f>
        <v/>
      </c>
      <c r="BM313" s="10">
        <f>BK313-BL313</f>
        <v/>
      </c>
      <c r="BN313" s="10">
        <f>MIN('02_Данные'!AD313,BM313)</f>
        <v/>
      </c>
      <c r="BO313" s="10">
        <f>BM313-BN313</f>
        <v/>
      </c>
      <c r="BP313" s="10">
        <f>MIN('02_Данные'!AI313,BO313)</f>
        <v/>
      </c>
      <c r="BQ313" s="10">
        <f>BO313-BP313</f>
        <v/>
      </c>
      <c r="BR313" s="10">
        <f>MIN('02_Данные'!AF313,BQ313)</f>
        <v/>
      </c>
      <c r="BS313" s="10">
        <f>BQ313-BR313</f>
        <v/>
      </c>
      <c r="BT313" s="10">
        <f>MIN('02_Данные'!AE313,BS313)</f>
        <v/>
      </c>
      <c r="BU313" s="10">
        <f>BS313-BT313</f>
        <v/>
      </c>
      <c r="BV313" s="10">
        <f>MIN('02_Данные'!AG313,BU313)</f>
        <v/>
      </c>
      <c r="BW313" s="10">
        <f>BU313-BV313</f>
        <v/>
      </c>
      <c r="BX313" s="10">
        <f>MIN('02_Данные'!AH313,BW313)</f>
        <v/>
      </c>
      <c r="BY313" s="10">
        <f>BW313-BX313</f>
        <v/>
      </c>
      <c r="BZ313" s="10">
        <f>BY313+'02_Данные'!J313</f>
        <v/>
      </c>
      <c r="CA313" s="10">
        <f>MIN('02_Данные'!AJ313,BZ313)</f>
        <v/>
      </c>
      <c r="CB313" s="10">
        <f>BZ313-CA313</f>
        <v/>
      </c>
      <c r="CC313" s="10">
        <f>MIN('02_Данные'!AK313,CB313)</f>
        <v/>
      </c>
      <c r="CD313" s="10">
        <f>CB313-CC313</f>
        <v/>
      </c>
      <c r="CE313" s="10">
        <f>MIN('02_Данные'!AL313,CD313)</f>
        <v/>
      </c>
      <c r="CF313" s="10">
        <f>CD313-CE313</f>
        <v/>
      </c>
      <c r="CG313" s="10">
        <f>MIN('02_Данные'!AQ313,CF313)</f>
        <v/>
      </c>
      <c r="CH313" s="10">
        <f>CF313-CG313</f>
        <v/>
      </c>
      <c r="CI313" s="10">
        <f>MIN('02_Данные'!AN313,CH313)</f>
        <v/>
      </c>
      <c r="CJ313" s="10">
        <f>CH313-CI313</f>
        <v/>
      </c>
      <c r="CK313" s="10">
        <f>MIN('02_Данные'!AM313,CJ313)</f>
        <v/>
      </c>
      <c r="CL313" s="10">
        <f>CJ313-CK313</f>
        <v/>
      </c>
      <c r="CM313" s="10">
        <f>MIN('02_Данные'!AO313,CL313)</f>
        <v/>
      </c>
      <c r="CN313" s="10">
        <f>CL313-CM313</f>
        <v/>
      </c>
      <c r="CO313" s="10">
        <f>MIN('02_Данные'!AP313,CN313)</f>
        <v/>
      </c>
      <c r="CP313" s="10">
        <f>CN313-CO313</f>
        <v/>
      </c>
      <c r="CQ313" s="10">
        <f>CP313+'02_Данные'!K313</f>
        <v/>
      </c>
      <c r="CR313" s="10">
        <f>MIN('02_Данные'!AR313,CQ313)</f>
        <v/>
      </c>
      <c r="CS313" s="10">
        <f>CQ313-CR313</f>
        <v/>
      </c>
      <c r="CT313" s="10">
        <f>MIN('02_Данные'!AS313,CS313)</f>
        <v/>
      </c>
      <c r="CU313" s="10">
        <f>CS313-CT313</f>
        <v/>
      </c>
      <c r="CV313" s="10">
        <f>MIN('02_Данные'!AT313,CU313)</f>
        <v/>
      </c>
      <c r="CW313" s="10">
        <f>CU313-CV313</f>
        <v/>
      </c>
      <c r="CX313" s="10">
        <f>MIN('02_Данные'!AY313,CW313)</f>
        <v/>
      </c>
      <c r="CY313" s="10">
        <f>CW313-CX313</f>
        <v/>
      </c>
      <c r="CZ313" s="10">
        <f>MIN('02_Данные'!AV313,CY313)</f>
        <v/>
      </c>
      <c r="DA313" s="10">
        <f>CY313-CZ313</f>
        <v/>
      </c>
      <c r="DB313" s="10">
        <f>MIN('02_Данные'!AU313,DA313)</f>
        <v/>
      </c>
      <c r="DC313" s="10">
        <f>DA313-DB313</f>
        <v/>
      </c>
      <c r="DD313" s="10">
        <f>MIN('02_Данные'!AW313,DC313)</f>
        <v/>
      </c>
      <c r="DE313" s="10">
        <f>DC313-DD313</f>
        <v/>
      </c>
      <c r="DF313" s="10">
        <f>MIN('02_Данные'!AX313,DE313)</f>
        <v/>
      </c>
      <c r="DG313" s="10">
        <f>DE313-DF313</f>
        <v/>
      </c>
    </row>
    <row r="314">
      <c r="A314" s="9">
        <f>'02_Данные'!B314</f>
        <v/>
      </c>
      <c r="B314" s="9">
        <f>'02_Данные'!E314</f>
        <v/>
      </c>
      <c r="C314" s="10">
        <f>'02_Данные'!F314+'02_Данные'!G314+'02_Данные'!H314+'02_Данные'!I314+'02_Данные'!J314+'02_Данные'!K314</f>
        <v/>
      </c>
      <c r="D314" s="10">
        <f>SUM('02_Данные'!L314:'02_Данные'!AY314)</f>
        <v/>
      </c>
      <c r="E314" s="10">
        <f>MAX(0,D314-C314)</f>
        <v/>
      </c>
      <c r="F314" s="15">
        <f>IF(E314&gt;0.0001,"ДЕФИЦИТ",IF(Y314&gt;0.0001,"ПРОФИЦИТ","БАЛАНС"))</f>
        <v/>
      </c>
      <c r="G314" s="10">
        <f>AB314+AS314+BJ314+CA314+CR314</f>
        <v/>
      </c>
      <c r="H314" s="10">
        <f>AD314+AU314+BL314+CC314+CT314</f>
        <v/>
      </c>
      <c r="I314" s="10">
        <f>AF314+AW314+BN314+CE314+CV314</f>
        <v/>
      </c>
      <c r="J314" s="10">
        <f>AL314+BC314+BT314+CK314+DB314</f>
        <v/>
      </c>
      <c r="K314" s="10">
        <f>AJ314+BA314+BR314+CI314+CZ314</f>
        <v/>
      </c>
      <c r="L314" s="10">
        <f>AN314+BE314+BV314+CM314+DD314</f>
        <v/>
      </c>
      <c r="M314" s="10">
        <f>AP314+BG314+BX314+CO314+DF314</f>
        <v/>
      </c>
      <c r="N314" s="10">
        <f>AH314+AY314+BP314+CG314+CX314</f>
        <v/>
      </c>
      <c r="O314" s="10">
        <f>SUM(G314:N314)</f>
        <v/>
      </c>
      <c r="P314" s="10">
        <f>IFERROR(G314*MIN(1,'01_Нормативы'!$C$4/SUM(G$2:G$429)),0)</f>
        <v/>
      </c>
      <c r="Q314" s="10">
        <f>IFERROR(H314*MIN(1,'01_Нормативы'!$C$5/SUM(H$2:H$429)),0)</f>
        <v/>
      </c>
      <c r="R314" s="10">
        <f>IFERROR(I314*MIN(1,'01_Нормативы'!$C$6/SUM(I$2:I$429)),0)</f>
        <v/>
      </c>
      <c r="S314" s="10">
        <f>IFERROR(J314*MIN(1,'01_Нормативы'!$C$7/SUM(J$2:J$429)),0)</f>
        <v/>
      </c>
      <c r="T314" s="10">
        <f>IFERROR(K314*MIN(1,'01_Нормативы'!$C$8/SUM(K$2:K$429)),0)</f>
        <v/>
      </c>
      <c r="U314" s="10">
        <f>IFERROR(L314*MIN(1,'01_Нормативы'!$C$9/SUM(L$2:L$429)),0)</f>
        <v/>
      </c>
      <c r="V314" s="10">
        <f>IFERROR(M314*MIN(1,'01_Нормативы'!$C$10/SUM(M$2:M$429)),0)</f>
        <v/>
      </c>
      <c r="W314" s="10">
        <f>IFERROR(N314*MIN(1,'01_Нормативы'!$C$11/SUM(N$2:N$429)),0)</f>
        <v/>
      </c>
      <c r="X314" s="10">
        <f>SUM(P314:W314)</f>
        <v/>
      </c>
      <c r="Y314" s="10">
        <f>MAX(0,C314-X314)</f>
        <v/>
      </c>
      <c r="Z314" s="10">
        <f>IF(D314=0,100,X314/D314*100)</f>
        <v/>
      </c>
      <c r="AA314" s="10">
        <f>'02_Данные'!F314+'02_Данные'!G314</f>
        <v/>
      </c>
      <c r="AB314" s="10">
        <f>MIN('02_Данные'!L314,AA314)</f>
        <v/>
      </c>
      <c r="AC314" s="10">
        <f>AA314-AB314</f>
        <v/>
      </c>
      <c r="AD314" s="10">
        <f>MIN('02_Данные'!M314,AC314)</f>
        <v/>
      </c>
      <c r="AE314" s="10">
        <f>AC314-AD314</f>
        <v/>
      </c>
      <c r="AF314" s="10">
        <f>MIN('02_Данные'!N314,AE314)</f>
        <v/>
      </c>
      <c r="AG314" s="10">
        <f>AE314-AF314</f>
        <v/>
      </c>
      <c r="AH314" s="10">
        <f>MIN('02_Данные'!S314,AG314)</f>
        <v/>
      </c>
      <c r="AI314" s="10">
        <f>AG314-AH314</f>
        <v/>
      </c>
      <c r="AJ314" s="10">
        <f>MIN('02_Данные'!P314,AI314)</f>
        <v/>
      </c>
      <c r="AK314" s="10">
        <f>AI314-AJ314</f>
        <v/>
      </c>
      <c r="AL314" s="10">
        <f>MIN('02_Данные'!O314,AK314)</f>
        <v/>
      </c>
      <c r="AM314" s="10">
        <f>AK314-AL314</f>
        <v/>
      </c>
      <c r="AN314" s="10">
        <f>MIN('02_Данные'!Q314,AM314)</f>
        <v/>
      </c>
      <c r="AO314" s="10">
        <f>AM314-AN314</f>
        <v/>
      </c>
      <c r="AP314" s="10">
        <f>MIN('02_Данные'!R314,AO314)</f>
        <v/>
      </c>
      <c r="AQ314" s="10">
        <f>AO314-AP314</f>
        <v/>
      </c>
      <c r="AR314" s="10">
        <f>AQ314+'02_Данные'!H314</f>
        <v/>
      </c>
      <c r="AS314" s="10">
        <f>MIN('02_Данные'!T314,AR314)</f>
        <v/>
      </c>
      <c r="AT314" s="10">
        <f>AR314-AS314</f>
        <v/>
      </c>
      <c r="AU314" s="10">
        <f>MIN('02_Данные'!U314,AT314)</f>
        <v/>
      </c>
      <c r="AV314" s="10">
        <f>AT314-AU314</f>
        <v/>
      </c>
      <c r="AW314" s="10">
        <f>MIN('02_Данные'!V314,AV314)</f>
        <v/>
      </c>
      <c r="AX314" s="10">
        <f>AV314-AW314</f>
        <v/>
      </c>
      <c r="AY314" s="10">
        <f>MIN('02_Данные'!AA314,AX314)</f>
        <v/>
      </c>
      <c r="AZ314" s="10">
        <f>AX314-AY314</f>
        <v/>
      </c>
      <c r="BA314" s="10">
        <f>MIN('02_Данные'!X314,AZ314)</f>
        <v/>
      </c>
      <c r="BB314" s="10">
        <f>AZ314-BA314</f>
        <v/>
      </c>
      <c r="BC314" s="10">
        <f>MIN('02_Данные'!W314,BB314)</f>
        <v/>
      </c>
      <c r="BD314" s="10">
        <f>BB314-BC314</f>
        <v/>
      </c>
      <c r="BE314" s="10">
        <f>MIN('02_Данные'!Y314,BD314)</f>
        <v/>
      </c>
      <c r="BF314" s="10">
        <f>BD314-BE314</f>
        <v/>
      </c>
      <c r="BG314" s="10">
        <f>MIN('02_Данные'!Z314,BF314)</f>
        <v/>
      </c>
      <c r="BH314" s="10">
        <f>BF314-BG314</f>
        <v/>
      </c>
      <c r="BI314" s="10">
        <f>BH314+'02_Данные'!I314</f>
        <v/>
      </c>
      <c r="BJ314" s="10">
        <f>MIN('02_Данные'!AB314,BI314)</f>
        <v/>
      </c>
      <c r="BK314" s="10">
        <f>BI314-BJ314</f>
        <v/>
      </c>
      <c r="BL314" s="10">
        <f>MIN('02_Данные'!AC314,BK314)</f>
        <v/>
      </c>
      <c r="BM314" s="10">
        <f>BK314-BL314</f>
        <v/>
      </c>
      <c r="BN314" s="10">
        <f>MIN('02_Данные'!AD314,BM314)</f>
        <v/>
      </c>
      <c r="BO314" s="10">
        <f>BM314-BN314</f>
        <v/>
      </c>
      <c r="BP314" s="10">
        <f>MIN('02_Данные'!AI314,BO314)</f>
        <v/>
      </c>
      <c r="BQ314" s="10">
        <f>BO314-BP314</f>
        <v/>
      </c>
      <c r="BR314" s="10">
        <f>MIN('02_Данные'!AF314,BQ314)</f>
        <v/>
      </c>
      <c r="BS314" s="10">
        <f>BQ314-BR314</f>
        <v/>
      </c>
      <c r="BT314" s="10">
        <f>MIN('02_Данные'!AE314,BS314)</f>
        <v/>
      </c>
      <c r="BU314" s="10">
        <f>BS314-BT314</f>
        <v/>
      </c>
      <c r="BV314" s="10">
        <f>MIN('02_Данные'!AG314,BU314)</f>
        <v/>
      </c>
      <c r="BW314" s="10">
        <f>BU314-BV314</f>
        <v/>
      </c>
      <c r="BX314" s="10">
        <f>MIN('02_Данные'!AH314,BW314)</f>
        <v/>
      </c>
      <c r="BY314" s="10">
        <f>BW314-BX314</f>
        <v/>
      </c>
      <c r="BZ314" s="10">
        <f>BY314+'02_Данные'!J314</f>
        <v/>
      </c>
      <c r="CA314" s="10">
        <f>MIN('02_Данные'!AJ314,BZ314)</f>
        <v/>
      </c>
      <c r="CB314" s="10">
        <f>BZ314-CA314</f>
        <v/>
      </c>
      <c r="CC314" s="10">
        <f>MIN('02_Данные'!AK314,CB314)</f>
        <v/>
      </c>
      <c r="CD314" s="10">
        <f>CB314-CC314</f>
        <v/>
      </c>
      <c r="CE314" s="10">
        <f>MIN('02_Данные'!AL314,CD314)</f>
        <v/>
      </c>
      <c r="CF314" s="10">
        <f>CD314-CE314</f>
        <v/>
      </c>
      <c r="CG314" s="10">
        <f>MIN('02_Данные'!AQ314,CF314)</f>
        <v/>
      </c>
      <c r="CH314" s="10">
        <f>CF314-CG314</f>
        <v/>
      </c>
      <c r="CI314" s="10">
        <f>MIN('02_Данные'!AN314,CH314)</f>
        <v/>
      </c>
      <c r="CJ314" s="10">
        <f>CH314-CI314</f>
        <v/>
      </c>
      <c r="CK314" s="10">
        <f>MIN('02_Данные'!AM314,CJ314)</f>
        <v/>
      </c>
      <c r="CL314" s="10">
        <f>CJ314-CK314</f>
        <v/>
      </c>
      <c r="CM314" s="10">
        <f>MIN('02_Данные'!AO314,CL314)</f>
        <v/>
      </c>
      <c r="CN314" s="10">
        <f>CL314-CM314</f>
        <v/>
      </c>
      <c r="CO314" s="10">
        <f>MIN('02_Данные'!AP314,CN314)</f>
        <v/>
      </c>
      <c r="CP314" s="10">
        <f>CN314-CO314</f>
        <v/>
      </c>
      <c r="CQ314" s="10">
        <f>CP314+'02_Данные'!K314</f>
        <v/>
      </c>
      <c r="CR314" s="10">
        <f>MIN('02_Данные'!AR314,CQ314)</f>
        <v/>
      </c>
      <c r="CS314" s="10">
        <f>CQ314-CR314</f>
        <v/>
      </c>
      <c r="CT314" s="10">
        <f>MIN('02_Данные'!AS314,CS314)</f>
        <v/>
      </c>
      <c r="CU314" s="10">
        <f>CS314-CT314</f>
        <v/>
      </c>
      <c r="CV314" s="10">
        <f>MIN('02_Данные'!AT314,CU314)</f>
        <v/>
      </c>
      <c r="CW314" s="10">
        <f>CU314-CV314</f>
        <v/>
      </c>
      <c r="CX314" s="10">
        <f>MIN('02_Данные'!AY314,CW314)</f>
        <v/>
      </c>
      <c r="CY314" s="10">
        <f>CW314-CX314</f>
        <v/>
      </c>
      <c r="CZ314" s="10">
        <f>MIN('02_Данные'!AV314,CY314)</f>
        <v/>
      </c>
      <c r="DA314" s="10">
        <f>CY314-CZ314</f>
        <v/>
      </c>
      <c r="DB314" s="10">
        <f>MIN('02_Данные'!AU314,DA314)</f>
        <v/>
      </c>
      <c r="DC314" s="10">
        <f>DA314-DB314</f>
        <v/>
      </c>
      <c r="DD314" s="10">
        <f>MIN('02_Данные'!AW314,DC314)</f>
        <v/>
      </c>
      <c r="DE314" s="10">
        <f>DC314-DD314</f>
        <v/>
      </c>
      <c r="DF314" s="10">
        <f>MIN('02_Данные'!AX314,DE314)</f>
        <v/>
      </c>
      <c r="DG314" s="10">
        <f>DE314-DF314</f>
        <v/>
      </c>
    </row>
    <row r="315">
      <c r="A315" s="9">
        <f>'02_Данные'!B315</f>
        <v/>
      </c>
      <c r="B315" s="9">
        <f>'02_Данные'!E315</f>
        <v/>
      </c>
      <c r="C315" s="10">
        <f>'02_Данные'!F315+'02_Данные'!G315+'02_Данные'!H315+'02_Данные'!I315+'02_Данные'!J315+'02_Данные'!K315</f>
        <v/>
      </c>
      <c r="D315" s="10">
        <f>SUM('02_Данные'!L315:'02_Данные'!AY315)</f>
        <v/>
      </c>
      <c r="E315" s="10">
        <f>MAX(0,D315-C315)</f>
        <v/>
      </c>
      <c r="F315" s="15">
        <f>IF(E315&gt;0.0001,"ДЕФИЦИТ",IF(Y315&gt;0.0001,"ПРОФИЦИТ","БАЛАНС"))</f>
        <v/>
      </c>
      <c r="G315" s="10">
        <f>AB315+AS315+BJ315+CA315+CR315</f>
        <v/>
      </c>
      <c r="H315" s="10">
        <f>AD315+AU315+BL315+CC315+CT315</f>
        <v/>
      </c>
      <c r="I315" s="10">
        <f>AF315+AW315+BN315+CE315+CV315</f>
        <v/>
      </c>
      <c r="J315" s="10">
        <f>AL315+BC315+BT315+CK315+DB315</f>
        <v/>
      </c>
      <c r="K315" s="10">
        <f>AJ315+BA315+BR315+CI315+CZ315</f>
        <v/>
      </c>
      <c r="L315" s="10">
        <f>AN315+BE315+BV315+CM315+DD315</f>
        <v/>
      </c>
      <c r="M315" s="10">
        <f>AP315+BG315+BX315+CO315+DF315</f>
        <v/>
      </c>
      <c r="N315" s="10">
        <f>AH315+AY315+BP315+CG315+CX315</f>
        <v/>
      </c>
      <c r="O315" s="10">
        <f>SUM(G315:N315)</f>
        <v/>
      </c>
      <c r="P315" s="10">
        <f>IFERROR(G315*MIN(1,'01_Нормативы'!$C$4/SUM(G$2:G$429)),0)</f>
        <v/>
      </c>
      <c r="Q315" s="10">
        <f>IFERROR(H315*MIN(1,'01_Нормативы'!$C$5/SUM(H$2:H$429)),0)</f>
        <v/>
      </c>
      <c r="R315" s="10">
        <f>IFERROR(I315*MIN(1,'01_Нормативы'!$C$6/SUM(I$2:I$429)),0)</f>
        <v/>
      </c>
      <c r="S315" s="10">
        <f>IFERROR(J315*MIN(1,'01_Нормативы'!$C$7/SUM(J$2:J$429)),0)</f>
        <v/>
      </c>
      <c r="T315" s="10">
        <f>IFERROR(K315*MIN(1,'01_Нормативы'!$C$8/SUM(K$2:K$429)),0)</f>
        <v/>
      </c>
      <c r="U315" s="10">
        <f>IFERROR(L315*MIN(1,'01_Нормативы'!$C$9/SUM(L$2:L$429)),0)</f>
        <v/>
      </c>
      <c r="V315" s="10">
        <f>IFERROR(M315*MIN(1,'01_Нормативы'!$C$10/SUM(M$2:M$429)),0)</f>
        <v/>
      </c>
      <c r="W315" s="10">
        <f>IFERROR(N315*MIN(1,'01_Нормативы'!$C$11/SUM(N$2:N$429)),0)</f>
        <v/>
      </c>
      <c r="X315" s="10">
        <f>SUM(P315:W315)</f>
        <v/>
      </c>
      <c r="Y315" s="10">
        <f>MAX(0,C315-X315)</f>
        <v/>
      </c>
      <c r="Z315" s="10">
        <f>IF(D315=0,100,X315/D315*100)</f>
        <v/>
      </c>
      <c r="AA315" s="10">
        <f>'02_Данные'!F315+'02_Данные'!G315</f>
        <v/>
      </c>
      <c r="AB315" s="10">
        <f>MIN('02_Данные'!L315,AA315)</f>
        <v/>
      </c>
      <c r="AC315" s="10">
        <f>AA315-AB315</f>
        <v/>
      </c>
      <c r="AD315" s="10">
        <f>MIN('02_Данные'!M315,AC315)</f>
        <v/>
      </c>
      <c r="AE315" s="10">
        <f>AC315-AD315</f>
        <v/>
      </c>
      <c r="AF315" s="10">
        <f>MIN('02_Данные'!N315,AE315)</f>
        <v/>
      </c>
      <c r="AG315" s="10">
        <f>AE315-AF315</f>
        <v/>
      </c>
      <c r="AH315" s="10">
        <f>MIN('02_Данные'!S315,AG315)</f>
        <v/>
      </c>
      <c r="AI315" s="10">
        <f>AG315-AH315</f>
        <v/>
      </c>
      <c r="AJ315" s="10">
        <f>MIN('02_Данные'!P315,AI315)</f>
        <v/>
      </c>
      <c r="AK315" s="10">
        <f>AI315-AJ315</f>
        <v/>
      </c>
      <c r="AL315" s="10">
        <f>MIN('02_Данные'!O315,AK315)</f>
        <v/>
      </c>
      <c r="AM315" s="10">
        <f>AK315-AL315</f>
        <v/>
      </c>
      <c r="AN315" s="10">
        <f>MIN('02_Данные'!Q315,AM315)</f>
        <v/>
      </c>
      <c r="AO315" s="10">
        <f>AM315-AN315</f>
        <v/>
      </c>
      <c r="AP315" s="10">
        <f>MIN('02_Данные'!R315,AO315)</f>
        <v/>
      </c>
      <c r="AQ315" s="10">
        <f>AO315-AP315</f>
        <v/>
      </c>
      <c r="AR315" s="10">
        <f>AQ315+'02_Данные'!H315</f>
        <v/>
      </c>
      <c r="AS315" s="10">
        <f>MIN('02_Данные'!T315,AR315)</f>
        <v/>
      </c>
      <c r="AT315" s="10">
        <f>AR315-AS315</f>
        <v/>
      </c>
      <c r="AU315" s="10">
        <f>MIN('02_Данные'!U315,AT315)</f>
        <v/>
      </c>
      <c r="AV315" s="10">
        <f>AT315-AU315</f>
        <v/>
      </c>
      <c r="AW315" s="10">
        <f>MIN('02_Данные'!V315,AV315)</f>
        <v/>
      </c>
      <c r="AX315" s="10">
        <f>AV315-AW315</f>
        <v/>
      </c>
      <c r="AY315" s="10">
        <f>MIN('02_Данные'!AA315,AX315)</f>
        <v/>
      </c>
      <c r="AZ315" s="10">
        <f>AX315-AY315</f>
        <v/>
      </c>
      <c r="BA315" s="10">
        <f>MIN('02_Данные'!X315,AZ315)</f>
        <v/>
      </c>
      <c r="BB315" s="10">
        <f>AZ315-BA315</f>
        <v/>
      </c>
      <c r="BC315" s="10">
        <f>MIN('02_Данные'!W315,BB315)</f>
        <v/>
      </c>
      <c r="BD315" s="10">
        <f>BB315-BC315</f>
        <v/>
      </c>
      <c r="BE315" s="10">
        <f>MIN('02_Данные'!Y315,BD315)</f>
        <v/>
      </c>
      <c r="BF315" s="10">
        <f>BD315-BE315</f>
        <v/>
      </c>
      <c r="BG315" s="10">
        <f>MIN('02_Данные'!Z315,BF315)</f>
        <v/>
      </c>
      <c r="BH315" s="10">
        <f>BF315-BG315</f>
        <v/>
      </c>
      <c r="BI315" s="10">
        <f>BH315+'02_Данные'!I315</f>
        <v/>
      </c>
      <c r="BJ315" s="10">
        <f>MIN('02_Данные'!AB315,BI315)</f>
        <v/>
      </c>
      <c r="BK315" s="10">
        <f>BI315-BJ315</f>
        <v/>
      </c>
      <c r="BL315" s="10">
        <f>MIN('02_Данные'!AC315,BK315)</f>
        <v/>
      </c>
      <c r="BM315" s="10">
        <f>BK315-BL315</f>
        <v/>
      </c>
      <c r="BN315" s="10">
        <f>MIN('02_Данные'!AD315,BM315)</f>
        <v/>
      </c>
      <c r="BO315" s="10">
        <f>BM315-BN315</f>
        <v/>
      </c>
      <c r="BP315" s="10">
        <f>MIN('02_Данные'!AI315,BO315)</f>
        <v/>
      </c>
      <c r="BQ315" s="10">
        <f>BO315-BP315</f>
        <v/>
      </c>
      <c r="BR315" s="10">
        <f>MIN('02_Данные'!AF315,BQ315)</f>
        <v/>
      </c>
      <c r="BS315" s="10">
        <f>BQ315-BR315</f>
        <v/>
      </c>
      <c r="BT315" s="10">
        <f>MIN('02_Данные'!AE315,BS315)</f>
        <v/>
      </c>
      <c r="BU315" s="10">
        <f>BS315-BT315</f>
        <v/>
      </c>
      <c r="BV315" s="10">
        <f>MIN('02_Данные'!AG315,BU315)</f>
        <v/>
      </c>
      <c r="BW315" s="10">
        <f>BU315-BV315</f>
        <v/>
      </c>
      <c r="BX315" s="10">
        <f>MIN('02_Данные'!AH315,BW315)</f>
        <v/>
      </c>
      <c r="BY315" s="10">
        <f>BW315-BX315</f>
        <v/>
      </c>
      <c r="BZ315" s="10">
        <f>BY315+'02_Данные'!J315</f>
        <v/>
      </c>
      <c r="CA315" s="10">
        <f>MIN('02_Данные'!AJ315,BZ315)</f>
        <v/>
      </c>
      <c r="CB315" s="10">
        <f>BZ315-CA315</f>
        <v/>
      </c>
      <c r="CC315" s="10">
        <f>MIN('02_Данные'!AK315,CB315)</f>
        <v/>
      </c>
      <c r="CD315" s="10">
        <f>CB315-CC315</f>
        <v/>
      </c>
      <c r="CE315" s="10">
        <f>MIN('02_Данные'!AL315,CD315)</f>
        <v/>
      </c>
      <c r="CF315" s="10">
        <f>CD315-CE315</f>
        <v/>
      </c>
      <c r="CG315" s="10">
        <f>MIN('02_Данные'!AQ315,CF315)</f>
        <v/>
      </c>
      <c r="CH315" s="10">
        <f>CF315-CG315</f>
        <v/>
      </c>
      <c r="CI315" s="10">
        <f>MIN('02_Данные'!AN315,CH315)</f>
        <v/>
      </c>
      <c r="CJ315" s="10">
        <f>CH315-CI315</f>
        <v/>
      </c>
      <c r="CK315" s="10">
        <f>MIN('02_Данные'!AM315,CJ315)</f>
        <v/>
      </c>
      <c r="CL315" s="10">
        <f>CJ315-CK315</f>
        <v/>
      </c>
      <c r="CM315" s="10">
        <f>MIN('02_Данные'!AO315,CL315)</f>
        <v/>
      </c>
      <c r="CN315" s="10">
        <f>CL315-CM315</f>
        <v/>
      </c>
      <c r="CO315" s="10">
        <f>MIN('02_Данные'!AP315,CN315)</f>
        <v/>
      </c>
      <c r="CP315" s="10">
        <f>CN315-CO315</f>
        <v/>
      </c>
      <c r="CQ315" s="10">
        <f>CP315+'02_Данные'!K315</f>
        <v/>
      </c>
      <c r="CR315" s="10">
        <f>MIN('02_Данные'!AR315,CQ315)</f>
        <v/>
      </c>
      <c r="CS315" s="10">
        <f>CQ315-CR315</f>
        <v/>
      </c>
      <c r="CT315" s="10">
        <f>MIN('02_Данные'!AS315,CS315)</f>
        <v/>
      </c>
      <c r="CU315" s="10">
        <f>CS315-CT315</f>
        <v/>
      </c>
      <c r="CV315" s="10">
        <f>MIN('02_Данные'!AT315,CU315)</f>
        <v/>
      </c>
      <c r="CW315" s="10">
        <f>CU315-CV315</f>
        <v/>
      </c>
      <c r="CX315" s="10">
        <f>MIN('02_Данные'!AY315,CW315)</f>
        <v/>
      </c>
      <c r="CY315" s="10">
        <f>CW315-CX315</f>
        <v/>
      </c>
      <c r="CZ315" s="10">
        <f>MIN('02_Данные'!AV315,CY315)</f>
        <v/>
      </c>
      <c r="DA315" s="10">
        <f>CY315-CZ315</f>
        <v/>
      </c>
      <c r="DB315" s="10">
        <f>MIN('02_Данные'!AU315,DA315)</f>
        <v/>
      </c>
      <c r="DC315" s="10">
        <f>DA315-DB315</f>
        <v/>
      </c>
      <c r="DD315" s="10">
        <f>MIN('02_Данные'!AW315,DC315)</f>
        <v/>
      </c>
      <c r="DE315" s="10">
        <f>DC315-DD315</f>
        <v/>
      </c>
      <c r="DF315" s="10">
        <f>MIN('02_Данные'!AX315,DE315)</f>
        <v/>
      </c>
      <c r="DG315" s="10">
        <f>DE315-DF315</f>
        <v/>
      </c>
    </row>
    <row r="316">
      <c r="A316" s="9">
        <f>'02_Данные'!B316</f>
        <v/>
      </c>
      <c r="B316" s="9">
        <f>'02_Данные'!E316</f>
        <v/>
      </c>
      <c r="C316" s="10">
        <f>'02_Данные'!F316+'02_Данные'!G316+'02_Данные'!H316+'02_Данные'!I316+'02_Данные'!J316+'02_Данные'!K316</f>
        <v/>
      </c>
      <c r="D316" s="10">
        <f>SUM('02_Данные'!L316:'02_Данные'!AY316)</f>
        <v/>
      </c>
      <c r="E316" s="10">
        <f>MAX(0,D316-C316)</f>
        <v/>
      </c>
      <c r="F316" s="15">
        <f>IF(E316&gt;0.0001,"ДЕФИЦИТ",IF(Y316&gt;0.0001,"ПРОФИЦИТ","БАЛАНС"))</f>
        <v/>
      </c>
      <c r="G316" s="10">
        <f>AB316+AS316+BJ316+CA316+CR316</f>
        <v/>
      </c>
      <c r="H316" s="10">
        <f>AD316+AU316+BL316+CC316+CT316</f>
        <v/>
      </c>
      <c r="I316" s="10">
        <f>AF316+AW316+BN316+CE316+CV316</f>
        <v/>
      </c>
      <c r="J316" s="10">
        <f>AL316+BC316+BT316+CK316+DB316</f>
        <v/>
      </c>
      <c r="K316" s="10">
        <f>AJ316+BA316+BR316+CI316+CZ316</f>
        <v/>
      </c>
      <c r="L316" s="10">
        <f>AN316+BE316+BV316+CM316+DD316</f>
        <v/>
      </c>
      <c r="M316" s="10">
        <f>AP316+BG316+BX316+CO316+DF316</f>
        <v/>
      </c>
      <c r="N316" s="10">
        <f>AH316+AY316+BP316+CG316+CX316</f>
        <v/>
      </c>
      <c r="O316" s="10">
        <f>SUM(G316:N316)</f>
        <v/>
      </c>
      <c r="P316" s="10">
        <f>IFERROR(G316*MIN(1,'01_Нормативы'!$C$4/SUM(G$2:G$429)),0)</f>
        <v/>
      </c>
      <c r="Q316" s="10">
        <f>IFERROR(H316*MIN(1,'01_Нормативы'!$C$5/SUM(H$2:H$429)),0)</f>
        <v/>
      </c>
      <c r="R316" s="10">
        <f>IFERROR(I316*MIN(1,'01_Нормативы'!$C$6/SUM(I$2:I$429)),0)</f>
        <v/>
      </c>
      <c r="S316" s="10">
        <f>IFERROR(J316*MIN(1,'01_Нормативы'!$C$7/SUM(J$2:J$429)),0)</f>
        <v/>
      </c>
      <c r="T316" s="10">
        <f>IFERROR(K316*MIN(1,'01_Нормативы'!$C$8/SUM(K$2:K$429)),0)</f>
        <v/>
      </c>
      <c r="U316" s="10">
        <f>IFERROR(L316*MIN(1,'01_Нормативы'!$C$9/SUM(L$2:L$429)),0)</f>
        <v/>
      </c>
      <c r="V316" s="10">
        <f>IFERROR(M316*MIN(1,'01_Нормативы'!$C$10/SUM(M$2:M$429)),0)</f>
        <v/>
      </c>
      <c r="W316" s="10">
        <f>IFERROR(N316*MIN(1,'01_Нормативы'!$C$11/SUM(N$2:N$429)),0)</f>
        <v/>
      </c>
      <c r="X316" s="10">
        <f>SUM(P316:W316)</f>
        <v/>
      </c>
      <c r="Y316" s="10">
        <f>MAX(0,C316-X316)</f>
        <v/>
      </c>
      <c r="Z316" s="10">
        <f>IF(D316=0,100,X316/D316*100)</f>
        <v/>
      </c>
      <c r="AA316" s="10">
        <f>'02_Данные'!F316+'02_Данные'!G316</f>
        <v/>
      </c>
      <c r="AB316" s="10">
        <f>MIN('02_Данные'!L316,AA316)</f>
        <v/>
      </c>
      <c r="AC316" s="10">
        <f>AA316-AB316</f>
        <v/>
      </c>
      <c r="AD316" s="10">
        <f>MIN('02_Данные'!M316,AC316)</f>
        <v/>
      </c>
      <c r="AE316" s="10">
        <f>AC316-AD316</f>
        <v/>
      </c>
      <c r="AF316" s="10">
        <f>MIN('02_Данные'!N316,AE316)</f>
        <v/>
      </c>
      <c r="AG316" s="10">
        <f>AE316-AF316</f>
        <v/>
      </c>
      <c r="AH316" s="10">
        <f>MIN('02_Данные'!S316,AG316)</f>
        <v/>
      </c>
      <c r="AI316" s="10">
        <f>AG316-AH316</f>
        <v/>
      </c>
      <c r="AJ316" s="10">
        <f>MIN('02_Данные'!P316,AI316)</f>
        <v/>
      </c>
      <c r="AK316" s="10">
        <f>AI316-AJ316</f>
        <v/>
      </c>
      <c r="AL316" s="10">
        <f>MIN('02_Данные'!O316,AK316)</f>
        <v/>
      </c>
      <c r="AM316" s="10">
        <f>AK316-AL316</f>
        <v/>
      </c>
      <c r="AN316" s="10">
        <f>MIN('02_Данные'!Q316,AM316)</f>
        <v/>
      </c>
      <c r="AO316" s="10">
        <f>AM316-AN316</f>
        <v/>
      </c>
      <c r="AP316" s="10">
        <f>MIN('02_Данные'!R316,AO316)</f>
        <v/>
      </c>
      <c r="AQ316" s="10">
        <f>AO316-AP316</f>
        <v/>
      </c>
      <c r="AR316" s="10">
        <f>AQ316+'02_Данные'!H316</f>
        <v/>
      </c>
      <c r="AS316" s="10">
        <f>MIN('02_Данные'!T316,AR316)</f>
        <v/>
      </c>
      <c r="AT316" s="10">
        <f>AR316-AS316</f>
        <v/>
      </c>
      <c r="AU316" s="10">
        <f>MIN('02_Данные'!U316,AT316)</f>
        <v/>
      </c>
      <c r="AV316" s="10">
        <f>AT316-AU316</f>
        <v/>
      </c>
      <c r="AW316" s="10">
        <f>MIN('02_Данные'!V316,AV316)</f>
        <v/>
      </c>
      <c r="AX316" s="10">
        <f>AV316-AW316</f>
        <v/>
      </c>
      <c r="AY316" s="10">
        <f>MIN('02_Данные'!AA316,AX316)</f>
        <v/>
      </c>
      <c r="AZ316" s="10">
        <f>AX316-AY316</f>
        <v/>
      </c>
      <c r="BA316" s="10">
        <f>MIN('02_Данные'!X316,AZ316)</f>
        <v/>
      </c>
      <c r="BB316" s="10">
        <f>AZ316-BA316</f>
        <v/>
      </c>
      <c r="BC316" s="10">
        <f>MIN('02_Данные'!W316,BB316)</f>
        <v/>
      </c>
      <c r="BD316" s="10">
        <f>BB316-BC316</f>
        <v/>
      </c>
      <c r="BE316" s="10">
        <f>MIN('02_Данные'!Y316,BD316)</f>
        <v/>
      </c>
      <c r="BF316" s="10">
        <f>BD316-BE316</f>
        <v/>
      </c>
      <c r="BG316" s="10">
        <f>MIN('02_Данные'!Z316,BF316)</f>
        <v/>
      </c>
      <c r="BH316" s="10">
        <f>BF316-BG316</f>
        <v/>
      </c>
      <c r="BI316" s="10">
        <f>BH316+'02_Данные'!I316</f>
        <v/>
      </c>
      <c r="BJ316" s="10">
        <f>MIN('02_Данные'!AB316,BI316)</f>
        <v/>
      </c>
      <c r="BK316" s="10">
        <f>BI316-BJ316</f>
        <v/>
      </c>
      <c r="BL316" s="10">
        <f>MIN('02_Данные'!AC316,BK316)</f>
        <v/>
      </c>
      <c r="BM316" s="10">
        <f>BK316-BL316</f>
        <v/>
      </c>
      <c r="BN316" s="10">
        <f>MIN('02_Данные'!AD316,BM316)</f>
        <v/>
      </c>
      <c r="BO316" s="10">
        <f>BM316-BN316</f>
        <v/>
      </c>
      <c r="BP316" s="10">
        <f>MIN('02_Данные'!AI316,BO316)</f>
        <v/>
      </c>
      <c r="BQ316" s="10">
        <f>BO316-BP316</f>
        <v/>
      </c>
      <c r="BR316" s="10">
        <f>MIN('02_Данные'!AF316,BQ316)</f>
        <v/>
      </c>
      <c r="BS316" s="10">
        <f>BQ316-BR316</f>
        <v/>
      </c>
      <c r="BT316" s="10">
        <f>MIN('02_Данные'!AE316,BS316)</f>
        <v/>
      </c>
      <c r="BU316" s="10">
        <f>BS316-BT316</f>
        <v/>
      </c>
      <c r="BV316" s="10">
        <f>MIN('02_Данные'!AG316,BU316)</f>
        <v/>
      </c>
      <c r="BW316" s="10">
        <f>BU316-BV316</f>
        <v/>
      </c>
      <c r="BX316" s="10">
        <f>MIN('02_Данные'!AH316,BW316)</f>
        <v/>
      </c>
      <c r="BY316" s="10">
        <f>BW316-BX316</f>
        <v/>
      </c>
      <c r="BZ316" s="10">
        <f>BY316+'02_Данные'!J316</f>
        <v/>
      </c>
      <c r="CA316" s="10">
        <f>MIN('02_Данные'!AJ316,BZ316)</f>
        <v/>
      </c>
      <c r="CB316" s="10">
        <f>BZ316-CA316</f>
        <v/>
      </c>
      <c r="CC316" s="10">
        <f>MIN('02_Данные'!AK316,CB316)</f>
        <v/>
      </c>
      <c r="CD316" s="10">
        <f>CB316-CC316</f>
        <v/>
      </c>
      <c r="CE316" s="10">
        <f>MIN('02_Данные'!AL316,CD316)</f>
        <v/>
      </c>
      <c r="CF316" s="10">
        <f>CD316-CE316</f>
        <v/>
      </c>
      <c r="CG316" s="10">
        <f>MIN('02_Данные'!AQ316,CF316)</f>
        <v/>
      </c>
      <c r="CH316" s="10">
        <f>CF316-CG316</f>
        <v/>
      </c>
      <c r="CI316" s="10">
        <f>MIN('02_Данные'!AN316,CH316)</f>
        <v/>
      </c>
      <c r="CJ316" s="10">
        <f>CH316-CI316</f>
        <v/>
      </c>
      <c r="CK316" s="10">
        <f>MIN('02_Данные'!AM316,CJ316)</f>
        <v/>
      </c>
      <c r="CL316" s="10">
        <f>CJ316-CK316</f>
        <v/>
      </c>
      <c r="CM316" s="10">
        <f>MIN('02_Данные'!AO316,CL316)</f>
        <v/>
      </c>
      <c r="CN316" s="10">
        <f>CL316-CM316</f>
        <v/>
      </c>
      <c r="CO316" s="10">
        <f>MIN('02_Данные'!AP316,CN316)</f>
        <v/>
      </c>
      <c r="CP316" s="10">
        <f>CN316-CO316</f>
        <v/>
      </c>
      <c r="CQ316" s="10">
        <f>CP316+'02_Данные'!K316</f>
        <v/>
      </c>
      <c r="CR316" s="10">
        <f>MIN('02_Данные'!AR316,CQ316)</f>
        <v/>
      </c>
      <c r="CS316" s="10">
        <f>CQ316-CR316</f>
        <v/>
      </c>
      <c r="CT316" s="10">
        <f>MIN('02_Данные'!AS316,CS316)</f>
        <v/>
      </c>
      <c r="CU316" s="10">
        <f>CS316-CT316</f>
        <v/>
      </c>
      <c r="CV316" s="10">
        <f>MIN('02_Данные'!AT316,CU316)</f>
        <v/>
      </c>
      <c r="CW316" s="10">
        <f>CU316-CV316</f>
        <v/>
      </c>
      <c r="CX316" s="10">
        <f>MIN('02_Данные'!AY316,CW316)</f>
        <v/>
      </c>
      <c r="CY316" s="10">
        <f>CW316-CX316</f>
        <v/>
      </c>
      <c r="CZ316" s="10">
        <f>MIN('02_Данные'!AV316,CY316)</f>
        <v/>
      </c>
      <c r="DA316" s="10">
        <f>CY316-CZ316</f>
        <v/>
      </c>
      <c r="DB316" s="10">
        <f>MIN('02_Данные'!AU316,DA316)</f>
        <v/>
      </c>
      <c r="DC316" s="10">
        <f>DA316-DB316</f>
        <v/>
      </c>
      <c r="DD316" s="10">
        <f>MIN('02_Данные'!AW316,DC316)</f>
        <v/>
      </c>
      <c r="DE316" s="10">
        <f>DC316-DD316</f>
        <v/>
      </c>
      <c r="DF316" s="10">
        <f>MIN('02_Данные'!AX316,DE316)</f>
        <v/>
      </c>
      <c r="DG316" s="10">
        <f>DE316-DF316</f>
        <v/>
      </c>
    </row>
    <row r="317">
      <c r="A317" s="9">
        <f>'02_Данные'!B317</f>
        <v/>
      </c>
      <c r="B317" s="9">
        <f>'02_Данные'!E317</f>
        <v/>
      </c>
      <c r="C317" s="10">
        <f>'02_Данные'!F317+'02_Данные'!G317+'02_Данные'!H317+'02_Данные'!I317+'02_Данные'!J317+'02_Данные'!K317</f>
        <v/>
      </c>
      <c r="D317" s="10">
        <f>SUM('02_Данные'!L317:'02_Данные'!AY317)</f>
        <v/>
      </c>
      <c r="E317" s="10">
        <f>MAX(0,D317-C317)</f>
        <v/>
      </c>
      <c r="F317" s="15">
        <f>IF(E317&gt;0.0001,"ДЕФИЦИТ",IF(Y317&gt;0.0001,"ПРОФИЦИТ","БАЛАНС"))</f>
        <v/>
      </c>
      <c r="G317" s="10">
        <f>AB317+AS317+BJ317+CA317+CR317</f>
        <v/>
      </c>
      <c r="H317" s="10">
        <f>AD317+AU317+BL317+CC317+CT317</f>
        <v/>
      </c>
      <c r="I317" s="10">
        <f>AF317+AW317+BN317+CE317+CV317</f>
        <v/>
      </c>
      <c r="J317" s="10">
        <f>AL317+BC317+BT317+CK317+DB317</f>
        <v/>
      </c>
      <c r="K317" s="10">
        <f>AJ317+BA317+BR317+CI317+CZ317</f>
        <v/>
      </c>
      <c r="L317" s="10">
        <f>AN317+BE317+BV317+CM317+DD317</f>
        <v/>
      </c>
      <c r="M317" s="10">
        <f>AP317+BG317+BX317+CO317+DF317</f>
        <v/>
      </c>
      <c r="N317" s="10">
        <f>AH317+AY317+BP317+CG317+CX317</f>
        <v/>
      </c>
      <c r="O317" s="10">
        <f>SUM(G317:N317)</f>
        <v/>
      </c>
      <c r="P317" s="10">
        <f>IFERROR(G317*MIN(1,'01_Нормативы'!$C$4/SUM(G$2:G$429)),0)</f>
        <v/>
      </c>
      <c r="Q317" s="10">
        <f>IFERROR(H317*MIN(1,'01_Нормативы'!$C$5/SUM(H$2:H$429)),0)</f>
        <v/>
      </c>
      <c r="R317" s="10">
        <f>IFERROR(I317*MIN(1,'01_Нормативы'!$C$6/SUM(I$2:I$429)),0)</f>
        <v/>
      </c>
      <c r="S317" s="10">
        <f>IFERROR(J317*MIN(1,'01_Нормативы'!$C$7/SUM(J$2:J$429)),0)</f>
        <v/>
      </c>
      <c r="T317" s="10">
        <f>IFERROR(K317*MIN(1,'01_Нормативы'!$C$8/SUM(K$2:K$429)),0)</f>
        <v/>
      </c>
      <c r="U317" s="10">
        <f>IFERROR(L317*MIN(1,'01_Нормативы'!$C$9/SUM(L$2:L$429)),0)</f>
        <v/>
      </c>
      <c r="V317" s="10">
        <f>IFERROR(M317*MIN(1,'01_Нормативы'!$C$10/SUM(M$2:M$429)),0)</f>
        <v/>
      </c>
      <c r="W317" s="10">
        <f>IFERROR(N317*MIN(1,'01_Нормативы'!$C$11/SUM(N$2:N$429)),0)</f>
        <v/>
      </c>
      <c r="X317" s="10">
        <f>SUM(P317:W317)</f>
        <v/>
      </c>
      <c r="Y317" s="10">
        <f>MAX(0,C317-X317)</f>
        <v/>
      </c>
      <c r="Z317" s="10">
        <f>IF(D317=0,100,X317/D317*100)</f>
        <v/>
      </c>
      <c r="AA317" s="10">
        <f>'02_Данные'!F317+'02_Данные'!G317</f>
        <v/>
      </c>
      <c r="AB317" s="10">
        <f>MIN('02_Данные'!L317,AA317)</f>
        <v/>
      </c>
      <c r="AC317" s="10">
        <f>AA317-AB317</f>
        <v/>
      </c>
      <c r="AD317" s="10">
        <f>MIN('02_Данные'!M317,AC317)</f>
        <v/>
      </c>
      <c r="AE317" s="10">
        <f>AC317-AD317</f>
        <v/>
      </c>
      <c r="AF317" s="10">
        <f>MIN('02_Данные'!N317,AE317)</f>
        <v/>
      </c>
      <c r="AG317" s="10">
        <f>AE317-AF317</f>
        <v/>
      </c>
      <c r="AH317" s="10">
        <f>MIN('02_Данные'!S317,AG317)</f>
        <v/>
      </c>
      <c r="AI317" s="10">
        <f>AG317-AH317</f>
        <v/>
      </c>
      <c r="AJ317" s="10">
        <f>MIN('02_Данные'!P317,AI317)</f>
        <v/>
      </c>
      <c r="AK317" s="10">
        <f>AI317-AJ317</f>
        <v/>
      </c>
      <c r="AL317" s="10">
        <f>MIN('02_Данные'!O317,AK317)</f>
        <v/>
      </c>
      <c r="AM317" s="10">
        <f>AK317-AL317</f>
        <v/>
      </c>
      <c r="AN317" s="10">
        <f>MIN('02_Данные'!Q317,AM317)</f>
        <v/>
      </c>
      <c r="AO317" s="10">
        <f>AM317-AN317</f>
        <v/>
      </c>
      <c r="AP317" s="10">
        <f>MIN('02_Данные'!R317,AO317)</f>
        <v/>
      </c>
      <c r="AQ317" s="10">
        <f>AO317-AP317</f>
        <v/>
      </c>
      <c r="AR317" s="10">
        <f>AQ317+'02_Данные'!H317</f>
        <v/>
      </c>
      <c r="AS317" s="10">
        <f>MIN('02_Данные'!T317,AR317)</f>
        <v/>
      </c>
      <c r="AT317" s="10">
        <f>AR317-AS317</f>
        <v/>
      </c>
      <c r="AU317" s="10">
        <f>MIN('02_Данные'!U317,AT317)</f>
        <v/>
      </c>
      <c r="AV317" s="10">
        <f>AT317-AU317</f>
        <v/>
      </c>
      <c r="AW317" s="10">
        <f>MIN('02_Данные'!V317,AV317)</f>
        <v/>
      </c>
      <c r="AX317" s="10">
        <f>AV317-AW317</f>
        <v/>
      </c>
      <c r="AY317" s="10">
        <f>MIN('02_Данные'!AA317,AX317)</f>
        <v/>
      </c>
      <c r="AZ317" s="10">
        <f>AX317-AY317</f>
        <v/>
      </c>
      <c r="BA317" s="10">
        <f>MIN('02_Данные'!X317,AZ317)</f>
        <v/>
      </c>
      <c r="BB317" s="10">
        <f>AZ317-BA317</f>
        <v/>
      </c>
      <c r="BC317" s="10">
        <f>MIN('02_Данные'!W317,BB317)</f>
        <v/>
      </c>
      <c r="BD317" s="10">
        <f>BB317-BC317</f>
        <v/>
      </c>
      <c r="BE317" s="10">
        <f>MIN('02_Данные'!Y317,BD317)</f>
        <v/>
      </c>
      <c r="BF317" s="10">
        <f>BD317-BE317</f>
        <v/>
      </c>
      <c r="BG317" s="10">
        <f>MIN('02_Данные'!Z317,BF317)</f>
        <v/>
      </c>
      <c r="BH317" s="10">
        <f>BF317-BG317</f>
        <v/>
      </c>
      <c r="BI317" s="10">
        <f>BH317+'02_Данные'!I317</f>
        <v/>
      </c>
      <c r="BJ317" s="10">
        <f>MIN('02_Данные'!AB317,BI317)</f>
        <v/>
      </c>
      <c r="BK317" s="10">
        <f>BI317-BJ317</f>
        <v/>
      </c>
      <c r="BL317" s="10">
        <f>MIN('02_Данные'!AC317,BK317)</f>
        <v/>
      </c>
      <c r="BM317" s="10">
        <f>BK317-BL317</f>
        <v/>
      </c>
      <c r="BN317" s="10">
        <f>MIN('02_Данные'!AD317,BM317)</f>
        <v/>
      </c>
      <c r="BO317" s="10">
        <f>BM317-BN317</f>
        <v/>
      </c>
      <c r="BP317" s="10">
        <f>MIN('02_Данные'!AI317,BO317)</f>
        <v/>
      </c>
      <c r="BQ317" s="10">
        <f>BO317-BP317</f>
        <v/>
      </c>
      <c r="BR317" s="10">
        <f>MIN('02_Данные'!AF317,BQ317)</f>
        <v/>
      </c>
      <c r="BS317" s="10">
        <f>BQ317-BR317</f>
        <v/>
      </c>
      <c r="BT317" s="10">
        <f>MIN('02_Данные'!AE317,BS317)</f>
        <v/>
      </c>
      <c r="BU317" s="10">
        <f>BS317-BT317</f>
        <v/>
      </c>
      <c r="BV317" s="10">
        <f>MIN('02_Данные'!AG317,BU317)</f>
        <v/>
      </c>
      <c r="BW317" s="10">
        <f>BU317-BV317</f>
        <v/>
      </c>
      <c r="BX317" s="10">
        <f>MIN('02_Данные'!AH317,BW317)</f>
        <v/>
      </c>
      <c r="BY317" s="10">
        <f>BW317-BX317</f>
        <v/>
      </c>
      <c r="BZ317" s="10">
        <f>BY317+'02_Данные'!J317</f>
        <v/>
      </c>
      <c r="CA317" s="10">
        <f>MIN('02_Данные'!AJ317,BZ317)</f>
        <v/>
      </c>
      <c r="CB317" s="10">
        <f>BZ317-CA317</f>
        <v/>
      </c>
      <c r="CC317" s="10">
        <f>MIN('02_Данные'!AK317,CB317)</f>
        <v/>
      </c>
      <c r="CD317" s="10">
        <f>CB317-CC317</f>
        <v/>
      </c>
      <c r="CE317" s="10">
        <f>MIN('02_Данные'!AL317,CD317)</f>
        <v/>
      </c>
      <c r="CF317" s="10">
        <f>CD317-CE317</f>
        <v/>
      </c>
      <c r="CG317" s="10">
        <f>MIN('02_Данные'!AQ317,CF317)</f>
        <v/>
      </c>
      <c r="CH317" s="10">
        <f>CF317-CG317</f>
        <v/>
      </c>
      <c r="CI317" s="10">
        <f>MIN('02_Данные'!AN317,CH317)</f>
        <v/>
      </c>
      <c r="CJ317" s="10">
        <f>CH317-CI317</f>
        <v/>
      </c>
      <c r="CK317" s="10">
        <f>MIN('02_Данные'!AM317,CJ317)</f>
        <v/>
      </c>
      <c r="CL317" s="10">
        <f>CJ317-CK317</f>
        <v/>
      </c>
      <c r="CM317" s="10">
        <f>MIN('02_Данные'!AO317,CL317)</f>
        <v/>
      </c>
      <c r="CN317" s="10">
        <f>CL317-CM317</f>
        <v/>
      </c>
      <c r="CO317" s="10">
        <f>MIN('02_Данные'!AP317,CN317)</f>
        <v/>
      </c>
      <c r="CP317" s="10">
        <f>CN317-CO317</f>
        <v/>
      </c>
      <c r="CQ317" s="10">
        <f>CP317+'02_Данные'!K317</f>
        <v/>
      </c>
      <c r="CR317" s="10">
        <f>MIN('02_Данные'!AR317,CQ317)</f>
        <v/>
      </c>
      <c r="CS317" s="10">
        <f>CQ317-CR317</f>
        <v/>
      </c>
      <c r="CT317" s="10">
        <f>MIN('02_Данные'!AS317,CS317)</f>
        <v/>
      </c>
      <c r="CU317" s="10">
        <f>CS317-CT317</f>
        <v/>
      </c>
      <c r="CV317" s="10">
        <f>MIN('02_Данные'!AT317,CU317)</f>
        <v/>
      </c>
      <c r="CW317" s="10">
        <f>CU317-CV317</f>
        <v/>
      </c>
      <c r="CX317" s="10">
        <f>MIN('02_Данные'!AY317,CW317)</f>
        <v/>
      </c>
      <c r="CY317" s="10">
        <f>CW317-CX317</f>
        <v/>
      </c>
      <c r="CZ317" s="10">
        <f>MIN('02_Данные'!AV317,CY317)</f>
        <v/>
      </c>
      <c r="DA317" s="10">
        <f>CY317-CZ317</f>
        <v/>
      </c>
      <c r="DB317" s="10">
        <f>MIN('02_Данные'!AU317,DA317)</f>
        <v/>
      </c>
      <c r="DC317" s="10">
        <f>DA317-DB317</f>
        <v/>
      </c>
      <c r="DD317" s="10">
        <f>MIN('02_Данные'!AW317,DC317)</f>
        <v/>
      </c>
      <c r="DE317" s="10">
        <f>DC317-DD317</f>
        <v/>
      </c>
      <c r="DF317" s="10">
        <f>MIN('02_Данные'!AX317,DE317)</f>
        <v/>
      </c>
      <c r="DG317" s="10">
        <f>DE317-DF317</f>
        <v/>
      </c>
    </row>
    <row r="318">
      <c r="A318" s="9">
        <f>'02_Данные'!B318</f>
        <v/>
      </c>
      <c r="B318" s="9">
        <f>'02_Данные'!E318</f>
        <v/>
      </c>
      <c r="C318" s="10">
        <f>'02_Данные'!F318+'02_Данные'!G318+'02_Данные'!H318+'02_Данные'!I318+'02_Данные'!J318+'02_Данные'!K318</f>
        <v/>
      </c>
      <c r="D318" s="10">
        <f>SUM('02_Данные'!L318:'02_Данные'!AY318)</f>
        <v/>
      </c>
      <c r="E318" s="10">
        <f>MAX(0,D318-C318)</f>
        <v/>
      </c>
      <c r="F318" s="15">
        <f>IF(E318&gt;0.0001,"ДЕФИЦИТ",IF(Y318&gt;0.0001,"ПРОФИЦИТ","БАЛАНС"))</f>
        <v/>
      </c>
      <c r="G318" s="10">
        <f>AB318+AS318+BJ318+CA318+CR318</f>
        <v/>
      </c>
      <c r="H318" s="10">
        <f>AD318+AU318+BL318+CC318+CT318</f>
        <v/>
      </c>
      <c r="I318" s="10">
        <f>AF318+AW318+BN318+CE318+CV318</f>
        <v/>
      </c>
      <c r="J318" s="10">
        <f>AL318+BC318+BT318+CK318+DB318</f>
        <v/>
      </c>
      <c r="K318" s="10">
        <f>AJ318+BA318+BR318+CI318+CZ318</f>
        <v/>
      </c>
      <c r="L318" s="10">
        <f>AN318+BE318+BV318+CM318+DD318</f>
        <v/>
      </c>
      <c r="M318" s="10">
        <f>AP318+BG318+BX318+CO318+DF318</f>
        <v/>
      </c>
      <c r="N318" s="10">
        <f>AH318+AY318+BP318+CG318+CX318</f>
        <v/>
      </c>
      <c r="O318" s="10">
        <f>SUM(G318:N318)</f>
        <v/>
      </c>
      <c r="P318" s="10">
        <f>IFERROR(G318*MIN(1,'01_Нормативы'!$C$4/SUM(G$2:G$429)),0)</f>
        <v/>
      </c>
      <c r="Q318" s="10">
        <f>IFERROR(H318*MIN(1,'01_Нормативы'!$C$5/SUM(H$2:H$429)),0)</f>
        <v/>
      </c>
      <c r="R318" s="10">
        <f>IFERROR(I318*MIN(1,'01_Нормативы'!$C$6/SUM(I$2:I$429)),0)</f>
        <v/>
      </c>
      <c r="S318" s="10">
        <f>IFERROR(J318*MIN(1,'01_Нормативы'!$C$7/SUM(J$2:J$429)),0)</f>
        <v/>
      </c>
      <c r="T318" s="10">
        <f>IFERROR(K318*MIN(1,'01_Нормативы'!$C$8/SUM(K$2:K$429)),0)</f>
        <v/>
      </c>
      <c r="U318" s="10">
        <f>IFERROR(L318*MIN(1,'01_Нормативы'!$C$9/SUM(L$2:L$429)),0)</f>
        <v/>
      </c>
      <c r="V318" s="10">
        <f>IFERROR(M318*MIN(1,'01_Нормативы'!$C$10/SUM(M$2:M$429)),0)</f>
        <v/>
      </c>
      <c r="W318" s="10">
        <f>IFERROR(N318*MIN(1,'01_Нормативы'!$C$11/SUM(N$2:N$429)),0)</f>
        <v/>
      </c>
      <c r="X318" s="10">
        <f>SUM(P318:W318)</f>
        <v/>
      </c>
      <c r="Y318" s="10">
        <f>MAX(0,C318-X318)</f>
        <v/>
      </c>
      <c r="Z318" s="10">
        <f>IF(D318=0,100,X318/D318*100)</f>
        <v/>
      </c>
      <c r="AA318" s="10">
        <f>'02_Данные'!F318+'02_Данные'!G318</f>
        <v/>
      </c>
      <c r="AB318" s="10">
        <f>MIN('02_Данные'!L318,AA318)</f>
        <v/>
      </c>
      <c r="AC318" s="10">
        <f>AA318-AB318</f>
        <v/>
      </c>
      <c r="AD318" s="10">
        <f>MIN('02_Данные'!M318,AC318)</f>
        <v/>
      </c>
      <c r="AE318" s="10">
        <f>AC318-AD318</f>
        <v/>
      </c>
      <c r="AF318" s="10">
        <f>MIN('02_Данные'!N318,AE318)</f>
        <v/>
      </c>
      <c r="AG318" s="10">
        <f>AE318-AF318</f>
        <v/>
      </c>
      <c r="AH318" s="10">
        <f>MIN('02_Данные'!S318,AG318)</f>
        <v/>
      </c>
      <c r="AI318" s="10">
        <f>AG318-AH318</f>
        <v/>
      </c>
      <c r="AJ318" s="10">
        <f>MIN('02_Данные'!P318,AI318)</f>
        <v/>
      </c>
      <c r="AK318" s="10">
        <f>AI318-AJ318</f>
        <v/>
      </c>
      <c r="AL318" s="10">
        <f>MIN('02_Данные'!O318,AK318)</f>
        <v/>
      </c>
      <c r="AM318" s="10">
        <f>AK318-AL318</f>
        <v/>
      </c>
      <c r="AN318" s="10">
        <f>MIN('02_Данные'!Q318,AM318)</f>
        <v/>
      </c>
      <c r="AO318" s="10">
        <f>AM318-AN318</f>
        <v/>
      </c>
      <c r="AP318" s="10">
        <f>MIN('02_Данные'!R318,AO318)</f>
        <v/>
      </c>
      <c r="AQ318" s="10">
        <f>AO318-AP318</f>
        <v/>
      </c>
      <c r="AR318" s="10">
        <f>AQ318+'02_Данные'!H318</f>
        <v/>
      </c>
      <c r="AS318" s="10">
        <f>MIN('02_Данные'!T318,AR318)</f>
        <v/>
      </c>
      <c r="AT318" s="10">
        <f>AR318-AS318</f>
        <v/>
      </c>
      <c r="AU318" s="10">
        <f>MIN('02_Данные'!U318,AT318)</f>
        <v/>
      </c>
      <c r="AV318" s="10">
        <f>AT318-AU318</f>
        <v/>
      </c>
      <c r="AW318" s="10">
        <f>MIN('02_Данные'!V318,AV318)</f>
        <v/>
      </c>
      <c r="AX318" s="10">
        <f>AV318-AW318</f>
        <v/>
      </c>
      <c r="AY318" s="10">
        <f>MIN('02_Данные'!AA318,AX318)</f>
        <v/>
      </c>
      <c r="AZ318" s="10">
        <f>AX318-AY318</f>
        <v/>
      </c>
      <c r="BA318" s="10">
        <f>MIN('02_Данные'!X318,AZ318)</f>
        <v/>
      </c>
      <c r="BB318" s="10">
        <f>AZ318-BA318</f>
        <v/>
      </c>
      <c r="BC318" s="10">
        <f>MIN('02_Данные'!W318,BB318)</f>
        <v/>
      </c>
      <c r="BD318" s="10">
        <f>BB318-BC318</f>
        <v/>
      </c>
      <c r="BE318" s="10">
        <f>MIN('02_Данные'!Y318,BD318)</f>
        <v/>
      </c>
      <c r="BF318" s="10">
        <f>BD318-BE318</f>
        <v/>
      </c>
      <c r="BG318" s="10">
        <f>MIN('02_Данные'!Z318,BF318)</f>
        <v/>
      </c>
      <c r="BH318" s="10">
        <f>BF318-BG318</f>
        <v/>
      </c>
      <c r="BI318" s="10">
        <f>BH318+'02_Данные'!I318</f>
        <v/>
      </c>
      <c r="BJ318" s="10">
        <f>MIN('02_Данные'!AB318,BI318)</f>
        <v/>
      </c>
      <c r="BK318" s="10">
        <f>BI318-BJ318</f>
        <v/>
      </c>
      <c r="BL318" s="10">
        <f>MIN('02_Данные'!AC318,BK318)</f>
        <v/>
      </c>
      <c r="BM318" s="10">
        <f>BK318-BL318</f>
        <v/>
      </c>
      <c r="BN318" s="10">
        <f>MIN('02_Данные'!AD318,BM318)</f>
        <v/>
      </c>
      <c r="BO318" s="10">
        <f>BM318-BN318</f>
        <v/>
      </c>
      <c r="BP318" s="10">
        <f>MIN('02_Данные'!AI318,BO318)</f>
        <v/>
      </c>
      <c r="BQ318" s="10">
        <f>BO318-BP318</f>
        <v/>
      </c>
      <c r="BR318" s="10">
        <f>MIN('02_Данные'!AF318,BQ318)</f>
        <v/>
      </c>
      <c r="BS318" s="10">
        <f>BQ318-BR318</f>
        <v/>
      </c>
      <c r="BT318" s="10">
        <f>MIN('02_Данные'!AE318,BS318)</f>
        <v/>
      </c>
      <c r="BU318" s="10">
        <f>BS318-BT318</f>
        <v/>
      </c>
      <c r="BV318" s="10">
        <f>MIN('02_Данные'!AG318,BU318)</f>
        <v/>
      </c>
      <c r="BW318" s="10">
        <f>BU318-BV318</f>
        <v/>
      </c>
      <c r="BX318" s="10">
        <f>MIN('02_Данные'!AH318,BW318)</f>
        <v/>
      </c>
      <c r="BY318" s="10">
        <f>BW318-BX318</f>
        <v/>
      </c>
      <c r="BZ318" s="10">
        <f>BY318+'02_Данные'!J318</f>
        <v/>
      </c>
      <c r="CA318" s="10">
        <f>MIN('02_Данные'!AJ318,BZ318)</f>
        <v/>
      </c>
      <c r="CB318" s="10">
        <f>BZ318-CA318</f>
        <v/>
      </c>
      <c r="CC318" s="10">
        <f>MIN('02_Данные'!AK318,CB318)</f>
        <v/>
      </c>
      <c r="CD318" s="10">
        <f>CB318-CC318</f>
        <v/>
      </c>
      <c r="CE318" s="10">
        <f>MIN('02_Данные'!AL318,CD318)</f>
        <v/>
      </c>
      <c r="CF318" s="10">
        <f>CD318-CE318</f>
        <v/>
      </c>
      <c r="CG318" s="10">
        <f>MIN('02_Данные'!AQ318,CF318)</f>
        <v/>
      </c>
      <c r="CH318" s="10">
        <f>CF318-CG318</f>
        <v/>
      </c>
      <c r="CI318" s="10">
        <f>MIN('02_Данные'!AN318,CH318)</f>
        <v/>
      </c>
      <c r="CJ318" s="10">
        <f>CH318-CI318</f>
        <v/>
      </c>
      <c r="CK318" s="10">
        <f>MIN('02_Данные'!AM318,CJ318)</f>
        <v/>
      </c>
      <c r="CL318" s="10">
        <f>CJ318-CK318</f>
        <v/>
      </c>
      <c r="CM318" s="10">
        <f>MIN('02_Данные'!AO318,CL318)</f>
        <v/>
      </c>
      <c r="CN318" s="10">
        <f>CL318-CM318</f>
        <v/>
      </c>
      <c r="CO318" s="10">
        <f>MIN('02_Данные'!AP318,CN318)</f>
        <v/>
      </c>
      <c r="CP318" s="10">
        <f>CN318-CO318</f>
        <v/>
      </c>
      <c r="CQ318" s="10">
        <f>CP318+'02_Данные'!K318</f>
        <v/>
      </c>
      <c r="CR318" s="10">
        <f>MIN('02_Данные'!AR318,CQ318)</f>
        <v/>
      </c>
      <c r="CS318" s="10">
        <f>CQ318-CR318</f>
        <v/>
      </c>
      <c r="CT318" s="10">
        <f>MIN('02_Данные'!AS318,CS318)</f>
        <v/>
      </c>
      <c r="CU318" s="10">
        <f>CS318-CT318</f>
        <v/>
      </c>
      <c r="CV318" s="10">
        <f>MIN('02_Данные'!AT318,CU318)</f>
        <v/>
      </c>
      <c r="CW318" s="10">
        <f>CU318-CV318</f>
        <v/>
      </c>
      <c r="CX318" s="10">
        <f>MIN('02_Данные'!AY318,CW318)</f>
        <v/>
      </c>
      <c r="CY318" s="10">
        <f>CW318-CX318</f>
        <v/>
      </c>
      <c r="CZ318" s="10">
        <f>MIN('02_Данные'!AV318,CY318)</f>
        <v/>
      </c>
      <c r="DA318" s="10">
        <f>CY318-CZ318</f>
        <v/>
      </c>
      <c r="DB318" s="10">
        <f>MIN('02_Данные'!AU318,DA318)</f>
        <v/>
      </c>
      <c r="DC318" s="10">
        <f>DA318-DB318</f>
        <v/>
      </c>
      <c r="DD318" s="10">
        <f>MIN('02_Данные'!AW318,DC318)</f>
        <v/>
      </c>
      <c r="DE318" s="10">
        <f>DC318-DD318</f>
        <v/>
      </c>
      <c r="DF318" s="10">
        <f>MIN('02_Данные'!AX318,DE318)</f>
        <v/>
      </c>
      <c r="DG318" s="10">
        <f>DE318-DF318</f>
        <v/>
      </c>
    </row>
    <row r="319">
      <c r="A319" s="9">
        <f>'02_Данные'!B319</f>
        <v/>
      </c>
      <c r="B319" s="9">
        <f>'02_Данные'!E319</f>
        <v/>
      </c>
      <c r="C319" s="10">
        <f>'02_Данные'!F319+'02_Данные'!G319+'02_Данные'!H319+'02_Данные'!I319+'02_Данные'!J319+'02_Данные'!K319</f>
        <v/>
      </c>
      <c r="D319" s="10">
        <f>SUM('02_Данные'!L319:'02_Данные'!AY319)</f>
        <v/>
      </c>
      <c r="E319" s="10">
        <f>MAX(0,D319-C319)</f>
        <v/>
      </c>
      <c r="F319" s="15">
        <f>IF(E319&gt;0.0001,"ДЕФИЦИТ",IF(Y319&gt;0.0001,"ПРОФИЦИТ","БАЛАНС"))</f>
        <v/>
      </c>
      <c r="G319" s="10">
        <f>AB319+AS319+BJ319+CA319+CR319</f>
        <v/>
      </c>
      <c r="H319" s="10">
        <f>AD319+AU319+BL319+CC319+CT319</f>
        <v/>
      </c>
      <c r="I319" s="10">
        <f>AF319+AW319+BN319+CE319+CV319</f>
        <v/>
      </c>
      <c r="J319" s="10">
        <f>AL319+BC319+BT319+CK319+DB319</f>
        <v/>
      </c>
      <c r="K319" s="10">
        <f>AJ319+BA319+BR319+CI319+CZ319</f>
        <v/>
      </c>
      <c r="L319" s="10">
        <f>AN319+BE319+BV319+CM319+DD319</f>
        <v/>
      </c>
      <c r="M319" s="10">
        <f>AP319+BG319+BX319+CO319+DF319</f>
        <v/>
      </c>
      <c r="N319" s="10">
        <f>AH319+AY319+BP319+CG319+CX319</f>
        <v/>
      </c>
      <c r="O319" s="10">
        <f>SUM(G319:N319)</f>
        <v/>
      </c>
      <c r="P319" s="10">
        <f>IFERROR(G319*MIN(1,'01_Нормативы'!$C$4/SUM(G$2:G$429)),0)</f>
        <v/>
      </c>
      <c r="Q319" s="10">
        <f>IFERROR(H319*MIN(1,'01_Нормативы'!$C$5/SUM(H$2:H$429)),0)</f>
        <v/>
      </c>
      <c r="R319" s="10">
        <f>IFERROR(I319*MIN(1,'01_Нормативы'!$C$6/SUM(I$2:I$429)),0)</f>
        <v/>
      </c>
      <c r="S319" s="10">
        <f>IFERROR(J319*MIN(1,'01_Нормативы'!$C$7/SUM(J$2:J$429)),0)</f>
        <v/>
      </c>
      <c r="T319" s="10">
        <f>IFERROR(K319*MIN(1,'01_Нормативы'!$C$8/SUM(K$2:K$429)),0)</f>
        <v/>
      </c>
      <c r="U319" s="10">
        <f>IFERROR(L319*MIN(1,'01_Нормативы'!$C$9/SUM(L$2:L$429)),0)</f>
        <v/>
      </c>
      <c r="V319" s="10">
        <f>IFERROR(M319*MIN(1,'01_Нормативы'!$C$10/SUM(M$2:M$429)),0)</f>
        <v/>
      </c>
      <c r="W319" s="10">
        <f>IFERROR(N319*MIN(1,'01_Нормативы'!$C$11/SUM(N$2:N$429)),0)</f>
        <v/>
      </c>
      <c r="X319" s="10">
        <f>SUM(P319:W319)</f>
        <v/>
      </c>
      <c r="Y319" s="10">
        <f>MAX(0,C319-X319)</f>
        <v/>
      </c>
      <c r="Z319" s="10">
        <f>IF(D319=0,100,X319/D319*100)</f>
        <v/>
      </c>
      <c r="AA319" s="10">
        <f>'02_Данные'!F319+'02_Данные'!G319</f>
        <v/>
      </c>
      <c r="AB319" s="10">
        <f>MIN('02_Данные'!L319,AA319)</f>
        <v/>
      </c>
      <c r="AC319" s="10">
        <f>AA319-AB319</f>
        <v/>
      </c>
      <c r="AD319" s="10">
        <f>MIN('02_Данные'!M319,AC319)</f>
        <v/>
      </c>
      <c r="AE319" s="10">
        <f>AC319-AD319</f>
        <v/>
      </c>
      <c r="AF319" s="10">
        <f>MIN('02_Данные'!N319,AE319)</f>
        <v/>
      </c>
      <c r="AG319" s="10">
        <f>AE319-AF319</f>
        <v/>
      </c>
      <c r="AH319" s="10">
        <f>MIN('02_Данные'!S319,AG319)</f>
        <v/>
      </c>
      <c r="AI319" s="10">
        <f>AG319-AH319</f>
        <v/>
      </c>
      <c r="AJ319" s="10">
        <f>MIN('02_Данные'!P319,AI319)</f>
        <v/>
      </c>
      <c r="AK319" s="10">
        <f>AI319-AJ319</f>
        <v/>
      </c>
      <c r="AL319" s="10">
        <f>MIN('02_Данные'!O319,AK319)</f>
        <v/>
      </c>
      <c r="AM319" s="10">
        <f>AK319-AL319</f>
        <v/>
      </c>
      <c r="AN319" s="10">
        <f>MIN('02_Данные'!Q319,AM319)</f>
        <v/>
      </c>
      <c r="AO319" s="10">
        <f>AM319-AN319</f>
        <v/>
      </c>
      <c r="AP319" s="10">
        <f>MIN('02_Данные'!R319,AO319)</f>
        <v/>
      </c>
      <c r="AQ319" s="10">
        <f>AO319-AP319</f>
        <v/>
      </c>
      <c r="AR319" s="10">
        <f>AQ319+'02_Данные'!H319</f>
        <v/>
      </c>
      <c r="AS319" s="10">
        <f>MIN('02_Данные'!T319,AR319)</f>
        <v/>
      </c>
      <c r="AT319" s="10">
        <f>AR319-AS319</f>
        <v/>
      </c>
      <c r="AU319" s="10">
        <f>MIN('02_Данные'!U319,AT319)</f>
        <v/>
      </c>
      <c r="AV319" s="10">
        <f>AT319-AU319</f>
        <v/>
      </c>
      <c r="AW319" s="10">
        <f>MIN('02_Данные'!V319,AV319)</f>
        <v/>
      </c>
      <c r="AX319" s="10">
        <f>AV319-AW319</f>
        <v/>
      </c>
      <c r="AY319" s="10">
        <f>MIN('02_Данные'!AA319,AX319)</f>
        <v/>
      </c>
      <c r="AZ319" s="10">
        <f>AX319-AY319</f>
        <v/>
      </c>
      <c r="BA319" s="10">
        <f>MIN('02_Данные'!X319,AZ319)</f>
        <v/>
      </c>
      <c r="BB319" s="10">
        <f>AZ319-BA319</f>
        <v/>
      </c>
      <c r="BC319" s="10">
        <f>MIN('02_Данные'!W319,BB319)</f>
        <v/>
      </c>
      <c r="BD319" s="10">
        <f>BB319-BC319</f>
        <v/>
      </c>
      <c r="BE319" s="10">
        <f>MIN('02_Данные'!Y319,BD319)</f>
        <v/>
      </c>
      <c r="BF319" s="10">
        <f>BD319-BE319</f>
        <v/>
      </c>
      <c r="BG319" s="10">
        <f>MIN('02_Данные'!Z319,BF319)</f>
        <v/>
      </c>
      <c r="BH319" s="10">
        <f>BF319-BG319</f>
        <v/>
      </c>
      <c r="BI319" s="10">
        <f>BH319+'02_Данные'!I319</f>
        <v/>
      </c>
      <c r="BJ319" s="10">
        <f>MIN('02_Данные'!AB319,BI319)</f>
        <v/>
      </c>
      <c r="BK319" s="10">
        <f>BI319-BJ319</f>
        <v/>
      </c>
      <c r="BL319" s="10">
        <f>MIN('02_Данные'!AC319,BK319)</f>
        <v/>
      </c>
      <c r="BM319" s="10">
        <f>BK319-BL319</f>
        <v/>
      </c>
      <c r="BN319" s="10">
        <f>MIN('02_Данные'!AD319,BM319)</f>
        <v/>
      </c>
      <c r="BO319" s="10">
        <f>BM319-BN319</f>
        <v/>
      </c>
      <c r="BP319" s="10">
        <f>MIN('02_Данные'!AI319,BO319)</f>
        <v/>
      </c>
      <c r="BQ319" s="10">
        <f>BO319-BP319</f>
        <v/>
      </c>
      <c r="BR319" s="10">
        <f>MIN('02_Данные'!AF319,BQ319)</f>
        <v/>
      </c>
      <c r="BS319" s="10">
        <f>BQ319-BR319</f>
        <v/>
      </c>
      <c r="BT319" s="10">
        <f>MIN('02_Данные'!AE319,BS319)</f>
        <v/>
      </c>
      <c r="BU319" s="10">
        <f>BS319-BT319</f>
        <v/>
      </c>
      <c r="BV319" s="10">
        <f>MIN('02_Данные'!AG319,BU319)</f>
        <v/>
      </c>
      <c r="BW319" s="10">
        <f>BU319-BV319</f>
        <v/>
      </c>
      <c r="BX319" s="10">
        <f>MIN('02_Данные'!AH319,BW319)</f>
        <v/>
      </c>
      <c r="BY319" s="10">
        <f>BW319-BX319</f>
        <v/>
      </c>
      <c r="BZ319" s="10">
        <f>BY319+'02_Данные'!J319</f>
        <v/>
      </c>
      <c r="CA319" s="10">
        <f>MIN('02_Данные'!AJ319,BZ319)</f>
        <v/>
      </c>
      <c r="CB319" s="10">
        <f>BZ319-CA319</f>
        <v/>
      </c>
      <c r="CC319" s="10">
        <f>MIN('02_Данные'!AK319,CB319)</f>
        <v/>
      </c>
      <c r="CD319" s="10">
        <f>CB319-CC319</f>
        <v/>
      </c>
      <c r="CE319" s="10">
        <f>MIN('02_Данные'!AL319,CD319)</f>
        <v/>
      </c>
      <c r="CF319" s="10">
        <f>CD319-CE319</f>
        <v/>
      </c>
      <c r="CG319" s="10">
        <f>MIN('02_Данные'!AQ319,CF319)</f>
        <v/>
      </c>
      <c r="CH319" s="10">
        <f>CF319-CG319</f>
        <v/>
      </c>
      <c r="CI319" s="10">
        <f>MIN('02_Данные'!AN319,CH319)</f>
        <v/>
      </c>
      <c r="CJ319" s="10">
        <f>CH319-CI319</f>
        <v/>
      </c>
      <c r="CK319" s="10">
        <f>MIN('02_Данные'!AM319,CJ319)</f>
        <v/>
      </c>
      <c r="CL319" s="10">
        <f>CJ319-CK319</f>
        <v/>
      </c>
      <c r="CM319" s="10">
        <f>MIN('02_Данные'!AO319,CL319)</f>
        <v/>
      </c>
      <c r="CN319" s="10">
        <f>CL319-CM319</f>
        <v/>
      </c>
      <c r="CO319" s="10">
        <f>MIN('02_Данные'!AP319,CN319)</f>
        <v/>
      </c>
      <c r="CP319" s="10">
        <f>CN319-CO319</f>
        <v/>
      </c>
      <c r="CQ319" s="10">
        <f>CP319+'02_Данные'!K319</f>
        <v/>
      </c>
      <c r="CR319" s="10">
        <f>MIN('02_Данные'!AR319,CQ319)</f>
        <v/>
      </c>
      <c r="CS319" s="10">
        <f>CQ319-CR319</f>
        <v/>
      </c>
      <c r="CT319" s="10">
        <f>MIN('02_Данные'!AS319,CS319)</f>
        <v/>
      </c>
      <c r="CU319" s="10">
        <f>CS319-CT319</f>
        <v/>
      </c>
      <c r="CV319" s="10">
        <f>MIN('02_Данные'!AT319,CU319)</f>
        <v/>
      </c>
      <c r="CW319" s="10">
        <f>CU319-CV319</f>
        <v/>
      </c>
      <c r="CX319" s="10">
        <f>MIN('02_Данные'!AY319,CW319)</f>
        <v/>
      </c>
      <c r="CY319" s="10">
        <f>CW319-CX319</f>
        <v/>
      </c>
      <c r="CZ319" s="10">
        <f>MIN('02_Данные'!AV319,CY319)</f>
        <v/>
      </c>
      <c r="DA319" s="10">
        <f>CY319-CZ319</f>
        <v/>
      </c>
      <c r="DB319" s="10">
        <f>MIN('02_Данные'!AU319,DA319)</f>
        <v/>
      </c>
      <c r="DC319" s="10">
        <f>DA319-DB319</f>
        <v/>
      </c>
      <c r="DD319" s="10">
        <f>MIN('02_Данные'!AW319,DC319)</f>
        <v/>
      </c>
      <c r="DE319" s="10">
        <f>DC319-DD319</f>
        <v/>
      </c>
      <c r="DF319" s="10">
        <f>MIN('02_Данные'!AX319,DE319)</f>
        <v/>
      </c>
      <c r="DG319" s="10">
        <f>DE319-DF319</f>
        <v/>
      </c>
    </row>
    <row r="320">
      <c r="A320" s="9">
        <f>'02_Данные'!B320</f>
        <v/>
      </c>
      <c r="B320" s="9">
        <f>'02_Данные'!E320</f>
        <v/>
      </c>
      <c r="C320" s="10">
        <f>'02_Данные'!F320+'02_Данные'!G320+'02_Данные'!H320+'02_Данные'!I320+'02_Данные'!J320+'02_Данные'!K320</f>
        <v/>
      </c>
      <c r="D320" s="10">
        <f>SUM('02_Данные'!L320:'02_Данные'!AY320)</f>
        <v/>
      </c>
      <c r="E320" s="10">
        <f>MAX(0,D320-C320)</f>
        <v/>
      </c>
      <c r="F320" s="15">
        <f>IF(E320&gt;0.0001,"ДЕФИЦИТ",IF(Y320&gt;0.0001,"ПРОФИЦИТ","БАЛАНС"))</f>
        <v/>
      </c>
      <c r="G320" s="10">
        <f>AB320+AS320+BJ320+CA320+CR320</f>
        <v/>
      </c>
      <c r="H320" s="10">
        <f>AD320+AU320+BL320+CC320+CT320</f>
        <v/>
      </c>
      <c r="I320" s="10">
        <f>AF320+AW320+BN320+CE320+CV320</f>
        <v/>
      </c>
      <c r="J320" s="10">
        <f>AL320+BC320+BT320+CK320+DB320</f>
        <v/>
      </c>
      <c r="K320" s="10">
        <f>AJ320+BA320+BR320+CI320+CZ320</f>
        <v/>
      </c>
      <c r="L320" s="10">
        <f>AN320+BE320+BV320+CM320+DD320</f>
        <v/>
      </c>
      <c r="M320" s="10">
        <f>AP320+BG320+BX320+CO320+DF320</f>
        <v/>
      </c>
      <c r="N320" s="10">
        <f>AH320+AY320+BP320+CG320+CX320</f>
        <v/>
      </c>
      <c r="O320" s="10">
        <f>SUM(G320:N320)</f>
        <v/>
      </c>
      <c r="P320" s="10">
        <f>IFERROR(G320*MIN(1,'01_Нормативы'!$C$4/SUM(G$2:G$429)),0)</f>
        <v/>
      </c>
      <c r="Q320" s="10">
        <f>IFERROR(H320*MIN(1,'01_Нормативы'!$C$5/SUM(H$2:H$429)),0)</f>
        <v/>
      </c>
      <c r="R320" s="10">
        <f>IFERROR(I320*MIN(1,'01_Нормативы'!$C$6/SUM(I$2:I$429)),0)</f>
        <v/>
      </c>
      <c r="S320" s="10">
        <f>IFERROR(J320*MIN(1,'01_Нормативы'!$C$7/SUM(J$2:J$429)),0)</f>
        <v/>
      </c>
      <c r="T320" s="10">
        <f>IFERROR(K320*MIN(1,'01_Нормативы'!$C$8/SUM(K$2:K$429)),0)</f>
        <v/>
      </c>
      <c r="U320" s="10">
        <f>IFERROR(L320*MIN(1,'01_Нормативы'!$C$9/SUM(L$2:L$429)),0)</f>
        <v/>
      </c>
      <c r="V320" s="10">
        <f>IFERROR(M320*MIN(1,'01_Нормативы'!$C$10/SUM(M$2:M$429)),0)</f>
        <v/>
      </c>
      <c r="W320" s="10">
        <f>IFERROR(N320*MIN(1,'01_Нормативы'!$C$11/SUM(N$2:N$429)),0)</f>
        <v/>
      </c>
      <c r="X320" s="10">
        <f>SUM(P320:W320)</f>
        <v/>
      </c>
      <c r="Y320" s="10">
        <f>MAX(0,C320-X320)</f>
        <v/>
      </c>
      <c r="Z320" s="10">
        <f>IF(D320=0,100,X320/D320*100)</f>
        <v/>
      </c>
      <c r="AA320" s="10">
        <f>'02_Данные'!F320+'02_Данные'!G320</f>
        <v/>
      </c>
      <c r="AB320" s="10">
        <f>MIN('02_Данные'!L320,AA320)</f>
        <v/>
      </c>
      <c r="AC320" s="10">
        <f>AA320-AB320</f>
        <v/>
      </c>
      <c r="AD320" s="10">
        <f>MIN('02_Данные'!M320,AC320)</f>
        <v/>
      </c>
      <c r="AE320" s="10">
        <f>AC320-AD320</f>
        <v/>
      </c>
      <c r="AF320" s="10">
        <f>MIN('02_Данные'!N320,AE320)</f>
        <v/>
      </c>
      <c r="AG320" s="10">
        <f>AE320-AF320</f>
        <v/>
      </c>
      <c r="AH320" s="10">
        <f>MIN('02_Данные'!S320,AG320)</f>
        <v/>
      </c>
      <c r="AI320" s="10">
        <f>AG320-AH320</f>
        <v/>
      </c>
      <c r="AJ320" s="10">
        <f>MIN('02_Данные'!P320,AI320)</f>
        <v/>
      </c>
      <c r="AK320" s="10">
        <f>AI320-AJ320</f>
        <v/>
      </c>
      <c r="AL320" s="10">
        <f>MIN('02_Данные'!O320,AK320)</f>
        <v/>
      </c>
      <c r="AM320" s="10">
        <f>AK320-AL320</f>
        <v/>
      </c>
      <c r="AN320" s="10">
        <f>MIN('02_Данные'!Q320,AM320)</f>
        <v/>
      </c>
      <c r="AO320" s="10">
        <f>AM320-AN320</f>
        <v/>
      </c>
      <c r="AP320" s="10">
        <f>MIN('02_Данные'!R320,AO320)</f>
        <v/>
      </c>
      <c r="AQ320" s="10">
        <f>AO320-AP320</f>
        <v/>
      </c>
      <c r="AR320" s="10">
        <f>AQ320+'02_Данные'!H320</f>
        <v/>
      </c>
      <c r="AS320" s="10">
        <f>MIN('02_Данные'!T320,AR320)</f>
        <v/>
      </c>
      <c r="AT320" s="10">
        <f>AR320-AS320</f>
        <v/>
      </c>
      <c r="AU320" s="10">
        <f>MIN('02_Данные'!U320,AT320)</f>
        <v/>
      </c>
      <c r="AV320" s="10">
        <f>AT320-AU320</f>
        <v/>
      </c>
      <c r="AW320" s="10">
        <f>MIN('02_Данные'!V320,AV320)</f>
        <v/>
      </c>
      <c r="AX320" s="10">
        <f>AV320-AW320</f>
        <v/>
      </c>
      <c r="AY320" s="10">
        <f>MIN('02_Данные'!AA320,AX320)</f>
        <v/>
      </c>
      <c r="AZ320" s="10">
        <f>AX320-AY320</f>
        <v/>
      </c>
      <c r="BA320" s="10">
        <f>MIN('02_Данные'!X320,AZ320)</f>
        <v/>
      </c>
      <c r="BB320" s="10">
        <f>AZ320-BA320</f>
        <v/>
      </c>
      <c r="BC320" s="10">
        <f>MIN('02_Данные'!W320,BB320)</f>
        <v/>
      </c>
      <c r="BD320" s="10">
        <f>BB320-BC320</f>
        <v/>
      </c>
      <c r="BE320" s="10">
        <f>MIN('02_Данные'!Y320,BD320)</f>
        <v/>
      </c>
      <c r="BF320" s="10">
        <f>BD320-BE320</f>
        <v/>
      </c>
      <c r="BG320" s="10">
        <f>MIN('02_Данные'!Z320,BF320)</f>
        <v/>
      </c>
      <c r="BH320" s="10">
        <f>BF320-BG320</f>
        <v/>
      </c>
      <c r="BI320" s="10">
        <f>BH320+'02_Данные'!I320</f>
        <v/>
      </c>
      <c r="BJ320" s="10">
        <f>MIN('02_Данные'!AB320,BI320)</f>
        <v/>
      </c>
      <c r="BK320" s="10">
        <f>BI320-BJ320</f>
        <v/>
      </c>
      <c r="BL320" s="10">
        <f>MIN('02_Данные'!AC320,BK320)</f>
        <v/>
      </c>
      <c r="BM320" s="10">
        <f>BK320-BL320</f>
        <v/>
      </c>
      <c r="BN320" s="10">
        <f>MIN('02_Данные'!AD320,BM320)</f>
        <v/>
      </c>
      <c r="BO320" s="10">
        <f>BM320-BN320</f>
        <v/>
      </c>
      <c r="BP320" s="10">
        <f>MIN('02_Данные'!AI320,BO320)</f>
        <v/>
      </c>
      <c r="BQ320" s="10">
        <f>BO320-BP320</f>
        <v/>
      </c>
      <c r="BR320" s="10">
        <f>MIN('02_Данные'!AF320,BQ320)</f>
        <v/>
      </c>
      <c r="BS320" s="10">
        <f>BQ320-BR320</f>
        <v/>
      </c>
      <c r="BT320" s="10">
        <f>MIN('02_Данные'!AE320,BS320)</f>
        <v/>
      </c>
      <c r="BU320" s="10">
        <f>BS320-BT320</f>
        <v/>
      </c>
      <c r="BV320" s="10">
        <f>MIN('02_Данные'!AG320,BU320)</f>
        <v/>
      </c>
      <c r="BW320" s="10">
        <f>BU320-BV320</f>
        <v/>
      </c>
      <c r="BX320" s="10">
        <f>MIN('02_Данные'!AH320,BW320)</f>
        <v/>
      </c>
      <c r="BY320" s="10">
        <f>BW320-BX320</f>
        <v/>
      </c>
      <c r="BZ320" s="10">
        <f>BY320+'02_Данные'!J320</f>
        <v/>
      </c>
      <c r="CA320" s="10">
        <f>MIN('02_Данные'!AJ320,BZ320)</f>
        <v/>
      </c>
      <c r="CB320" s="10">
        <f>BZ320-CA320</f>
        <v/>
      </c>
      <c r="CC320" s="10">
        <f>MIN('02_Данные'!AK320,CB320)</f>
        <v/>
      </c>
      <c r="CD320" s="10">
        <f>CB320-CC320</f>
        <v/>
      </c>
      <c r="CE320" s="10">
        <f>MIN('02_Данные'!AL320,CD320)</f>
        <v/>
      </c>
      <c r="CF320" s="10">
        <f>CD320-CE320</f>
        <v/>
      </c>
      <c r="CG320" s="10">
        <f>MIN('02_Данные'!AQ320,CF320)</f>
        <v/>
      </c>
      <c r="CH320" s="10">
        <f>CF320-CG320</f>
        <v/>
      </c>
      <c r="CI320" s="10">
        <f>MIN('02_Данные'!AN320,CH320)</f>
        <v/>
      </c>
      <c r="CJ320" s="10">
        <f>CH320-CI320</f>
        <v/>
      </c>
      <c r="CK320" s="10">
        <f>MIN('02_Данные'!AM320,CJ320)</f>
        <v/>
      </c>
      <c r="CL320" s="10">
        <f>CJ320-CK320</f>
        <v/>
      </c>
      <c r="CM320" s="10">
        <f>MIN('02_Данные'!AO320,CL320)</f>
        <v/>
      </c>
      <c r="CN320" s="10">
        <f>CL320-CM320</f>
        <v/>
      </c>
      <c r="CO320" s="10">
        <f>MIN('02_Данные'!AP320,CN320)</f>
        <v/>
      </c>
      <c r="CP320" s="10">
        <f>CN320-CO320</f>
        <v/>
      </c>
      <c r="CQ320" s="10">
        <f>CP320+'02_Данные'!K320</f>
        <v/>
      </c>
      <c r="CR320" s="10">
        <f>MIN('02_Данные'!AR320,CQ320)</f>
        <v/>
      </c>
      <c r="CS320" s="10">
        <f>CQ320-CR320</f>
        <v/>
      </c>
      <c r="CT320" s="10">
        <f>MIN('02_Данные'!AS320,CS320)</f>
        <v/>
      </c>
      <c r="CU320" s="10">
        <f>CS320-CT320</f>
        <v/>
      </c>
      <c r="CV320" s="10">
        <f>MIN('02_Данные'!AT320,CU320)</f>
        <v/>
      </c>
      <c r="CW320" s="10">
        <f>CU320-CV320</f>
        <v/>
      </c>
      <c r="CX320" s="10">
        <f>MIN('02_Данные'!AY320,CW320)</f>
        <v/>
      </c>
      <c r="CY320" s="10">
        <f>CW320-CX320</f>
        <v/>
      </c>
      <c r="CZ320" s="10">
        <f>MIN('02_Данные'!AV320,CY320)</f>
        <v/>
      </c>
      <c r="DA320" s="10">
        <f>CY320-CZ320</f>
        <v/>
      </c>
      <c r="DB320" s="10">
        <f>MIN('02_Данные'!AU320,DA320)</f>
        <v/>
      </c>
      <c r="DC320" s="10">
        <f>DA320-DB320</f>
        <v/>
      </c>
      <c r="DD320" s="10">
        <f>MIN('02_Данные'!AW320,DC320)</f>
        <v/>
      </c>
      <c r="DE320" s="10">
        <f>DC320-DD320</f>
        <v/>
      </c>
      <c r="DF320" s="10">
        <f>MIN('02_Данные'!AX320,DE320)</f>
        <v/>
      </c>
      <c r="DG320" s="10">
        <f>DE320-DF320</f>
        <v/>
      </c>
    </row>
    <row r="321">
      <c r="A321" s="9">
        <f>'02_Данные'!B321</f>
        <v/>
      </c>
      <c r="B321" s="9">
        <f>'02_Данные'!E321</f>
        <v/>
      </c>
      <c r="C321" s="10">
        <f>'02_Данные'!F321+'02_Данные'!G321+'02_Данные'!H321+'02_Данные'!I321+'02_Данные'!J321+'02_Данные'!K321</f>
        <v/>
      </c>
      <c r="D321" s="10">
        <f>SUM('02_Данные'!L321:'02_Данные'!AY321)</f>
        <v/>
      </c>
      <c r="E321" s="10">
        <f>MAX(0,D321-C321)</f>
        <v/>
      </c>
      <c r="F321" s="15">
        <f>IF(E321&gt;0.0001,"ДЕФИЦИТ",IF(Y321&gt;0.0001,"ПРОФИЦИТ","БАЛАНС"))</f>
        <v/>
      </c>
      <c r="G321" s="10">
        <f>AB321+AS321+BJ321+CA321+CR321</f>
        <v/>
      </c>
      <c r="H321" s="10">
        <f>AD321+AU321+BL321+CC321+CT321</f>
        <v/>
      </c>
      <c r="I321" s="10">
        <f>AF321+AW321+BN321+CE321+CV321</f>
        <v/>
      </c>
      <c r="J321" s="10">
        <f>AL321+BC321+BT321+CK321+DB321</f>
        <v/>
      </c>
      <c r="K321" s="10">
        <f>AJ321+BA321+BR321+CI321+CZ321</f>
        <v/>
      </c>
      <c r="L321" s="10">
        <f>AN321+BE321+BV321+CM321+DD321</f>
        <v/>
      </c>
      <c r="M321" s="10">
        <f>AP321+BG321+BX321+CO321+DF321</f>
        <v/>
      </c>
      <c r="N321" s="10">
        <f>AH321+AY321+BP321+CG321+CX321</f>
        <v/>
      </c>
      <c r="O321" s="10">
        <f>SUM(G321:N321)</f>
        <v/>
      </c>
      <c r="P321" s="10">
        <f>IFERROR(G321*MIN(1,'01_Нормативы'!$C$4/SUM(G$2:G$429)),0)</f>
        <v/>
      </c>
      <c r="Q321" s="10">
        <f>IFERROR(H321*MIN(1,'01_Нормативы'!$C$5/SUM(H$2:H$429)),0)</f>
        <v/>
      </c>
      <c r="R321" s="10">
        <f>IFERROR(I321*MIN(1,'01_Нормативы'!$C$6/SUM(I$2:I$429)),0)</f>
        <v/>
      </c>
      <c r="S321" s="10">
        <f>IFERROR(J321*MIN(1,'01_Нормативы'!$C$7/SUM(J$2:J$429)),0)</f>
        <v/>
      </c>
      <c r="T321" s="10">
        <f>IFERROR(K321*MIN(1,'01_Нормативы'!$C$8/SUM(K$2:K$429)),0)</f>
        <v/>
      </c>
      <c r="U321" s="10">
        <f>IFERROR(L321*MIN(1,'01_Нормативы'!$C$9/SUM(L$2:L$429)),0)</f>
        <v/>
      </c>
      <c r="V321" s="10">
        <f>IFERROR(M321*MIN(1,'01_Нормативы'!$C$10/SUM(M$2:M$429)),0)</f>
        <v/>
      </c>
      <c r="W321" s="10">
        <f>IFERROR(N321*MIN(1,'01_Нормативы'!$C$11/SUM(N$2:N$429)),0)</f>
        <v/>
      </c>
      <c r="X321" s="10">
        <f>SUM(P321:W321)</f>
        <v/>
      </c>
      <c r="Y321" s="10">
        <f>MAX(0,C321-X321)</f>
        <v/>
      </c>
      <c r="Z321" s="10">
        <f>IF(D321=0,100,X321/D321*100)</f>
        <v/>
      </c>
      <c r="AA321" s="10">
        <f>'02_Данные'!F321+'02_Данные'!G321</f>
        <v/>
      </c>
      <c r="AB321" s="10">
        <f>MIN('02_Данные'!L321,AA321)</f>
        <v/>
      </c>
      <c r="AC321" s="10">
        <f>AA321-AB321</f>
        <v/>
      </c>
      <c r="AD321" s="10">
        <f>MIN('02_Данные'!M321,AC321)</f>
        <v/>
      </c>
      <c r="AE321" s="10">
        <f>AC321-AD321</f>
        <v/>
      </c>
      <c r="AF321" s="10">
        <f>MIN('02_Данные'!N321,AE321)</f>
        <v/>
      </c>
      <c r="AG321" s="10">
        <f>AE321-AF321</f>
        <v/>
      </c>
      <c r="AH321" s="10">
        <f>MIN('02_Данные'!S321,AG321)</f>
        <v/>
      </c>
      <c r="AI321" s="10">
        <f>AG321-AH321</f>
        <v/>
      </c>
      <c r="AJ321" s="10">
        <f>MIN('02_Данные'!P321,AI321)</f>
        <v/>
      </c>
      <c r="AK321" s="10">
        <f>AI321-AJ321</f>
        <v/>
      </c>
      <c r="AL321" s="10">
        <f>MIN('02_Данные'!O321,AK321)</f>
        <v/>
      </c>
      <c r="AM321" s="10">
        <f>AK321-AL321</f>
        <v/>
      </c>
      <c r="AN321" s="10">
        <f>MIN('02_Данные'!Q321,AM321)</f>
        <v/>
      </c>
      <c r="AO321" s="10">
        <f>AM321-AN321</f>
        <v/>
      </c>
      <c r="AP321" s="10">
        <f>MIN('02_Данные'!R321,AO321)</f>
        <v/>
      </c>
      <c r="AQ321" s="10">
        <f>AO321-AP321</f>
        <v/>
      </c>
      <c r="AR321" s="10">
        <f>AQ321+'02_Данные'!H321</f>
        <v/>
      </c>
      <c r="AS321" s="10">
        <f>MIN('02_Данные'!T321,AR321)</f>
        <v/>
      </c>
      <c r="AT321" s="10">
        <f>AR321-AS321</f>
        <v/>
      </c>
      <c r="AU321" s="10">
        <f>MIN('02_Данные'!U321,AT321)</f>
        <v/>
      </c>
      <c r="AV321" s="10">
        <f>AT321-AU321</f>
        <v/>
      </c>
      <c r="AW321" s="10">
        <f>MIN('02_Данные'!V321,AV321)</f>
        <v/>
      </c>
      <c r="AX321" s="10">
        <f>AV321-AW321</f>
        <v/>
      </c>
      <c r="AY321" s="10">
        <f>MIN('02_Данные'!AA321,AX321)</f>
        <v/>
      </c>
      <c r="AZ321" s="10">
        <f>AX321-AY321</f>
        <v/>
      </c>
      <c r="BA321" s="10">
        <f>MIN('02_Данные'!X321,AZ321)</f>
        <v/>
      </c>
      <c r="BB321" s="10">
        <f>AZ321-BA321</f>
        <v/>
      </c>
      <c r="BC321" s="10">
        <f>MIN('02_Данные'!W321,BB321)</f>
        <v/>
      </c>
      <c r="BD321" s="10">
        <f>BB321-BC321</f>
        <v/>
      </c>
      <c r="BE321" s="10">
        <f>MIN('02_Данные'!Y321,BD321)</f>
        <v/>
      </c>
      <c r="BF321" s="10">
        <f>BD321-BE321</f>
        <v/>
      </c>
      <c r="BG321" s="10">
        <f>MIN('02_Данные'!Z321,BF321)</f>
        <v/>
      </c>
      <c r="BH321" s="10">
        <f>BF321-BG321</f>
        <v/>
      </c>
      <c r="BI321" s="10">
        <f>BH321+'02_Данные'!I321</f>
        <v/>
      </c>
      <c r="BJ321" s="10">
        <f>MIN('02_Данные'!AB321,BI321)</f>
        <v/>
      </c>
      <c r="BK321" s="10">
        <f>BI321-BJ321</f>
        <v/>
      </c>
      <c r="BL321" s="10">
        <f>MIN('02_Данные'!AC321,BK321)</f>
        <v/>
      </c>
      <c r="BM321" s="10">
        <f>BK321-BL321</f>
        <v/>
      </c>
      <c r="BN321" s="10">
        <f>MIN('02_Данные'!AD321,BM321)</f>
        <v/>
      </c>
      <c r="BO321" s="10">
        <f>BM321-BN321</f>
        <v/>
      </c>
      <c r="BP321" s="10">
        <f>MIN('02_Данные'!AI321,BO321)</f>
        <v/>
      </c>
      <c r="BQ321" s="10">
        <f>BO321-BP321</f>
        <v/>
      </c>
      <c r="BR321" s="10">
        <f>MIN('02_Данные'!AF321,BQ321)</f>
        <v/>
      </c>
      <c r="BS321" s="10">
        <f>BQ321-BR321</f>
        <v/>
      </c>
      <c r="BT321" s="10">
        <f>MIN('02_Данные'!AE321,BS321)</f>
        <v/>
      </c>
      <c r="BU321" s="10">
        <f>BS321-BT321</f>
        <v/>
      </c>
      <c r="BV321" s="10">
        <f>MIN('02_Данные'!AG321,BU321)</f>
        <v/>
      </c>
      <c r="BW321" s="10">
        <f>BU321-BV321</f>
        <v/>
      </c>
      <c r="BX321" s="10">
        <f>MIN('02_Данные'!AH321,BW321)</f>
        <v/>
      </c>
      <c r="BY321" s="10">
        <f>BW321-BX321</f>
        <v/>
      </c>
      <c r="BZ321" s="10">
        <f>BY321+'02_Данные'!J321</f>
        <v/>
      </c>
      <c r="CA321" s="10">
        <f>MIN('02_Данные'!AJ321,BZ321)</f>
        <v/>
      </c>
      <c r="CB321" s="10">
        <f>BZ321-CA321</f>
        <v/>
      </c>
      <c r="CC321" s="10">
        <f>MIN('02_Данные'!AK321,CB321)</f>
        <v/>
      </c>
      <c r="CD321" s="10">
        <f>CB321-CC321</f>
        <v/>
      </c>
      <c r="CE321" s="10">
        <f>MIN('02_Данные'!AL321,CD321)</f>
        <v/>
      </c>
      <c r="CF321" s="10">
        <f>CD321-CE321</f>
        <v/>
      </c>
      <c r="CG321" s="10">
        <f>MIN('02_Данные'!AQ321,CF321)</f>
        <v/>
      </c>
      <c r="CH321" s="10">
        <f>CF321-CG321</f>
        <v/>
      </c>
      <c r="CI321" s="10">
        <f>MIN('02_Данные'!AN321,CH321)</f>
        <v/>
      </c>
      <c r="CJ321" s="10">
        <f>CH321-CI321</f>
        <v/>
      </c>
      <c r="CK321" s="10">
        <f>MIN('02_Данные'!AM321,CJ321)</f>
        <v/>
      </c>
      <c r="CL321" s="10">
        <f>CJ321-CK321</f>
        <v/>
      </c>
      <c r="CM321" s="10">
        <f>MIN('02_Данные'!AO321,CL321)</f>
        <v/>
      </c>
      <c r="CN321" s="10">
        <f>CL321-CM321</f>
        <v/>
      </c>
      <c r="CO321" s="10">
        <f>MIN('02_Данные'!AP321,CN321)</f>
        <v/>
      </c>
      <c r="CP321" s="10">
        <f>CN321-CO321</f>
        <v/>
      </c>
      <c r="CQ321" s="10">
        <f>CP321+'02_Данные'!K321</f>
        <v/>
      </c>
      <c r="CR321" s="10">
        <f>MIN('02_Данные'!AR321,CQ321)</f>
        <v/>
      </c>
      <c r="CS321" s="10">
        <f>CQ321-CR321</f>
        <v/>
      </c>
      <c r="CT321" s="10">
        <f>MIN('02_Данные'!AS321,CS321)</f>
        <v/>
      </c>
      <c r="CU321" s="10">
        <f>CS321-CT321</f>
        <v/>
      </c>
      <c r="CV321" s="10">
        <f>MIN('02_Данные'!AT321,CU321)</f>
        <v/>
      </c>
      <c r="CW321" s="10">
        <f>CU321-CV321</f>
        <v/>
      </c>
      <c r="CX321" s="10">
        <f>MIN('02_Данные'!AY321,CW321)</f>
        <v/>
      </c>
      <c r="CY321" s="10">
        <f>CW321-CX321</f>
        <v/>
      </c>
      <c r="CZ321" s="10">
        <f>MIN('02_Данные'!AV321,CY321)</f>
        <v/>
      </c>
      <c r="DA321" s="10">
        <f>CY321-CZ321</f>
        <v/>
      </c>
      <c r="DB321" s="10">
        <f>MIN('02_Данные'!AU321,DA321)</f>
        <v/>
      </c>
      <c r="DC321" s="10">
        <f>DA321-DB321</f>
        <v/>
      </c>
      <c r="DD321" s="10">
        <f>MIN('02_Данные'!AW321,DC321)</f>
        <v/>
      </c>
      <c r="DE321" s="10">
        <f>DC321-DD321</f>
        <v/>
      </c>
      <c r="DF321" s="10">
        <f>MIN('02_Данные'!AX321,DE321)</f>
        <v/>
      </c>
      <c r="DG321" s="10">
        <f>DE321-DF321</f>
        <v/>
      </c>
    </row>
    <row r="322">
      <c r="A322" s="9">
        <f>'02_Данные'!B322</f>
        <v/>
      </c>
      <c r="B322" s="9">
        <f>'02_Данные'!E322</f>
        <v/>
      </c>
      <c r="C322" s="10">
        <f>'02_Данные'!F322+'02_Данные'!G322+'02_Данные'!H322+'02_Данные'!I322+'02_Данные'!J322+'02_Данные'!K322</f>
        <v/>
      </c>
      <c r="D322" s="10">
        <f>SUM('02_Данные'!L322:'02_Данные'!AY322)</f>
        <v/>
      </c>
      <c r="E322" s="10">
        <f>MAX(0,D322-C322)</f>
        <v/>
      </c>
      <c r="F322" s="15">
        <f>IF(E322&gt;0.0001,"ДЕФИЦИТ",IF(Y322&gt;0.0001,"ПРОФИЦИТ","БАЛАНС"))</f>
        <v/>
      </c>
      <c r="G322" s="10">
        <f>AB322+AS322+BJ322+CA322+CR322</f>
        <v/>
      </c>
      <c r="H322" s="10">
        <f>AD322+AU322+BL322+CC322+CT322</f>
        <v/>
      </c>
      <c r="I322" s="10">
        <f>AF322+AW322+BN322+CE322+CV322</f>
        <v/>
      </c>
      <c r="J322" s="10">
        <f>AL322+BC322+BT322+CK322+DB322</f>
        <v/>
      </c>
      <c r="K322" s="10">
        <f>AJ322+BA322+BR322+CI322+CZ322</f>
        <v/>
      </c>
      <c r="L322" s="10">
        <f>AN322+BE322+BV322+CM322+DD322</f>
        <v/>
      </c>
      <c r="M322" s="10">
        <f>AP322+BG322+BX322+CO322+DF322</f>
        <v/>
      </c>
      <c r="N322" s="10">
        <f>AH322+AY322+BP322+CG322+CX322</f>
        <v/>
      </c>
      <c r="O322" s="10">
        <f>SUM(G322:N322)</f>
        <v/>
      </c>
      <c r="P322" s="10">
        <f>IFERROR(G322*MIN(1,'01_Нормативы'!$C$4/SUM(G$2:G$429)),0)</f>
        <v/>
      </c>
      <c r="Q322" s="10">
        <f>IFERROR(H322*MIN(1,'01_Нормативы'!$C$5/SUM(H$2:H$429)),0)</f>
        <v/>
      </c>
      <c r="R322" s="10">
        <f>IFERROR(I322*MIN(1,'01_Нормативы'!$C$6/SUM(I$2:I$429)),0)</f>
        <v/>
      </c>
      <c r="S322" s="10">
        <f>IFERROR(J322*MIN(1,'01_Нормативы'!$C$7/SUM(J$2:J$429)),0)</f>
        <v/>
      </c>
      <c r="T322" s="10">
        <f>IFERROR(K322*MIN(1,'01_Нормативы'!$C$8/SUM(K$2:K$429)),0)</f>
        <v/>
      </c>
      <c r="U322" s="10">
        <f>IFERROR(L322*MIN(1,'01_Нормативы'!$C$9/SUM(L$2:L$429)),0)</f>
        <v/>
      </c>
      <c r="V322" s="10">
        <f>IFERROR(M322*MIN(1,'01_Нормативы'!$C$10/SUM(M$2:M$429)),0)</f>
        <v/>
      </c>
      <c r="W322" s="10">
        <f>IFERROR(N322*MIN(1,'01_Нормативы'!$C$11/SUM(N$2:N$429)),0)</f>
        <v/>
      </c>
      <c r="X322" s="10">
        <f>SUM(P322:W322)</f>
        <v/>
      </c>
      <c r="Y322" s="10">
        <f>MAX(0,C322-X322)</f>
        <v/>
      </c>
      <c r="Z322" s="10">
        <f>IF(D322=0,100,X322/D322*100)</f>
        <v/>
      </c>
      <c r="AA322" s="10">
        <f>'02_Данные'!F322+'02_Данные'!G322</f>
        <v/>
      </c>
      <c r="AB322" s="10">
        <f>MIN('02_Данные'!L322,AA322)</f>
        <v/>
      </c>
      <c r="AC322" s="10">
        <f>AA322-AB322</f>
        <v/>
      </c>
      <c r="AD322" s="10">
        <f>MIN('02_Данные'!M322,AC322)</f>
        <v/>
      </c>
      <c r="AE322" s="10">
        <f>AC322-AD322</f>
        <v/>
      </c>
      <c r="AF322" s="10">
        <f>MIN('02_Данные'!N322,AE322)</f>
        <v/>
      </c>
      <c r="AG322" s="10">
        <f>AE322-AF322</f>
        <v/>
      </c>
      <c r="AH322" s="10">
        <f>MIN('02_Данные'!S322,AG322)</f>
        <v/>
      </c>
      <c r="AI322" s="10">
        <f>AG322-AH322</f>
        <v/>
      </c>
      <c r="AJ322" s="10">
        <f>MIN('02_Данные'!P322,AI322)</f>
        <v/>
      </c>
      <c r="AK322" s="10">
        <f>AI322-AJ322</f>
        <v/>
      </c>
      <c r="AL322" s="10">
        <f>MIN('02_Данные'!O322,AK322)</f>
        <v/>
      </c>
      <c r="AM322" s="10">
        <f>AK322-AL322</f>
        <v/>
      </c>
      <c r="AN322" s="10">
        <f>MIN('02_Данные'!Q322,AM322)</f>
        <v/>
      </c>
      <c r="AO322" s="10">
        <f>AM322-AN322</f>
        <v/>
      </c>
      <c r="AP322" s="10">
        <f>MIN('02_Данные'!R322,AO322)</f>
        <v/>
      </c>
      <c r="AQ322" s="10">
        <f>AO322-AP322</f>
        <v/>
      </c>
      <c r="AR322" s="10">
        <f>AQ322+'02_Данные'!H322</f>
        <v/>
      </c>
      <c r="AS322" s="10">
        <f>MIN('02_Данные'!T322,AR322)</f>
        <v/>
      </c>
      <c r="AT322" s="10">
        <f>AR322-AS322</f>
        <v/>
      </c>
      <c r="AU322" s="10">
        <f>MIN('02_Данные'!U322,AT322)</f>
        <v/>
      </c>
      <c r="AV322" s="10">
        <f>AT322-AU322</f>
        <v/>
      </c>
      <c r="AW322" s="10">
        <f>MIN('02_Данные'!V322,AV322)</f>
        <v/>
      </c>
      <c r="AX322" s="10">
        <f>AV322-AW322</f>
        <v/>
      </c>
      <c r="AY322" s="10">
        <f>MIN('02_Данные'!AA322,AX322)</f>
        <v/>
      </c>
      <c r="AZ322" s="10">
        <f>AX322-AY322</f>
        <v/>
      </c>
      <c r="BA322" s="10">
        <f>MIN('02_Данные'!X322,AZ322)</f>
        <v/>
      </c>
      <c r="BB322" s="10">
        <f>AZ322-BA322</f>
        <v/>
      </c>
      <c r="BC322" s="10">
        <f>MIN('02_Данные'!W322,BB322)</f>
        <v/>
      </c>
      <c r="BD322" s="10">
        <f>BB322-BC322</f>
        <v/>
      </c>
      <c r="BE322" s="10">
        <f>MIN('02_Данные'!Y322,BD322)</f>
        <v/>
      </c>
      <c r="BF322" s="10">
        <f>BD322-BE322</f>
        <v/>
      </c>
      <c r="BG322" s="10">
        <f>MIN('02_Данные'!Z322,BF322)</f>
        <v/>
      </c>
      <c r="BH322" s="10">
        <f>BF322-BG322</f>
        <v/>
      </c>
      <c r="BI322" s="10">
        <f>BH322+'02_Данные'!I322</f>
        <v/>
      </c>
      <c r="BJ322" s="10">
        <f>MIN('02_Данные'!AB322,BI322)</f>
        <v/>
      </c>
      <c r="BK322" s="10">
        <f>BI322-BJ322</f>
        <v/>
      </c>
      <c r="BL322" s="10">
        <f>MIN('02_Данные'!AC322,BK322)</f>
        <v/>
      </c>
      <c r="BM322" s="10">
        <f>BK322-BL322</f>
        <v/>
      </c>
      <c r="BN322" s="10">
        <f>MIN('02_Данные'!AD322,BM322)</f>
        <v/>
      </c>
      <c r="BO322" s="10">
        <f>BM322-BN322</f>
        <v/>
      </c>
      <c r="BP322" s="10">
        <f>MIN('02_Данные'!AI322,BO322)</f>
        <v/>
      </c>
      <c r="BQ322" s="10">
        <f>BO322-BP322</f>
        <v/>
      </c>
      <c r="BR322" s="10">
        <f>MIN('02_Данные'!AF322,BQ322)</f>
        <v/>
      </c>
      <c r="BS322" s="10">
        <f>BQ322-BR322</f>
        <v/>
      </c>
      <c r="BT322" s="10">
        <f>MIN('02_Данные'!AE322,BS322)</f>
        <v/>
      </c>
      <c r="BU322" s="10">
        <f>BS322-BT322</f>
        <v/>
      </c>
      <c r="BV322" s="10">
        <f>MIN('02_Данные'!AG322,BU322)</f>
        <v/>
      </c>
      <c r="BW322" s="10">
        <f>BU322-BV322</f>
        <v/>
      </c>
      <c r="BX322" s="10">
        <f>MIN('02_Данные'!AH322,BW322)</f>
        <v/>
      </c>
      <c r="BY322" s="10">
        <f>BW322-BX322</f>
        <v/>
      </c>
      <c r="BZ322" s="10">
        <f>BY322+'02_Данные'!J322</f>
        <v/>
      </c>
      <c r="CA322" s="10">
        <f>MIN('02_Данные'!AJ322,BZ322)</f>
        <v/>
      </c>
      <c r="CB322" s="10">
        <f>BZ322-CA322</f>
        <v/>
      </c>
      <c r="CC322" s="10">
        <f>MIN('02_Данные'!AK322,CB322)</f>
        <v/>
      </c>
      <c r="CD322" s="10">
        <f>CB322-CC322</f>
        <v/>
      </c>
      <c r="CE322" s="10">
        <f>MIN('02_Данные'!AL322,CD322)</f>
        <v/>
      </c>
      <c r="CF322" s="10">
        <f>CD322-CE322</f>
        <v/>
      </c>
      <c r="CG322" s="10">
        <f>MIN('02_Данные'!AQ322,CF322)</f>
        <v/>
      </c>
      <c r="CH322" s="10">
        <f>CF322-CG322</f>
        <v/>
      </c>
      <c r="CI322" s="10">
        <f>MIN('02_Данные'!AN322,CH322)</f>
        <v/>
      </c>
      <c r="CJ322" s="10">
        <f>CH322-CI322</f>
        <v/>
      </c>
      <c r="CK322" s="10">
        <f>MIN('02_Данные'!AM322,CJ322)</f>
        <v/>
      </c>
      <c r="CL322" s="10">
        <f>CJ322-CK322</f>
        <v/>
      </c>
      <c r="CM322" s="10">
        <f>MIN('02_Данные'!AO322,CL322)</f>
        <v/>
      </c>
      <c r="CN322" s="10">
        <f>CL322-CM322</f>
        <v/>
      </c>
      <c r="CO322" s="10">
        <f>MIN('02_Данные'!AP322,CN322)</f>
        <v/>
      </c>
      <c r="CP322" s="10">
        <f>CN322-CO322</f>
        <v/>
      </c>
      <c r="CQ322" s="10">
        <f>CP322+'02_Данные'!K322</f>
        <v/>
      </c>
      <c r="CR322" s="10">
        <f>MIN('02_Данные'!AR322,CQ322)</f>
        <v/>
      </c>
      <c r="CS322" s="10">
        <f>CQ322-CR322</f>
        <v/>
      </c>
      <c r="CT322" s="10">
        <f>MIN('02_Данные'!AS322,CS322)</f>
        <v/>
      </c>
      <c r="CU322" s="10">
        <f>CS322-CT322</f>
        <v/>
      </c>
      <c r="CV322" s="10">
        <f>MIN('02_Данные'!AT322,CU322)</f>
        <v/>
      </c>
      <c r="CW322" s="10">
        <f>CU322-CV322</f>
        <v/>
      </c>
      <c r="CX322" s="10">
        <f>MIN('02_Данные'!AY322,CW322)</f>
        <v/>
      </c>
      <c r="CY322" s="10">
        <f>CW322-CX322</f>
        <v/>
      </c>
      <c r="CZ322" s="10">
        <f>MIN('02_Данные'!AV322,CY322)</f>
        <v/>
      </c>
      <c r="DA322" s="10">
        <f>CY322-CZ322</f>
        <v/>
      </c>
      <c r="DB322" s="10">
        <f>MIN('02_Данные'!AU322,DA322)</f>
        <v/>
      </c>
      <c r="DC322" s="10">
        <f>DA322-DB322</f>
        <v/>
      </c>
      <c r="DD322" s="10">
        <f>MIN('02_Данные'!AW322,DC322)</f>
        <v/>
      </c>
      <c r="DE322" s="10">
        <f>DC322-DD322</f>
        <v/>
      </c>
      <c r="DF322" s="10">
        <f>MIN('02_Данные'!AX322,DE322)</f>
        <v/>
      </c>
      <c r="DG322" s="10">
        <f>DE322-DF322</f>
        <v/>
      </c>
    </row>
    <row r="323">
      <c r="A323" s="9">
        <f>'02_Данные'!B323</f>
        <v/>
      </c>
      <c r="B323" s="9">
        <f>'02_Данные'!E323</f>
        <v/>
      </c>
      <c r="C323" s="10">
        <f>'02_Данные'!F323+'02_Данные'!G323+'02_Данные'!H323+'02_Данные'!I323+'02_Данные'!J323+'02_Данные'!K323</f>
        <v/>
      </c>
      <c r="D323" s="10">
        <f>SUM('02_Данные'!L323:'02_Данные'!AY323)</f>
        <v/>
      </c>
      <c r="E323" s="10">
        <f>MAX(0,D323-C323)</f>
        <v/>
      </c>
      <c r="F323" s="15">
        <f>IF(E323&gt;0.0001,"ДЕФИЦИТ",IF(Y323&gt;0.0001,"ПРОФИЦИТ","БАЛАНС"))</f>
        <v/>
      </c>
      <c r="G323" s="10">
        <f>AB323+AS323+BJ323+CA323+CR323</f>
        <v/>
      </c>
      <c r="H323" s="10">
        <f>AD323+AU323+BL323+CC323+CT323</f>
        <v/>
      </c>
      <c r="I323" s="10">
        <f>AF323+AW323+BN323+CE323+CV323</f>
        <v/>
      </c>
      <c r="J323" s="10">
        <f>AL323+BC323+BT323+CK323+DB323</f>
        <v/>
      </c>
      <c r="K323" s="10">
        <f>AJ323+BA323+BR323+CI323+CZ323</f>
        <v/>
      </c>
      <c r="L323" s="10">
        <f>AN323+BE323+BV323+CM323+DD323</f>
        <v/>
      </c>
      <c r="M323" s="10">
        <f>AP323+BG323+BX323+CO323+DF323</f>
        <v/>
      </c>
      <c r="N323" s="10">
        <f>AH323+AY323+BP323+CG323+CX323</f>
        <v/>
      </c>
      <c r="O323" s="10">
        <f>SUM(G323:N323)</f>
        <v/>
      </c>
      <c r="P323" s="10">
        <f>IFERROR(G323*MIN(1,'01_Нормативы'!$C$4/SUM(G$2:G$429)),0)</f>
        <v/>
      </c>
      <c r="Q323" s="10">
        <f>IFERROR(H323*MIN(1,'01_Нормативы'!$C$5/SUM(H$2:H$429)),0)</f>
        <v/>
      </c>
      <c r="R323" s="10">
        <f>IFERROR(I323*MIN(1,'01_Нормативы'!$C$6/SUM(I$2:I$429)),0)</f>
        <v/>
      </c>
      <c r="S323" s="10">
        <f>IFERROR(J323*MIN(1,'01_Нормативы'!$C$7/SUM(J$2:J$429)),0)</f>
        <v/>
      </c>
      <c r="T323" s="10">
        <f>IFERROR(K323*MIN(1,'01_Нормативы'!$C$8/SUM(K$2:K$429)),0)</f>
        <v/>
      </c>
      <c r="U323" s="10">
        <f>IFERROR(L323*MIN(1,'01_Нормативы'!$C$9/SUM(L$2:L$429)),0)</f>
        <v/>
      </c>
      <c r="V323" s="10">
        <f>IFERROR(M323*MIN(1,'01_Нормативы'!$C$10/SUM(M$2:M$429)),0)</f>
        <v/>
      </c>
      <c r="W323" s="10">
        <f>IFERROR(N323*MIN(1,'01_Нормативы'!$C$11/SUM(N$2:N$429)),0)</f>
        <v/>
      </c>
      <c r="X323" s="10">
        <f>SUM(P323:W323)</f>
        <v/>
      </c>
      <c r="Y323" s="10">
        <f>MAX(0,C323-X323)</f>
        <v/>
      </c>
      <c r="Z323" s="10">
        <f>IF(D323=0,100,X323/D323*100)</f>
        <v/>
      </c>
      <c r="AA323" s="10">
        <f>'02_Данные'!F323+'02_Данные'!G323</f>
        <v/>
      </c>
      <c r="AB323" s="10">
        <f>MIN('02_Данные'!L323,AA323)</f>
        <v/>
      </c>
      <c r="AC323" s="10">
        <f>AA323-AB323</f>
        <v/>
      </c>
      <c r="AD323" s="10">
        <f>MIN('02_Данные'!M323,AC323)</f>
        <v/>
      </c>
      <c r="AE323" s="10">
        <f>AC323-AD323</f>
        <v/>
      </c>
      <c r="AF323" s="10">
        <f>MIN('02_Данные'!N323,AE323)</f>
        <v/>
      </c>
      <c r="AG323" s="10">
        <f>AE323-AF323</f>
        <v/>
      </c>
      <c r="AH323" s="10">
        <f>MIN('02_Данные'!S323,AG323)</f>
        <v/>
      </c>
      <c r="AI323" s="10">
        <f>AG323-AH323</f>
        <v/>
      </c>
      <c r="AJ323" s="10">
        <f>MIN('02_Данные'!P323,AI323)</f>
        <v/>
      </c>
      <c r="AK323" s="10">
        <f>AI323-AJ323</f>
        <v/>
      </c>
      <c r="AL323" s="10">
        <f>MIN('02_Данные'!O323,AK323)</f>
        <v/>
      </c>
      <c r="AM323" s="10">
        <f>AK323-AL323</f>
        <v/>
      </c>
      <c r="AN323" s="10">
        <f>MIN('02_Данные'!Q323,AM323)</f>
        <v/>
      </c>
      <c r="AO323" s="10">
        <f>AM323-AN323</f>
        <v/>
      </c>
      <c r="AP323" s="10">
        <f>MIN('02_Данные'!R323,AO323)</f>
        <v/>
      </c>
      <c r="AQ323" s="10">
        <f>AO323-AP323</f>
        <v/>
      </c>
      <c r="AR323" s="10">
        <f>AQ323+'02_Данные'!H323</f>
        <v/>
      </c>
      <c r="AS323" s="10">
        <f>MIN('02_Данные'!T323,AR323)</f>
        <v/>
      </c>
      <c r="AT323" s="10">
        <f>AR323-AS323</f>
        <v/>
      </c>
      <c r="AU323" s="10">
        <f>MIN('02_Данные'!U323,AT323)</f>
        <v/>
      </c>
      <c r="AV323" s="10">
        <f>AT323-AU323</f>
        <v/>
      </c>
      <c r="AW323" s="10">
        <f>MIN('02_Данные'!V323,AV323)</f>
        <v/>
      </c>
      <c r="AX323" s="10">
        <f>AV323-AW323</f>
        <v/>
      </c>
      <c r="AY323" s="10">
        <f>MIN('02_Данные'!AA323,AX323)</f>
        <v/>
      </c>
      <c r="AZ323" s="10">
        <f>AX323-AY323</f>
        <v/>
      </c>
      <c r="BA323" s="10">
        <f>MIN('02_Данные'!X323,AZ323)</f>
        <v/>
      </c>
      <c r="BB323" s="10">
        <f>AZ323-BA323</f>
        <v/>
      </c>
      <c r="BC323" s="10">
        <f>MIN('02_Данные'!W323,BB323)</f>
        <v/>
      </c>
      <c r="BD323" s="10">
        <f>BB323-BC323</f>
        <v/>
      </c>
      <c r="BE323" s="10">
        <f>MIN('02_Данные'!Y323,BD323)</f>
        <v/>
      </c>
      <c r="BF323" s="10">
        <f>BD323-BE323</f>
        <v/>
      </c>
      <c r="BG323" s="10">
        <f>MIN('02_Данные'!Z323,BF323)</f>
        <v/>
      </c>
      <c r="BH323" s="10">
        <f>BF323-BG323</f>
        <v/>
      </c>
      <c r="BI323" s="10">
        <f>BH323+'02_Данные'!I323</f>
        <v/>
      </c>
      <c r="BJ323" s="10">
        <f>MIN('02_Данные'!AB323,BI323)</f>
        <v/>
      </c>
      <c r="BK323" s="10">
        <f>BI323-BJ323</f>
        <v/>
      </c>
      <c r="BL323" s="10">
        <f>MIN('02_Данные'!AC323,BK323)</f>
        <v/>
      </c>
      <c r="BM323" s="10">
        <f>BK323-BL323</f>
        <v/>
      </c>
      <c r="BN323" s="10">
        <f>MIN('02_Данные'!AD323,BM323)</f>
        <v/>
      </c>
      <c r="BO323" s="10">
        <f>BM323-BN323</f>
        <v/>
      </c>
      <c r="BP323" s="10">
        <f>MIN('02_Данные'!AI323,BO323)</f>
        <v/>
      </c>
      <c r="BQ323" s="10">
        <f>BO323-BP323</f>
        <v/>
      </c>
      <c r="BR323" s="10">
        <f>MIN('02_Данные'!AF323,BQ323)</f>
        <v/>
      </c>
      <c r="BS323" s="10">
        <f>BQ323-BR323</f>
        <v/>
      </c>
      <c r="BT323" s="10">
        <f>MIN('02_Данные'!AE323,BS323)</f>
        <v/>
      </c>
      <c r="BU323" s="10">
        <f>BS323-BT323</f>
        <v/>
      </c>
      <c r="BV323" s="10">
        <f>MIN('02_Данные'!AG323,BU323)</f>
        <v/>
      </c>
      <c r="BW323" s="10">
        <f>BU323-BV323</f>
        <v/>
      </c>
      <c r="BX323" s="10">
        <f>MIN('02_Данные'!AH323,BW323)</f>
        <v/>
      </c>
      <c r="BY323" s="10">
        <f>BW323-BX323</f>
        <v/>
      </c>
      <c r="BZ323" s="10">
        <f>BY323+'02_Данные'!J323</f>
        <v/>
      </c>
      <c r="CA323" s="10">
        <f>MIN('02_Данные'!AJ323,BZ323)</f>
        <v/>
      </c>
      <c r="CB323" s="10">
        <f>BZ323-CA323</f>
        <v/>
      </c>
      <c r="CC323" s="10">
        <f>MIN('02_Данные'!AK323,CB323)</f>
        <v/>
      </c>
      <c r="CD323" s="10">
        <f>CB323-CC323</f>
        <v/>
      </c>
      <c r="CE323" s="10">
        <f>MIN('02_Данные'!AL323,CD323)</f>
        <v/>
      </c>
      <c r="CF323" s="10">
        <f>CD323-CE323</f>
        <v/>
      </c>
      <c r="CG323" s="10">
        <f>MIN('02_Данные'!AQ323,CF323)</f>
        <v/>
      </c>
      <c r="CH323" s="10">
        <f>CF323-CG323</f>
        <v/>
      </c>
      <c r="CI323" s="10">
        <f>MIN('02_Данные'!AN323,CH323)</f>
        <v/>
      </c>
      <c r="CJ323" s="10">
        <f>CH323-CI323</f>
        <v/>
      </c>
      <c r="CK323" s="10">
        <f>MIN('02_Данные'!AM323,CJ323)</f>
        <v/>
      </c>
      <c r="CL323" s="10">
        <f>CJ323-CK323</f>
        <v/>
      </c>
      <c r="CM323" s="10">
        <f>MIN('02_Данные'!AO323,CL323)</f>
        <v/>
      </c>
      <c r="CN323" s="10">
        <f>CL323-CM323</f>
        <v/>
      </c>
      <c r="CO323" s="10">
        <f>MIN('02_Данные'!AP323,CN323)</f>
        <v/>
      </c>
      <c r="CP323" s="10">
        <f>CN323-CO323</f>
        <v/>
      </c>
      <c r="CQ323" s="10">
        <f>CP323+'02_Данные'!K323</f>
        <v/>
      </c>
      <c r="CR323" s="10">
        <f>MIN('02_Данные'!AR323,CQ323)</f>
        <v/>
      </c>
      <c r="CS323" s="10">
        <f>CQ323-CR323</f>
        <v/>
      </c>
      <c r="CT323" s="10">
        <f>MIN('02_Данные'!AS323,CS323)</f>
        <v/>
      </c>
      <c r="CU323" s="10">
        <f>CS323-CT323</f>
        <v/>
      </c>
      <c r="CV323" s="10">
        <f>MIN('02_Данные'!AT323,CU323)</f>
        <v/>
      </c>
      <c r="CW323" s="10">
        <f>CU323-CV323</f>
        <v/>
      </c>
      <c r="CX323" s="10">
        <f>MIN('02_Данные'!AY323,CW323)</f>
        <v/>
      </c>
      <c r="CY323" s="10">
        <f>CW323-CX323</f>
        <v/>
      </c>
      <c r="CZ323" s="10">
        <f>MIN('02_Данные'!AV323,CY323)</f>
        <v/>
      </c>
      <c r="DA323" s="10">
        <f>CY323-CZ323</f>
        <v/>
      </c>
      <c r="DB323" s="10">
        <f>MIN('02_Данные'!AU323,DA323)</f>
        <v/>
      </c>
      <c r="DC323" s="10">
        <f>DA323-DB323</f>
        <v/>
      </c>
      <c r="DD323" s="10">
        <f>MIN('02_Данные'!AW323,DC323)</f>
        <v/>
      </c>
      <c r="DE323" s="10">
        <f>DC323-DD323</f>
        <v/>
      </c>
      <c r="DF323" s="10">
        <f>MIN('02_Данные'!AX323,DE323)</f>
        <v/>
      </c>
      <c r="DG323" s="10">
        <f>DE323-DF323</f>
        <v/>
      </c>
    </row>
    <row r="324">
      <c r="A324" s="9">
        <f>'02_Данные'!B324</f>
        <v/>
      </c>
      <c r="B324" s="9">
        <f>'02_Данные'!E324</f>
        <v/>
      </c>
      <c r="C324" s="10">
        <f>'02_Данные'!F324+'02_Данные'!G324+'02_Данные'!H324+'02_Данные'!I324+'02_Данные'!J324+'02_Данные'!K324</f>
        <v/>
      </c>
      <c r="D324" s="10">
        <f>SUM('02_Данные'!L324:'02_Данные'!AY324)</f>
        <v/>
      </c>
      <c r="E324" s="10">
        <f>MAX(0,D324-C324)</f>
        <v/>
      </c>
      <c r="F324" s="15">
        <f>IF(E324&gt;0.0001,"ДЕФИЦИТ",IF(Y324&gt;0.0001,"ПРОФИЦИТ","БАЛАНС"))</f>
        <v/>
      </c>
      <c r="G324" s="10">
        <f>AB324+AS324+BJ324+CA324+CR324</f>
        <v/>
      </c>
      <c r="H324" s="10">
        <f>AD324+AU324+BL324+CC324+CT324</f>
        <v/>
      </c>
      <c r="I324" s="10">
        <f>AF324+AW324+BN324+CE324+CV324</f>
        <v/>
      </c>
      <c r="J324" s="10">
        <f>AL324+BC324+BT324+CK324+DB324</f>
        <v/>
      </c>
      <c r="K324" s="10">
        <f>AJ324+BA324+BR324+CI324+CZ324</f>
        <v/>
      </c>
      <c r="L324" s="10">
        <f>AN324+BE324+BV324+CM324+DD324</f>
        <v/>
      </c>
      <c r="M324" s="10">
        <f>AP324+BG324+BX324+CO324+DF324</f>
        <v/>
      </c>
      <c r="N324" s="10">
        <f>AH324+AY324+BP324+CG324+CX324</f>
        <v/>
      </c>
      <c r="O324" s="10">
        <f>SUM(G324:N324)</f>
        <v/>
      </c>
      <c r="P324" s="10">
        <f>IFERROR(G324*MIN(1,'01_Нормативы'!$C$4/SUM(G$2:G$429)),0)</f>
        <v/>
      </c>
      <c r="Q324" s="10">
        <f>IFERROR(H324*MIN(1,'01_Нормативы'!$C$5/SUM(H$2:H$429)),0)</f>
        <v/>
      </c>
      <c r="R324" s="10">
        <f>IFERROR(I324*MIN(1,'01_Нормативы'!$C$6/SUM(I$2:I$429)),0)</f>
        <v/>
      </c>
      <c r="S324" s="10">
        <f>IFERROR(J324*MIN(1,'01_Нормативы'!$C$7/SUM(J$2:J$429)),0)</f>
        <v/>
      </c>
      <c r="T324" s="10">
        <f>IFERROR(K324*MIN(1,'01_Нормативы'!$C$8/SUM(K$2:K$429)),0)</f>
        <v/>
      </c>
      <c r="U324" s="10">
        <f>IFERROR(L324*MIN(1,'01_Нормативы'!$C$9/SUM(L$2:L$429)),0)</f>
        <v/>
      </c>
      <c r="V324" s="10">
        <f>IFERROR(M324*MIN(1,'01_Нормативы'!$C$10/SUM(M$2:M$429)),0)</f>
        <v/>
      </c>
      <c r="W324" s="10">
        <f>IFERROR(N324*MIN(1,'01_Нормативы'!$C$11/SUM(N$2:N$429)),0)</f>
        <v/>
      </c>
      <c r="X324" s="10">
        <f>SUM(P324:W324)</f>
        <v/>
      </c>
      <c r="Y324" s="10">
        <f>MAX(0,C324-X324)</f>
        <v/>
      </c>
      <c r="Z324" s="10">
        <f>IF(D324=0,100,X324/D324*100)</f>
        <v/>
      </c>
      <c r="AA324" s="10">
        <f>'02_Данные'!F324+'02_Данные'!G324</f>
        <v/>
      </c>
      <c r="AB324" s="10">
        <f>MIN('02_Данные'!L324,AA324)</f>
        <v/>
      </c>
      <c r="AC324" s="10">
        <f>AA324-AB324</f>
        <v/>
      </c>
      <c r="AD324" s="10">
        <f>MIN('02_Данные'!M324,AC324)</f>
        <v/>
      </c>
      <c r="AE324" s="10">
        <f>AC324-AD324</f>
        <v/>
      </c>
      <c r="AF324" s="10">
        <f>MIN('02_Данные'!N324,AE324)</f>
        <v/>
      </c>
      <c r="AG324" s="10">
        <f>AE324-AF324</f>
        <v/>
      </c>
      <c r="AH324" s="10">
        <f>MIN('02_Данные'!S324,AG324)</f>
        <v/>
      </c>
      <c r="AI324" s="10">
        <f>AG324-AH324</f>
        <v/>
      </c>
      <c r="AJ324" s="10">
        <f>MIN('02_Данные'!P324,AI324)</f>
        <v/>
      </c>
      <c r="AK324" s="10">
        <f>AI324-AJ324</f>
        <v/>
      </c>
      <c r="AL324" s="10">
        <f>MIN('02_Данные'!O324,AK324)</f>
        <v/>
      </c>
      <c r="AM324" s="10">
        <f>AK324-AL324</f>
        <v/>
      </c>
      <c r="AN324" s="10">
        <f>MIN('02_Данные'!Q324,AM324)</f>
        <v/>
      </c>
      <c r="AO324" s="10">
        <f>AM324-AN324</f>
        <v/>
      </c>
      <c r="AP324" s="10">
        <f>MIN('02_Данные'!R324,AO324)</f>
        <v/>
      </c>
      <c r="AQ324" s="10">
        <f>AO324-AP324</f>
        <v/>
      </c>
      <c r="AR324" s="10">
        <f>AQ324+'02_Данные'!H324</f>
        <v/>
      </c>
      <c r="AS324" s="10">
        <f>MIN('02_Данные'!T324,AR324)</f>
        <v/>
      </c>
      <c r="AT324" s="10">
        <f>AR324-AS324</f>
        <v/>
      </c>
      <c r="AU324" s="10">
        <f>MIN('02_Данные'!U324,AT324)</f>
        <v/>
      </c>
      <c r="AV324" s="10">
        <f>AT324-AU324</f>
        <v/>
      </c>
      <c r="AW324" s="10">
        <f>MIN('02_Данные'!V324,AV324)</f>
        <v/>
      </c>
      <c r="AX324" s="10">
        <f>AV324-AW324</f>
        <v/>
      </c>
      <c r="AY324" s="10">
        <f>MIN('02_Данные'!AA324,AX324)</f>
        <v/>
      </c>
      <c r="AZ324" s="10">
        <f>AX324-AY324</f>
        <v/>
      </c>
      <c r="BA324" s="10">
        <f>MIN('02_Данные'!X324,AZ324)</f>
        <v/>
      </c>
      <c r="BB324" s="10">
        <f>AZ324-BA324</f>
        <v/>
      </c>
      <c r="BC324" s="10">
        <f>MIN('02_Данные'!W324,BB324)</f>
        <v/>
      </c>
      <c r="BD324" s="10">
        <f>BB324-BC324</f>
        <v/>
      </c>
      <c r="BE324" s="10">
        <f>MIN('02_Данные'!Y324,BD324)</f>
        <v/>
      </c>
      <c r="BF324" s="10">
        <f>BD324-BE324</f>
        <v/>
      </c>
      <c r="BG324" s="10">
        <f>MIN('02_Данные'!Z324,BF324)</f>
        <v/>
      </c>
      <c r="BH324" s="10">
        <f>BF324-BG324</f>
        <v/>
      </c>
      <c r="BI324" s="10">
        <f>BH324+'02_Данные'!I324</f>
        <v/>
      </c>
      <c r="BJ324" s="10">
        <f>MIN('02_Данные'!AB324,BI324)</f>
        <v/>
      </c>
      <c r="BK324" s="10">
        <f>BI324-BJ324</f>
        <v/>
      </c>
      <c r="BL324" s="10">
        <f>MIN('02_Данные'!AC324,BK324)</f>
        <v/>
      </c>
      <c r="BM324" s="10">
        <f>BK324-BL324</f>
        <v/>
      </c>
      <c r="BN324" s="10">
        <f>MIN('02_Данные'!AD324,BM324)</f>
        <v/>
      </c>
      <c r="BO324" s="10">
        <f>BM324-BN324</f>
        <v/>
      </c>
      <c r="BP324" s="10">
        <f>MIN('02_Данные'!AI324,BO324)</f>
        <v/>
      </c>
      <c r="BQ324" s="10">
        <f>BO324-BP324</f>
        <v/>
      </c>
      <c r="BR324" s="10">
        <f>MIN('02_Данные'!AF324,BQ324)</f>
        <v/>
      </c>
      <c r="BS324" s="10">
        <f>BQ324-BR324</f>
        <v/>
      </c>
      <c r="BT324" s="10">
        <f>MIN('02_Данные'!AE324,BS324)</f>
        <v/>
      </c>
      <c r="BU324" s="10">
        <f>BS324-BT324</f>
        <v/>
      </c>
      <c r="BV324" s="10">
        <f>MIN('02_Данные'!AG324,BU324)</f>
        <v/>
      </c>
      <c r="BW324" s="10">
        <f>BU324-BV324</f>
        <v/>
      </c>
      <c r="BX324" s="10">
        <f>MIN('02_Данные'!AH324,BW324)</f>
        <v/>
      </c>
      <c r="BY324" s="10">
        <f>BW324-BX324</f>
        <v/>
      </c>
      <c r="BZ324" s="10">
        <f>BY324+'02_Данные'!J324</f>
        <v/>
      </c>
      <c r="CA324" s="10">
        <f>MIN('02_Данные'!AJ324,BZ324)</f>
        <v/>
      </c>
      <c r="CB324" s="10">
        <f>BZ324-CA324</f>
        <v/>
      </c>
      <c r="CC324" s="10">
        <f>MIN('02_Данные'!AK324,CB324)</f>
        <v/>
      </c>
      <c r="CD324" s="10">
        <f>CB324-CC324</f>
        <v/>
      </c>
      <c r="CE324" s="10">
        <f>MIN('02_Данные'!AL324,CD324)</f>
        <v/>
      </c>
      <c r="CF324" s="10">
        <f>CD324-CE324</f>
        <v/>
      </c>
      <c r="CG324" s="10">
        <f>MIN('02_Данные'!AQ324,CF324)</f>
        <v/>
      </c>
      <c r="CH324" s="10">
        <f>CF324-CG324</f>
        <v/>
      </c>
      <c r="CI324" s="10">
        <f>MIN('02_Данные'!AN324,CH324)</f>
        <v/>
      </c>
      <c r="CJ324" s="10">
        <f>CH324-CI324</f>
        <v/>
      </c>
      <c r="CK324" s="10">
        <f>MIN('02_Данные'!AM324,CJ324)</f>
        <v/>
      </c>
      <c r="CL324" s="10">
        <f>CJ324-CK324</f>
        <v/>
      </c>
      <c r="CM324" s="10">
        <f>MIN('02_Данные'!AO324,CL324)</f>
        <v/>
      </c>
      <c r="CN324" s="10">
        <f>CL324-CM324</f>
        <v/>
      </c>
      <c r="CO324" s="10">
        <f>MIN('02_Данные'!AP324,CN324)</f>
        <v/>
      </c>
      <c r="CP324" s="10">
        <f>CN324-CO324</f>
        <v/>
      </c>
      <c r="CQ324" s="10">
        <f>CP324+'02_Данные'!K324</f>
        <v/>
      </c>
      <c r="CR324" s="10">
        <f>MIN('02_Данные'!AR324,CQ324)</f>
        <v/>
      </c>
      <c r="CS324" s="10">
        <f>CQ324-CR324</f>
        <v/>
      </c>
      <c r="CT324" s="10">
        <f>MIN('02_Данные'!AS324,CS324)</f>
        <v/>
      </c>
      <c r="CU324" s="10">
        <f>CS324-CT324</f>
        <v/>
      </c>
      <c r="CV324" s="10">
        <f>MIN('02_Данные'!AT324,CU324)</f>
        <v/>
      </c>
      <c r="CW324" s="10">
        <f>CU324-CV324</f>
        <v/>
      </c>
      <c r="CX324" s="10">
        <f>MIN('02_Данные'!AY324,CW324)</f>
        <v/>
      </c>
      <c r="CY324" s="10">
        <f>CW324-CX324</f>
        <v/>
      </c>
      <c r="CZ324" s="10">
        <f>MIN('02_Данные'!AV324,CY324)</f>
        <v/>
      </c>
      <c r="DA324" s="10">
        <f>CY324-CZ324</f>
        <v/>
      </c>
      <c r="DB324" s="10">
        <f>MIN('02_Данные'!AU324,DA324)</f>
        <v/>
      </c>
      <c r="DC324" s="10">
        <f>DA324-DB324</f>
        <v/>
      </c>
      <c r="DD324" s="10">
        <f>MIN('02_Данные'!AW324,DC324)</f>
        <v/>
      </c>
      <c r="DE324" s="10">
        <f>DC324-DD324</f>
        <v/>
      </c>
      <c r="DF324" s="10">
        <f>MIN('02_Данные'!AX324,DE324)</f>
        <v/>
      </c>
      <c r="DG324" s="10">
        <f>DE324-DF324</f>
        <v/>
      </c>
    </row>
    <row r="325">
      <c r="A325" s="9">
        <f>'02_Данные'!B325</f>
        <v/>
      </c>
      <c r="B325" s="9">
        <f>'02_Данные'!E325</f>
        <v/>
      </c>
      <c r="C325" s="10">
        <f>'02_Данные'!F325+'02_Данные'!G325+'02_Данные'!H325+'02_Данные'!I325+'02_Данные'!J325+'02_Данные'!K325</f>
        <v/>
      </c>
      <c r="D325" s="10">
        <f>SUM('02_Данные'!L325:'02_Данные'!AY325)</f>
        <v/>
      </c>
      <c r="E325" s="10">
        <f>MAX(0,D325-C325)</f>
        <v/>
      </c>
      <c r="F325" s="15">
        <f>IF(E325&gt;0.0001,"ДЕФИЦИТ",IF(Y325&gt;0.0001,"ПРОФИЦИТ","БАЛАНС"))</f>
        <v/>
      </c>
      <c r="G325" s="10">
        <f>AB325+AS325+BJ325+CA325+CR325</f>
        <v/>
      </c>
      <c r="H325" s="10">
        <f>AD325+AU325+BL325+CC325+CT325</f>
        <v/>
      </c>
      <c r="I325" s="10">
        <f>AF325+AW325+BN325+CE325+CV325</f>
        <v/>
      </c>
      <c r="J325" s="10">
        <f>AL325+BC325+BT325+CK325+DB325</f>
        <v/>
      </c>
      <c r="K325" s="10">
        <f>AJ325+BA325+BR325+CI325+CZ325</f>
        <v/>
      </c>
      <c r="L325" s="10">
        <f>AN325+BE325+BV325+CM325+DD325</f>
        <v/>
      </c>
      <c r="M325" s="10">
        <f>AP325+BG325+BX325+CO325+DF325</f>
        <v/>
      </c>
      <c r="N325" s="10">
        <f>AH325+AY325+BP325+CG325+CX325</f>
        <v/>
      </c>
      <c r="O325" s="10">
        <f>SUM(G325:N325)</f>
        <v/>
      </c>
      <c r="P325" s="10">
        <f>IFERROR(G325*MIN(1,'01_Нормативы'!$C$4/SUM(G$2:G$429)),0)</f>
        <v/>
      </c>
      <c r="Q325" s="10">
        <f>IFERROR(H325*MIN(1,'01_Нормативы'!$C$5/SUM(H$2:H$429)),0)</f>
        <v/>
      </c>
      <c r="R325" s="10">
        <f>IFERROR(I325*MIN(1,'01_Нормативы'!$C$6/SUM(I$2:I$429)),0)</f>
        <v/>
      </c>
      <c r="S325" s="10">
        <f>IFERROR(J325*MIN(1,'01_Нормативы'!$C$7/SUM(J$2:J$429)),0)</f>
        <v/>
      </c>
      <c r="T325" s="10">
        <f>IFERROR(K325*MIN(1,'01_Нормативы'!$C$8/SUM(K$2:K$429)),0)</f>
        <v/>
      </c>
      <c r="U325" s="10">
        <f>IFERROR(L325*MIN(1,'01_Нормативы'!$C$9/SUM(L$2:L$429)),0)</f>
        <v/>
      </c>
      <c r="V325" s="10">
        <f>IFERROR(M325*MIN(1,'01_Нормативы'!$C$10/SUM(M$2:M$429)),0)</f>
        <v/>
      </c>
      <c r="W325" s="10">
        <f>IFERROR(N325*MIN(1,'01_Нормативы'!$C$11/SUM(N$2:N$429)),0)</f>
        <v/>
      </c>
      <c r="X325" s="10">
        <f>SUM(P325:W325)</f>
        <v/>
      </c>
      <c r="Y325" s="10">
        <f>MAX(0,C325-X325)</f>
        <v/>
      </c>
      <c r="Z325" s="10">
        <f>IF(D325=0,100,X325/D325*100)</f>
        <v/>
      </c>
      <c r="AA325" s="10">
        <f>'02_Данные'!F325+'02_Данные'!G325</f>
        <v/>
      </c>
      <c r="AB325" s="10">
        <f>MIN('02_Данные'!L325,AA325)</f>
        <v/>
      </c>
      <c r="AC325" s="10">
        <f>AA325-AB325</f>
        <v/>
      </c>
      <c r="AD325" s="10">
        <f>MIN('02_Данные'!M325,AC325)</f>
        <v/>
      </c>
      <c r="AE325" s="10">
        <f>AC325-AD325</f>
        <v/>
      </c>
      <c r="AF325" s="10">
        <f>MIN('02_Данные'!N325,AE325)</f>
        <v/>
      </c>
      <c r="AG325" s="10">
        <f>AE325-AF325</f>
        <v/>
      </c>
      <c r="AH325" s="10">
        <f>MIN('02_Данные'!S325,AG325)</f>
        <v/>
      </c>
      <c r="AI325" s="10">
        <f>AG325-AH325</f>
        <v/>
      </c>
      <c r="AJ325" s="10">
        <f>MIN('02_Данные'!P325,AI325)</f>
        <v/>
      </c>
      <c r="AK325" s="10">
        <f>AI325-AJ325</f>
        <v/>
      </c>
      <c r="AL325" s="10">
        <f>MIN('02_Данные'!O325,AK325)</f>
        <v/>
      </c>
      <c r="AM325" s="10">
        <f>AK325-AL325</f>
        <v/>
      </c>
      <c r="AN325" s="10">
        <f>MIN('02_Данные'!Q325,AM325)</f>
        <v/>
      </c>
      <c r="AO325" s="10">
        <f>AM325-AN325</f>
        <v/>
      </c>
      <c r="AP325" s="10">
        <f>MIN('02_Данные'!R325,AO325)</f>
        <v/>
      </c>
      <c r="AQ325" s="10">
        <f>AO325-AP325</f>
        <v/>
      </c>
      <c r="AR325" s="10">
        <f>AQ325+'02_Данные'!H325</f>
        <v/>
      </c>
      <c r="AS325" s="10">
        <f>MIN('02_Данные'!T325,AR325)</f>
        <v/>
      </c>
      <c r="AT325" s="10">
        <f>AR325-AS325</f>
        <v/>
      </c>
      <c r="AU325" s="10">
        <f>MIN('02_Данные'!U325,AT325)</f>
        <v/>
      </c>
      <c r="AV325" s="10">
        <f>AT325-AU325</f>
        <v/>
      </c>
      <c r="AW325" s="10">
        <f>MIN('02_Данные'!V325,AV325)</f>
        <v/>
      </c>
      <c r="AX325" s="10">
        <f>AV325-AW325</f>
        <v/>
      </c>
      <c r="AY325" s="10">
        <f>MIN('02_Данные'!AA325,AX325)</f>
        <v/>
      </c>
      <c r="AZ325" s="10">
        <f>AX325-AY325</f>
        <v/>
      </c>
      <c r="BA325" s="10">
        <f>MIN('02_Данные'!X325,AZ325)</f>
        <v/>
      </c>
      <c r="BB325" s="10">
        <f>AZ325-BA325</f>
        <v/>
      </c>
      <c r="BC325" s="10">
        <f>MIN('02_Данные'!W325,BB325)</f>
        <v/>
      </c>
      <c r="BD325" s="10">
        <f>BB325-BC325</f>
        <v/>
      </c>
      <c r="BE325" s="10">
        <f>MIN('02_Данные'!Y325,BD325)</f>
        <v/>
      </c>
      <c r="BF325" s="10">
        <f>BD325-BE325</f>
        <v/>
      </c>
      <c r="BG325" s="10">
        <f>MIN('02_Данные'!Z325,BF325)</f>
        <v/>
      </c>
      <c r="BH325" s="10">
        <f>BF325-BG325</f>
        <v/>
      </c>
      <c r="BI325" s="10">
        <f>BH325+'02_Данные'!I325</f>
        <v/>
      </c>
      <c r="BJ325" s="10">
        <f>MIN('02_Данные'!AB325,BI325)</f>
        <v/>
      </c>
      <c r="BK325" s="10">
        <f>BI325-BJ325</f>
        <v/>
      </c>
      <c r="BL325" s="10">
        <f>MIN('02_Данные'!AC325,BK325)</f>
        <v/>
      </c>
      <c r="BM325" s="10">
        <f>BK325-BL325</f>
        <v/>
      </c>
      <c r="BN325" s="10">
        <f>MIN('02_Данные'!AD325,BM325)</f>
        <v/>
      </c>
      <c r="BO325" s="10">
        <f>BM325-BN325</f>
        <v/>
      </c>
      <c r="BP325" s="10">
        <f>MIN('02_Данные'!AI325,BO325)</f>
        <v/>
      </c>
      <c r="BQ325" s="10">
        <f>BO325-BP325</f>
        <v/>
      </c>
      <c r="BR325" s="10">
        <f>MIN('02_Данные'!AF325,BQ325)</f>
        <v/>
      </c>
      <c r="BS325" s="10">
        <f>BQ325-BR325</f>
        <v/>
      </c>
      <c r="BT325" s="10">
        <f>MIN('02_Данные'!AE325,BS325)</f>
        <v/>
      </c>
      <c r="BU325" s="10">
        <f>BS325-BT325</f>
        <v/>
      </c>
      <c r="BV325" s="10">
        <f>MIN('02_Данные'!AG325,BU325)</f>
        <v/>
      </c>
      <c r="BW325" s="10">
        <f>BU325-BV325</f>
        <v/>
      </c>
      <c r="BX325" s="10">
        <f>MIN('02_Данные'!AH325,BW325)</f>
        <v/>
      </c>
      <c r="BY325" s="10">
        <f>BW325-BX325</f>
        <v/>
      </c>
      <c r="BZ325" s="10">
        <f>BY325+'02_Данные'!J325</f>
        <v/>
      </c>
      <c r="CA325" s="10">
        <f>MIN('02_Данные'!AJ325,BZ325)</f>
        <v/>
      </c>
      <c r="CB325" s="10">
        <f>BZ325-CA325</f>
        <v/>
      </c>
      <c r="CC325" s="10">
        <f>MIN('02_Данные'!AK325,CB325)</f>
        <v/>
      </c>
      <c r="CD325" s="10">
        <f>CB325-CC325</f>
        <v/>
      </c>
      <c r="CE325" s="10">
        <f>MIN('02_Данные'!AL325,CD325)</f>
        <v/>
      </c>
      <c r="CF325" s="10">
        <f>CD325-CE325</f>
        <v/>
      </c>
      <c r="CG325" s="10">
        <f>MIN('02_Данные'!AQ325,CF325)</f>
        <v/>
      </c>
      <c r="CH325" s="10">
        <f>CF325-CG325</f>
        <v/>
      </c>
      <c r="CI325" s="10">
        <f>MIN('02_Данные'!AN325,CH325)</f>
        <v/>
      </c>
      <c r="CJ325" s="10">
        <f>CH325-CI325</f>
        <v/>
      </c>
      <c r="CK325" s="10">
        <f>MIN('02_Данные'!AM325,CJ325)</f>
        <v/>
      </c>
      <c r="CL325" s="10">
        <f>CJ325-CK325</f>
        <v/>
      </c>
      <c r="CM325" s="10">
        <f>MIN('02_Данные'!AO325,CL325)</f>
        <v/>
      </c>
      <c r="CN325" s="10">
        <f>CL325-CM325</f>
        <v/>
      </c>
      <c r="CO325" s="10">
        <f>MIN('02_Данные'!AP325,CN325)</f>
        <v/>
      </c>
      <c r="CP325" s="10">
        <f>CN325-CO325</f>
        <v/>
      </c>
      <c r="CQ325" s="10">
        <f>CP325+'02_Данные'!K325</f>
        <v/>
      </c>
      <c r="CR325" s="10">
        <f>MIN('02_Данные'!AR325,CQ325)</f>
        <v/>
      </c>
      <c r="CS325" s="10">
        <f>CQ325-CR325</f>
        <v/>
      </c>
      <c r="CT325" s="10">
        <f>MIN('02_Данные'!AS325,CS325)</f>
        <v/>
      </c>
      <c r="CU325" s="10">
        <f>CS325-CT325</f>
        <v/>
      </c>
      <c r="CV325" s="10">
        <f>MIN('02_Данные'!AT325,CU325)</f>
        <v/>
      </c>
      <c r="CW325" s="10">
        <f>CU325-CV325</f>
        <v/>
      </c>
      <c r="CX325" s="10">
        <f>MIN('02_Данные'!AY325,CW325)</f>
        <v/>
      </c>
      <c r="CY325" s="10">
        <f>CW325-CX325</f>
        <v/>
      </c>
      <c r="CZ325" s="10">
        <f>MIN('02_Данные'!AV325,CY325)</f>
        <v/>
      </c>
      <c r="DA325" s="10">
        <f>CY325-CZ325</f>
        <v/>
      </c>
      <c r="DB325" s="10">
        <f>MIN('02_Данные'!AU325,DA325)</f>
        <v/>
      </c>
      <c r="DC325" s="10">
        <f>DA325-DB325</f>
        <v/>
      </c>
      <c r="DD325" s="10">
        <f>MIN('02_Данные'!AW325,DC325)</f>
        <v/>
      </c>
      <c r="DE325" s="10">
        <f>DC325-DD325</f>
        <v/>
      </c>
      <c r="DF325" s="10">
        <f>MIN('02_Данные'!AX325,DE325)</f>
        <v/>
      </c>
      <c r="DG325" s="10">
        <f>DE325-DF325</f>
        <v/>
      </c>
    </row>
    <row r="326">
      <c r="A326" s="9">
        <f>'02_Данные'!B326</f>
        <v/>
      </c>
      <c r="B326" s="9">
        <f>'02_Данные'!E326</f>
        <v/>
      </c>
      <c r="C326" s="10">
        <f>'02_Данные'!F326+'02_Данные'!G326+'02_Данные'!H326+'02_Данные'!I326+'02_Данные'!J326+'02_Данные'!K326</f>
        <v/>
      </c>
      <c r="D326" s="10">
        <f>SUM('02_Данные'!L326:'02_Данные'!AY326)</f>
        <v/>
      </c>
      <c r="E326" s="10">
        <f>MAX(0,D326-C326)</f>
        <v/>
      </c>
      <c r="F326" s="15">
        <f>IF(E326&gt;0.0001,"ДЕФИЦИТ",IF(Y326&gt;0.0001,"ПРОФИЦИТ","БАЛАНС"))</f>
        <v/>
      </c>
      <c r="G326" s="10">
        <f>AB326+AS326+BJ326+CA326+CR326</f>
        <v/>
      </c>
      <c r="H326" s="10">
        <f>AD326+AU326+BL326+CC326+CT326</f>
        <v/>
      </c>
      <c r="I326" s="10">
        <f>AF326+AW326+BN326+CE326+CV326</f>
        <v/>
      </c>
      <c r="J326" s="10">
        <f>AL326+BC326+BT326+CK326+DB326</f>
        <v/>
      </c>
      <c r="K326" s="10">
        <f>AJ326+BA326+BR326+CI326+CZ326</f>
        <v/>
      </c>
      <c r="L326" s="10">
        <f>AN326+BE326+BV326+CM326+DD326</f>
        <v/>
      </c>
      <c r="M326" s="10">
        <f>AP326+BG326+BX326+CO326+DF326</f>
        <v/>
      </c>
      <c r="N326" s="10">
        <f>AH326+AY326+BP326+CG326+CX326</f>
        <v/>
      </c>
      <c r="O326" s="10">
        <f>SUM(G326:N326)</f>
        <v/>
      </c>
      <c r="P326" s="10">
        <f>IFERROR(G326*MIN(1,'01_Нормативы'!$C$4/SUM(G$2:G$429)),0)</f>
        <v/>
      </c>
      <c r="Q326" s="10">
        <f>IFERROR(H326*MIN(1,'01_Нормативы'!$C$5/SUM(H$2:H$429)),0)</f>
        <v/>
      </c>
      <c r="R326" s="10">
        <f>IFERROR(I326*MIN(1,'01_Нормативы'!$C$6/SUM(I$2:I$429)),0)</f>
        <v/>
      </c>
      <c r="S326" s="10">
        <f>IFERROR(J326*MIN(1,'01_Нормативы'!$C$7/SUM(J$2:J$429)),0)</f>
        <v/>
      </c>
      <c r="T326" s="10">
        <f>IFERROR(K326*MIN(1,'01_Нормативы'!$C$8/SUM(K$2:K$429)),0)</f>
        <v/>
      </c>
      <c r="U326" s="10">
        <f>IFERROR(L326*MIN(1,'01_Нормативы'!$C$9/SUM(L$2:L$429)),0)</f>
        <v/>
      </c>
      <c r="V326" s="10">
        <f>IFERROR(M326*MIN(1,'01_Нормативы'!$C$10/SUM(M$2:M$429)),0)</f>
        <v/>
      </c>
      <c r="W326" s="10">
        <f>IFERROR(N326*MIN(1,'01_Нормативы'!$C$11/SUM(N$2:N$429)),0)</f>
        <v/>
      </c>
      <c r="X326" s="10">
        <f>SUM(P326:W326)</f>
        <v/>
      </c>
      <c r="Y326" s="10">
        <f>MAX(0,C326-X326)</f>
        <v/>
      </c>
      <c r="Z326" s="10">
        <f>IF(D326=0,100,X326/D326*100)</f>
        <v/>
      </c>
      <c r="AA326" s="10">
        <f>'02_Данные'!F326+'02_Данные'!G326</f>
        <v/>
      </c>
      <c r="AB326" s="10">
        <f>MIN('02_Данные'!L326,AA326)</f>
        <v/>
      </c>
      <c r="AC326" s="10">
        <f>AA326-AB326</f>
        <v/>
      </c>
      <c r="AD326" s="10">
        <f>MIN('02_Данные'!M326,AC326)</f>
        <v/>
      </c>
      <c r="AE326" s="10">
        <f>AC326-AD326</f>
        <v/>
      </c>
      <c r="AF326" s="10">
        <f>MIN('02_Данные'!N326,AE326)</f>
        <v/>
      </c>
      <c r="AG326" s="10">
        <f>AE326-AF326</f>
        <v/>
      </c>
      <c r="AH326" s="10">
        <f>MIN('02_Данные'!S326,AG326)</f>
        <v/>
      </c>
      <c r="AI326" s="10">
        <f>AG326-AH326</f>
        <v/>
      </c>
      <c r="AJ326" s="10">
        <f>MIN('02_Данные'!P326,AI326)</f>
        <v/>
      </c>
      <c r="AK326" s="10">
        <f>AI326-AJ326</f>
        <v/>
      </c>
      <c r="AL326" s="10">
        <f>MIN('02_Данные'!O326,AK326)</f>
        <v/>
      </c>
      <c r="AM326" s="10">
        <f>AK326-AL326</f>
        <v/>
      </c>
      <c r="AN326" s="10">
        <f>MIN('02_Данные'!Q326,AM326)</f>
        <v/>
      </c>
      <c r="AO326" s="10">
        <f>AM326-AN326</f>
        <v/>
      </c>
      <c r="AP326" s="10">
        <f>MIN('02_Данные'!R326,AO326)</f>
        <v/>
      </c>
      <c r="AQ326" s="10">
        <f>AO326-AP326</f>
        <v/>
      </c>
      <c r="AR326" s="10">
        <f>AQ326+'02_Данные'!H326</f>
        <v/>
      </c>
      <c r="AS326" s="10">
        <f>MIN('02_Данные'!T326,AR326)</f>
        <v/>
      </c>
      <c r="AT326" s="10">
        <f>AR326-AS326</f>
        <v/>
      </c>
      <c r="AU326" s="10">
        <f>MIN('02_Данные'!U326,AT326)</f>
        <v/>
      </c>
      <c r="AV326" s="10">
        <f>AT326-AU326</f>
        <v/>
      </c>
      <c r="AW326" s="10">
        <f>MIN('02_Данные'!V326,AV326)</f>
        <v/>
      </c>
      <c r="AX326" s="10">
        <f>AV326-AW326</f>
        <v/>
      </c>
      <c r="AY326" s="10">
        <f>MIN('02_Данные'!AA326,AX326)</f>
        <v/>
      </c>
      <c r="AZ326" s="10">
        <f>AX326-AY326</f>
        <v/>
      </c>
      <c r="BA326" s="10">
        <f>MIN('02_Данные'!X326,AZ326)</f>
        <v/>
      </c>
      <c r="BB326" s="10">
        <f>AZ326-BA326</f>
        <v/>
      </c>
      <c r="BC326" s="10">
        <f>MIN('02_Данные'!W326,BB326)</f>
        <v/>
      </c>
      <c r="BD326" s="10">
        <f>BB326-BC326</f>
        <v/>
      </c>
      <c r="BE326" s="10">
        <f>MIN('02_Данные'!Y326,BD326)</f>
        <v/>
      </c>
      <c r="BF326" s="10">
        <f>BD326-BE326</f>
        <v/>
      </c>
      <c r="BG326" s="10">
        <f>MIN('02_Данные'!Z326,BF326)</f>
        <v/>
      </c>
      <c r="BH326" s="10">
        <f>BF326-BG326</f>
        <v/>
      </c>
      <c r="BI326" s="10">
        <f>BH326+'02_Данные'!I326</f>
        <v/>
      </c>
      <c r="BJ326" s="10">
        <f>MIN('02_Данные'!AB326,BI326)</f>
        <v/>
      </c>
      <c r="BK326" s="10">
        <f>BI326-BJ326</f>
        <v/>
      </c>
      <c r="BL326" s="10">
        <f>MIN('02_Данные'!AC326,BK326)</f>
        <v/>
      </c>
      <c r="BM326" s="10">
        <f>BK326-BL326</f>
        <v/>
      </c>
      <c r="BN326" s="10">
        <f>MIN('02_Данные'!AD326,BM326)</f>
        <v/>
      </c>
      <c r="BO326" s="10">
        <f>BM326-BN326</f>
        <v/>
      </c>
      <c r="BP326" s="10">
        <f>MIN('02_Данные'!AI326,BO326)</f>
        <v/>
      </c>
      <c r="BQ326" s="10">
        <f>BO326-BP326</f>
        <v/>
      </c>
      <c r="BR326" s="10">
        <f>MIN('02_Данные'!AF326,BQ326)</f>
        <v/>
      </c>
      <c r="BS326" s="10">
        <f>BQ326-BR326</f>
        <v/>
      </c>
      <c r="BT326" s="10">
        <f>MIN('02_Данные'!AE326,BS326)</f>
        <v/>
      </c>
      <c r="BU326" s="10">
        <f>BS326-BT326</f>
        <v/>
      </c>
      <c r="BV326" s="10">
        <f>MIN('02_Данные'!AG326,BU326)</f>
        <v/>
      </c>
      <c r="BW326" s="10">
        <f>BU326-BV326</f>
        <v/>
      </c>
      <c r="BX326" s="10">
        <f>MIN('02_Данные'!AH326,BW326)</f>
        <v/>
      </c>
      <c r="BY326" s="10">
        <f>BW326-BX326</f>
        <v/>
      </c>
      <c r="BZ326" s="10">
        <f>BY326+'02_Данные'!J326</f>
        <v/>
      </c>
      <c r="CA326" s="10">
        <f>MIN('02_Данные'!AJ326,BZ326)</f>
        <v/>
      </c>
      <c r="CB326" s="10">
        <f>BZ326-CA326</f>
        <v/>
      </c>
      <c r="CC326" s="10">
        <f>MIN('02_Данные'!AK326,CB326)</f>
        <v/>
      </c>
      <c r="CD326" s="10">
        <f>CB326-CC326</f>
        <v/>
      </c>
      <c r="CE326" s="10">
        <f>MIN('02_Данные'!AL326,CD326)</f>
        <v/>
      </c>
      <c r="CF326" s="10">
        <f>CD326-CE326</f>
        <v/>
      </c>
      <c r="CG326" s="10">
        <f>MIN('02_Данные'!AQ326,CF326)</f>
        <v/>
      </c>
      <c r="CH326" s="10">
        <f>CF326-CG326</f>
        <v/>
      </c>
      <c r="CI326" s="10">
        <f>MIN('02_Данные'!AN326,CH326)</f>
        <v/>
      </c>
      <c r="CJ326" s="10">
        <f>CH326-CI326</f>
        <v/>
      </c>
      <c r="CK326" s="10">
        <f>MIN('02_Данные'!AM326,CJ326)</f>
        <v/>
      </c>
      <c r="CL326" s="10">
        <f>CJ326-CK326</f>
        <v/>
      </c>
      <c r="CM326" s="10">
        <f>MIN('02_Данные'!AO326,CL326)</f>
        <v/>
      </c>
      <c r="CN326" s="10">
        <f>CL326-CM326</f>
        <v/>
      </c>
      <c r="CO326" s="10">
        <f>MIN('02_Данные'!AP326,CN326)</f>
        <v/>
      </c>
      <c r="CP326" s="10">
        <f>CN326-CO326</f>
        <v/>
      </c>
      <c r="CQ326" s="10">
        <f>CP326+'02_Данные'!K326</f>
        <v/>
      </c>
      <c r="CR326" s="10">
        <f>MIN('02_Данные'!AR326,CQ326)</f>
        <v/>
      </c>
      <c r="CS326" s="10">
        <f>CQ326-CR326</f>
        <v/>
      </c>
      <c r="CT326" s="10">
        <f>MIN('02_Данные'!AS326,CS326)</f>
        <v/>
      </c>
      <c r="CU326" s="10">
        <f>CS326-CT326</f>
        <v/>
      </c>
      <c r="CV326" s="10">
        <f>MIN('02_Данные'!AT326,CU326)</f>
        <v/>
      </c>
      <c r="CW326" s="10">
        <f>CU326-CV326</f>
        <v/>
      </c>
      <c r="CX326" s="10">
        <f>MIN('02_Данные'!AY326,CW326)</f>
        <v/>
      </c>
      <c r="CY326" s="10">
        <f>CW326-CX326</f>
        <v/>
      </c>
      <c r="CZ326" s="10">
        <f>MIN('02_Данные'!AV326,CY326)</f>
        <v/>
      </c>
      <c r="DA326" s="10">
        <f>CY326-CZ326</f>
        <v/>
      </c>
      <c r="DB326" s="10">
        <f>MIN('02_Данные'!AU326,DA326)</f>
        <v/>
      </c>
      <c r="DC326" s="10">
        <f>DA326-DB326</f>
        <v/>
      </c>
      <c r="DD326" s="10">
        <f>MIN('02_Данные'!AW326,DC326)</f>
        <v/>
      </c>
      <c r="DE326" s="10">
        <f>DC326-DD326</f>
        <v/>
      </c>
      <c r="DF326" s="10">
        <f>MIN('02_Данные'!AX326,DE326)</f>
        <v/>
      </c>
      <c r="DG326" s="10">
        <f>DE326-DF326</f>
        <v/>
      </c>
    </row>
    <row r="327">
      <c r="A327" s="9">
        <f>'02_Данные'!B327</f>
        <v/>
      </c>
      <c r="B327" s="9">
        <f>'02_Данные'!E327</f>
        <v/>
      </c>
      <c r="C327" s="10">
        <f>'02_Данные'!F327+'02_Данные'!G327+'02_Данные'!H327+'02_Данные'!I327+'02_Данные'!J327+'02_Данные'!K327</f>
        <v/>
      </c>
      <c r="D327" s="10">
        <f>SUM('02_Данные'!L327:'02_Данные'!AY327)</f>
        <v/>
      </c>
      <c r="E327" s="10">
        <f>MAX(0,D327-C327)</f>
        <v/>
      </c>
      <c r="F327" s="15">
        <f>IF(E327&gt;0.0001,"ДЕФИЦИТ",IF(Y327&gt;0.0001,"ПРОФИЦИТ","БАЛАНС"))</f>
        <v/>
      </c>
      <c r="G327" s="10">
        <f>AB327+AS327+BJ327+CA327+CR327</f>
        <v/>
      </c>
      <c r="H327" s="10">
        <f>AD327+AU327+BL327+CC327+CT327</f>
        <v/>
      </c>
      <c r="I327" s="10">
        <f>AF327+AW327+BN327+CE327+CV327</f>
        <v/>
      </c>
      <c r="J327" s="10">
        <f>AL327+BC327+BT327+CK327+DB327</f>
        <v/>
      </c>
      <c r="K327" s="10">
        <f>AJ327+BA327+BR327+CI327+CZ327</f>
        <v/>
      </c>
      <c r="L327" s="10">
        <f>AN327+BE327+BV327+CM327+DD327</f>
        <v/>
      </c>
      <c r="M327" s="10">
        <f>AP327+BG327+BX327+CO327+DF327</f>
        <v/>
      </c>
      <c r="N327" s="10">
        <f>AH327+AY327+BP327+CG327+CX327</f>
        <v/>
      </c>
      <c r="O327" s="10">
        <f>SUM(G327:N327)</f>
        <v/>
      </c>
      <c r="P327" s="10">
        <f>IFERROR(G327*MIN(1,'01_Нормативы'!$C$4/SUM(G$2:G$429)),0)</f>
        <v/>
      </c>
      <c r="Q327" s="10">
        <f>IFERROR(H327*MIN(1,'01_Нормативы'!$C$5/SUM(H$2:H$429)),0)</f>
        <v/>
      </c>
      <c r="R327" s="10">
        <f>IFERROR(I327*MIN(1,'01_Нормативы'!$C$6/SUM(I$2:I$429)),0)</f>
        <v/>
      </c>
      <c r="S327" s="10">
        <f>IFERROR(J327*MIN(1,'01_Нормативы'!$C$7/SUM(J$2:J$429)),0)</f>
        <v/>
      </c>
      <c r="T327" s="10">
        <f>IFERROR(K327*MIN(1,'01_Нормативы'!$C$8/SUM(K$2:K$429)),0)</f>
        <v/>
      </c>
      <c r="U327" s="10">
        <f>IFERROR(L327*MIN(1,'01_Нормативы'!$C$9/SUM(L$2:L$429)),0)</f>
        <v/>
      </c>
      <c r="V327" s="10">
        <f>IFERROR(M327*MIN(1,'01_Нормативы'!$C$10/SUM(M$2:M$429)),0)</f>
        <v/>
      </c>
      <c r="W327" s="10">
        <f>IFERROR(N327*MIN(1,'01_Нормативы'!$C$11/SUM(N$2:N$429)),0)</f>
        <v/>
      </c>
      <c r="X327" s="10">
        <f>SUM(P327:W327)</f>
        <v/>
      </c>
      <c r="Y327" s="10">
        <f>MAX(0,C327-X327)</f>
        <v/>
      </c>
      <c r="Z327" s="10">
        <f>IF(D327=0,100,X327/D327*100)</f>
        <v/>
      </c>
      <c r="AA327" s="10">
        <f>'02_Данные'!F327+'02_Данные'!G327</f>
        <v/>
      </c>
      <c r="AB327" s="10">
        <f>MIN('02_Данные'!L327,AA327)</f>
        <v/>
      </c>
      <c r="AC327" s="10">
        <f>AA327-AB327</f>
        <v/>
      </c>
      <c r="AD327" s="10">
        <f>MIN('02_Данные'!M327,AC327)</f>
        <v/>
      </c>
      <c r="AE327" s="10">
        <f>AC327-AD327</f>
        <v/>
      </c>
      <c r="AF327" s="10">
        <f>MIN('02_Данные'!N327,AE327)</f>
        <v/>
      </c>
      <c r="AG327" s="10">
        <f>AE327-AF327</f>
        <v/>
      </c>
      <c r="AH327" s="10">
        <f>MIN('02_Данные'!S327,AG327)</f>
        <v/>
      </c>
      <c r="AI327" s="10">
        <f>AG327-AH327</f>
        <v/>
      </c>
      <c r="AJ327" s="10">
        <f>MIN('02_Данные'!P327,AI327)</f>
        <v/>
      </c>
      <c r="AK327" s="10">
        <f>AI327-AJ327</f>
        <v/>
      </c>
      <c r="AL327" s="10">
        <f>MIN('02_Данные'!O327,AK327)</f>
        <v/>
      </c>
      <c r="AM327" s="10">
        <f>AK327-AL327</f>
        <v/>
      </c>
      <c r="AN327" s="10">
        <f>MIN('02_Данные'!Q327,AM327)</f>
        <v/>
      </c>
      <c r="AO327" s="10">
        <f>AM327-AN327</f>
        <v/>
      </c>
      <c r="AP327" s="10">
        <f>MIN('02_Данные'!R327,AO327)</f>
        <v/>
      </c>
      <c r="AQ327" s="10">
        <f>AO327-AP327</f>
        <v/>
      </c>
      <c r="AR327" s="10">
        <f>AQ327+'02_Данные'!H327</f>
        <v/>
      </c>
      <c r="AS327" s="10">
        <f>MIN('02_Данные'!T327,AR327)</f>
        <v/>
      </c>
      <c r="AT327" s="10">
        <f>AR327-AS327</f>
        <v/>
      </c>
      <c r="AU327" s="10">
        <f>MIN('02_Данные'!U327,AT327)</f>
        <v/>
      </c>
      <c r="AV327" s="10">
        <f>AT327-AU327</f>
        <v/>
      </c>
      <c r="AW327" s="10">
        <f>MIN('02_Данные'!V327,AV327)</f>
        <v/>
      </c>
      <c r="AX327" s="10">
        <f>AV327-AW327</f>
        <v/>
      </c>
      <c r="AY327" s="10">
        <f>MIN('02_Данные'!AA327,AX327)</f>
        <v/>
      </c>
      <c r="AZ327" s="10">
        <f>AX327-AY327</f>
        <v/>
      </c>
      <c r="BA327" s="10">
        <f>MIN('02_Данные'!X327,AZ327)</f>
        <v/>
      </c>
      <c r="BB327" s="10">
        <f>AZ327-BA327</f>
        <v/>
      </c>
      <c r="BC327" s="10">
        <f>MIN('02_Данные'!W327,BB327)</f>
        <v/>
      </c>
      <c r="BD327" s="10">
        <f>BB327-BC327</f>
        <v/>
      </c>
      <c r="BE327" s="10">
        <f>MIN('02_Данные'!Y327,BD327)</f>
        <v/>
      </c>
      <c r="BF327" s="10">
        <f>BD327-BE327</f>
        <v/>
      </c>
      <c r="BG327" s="10">
        <f>MIN('02_Данные'!Z327,BF327)</f>
        <v/>
      </c>
      <c r="BH327" s="10">
        <f>BF327-BG327</f>
        <v/>
      </c>
      <c r="BI327" s="10">
        <f>BH327+'02_Данные'!I327</f>
        <v/>
      </c>
      <c r="BJ327" s="10">
        <f>MIN('02_Данные'!AB327,BI327)</f>
        <v/>
      </c>
      <c r="BK327" s="10">
        <f>BI327-BJ327</f>
        <v/>
      </c>
      <c r="BL327" s="10">
        <f>MIN('02_Данные'!AC327,BK327)</f>
        <v/>
      </c>
      <c r="BM327" s="10">
        <f>BK327-BL327</f>
        <v/>
      </c>
      <c r="BN327" s="10">
        <f>MIN('02_Данные'!AD327,BM327)</f>
        <v/>
      </c>
      <c r="BO327" s="10">
        <f>BM327-BN327</f>
        <v/>
      </c>
      <c r="BP327" s="10">
        <f>MIN('02_Данные'!AI327,BO327)</f>
        <v/>
      </c>
      <c r="BQ327" s="10">
        <f>BO327-BP327</f>
        <v/>
      </c>
      <c r="BR327" s="10">
        <f>MIN('02_Данные'!AF327,BQ327)</f>
        <v/>
      </c>
      <c r="BS327" s="10">
        <f>BQ327-BR327</f>
        <v/>
      </c>
      <c r="BT327" s="10">
        <f>MIN('02_Данные'!AE327,BS327)</f>
        <v/>
      </c>
      <c r="BU327" s="10">
        <f>BS327-BT327</f>
        <v/>
      </c>
      <c r="BV327" s="10">
        <f>MIN('02_Данные'!AG327,BU327)</f>
        <v/>
      </c>
      <c r="BW327" s="10">
        <f>BU327-BV327</f>
        <v/>
      </c>
      <c r="BX327" s="10">
        <f>MIN('02_Данные'!AH327,BW327)</f>
        <v/>
      </c>
      <c r="BY327" s="10">
        <f>BW327-BX327</f>
        <v/>
      </c>
      <c r="BZ327" s="10">
        <f>BY327+'02_Данные'!J327</f>
        <v/>
      </c>
      <c r="CA327" s="10">
        <f>MIN('02_Данные'!AJ327,BZ327)</f>
        <v/>
      </c>
      <c r="CB327" s="10">
        <f>BZ327-CA327</f>
        <v/>
      </c>
      <c r="CC327" s="10">
        <f>MIN('02_Данные'!AK327,CB327)</f>
        <v/>
      </c>
      <c r="CD327" s="10">
        <f>CB327-CC327</f>
        <v/>
      </c>
      <c r="CE327" s="10">
        <f>MIN('02_Данные'!AL327,CD327)</f>
        <v/>
      </c>
      <c r="CF327" s="10">
        <f>CD327-CE327</f>
        <v/>
      </c>
      <c r="CG327" s="10">
        <f>MIN('02_Данные'!AQ327,CF327)</f>
        <v/>
      </c>
      <c r="CH327" s="10">
        <f>CF327-CG327</f>
        <v/>
      </c>
      <c r="CI327" s="10">
        <f>MIN('02_Данные'!AN327,CH327)</f>
        <v/>
      </c>
      <c r="CJ327" s="10">
        <f>CH327-CI327</f>
        <v/>
      </c>
      <c r="CK327" s="10">
        <f>MIN('02_Данные'!AM327,CJ327)</f>
        <v/>
      </c>
      <c r="CL327" s="10">
        <f>CJ327-CK327</f>
        <v/>
      </c>
      <c r="CM327" s="10">
        <f>MIN('02_Данные'!AO327,CL327)</f>
        <v/>
      </c>
      <c r="CN327" s="10">
        <f>CL327-CM327</f>
        <v/>
      </c>
      <c r="CO327" s="10">
        <f>MIN('02_Данные'!AP327,CN327)</f>
        <v/>
      </c>
      <c r="CP327" s="10">
        <f>CN327-CO327</f>
        <v/>
      </c>
      <c r="CQ327" s="10">
        <f>CP327+'02_Данные'!K327</f>
        <v/>
      </c>
      <c r="CR327" s="10">
        <f>MIN('02_Данные'!AR327,CQ327)</f>
        <v/>
      </c>
      <c r="CS327" s="10">
        <f>CQ327-CR327</f>
        <v/>
      </c>
      <c r="CT327" s="10">
        <f>MIN('02_Данные'!AS327,CS327)</f>
        <v/>
      </c>
      <c r="CU327" s="10">
        <f>CS327-CT327</f>
        <v/>
      </c>
      <c r="CV327" s="10">
        <f>MIN('02_Данные'!AT327,CU327)</f>
        <v/>
      </c>
      <c r="CW327" s="10">
        <f>CU327-CV327</f>
        <v/>
      </c>
      <c r="CX327" s="10">
        <f>MIN('02_Данные'!AY327,CW327)</f>
        <v/>
      </c>
      <c r="CY327" s="10">
        <f>CW327-CX327</f>
        <v/>
      </c>
      <c r="CZ327" s="10">
        <f>MIN('02_Данные'!AV327,CY327)</f>
        <v/>
      </c>
      <c r="DA327" s="10">
        <f>CY327-CZ327</f>
        <v/>
      </c>
      <c r="DB327" s="10">
        <f>MIN('02_Данные'!AU327,DA327)</f>
        <v/>
      </c>
      <c r="DC327" s="10">
        <f>DA327-DB327</f>
        <v/>
      </c>
      <c r="DD327" s="10">
        <f>MIN('02_Данные'!AW327,DC327)</f>
        <v/>
      </c>
      <c r="DE327" s="10">
        <f>DC327-DD327</f>
        <v/>
      </c>
      <c r="DF327" s="10">
        <f>MIN('02_Данные'!AX327,DE327)</f>
        <v/>
      </c>
      <c r="DG327" s="10">
        <f>DE327-DF327</f>
        <v/>
      </c>
    </row>
    <row r="328">
      <c r="A328" s="9">
        <f>'02_Данные'!B328</f>
        <v/>
      </c>
      <c r="B328" s="9">
        <f>'02_Данные'!E328</f>
        <v/>
      </c>
      <c r="C328" s="10">
        <f>'02_Данные'!F328+'02_Данные'!G328+'02_Данные'!H328+'02_Данные'!I328+'02_Данные'!J328+'02_Данные'!K328</f>
        <v/>
      </c>
      <c r="D328" s="10">
        <f>SUM('02_Данные'!L328:'02_Данные'!AY328)</f>
        <v/>
      </c>
      <c r="E328" s="10">
        <f>MAX(0,D328-C328)</f>
        <v/>
      </c>
      <c r="F328" s="15">
        <f>IF(E328&gt;0.0001,"ДЕФИЦИТ",IF(Y328&gt;0.0001,"ПРОФИЦИТ","БАЛАНС"))</f>
        <v/>
      </c>
      <c r="G328" s="10">
        <f>AB328+AS328+BJ328+CA328+CR328</f>
        <v/>
      </c>
      <c r="H328" s="10">
        <f>AD328+AU328+BL328+CC328+CT328</f>
        <v/>
      </c>
      <c r="I328" s="10">
        <f>AF328+AW328+BN328+CE328+CV328</f>
        <v/>
      </c>
      <c r="J328" s="10">
        <f>AL328+BC328+BT328+CK328+DB328</f>
        <v/>
      </c>
      <c r="K328" s="10">
        <f>AJ328+BA328+BR328+CI328+CZ328</f>
        <v/>
      </c>
      <c r="L328" s="10">
        <f>AN328+BE328+BV328+CM328+DD328</f>
        <v/>
      </c>
      <c r="M328" s="10">
        <f>AP328+BG328+BX328+CO328+DF328</f>
        <v/>
      </c>
      <c r="N328" s="10">
        <f>AH328+AY328+BP328+CG328+CX328</f>
        <v/>
      </c>
      <c r="O328" s="10">
        <f>SUM(G328:N328)</f>
        <v/>
      </c>
      <c r="P328" s="10">
        <f>IFERROR(G328*MIN(1,'01_Нормативы'!$C$4/SUM(G$2:G$429)),0)</f>
        <v/>
      </c>
      <c r="Q328" s="10">
        <f>IFERROR(H328*MIN(1,'01_Нормативы'!$C$5/SUM(H$2:H$429)),0)</f>
        <v/>
      </c>
      <c r="R328" s="10">
        <f>IFERROR(I328*MIN(1,'01_Нормативы'!$C$6/SUM(I$2:I$429)),0)</f>
        <v/>
      </c>
      <c r="S328" s="10">
        <f>IFERROR(J328*MIN(1,'01_Нормативы'!$C$7/SUM(J$2:J$429)),0)</f>
        <v/>
      </c>
      <c r="T328" s="10">
        <f>IFERROR(K328*MIN(1,'01_Нормативы'!$C$8/SUM(K$2:K$429)),0)</f>
        <v/>
      </c>
      <c r="U328" s="10">
        <f>IFERROR(L328*MIN(1,'01_Нормативы'!$C$9/SUM(L$2:L$429)),0)</f>
        <v/>
      </c>
      <c r="V328" s="10">
        <f>IFERROR(M328*MIN(1,'01_Нормативы'!$C$10/SUM(M$2:M$429)),0)</f>
        <v/>
      </c>
      <c r="W328" s="10">
        <f>IFERROR(N328*MIN(1,'01_Нормативы'!$C$11/SUM(N$2:N$429)),0)</f>
        <v/>
      </c>
      <c r="X328" s="10">
        <f>SUM(P328:W328)</f>
        <v/>
      </c>
      <c r="Y328" s="10">
        <f>MAX(0,C328-X328)</f>
        <v/>
      </c>
      <c r="Z328" s="10">
        <f>IF(D328=0,100,X328/D328*100)</f>
        <v/>
      </c>
      <c r="AA328" s="10">
        <f>'02_Данные'!F328+'02_Данные'!G328</f>
        <v/>
      </c>
      <c r="AB328" s="10">
        <f>MIN('02_Данные'!L328,AA328)</f>
        <v/>
      </c>
      <c r="AC328" s="10">
        <f>AA328-AB328</f>
        <v/>
      </c>
      <c r="AD328" s="10">
        <f>MIN('02_Данные'!M328,AC328)</f>
        <v/>
      </c>
      <c r="AE328" s="10">
        <f>AC328-AD328</f>
        <v/>
      </c>
      <c r="AF328" s="10">
        <f>MIN('02_Данные'!N328,AE328)</f>
        <v/>
      </c>
      <c r="AG328" s="10">
        <f>AE328-AF328</f>
        <v/>
      </c>
      <c r="AH328" s="10">
        <f>MIN('02_Данные'!S328,AG328)</f>
        <v/>
      </c>
      <c r="AI328" s="10">
        <f>AG328-AH328</f>
        <v/>
      </c>
      <c r="AJ328" s="10">
        <f>MIN('02_Данные'!P328,AI328)</f>
        <v/>
      </c>
      <c r="AK328" s="10">
        <f>AI328-AJ328</f>
        <v/>
      </c>
      <c r="AL328" s="10">
        <f>MIN('02_Данные'!O328,AK328)</f>
        <v/>
      </c>
      <c r="AM328" s="10">
        <f>AK328-AL328</f>
        <v/>
      </c>
      <c r="AN328" s="10">
        <f>MIN('02_Данные'!Q328,AM328)</f>
        <v/>
      </c>
      <c r="AO328" s="10">
        <f>AM328-AN328</f>
        <v/>
      </c>
      <c r="AP328" s="10">
        <f>MIN('02_Данные'!R328,AO328)</f>
        <v/>
      </c>
      <c r="AQ328" s="10">
        <f>AO328-AP328</f>
        <v/>
      </c>
      <c r="AR328" s="10">
        <f>AQ328+'02_Данные'!H328</f>
        <v/>
      </c>
      <c r="AS328" s="10">
        <f>MIN('02_Данные'!T328,AR328)</f>
        <v/>
      </c>
      <c r="AT328" s="10">
        <f>AR328-AS328</f>
        <v/>
      </c>
      <c r="AU328" s="10">
        <f>MIN('02_Данные'!U328,AT328)</f>
        <v/>
      </c>
      <c r="AV328" s="10">
        <f>AT328-AU328</f>
        <v/>
      </c>
      <c r="AW328" s="10">
        <f>MIN('02_Данные'!V328,AV328)</f>
        <v/>
      </c>
      <c r="AX328" s="10">
        <f>AV328-AW328</f>
        <v/>
      </c>
      <c r="AY328" s="10">
        <f>MIN('02_Данные'!AA328,AX328)</f>
        <v/>
      </c>
      <c r="AZ328" s="10">
        <f>AX328-AY328</f>
        <v/>
      </c>
      <c r="BA328" s="10">
        <f>MIN('02_Данные'!X328,AZ328)</f>
        <v/>
      </c>
      <c r="BB328" s="10">
        <f>AZ328-BA328</f>
        <v/>
      </c>
      <c r="BC328" s="10">
        <f>MIN('02_Данные'!W328,BB328)</f>
        <v/>
      </c>
      <c r="BD328" s="10">
        <f>BB328-BC328</f>
        <v/>
      </c>
      <c r="BE328" s="10">
        <f>MIN('02_Данные'!Y328,BD328)</f>
        <v/>
      </c>
      <c r="BF328" s="10">
        <f>BD328-BE328</f>
        <v/>
      </c>
      <c r="BG328" s="10">
        <f>MIN('02_Данные'!Z328,BF328)</f>
        <v/>
      </c>
      <c r="BH328" s="10">
        <f>BF328-BG328</f>
        <v/>
      </c>
      <c r="BI328" s="10">
        <f>BH328+'02_Данные'!I328</f>
        <v/>
      </c>
      <c r="BJ328" s="10">
        <f>MIN('02_Данные'!AB328,BI328)</f>
        <v/>
      </c>
      <c r="BK328" s="10">
        <f>BI328-BJ328</f>
        <v/>
      </c>
      <c r="BL328" s="10">
        <f>MIN('02_Данные'!AC328,BK328)</f>
        <v/>
      </c>
      <c r="BM328" s="10">
        <f>BK328-BL328</f>
        <v/>
      </c>
      <c r="BN328" s="10">
        <f>MIN('02_Данные'!AD328,BM328)</f>
        <v/>
      </c>
      <c r="BO328" s="10">
        <f>BM328-BN328</f>
        <v/>
      </c>
      <c r="BP328" s="10">
        <f>MIN('02_Данные'!AI328,BO328)</f>
        <v/>
      </c>
      <c r="BQ328" s="10">
        <f>BO328-BP328</f>
        <v/>
      </c>
      <c r="BR328" s="10">
        <f>MIN('02_Данные'!AF328,BQ328)</f>
        <v/>
      </c>
      <c r="BS328" s="10">
        <f>BQ328-BR328</f>
        <v/>
      </c>
      <c r="BT328" s="10">
        <f>MIN('02_Данные'!AE328,BS328)</f>
        <v/>
      </c>
      <c r="BU328" s="10">
        <f>BS328-BT328</f>
        <v/>
      </c>
      <c r="BV328" s="10">
        <f>MIN('02_Данные'!AG328,BU328)</f>
        <v/>
      </c>
      <c r="BW328" s="10">
        <f>BU328-BV328</f>
        <v/>
      </c>
      <c r="BX328" s="10">
        <f>MIN('02_Данные'!AH328,BW328)</f>
        <v/>
      </c>
      <c r="BY328" s="10">
        <f>BW328-BX328</f>
        <v/>
      </c>
      <c r="BZ328" s="10">
        <f>BY328+'02_Данные'!J328</f>
        <v/>
      </c>
      <c r="CA328" s="10">
        <f>MIN('02_Данные'!AJ328,BZ328)</f>
        <v/>
      </c>
      <c r="CB328" s="10">
        <f>BZ328-CA328</f>
        <v/>
      </c>
      <c r="CC328" s="10">
        <f>MIN('02_Данные'!AK328,CB328)</f>
        <v/>
      </c>
      <c r="CD328" s="10">
        <f>CB328-CC328</f>
        <v/>
      </c>
      <c r="CE328" s="10">
        <f>MIN('02_Данные'!AL328,CD328)</f>
        <v/>
      </c>
      <c r="CF328" s="10">
        <f>CD328-CE328</f>
        <v/>
      </c>
      <c r="CG328" s="10">
        <f>MIN('02_Данные'!AQ328,CF328)</f>
        <v/>
      </c>
      <c r="CH328" s="10">
        <f>CF328-CG328</f>
        <v/>
      </c>
      <c r="CI328" s="10">
        <f>MIN('02_Данные'!AN328,CH328)</f>
        <v/>
      </c>
      <c r="CJ328" s="10">
        <f>CH328-CI328</f>
        <v/>
      </c>
      <c r="CK328" s="10">
        <f>MIN('02_Данные'!AM328,CJ328)</f>
        <v/>
      </c>
      <c r="CL328" s="10">
        <f>CJ328-CK328</f>
        <v/>
      </c>
      <c r="CM328" s="10">
        <f>MIN('02_Данные'!AO328,CL328)</f>
        <v/>
      </c>
      <c r="CN328" s="10">
        <f>CL328-CM328</f>
        <v/>
      </c>
      <c r="CO328" s="10">
        <f>MIN('02_Данные'!AP328,CN328)</f>
        <v/>
      </c>
      <c r="CP328" s="10">
        <f>CN328-CO328</f>
        <v/>
      </c>
      <c r="CQ328" s="10">
        <f>CP328+'02_Данные'!K328</f>
        <v/>
      </c>
      <c r="CR328" s="10">
        <f>MIN('02_Данные'!AR328,CQ328)</f>
        <v/>
      </c>
      <c r="CS328" s="10">
        <f>CQ328-CR328</f>
        <v/>
      </c>
      <c r="CT328" s="10">
        <f>MIN('02_Данные'!AS328,CS328)</f>
        <v/>
      </c>
      <c r="CU328" s="10">
        <f>CS328-CT328</f>
        <v/>
      </c>
      <c r="CV328" s="10">
        <f>MIN('02_Данные'!AT328,CU328)</f>
        <v/>
      </c>
      <c r="CW328" s="10">
        <f>CU328-CV328</f>
        <v/>
      </c>
      <c r="CX328" s="10">
        <f>MIN('02_Данные'!AY328,CW328)</f>
        <v/>
      </c>
      <c r="CY328" s="10">
        <f>CW328-CX328</f>
        <v/>
      </c>
      <c r="CZ328" s="10">
        <f>MIN('02_Данные'!AV328,CY328)</f>
        <v/>
      </c>
      <c r="DA328" s="10">
        <f>CY328-CZ328</f>
        <v/>
      </c>
      <c r="DB328" s="10">
        <f>MIN('02_Данные'!AU328,DA328)</f>
        <v/>
      </c>
      <c r="DC328" s="10">
        <f>DA328-DB328</f>
        <v/>
      </c>
      <c r="DD328" s="10">
        <f>MIN('02_Данные'!AW328,DC328)</f>
        <v/>
      </c>
      <c r="DE328" s="10">
        <f>DC328-DD328</f>
        <v/>
      </c>
      <c r="DF328" s="10">
        <f>MIN('02_Данные'!AX328,DE328)</f>
        <v/>
      </c>
      <c r="DG328" s="10">
        <f>DE328-DF328</f>
        <v/>
      </c>
    </row>
    <row r="329">
      <c r="A329" s="9">
        <f>'02_Данные'!B329</f>
        <v/>
      </c>
      <c r="B329" s="9">
        <f>'02_Данные'!E329</f>
        <v/>
      </c>
      <c r="C329" s="10">
        <f>'02_Данные'!F329+'02_Данные'!G329+'02_Данные'!H329+'02_Данные'!I329+'02_Данные'!J329+'02_Данные'!K329</f>
        <v/>
      </c>
      <c r="D329" s="10">
        <f>SUM('02_Данные'!L329:'02_Данные'!AY329)</f>
        <v/>
      </c>
      <c r="E329" s="10">
        <f>MAX(0,D329-C329)</f>
        <v/>
      </c>
      <c r="F329" s="15">
        <f>IF(E329&gt;0.0001,"ДЕФИЦИТ",IF(Y329&gt;0.0001,"ПРОФИЦИТ","БАЛАНС"))</f>
        <v/>
      </c>
      <c r="G329" s="10">
        <f>AB329+AS329+BJ329+CA329+CR329</f>
        <v/>
      </c>
      <c r="H329" s="10">
        <f>AD329+AU329+BL329+CC329+CT329</f>
        <v/>
      </c>
      <c r="I329" s="10">
        <f>AF329+AW329+BN329+CE329+CV329</f>
        <v/>
      </c>
      <c r="J329" s="10">
        <f>AL329+BC329+BT329+CK329+DB329</f>
        <v/>
      </c>
      <c r="K329" s="10">
        <f>AJ329+BA329+BR329+CI329+CZ329</f>
        <v/>
      </c>
      <c r="L329" s="10">
        <f>AN329+BE329+BV329+CM329+DD329</f>
        <v/>
      </c>
      <c r="M329" s="10">
        <f>AP329+BG329+BX329+CO329+DF329</f>
        <v/>
      </c>
      <c r="N329" s="10">
        <f>AH329+AY329+BP329+CG329+CX329</f>
        <v/>
      </c>
      <c r="O329" s="10">
        <f>SUM(G329:N329)</f>
        <v/>
      </c>
      <c r="P329" s="10">
        <f>IFERROR(G329*MIN(1,'01_Нормативы'!$C$4/SUM(G$2:G$429)),0)</f>
        <v/>
      </c>
      <c r="Q329" s="10">
        <f>IFERROR(H329*MIN(1,'01_Нормативы'!$C$5/SUM(H$2:H$429)),0)</f>
        <v/>
      </c>
      <c r="R329" s="10">
        <f>IFERROR(I329*MIN(1,'01_Нормативы'!$C$6/SUM(I$2:I$429)),0)</f>
        <v/>
      </c>
      <c r="S329" s="10">
        <f>IFERROR(J329*MIN(1,'01_Нормативы'!$C$7/SUM(J$2:J$429)),0)</f>
        <v/>
      </c>
      <c r="T329" s="10">
        <f>IFERROR(K329*MIN(1,'01_Нормативы'!$C$8/SUM(K$2:K$429)),0)</f>
        <v/>
      </c>
      <c r="U329" s="10">
        <f>IFERROR(L329*MIN(1,'01_Нормативы'!$C$9/SUM(L$2:L$429)),0)</f>
        <v/>
      </c>
      <c r="V329" s="10">
        <f>IFERROR(M329*MIN(1,'01_Нормативы'!$C$10/SUM(M$2:M$429)),0)</f>
        <v/>
      </c>
      <c r="W329" s="10">
        <f>IFERROR(N329*MIN(1,'01_Нормативы'!$C$11/SUM(N$2:N$429)),0)</f>
        <v/>
      </c>
      <c r="X329" s="10">
        <f>SUM(P329:W329)</f>
        <v/>
      </c>
      <c r="Y329" s="10">
        <f>MAX(0,C329-X329)</f>
        <v/>
      </c>
      <c r="Z329" s="10">
        <f>IF(D329=0,100,X329/D329*100)</f>
        <v/>
      </c>
      <c r="AA329" s="10">
        <f>'02_Данные'!F329+'02_Данные'!G329</f>
        <v/>
      </c>
      <c r="AB329" s="10">
        <f>MIN('02_Данные'!L329,AA329)</f>
        <v/>
      </c>
      <c r="AC329" s="10">
        <f>AA329-AB329</f>
        <v/>
      </c>
      <c r="AD329" s="10">
        <f>MIN('02_Данные'!M329,AC329)</f>
        <v/>
      </c>
      <c r="AE329" s="10">
        <f>AC329-AD329</f>
        <v/>
      </c>
      <c r="AF329" s="10">
        <f>MIN('02_Данные'!N329,AE329)</f>
        <v/>
      </c>
      <c r="AG329" s="10">
        <f>AE329-AF329</f>
        <v/>
      </c>
      <c r="AH329" s="10">
        <f>MIN('02_Данные'!S329,AG329)</f>
        <v/>
      </c>
      <c r="AI329" s="10">
        <f>AG329-AH329</f>
        <v/>
      </c>
      <c r="AJ329" s="10">
        <f>MIN('02_Данные'!P329,AI329)</f>
        <v/>
      </c>
      <c r="AK329" s="10">
        <f>AI329-AJ329</f>
        <v/>
      </c>
      <c r="AL329" s="10">
        <f>MIN('02_Данные'!O329,AK329)</f>
        <v/>
      </c>
      <c r="AM329" s="10">
        <f>AK329-AL329</f>
        <v/>
      </c>
      <c r="AN329" s="10">
        <f>MIN('02_Данные'!Q329,AM329)</f>
        <v/>
      </c>
      <c r="AO329" s="10">
        <f>AM329-AN329</f>
        <v/>
      </c>
      <c r="AP329" s="10">
        <f>MIN('02_Данные'!R329,AO329)</f>
        <v/>
      </c>
      <c r="AQ329" s="10">
        <f>AO329-AP329</f>
        <v/>
      </c>
      <c r="AR329" s="10">
        <f>AQ329+'02_Данные'!H329</f>
        <v/>
      </c>
      <c r="AS329" s="10">
        <f>MIN('02_Данные'!T329,AR329)</f>
        <v/>
      </c>
      <c r="AT329" s="10">
        <f>AR329-AS329</f>
        <v/>
      </c>
      <c r="AU329" s="10">
        <f>MIN('02_Данные'!U329,AT329)</f>
        <v/>
      </c>
      <c r="AV329" s="10">
        <f>AT329-AU329</f>
        <v/>
      </c>
      <c r="AW329" s="10">
        <f>MIN('02_Данные'!V329,AV329)</f>
        <v/>
      </c>
      <c r="AX329" s="10">
        <f>AV329-AW329</f>
        <v/>
      </c>
      <c r="AY329" s="10">
        <f>MIN('02_Данные'!AA329,AX329)</f>
        <v/>
      </c>
      <c r="AZ329" s="10">
        <f>AX329-AY329</f>
        <v/>
      </c>
      <c r="BA329" s="10">
        <f>MIN('02_Данные'!X329,AZ329)</f>
        <v/>
      </c>
      <c r="BB329" s="10">
        <f>AZ329-BA329</f>
        <v/>
      </c>
      <c r="BC329" s="10">
        <f>MIN('02_Данные'!W329,BB329)</f>
        <v/>
      </c>
      <c r="BD329" s="10">
        <f>BB329-BC329</f>
        <v/>
      </c>
      <c r="BE329" s="10">
        <f>MIN('02_Данные'!Y329,BD329)</f>
        <v/>
      </c>
      <c r="BF329" s="10">
        <f>BD329-BE329</f>
        <v/>
      </c>
      <c r="BG329" s="10">
        <f>MIN('02_Данные'!Z329,BF329)</f>
        <v/>
      </c>
      <c r="BH329" s="10">
        <f>BF329-BG329</f>
        <v/>
      </c>
      <c r="BI329" s="10">
        <f>BH329+'02_Данные'!I329</f>
        <v/>
      </c>
      <c r="BJ329" s="10">
        <f>MIN('02_Данные'!AB329,BI329)</f>
        <v/>
      </c>
      <c r="BK329" s="10">
        <f>BI329-BJ329</f>
        <v/>
      </c>
      <c r="BL329" s="10">
        <f>MIN('02_Данные'!AC329,BK329)</f>
        <v/>
      </c>
      <c r="BM329" s="10">
        <f>BK329-BL329</f>
        <v/>
      </c>
      <c r="BN329" s="10">
        <f>MIN('02_Данные'!AD329,BM329)</f>
        <v/>
      </c>
      <c r="BO329" s="10">
        <f>BM329-BN329</f>
        <v/>
      </c>
      <c r="BP329" s="10">
        <f>MIN('02_Данные'!AI329,BO329)</f>
        <v/>
      </c>
      <c r="BQ329" s="10">
        <f>BO329-BP329</f>
        <v/>
      </c>
      <c r="BR329" s="10">
        <f>MIN('02_Данные'!AF329,BQ329)</f>
        <v/>
      </c>
      <c r="BS329" s="10">
        <f>BQ329-BR329</f>
        <v/>
      </c>
      <c r="BT329" s="10">
        <f>MIN('02_Данные'!AE329,BS329)</f>
        <v/>
      </c>
      <c r="BU329" s="10">
        <f>BS329-BT329</f>
        <v/>
      </c>
      <c r="BV329" s="10">
        <f>MIN('02_Данные'!AG329,BU329)</f>
        <v/>
      </c>
      <c r="BW329" s="10">
        <f>BU329-BV329</f>
        <v/>
      </c>
      <c r="BX329" s="10">
        <f>MIN('02_Данные'!AH329,BW329)</f>
        <v/>
      </c>
      <c r="BY329" s="10">
        <f>BW329-BX329</f>
        <v/>
      </c>
      <c r="BZ329" s="10">
        <f>BY329+'02_Данные'!J329</f>
        <v/>
      </c>
      <c r="CA329" s="10">
        <f>MIN('02_Данные'!AJ329,BZ329)</f>
        <v/>
      </c>
      <c r="CB329" s="10">
        <f>BZ329-CA329</f>
        <v/>
      </c>
      <c r="CC329" s="10">
        <f>MIN('02_Данные'!AK329,CB329)</f>
        <v/>
      </c>
      <c r="CD329" s="10">
        <f>CB329-CC329</f>
        <v/>
      </c>
      <c r="CE329" s="10">
        <f>MIN('02_Данные'!AL329,CD329)</f>
        <v/>
      </c>
      <c r="CF329" s="10">
        <f>CD329-CE329</f>
        <v/>
      </c>
      <c r="CG329" s="10">
        <f>MIN('02_Данные'!AQ329,CF329)</f>
        <v/>
      </c>
      <c r="CH329" s="10">
        <f>CF329-CG329</f>
        <v/>
      </c>
      <c r="CI329" s="10">
        <f>MIN('02_Данные'!AN329,CH329)</f>
        <v/>
      </c>
      <c r="CJ329" s="10">
        <f>CH329-CI329</f>
        <v/>
      </c>
      <c r="CK329" s="10">
        <f>MIN('02_Данные'!AM329,CJ329)</f>
        <v/>
      </c>
      <c r="CL329" s="10">
        <f>CJ329-CK329</f>
        <v/>
      </c>
      <c r="CM329" s="10">
        <f>MIN('02_Данные'!AO329,CL329)</f>
        <v/>
      </c>
      <c r="CN329" s="10">
        <f>CL329-CM329</f>
        <v/>
      </c>
      <c r="CO329" s="10">
        <f>MIN('02_Данные'!AP329,CN329)</f>
        <v/>
      </c>
      <c r="CP329" s="10">
        <f>CN329-CO329</f>
        <v/>
      </c>
      <c r="CQ329" s="10">
        <f>CP329+'02_Данные'!K329</f>
        <v/>
      </c>
      <c r="CR329" s="10">
        <f>MIN('02_Данные'!AR329,CQ329)</f>
        <v/>
      </c>
      <c r="CS329" s="10">
        <f>CQ329-CR329</f>
        <v/>
      </c>
      <c r="CT329" s="10">
        <f>MIN('02_Данные'!AS329,CS329)</f>
        <v/>
      </c>
      <c r="CU329" s="10">
        <f>CS329-CT329</f>
        <v/>
      </c>
      <c r="CV329" s="10">
        <f>MIN('02_Данные'!AT329,CU329)</f>
        <v/>
      </c>
      <c r="CW329" s="10">
        <f>CU329-CV329</f>
        <v/>
      </c>
      <c r="CX329" s="10">
        <f>MIN('02_Данные'!AY329,CW329)</f>
        <v/>
      </c>
      <c r="CY329" s="10">
        <f>CW329-CX329</f>
        <v/>
      </c>
      <c r="CZ329" s="10">
        <f>MIN('02_Данные'!AV329,CY329)</f>
        <v/>
      </c>
      <c r="DA329" s="10">
        <f>CY329-CZ329</f>
        <v/>
      </c>
      <c r="DB329" s="10">
        <f>MIN('02_Данные'!AU329,DA329)</f>
        <v/>
      </c>
      <c r="DC329" s="10">
        <f>DA329-DB329</f>
        <v/>
      </c>
      <c r="DD329" s="10">
        <f>MIN('02_Данные'!AW329,DC329)</f>
        <v/>
      </c>
      <c r="DE329" s="10">
        <f>DC329-DD329</f>
        <v/>
      </c>
      <c r="DF329" s="10">
        <f>MIN('02_Данные'!AX329,DE329)</f>
        <v/>
      </c>
      <c r="DG329" s="10">
        <f>DE329-DF329</f>
        <v/>
      </c>
    </row>
    <row r="330">
      <c r="A330" s="9">
        <f>'02_Данные'!B330</f>
        <v/>
      </c>
      <c r="B330" s="9">
        <f>'02_Данные'!E330</f>
        <v/>
      </c>
      <c r="C330" s="10">
        <f>'02_Данные'!F330+'02_Данные'!G330+'02_Данные'!H330+'02_Данные'!I330+'02_Данные'!J330+'02_Данные'!K330</f>
        <v/>
      </c>
      <c r="D330" s="10">
        <f>SUM('02_Данные'!L330:'02_Данные'!AY330)</f>
        <v/>
      </c>
      <c r="E330" s="10">
        <f>MAX(0,D330-C330)</f>
        <v/>
      </c>
      <c r="F330" s="15">
        <f>IF(E330&gt;0.0001,"ДЕФИЦИТ",IF(Y330&gt;0.0001,"ПРОФИЦИТ","БАЛАНС"))</f>
        <v/>
      </c>
      <c r="G330" s="10">
        <f>AB330+AS330+BJ330+CA330+CR330</f>
        <v/>
      </c>
      <c r="H330" s="10">
        <f>AD330+AU330+BL330+CC330+CT330</f>
        <v/>
      </c>
      <c r="I330" s="10">
        <f>AF330+AW330+BN330+CE330+CV330</f>
        <v/>
      </c>
      <c r="J330" s="10">
        <f>AL330+BC330+BT330+CK330+DB330</f>
        <v/>
      </c>
      <c r="K330" s="10">
        <f>AJ330+BA330+BR330+CI330+CZ330</f>
        <v/>
      </c>
      <c r="L330" s="10">
        <f>AN330+BE330+BV330+CM330+DD330</f>
        <v/>
      </c>
      <c r="M330" s="10">
        <f>AP330+BG330+BX330+CO330+DF330</f>
        <v/>
      </c>
      <c r="N330" s="10">
        <f>AH330+AY330+BP330+CG330+CX330</f>
        <v/>
      </c>
      <c r="O330" s="10">
        <f>SUM(G330:N330)</f>
        <v/>
      </c>
      <c r="P330" s="10">
        <f>IFERROR(G330*MIN(1,'01_Нормативы'!$C$4/SUM(G$2:G$429)),0)</f>
        <v/>
      </c>
      <c r="Q330" s="10">
        <f>IFERROR(H330*MIN(1,'01_Нормативы'!$C$5/SUM(H$2:H$429)),0)</f>
        <v/>
      </c>
      <c r="R330" s="10">
        <f>IFERROR(I330*MIN(1,'01_Нормативы'!$C$6/SUM(I$2:I$429)),0)</f>
        <v/>
      </c>
      <c r="S330" s="10">
        <f>IFERROR(J330*MIN(1,'01_Нормативы'!$C$7/SUM(J$2:J$429)),0)</f>
        <v/>
      </c>
      <c r="T330" s="10">
        <f>IFERROR(K330*MIN(1,'01_Нормативы'!$C$8/SUM(K$2:K$429)),0)</f>
        <v/>
      </c>
      <c r="U330" s="10">
        <f>IFERROR(L330*MIN(1,'01_Нормативы'!$C$9/SUM(L$2:L$429)),0)</f>
        <v/>
      </c>
      <c r="V330" s="10">
        <f>IFERROR(M330*MIN(1,'01_Нормативы'!$C$10/SUM(M$2:M$429)),0)</f>
        <v/>
      </c>
      <c r="W330" s="10">
        <f>IFERROR(N330*MIN(1,'01_Нормативы'!$C$11/SUM(N$2:N$429)),0)</f>
        <v/>
      </c>
      <c r="X330" s="10">
        <f>SUM(P330:W330)</f>
        <v/>
      </c>
      <c r="Y330" s="10">
        <f>MAX(0,C330-X330)</f>
        <v/>
      </c>
      <c r="Z330" s="10">
        <f>IF(D330=0,100,X330/D330*100)</f>
        <v/>
      </c>
      <c r="AA330" s="10">
        <f>'02_Данные'!F330+'02_Данные'!G330</f>
        <v/>
      </c>
      <c r="AB330" s="10">
        <f>MIN('02_Данные'!L330,AA330)</f>
        <v/>
      </c>
      <c r="AC330" s="10">
        <f>AA330-AB330</f>
        <v/>
      </c>
      <c r="AD330" s="10">
        <f>MIN('02_Данные'!M330,AC330)</f>
        <v/>
      </c>
      <c r="AE330" s="10">
        <f>AC330-AD330</f>
        <v/>
      </c>
      <c r="AF330" s="10">
        <f>MIN('02_Данные'!N330,AE330)</f>
        <v/>
      </c>
      <c r="AG330" s="10">
        <f>AE330-AF330</f>
        <v/>
      </c>
      <c r="AH330" s="10">
        <f>MIN('02_Данные'!S330,AG330)</f>
        <v/>
      </c>
      <c r="AI330" s="10">
        <f>AG330-AH330</f>
        <v/>
      </c>
      <c r="AJ330" s="10">
        <f>MIN('02_Данные'!P330,AI330)</f>
        <v/>
      </c>
      <c r="AK330" s="10">
        <f>AI330-AJ330</f>
        <v/>
      </c>
      <c r="AL330" s="10">
        <f>MIN('02_Данные'!O330,AK330)</f>
        <v/>
      </c>
      <c r="AM330" s="10">
        <f>AK330-AL330</f>
        <v/>
      </c>
      <c r="AN330" s="10">
        <f>MIN('02_Данные'!Q330,AM330)</f>
        <v/>
      </c>
      <c r="AO330" s="10">
        <f>AM330-AN330</f>
        <v/>
      </c>
      <c r="AP330" s="10">
        <f>MIN('02_Данные'!R330,AO330)</f>
        <v/>
      </c>
      <c r="AQ330" s="10">
        <f>AO330-AP330</f>
        <v/>
      </c>
      <c r="AR330" s="10">
        <f>AQ330+'02_Данные'!H330</f>
        <v/>
      </c>
      <c r="AS330" s="10">
        <f>MIN('02_Данные'!T330,AR330)</f>
        <v/>
      </c>
      <c r="AT330" s="10">
        <f>AR330-AS330</f>
        <v/>
      </c>
      <c r="AU330" s="10">
        <f>MIN('02_Данные'!U330,AT330)</f>
        <v/>
      </c>
      <c r="AV330" s="10">
        <f>AT330-AU330</f>
        <v/>
      </c>
      <c r="AW330" s="10">
        <f>MIN('02_Данные'!V330,AV330)</f>
        <v/>
      </c>
      <c r="AX330" s="10">
        <f>AV330-AW330</f>
        <v/>
      </c>
      <c r="AY330" s="10">
        <f>MIN('02_Данные'!AA330,AX330)</f>
        <v/>
      </c>
      <c r="AZ330" s="10">
        <f>AX330-AY330</f>
        <v/>
      </c>
      <c r="BA330" s="10">
        <f>MIN('02_Данные'!X330,AZ330)</f>
        <v/>
      </c>
      <c r="BB330" s="10">
        <f>AZ330-BA330</f>
        <v/>
      </c>
      <c r="BC330" s="10">
        <f>MIN('02_Данные'!W330,BB330)</f>
        <v/>
      </c>
      <c r="BD330" s="10">
        <f>BB330-BC330</f>
        <v/>
      </c>
      <c r="BE330" s="10">
        <f>MIN('02_Данные'!Y330,BD330)</f>
        <v/>
      </c>
      <c r="BF330" s="10">
        <f>BD330-BE330</f>
        <v/>
      </c>
      <c r="BG330" s="10">
        <f>MIN('02_Данные'!Z330,BF330)</f>
        <v/>
      </c>
      <c r="BH330" s="10">
        <f>BF330-BG330</f>
        <v/>
      </c>
      <c r="BI330" s="10">
        <f>BH330+'02_Данные'!I330</f>
        <v/>
      </c>
      <c r="BJ330" s="10">
        <f>MIN('02_Данные'!AB330,BI330)</f>
        <v/>
      </c>
      <c r="BK330" s="10">
        <f>BI330-BJ330</f>
        <v/>
      </c>
      <c r="BL330" s="10">
        <f>MIN('02_Данные'!AC330,BK330)</f>
        <v/>
      </c>
      <c r="BM330" s="10">
        <f>BK330-BL330</f>
        <v/>
      </c>
      <c r="BN330" s="10">
        <f>MIN('02_Данные'!AD330,BM330)</f>
        <v/>
      </c>
      <c r="BO330" s="10">
        <f>BM330-BN330</f>
        <v/>
      </c>
      <c r="BP330" s="10">
        <f>MIN('02_Данные'!AI330,BO330)</f>
        <v/>
      </c>
      <c r="BQ330" s="10">
        <f>BO330-BP330</f>
        <v/>
      </c>
      <c r="BR330" s="10">
        <f>MIN('02_Данные'!AF330,BQ330)</f>
        <v/>
      </c>
      <c r="BS330" s="10">
        <f>BQ330-BR330</f>
        <v/>
      </c>
      <c r="BT330" s="10">
        <f>MIN('02_Данные'!AE330,BS330)</f>
        <v/>
      </c>
      <c r="BU330" s="10">
        <f>BS330-BT330</f>
        <v/>
      </c>
      <c r="BV330" s="10">
        <f>MIN('02_Данные'!AG330,BU330)</f>
        <v/>
      </c>
      <c r="BW330" s="10">
        <f>BU330-BV330</f>
        <v/>
      </c>
      <c r="BX330" s="10">
        <f>MIN('02_Данные'!AH330,BW330)</f>
        <v/>
      </c>
      <c r="BY330" s="10">
        <f>BW330-BX330</f>
        <v/>
      </c>
      <c r="BZ330" s="10">
        <f>BY330+'02_Данные'!J330</f>
        <v/>
      </c>
      <c r="CA330" s="10">
        <f>MIN('02_Данные'!AJ330,BZ330)</f>
        <v/>
      </c>
      <c r="CB330" s="10">
        <f>BZ330-CA330</f>
        <v/>
      </c>
      <c r="CC330" s="10">
        <f>MIN('02_Данные'!AK330,CB330)</f>
        <v/>
      </c>
      <c r="CD330" s="10">
        <f>CB330-CC330</f>
        <v/>
      </c>
      <c r="CE330" s="10">
        <f>MIN('02_Данные'!AL330,CD330)</f>
        <v/>
      </c>
      <c r="CF330" s="10">
        <f>CD330-CE330</f>
        <v/>
      </c>
      <c r="CG330" s="10">
        <f>MIN('02_Данные'!AQ330,CF330)</f>
        <v/>
      </c>
      <c r="CH330" s="10">
        <f>CF330-CG330</f>
        <v/>
      </c>
      <c r="CI330" s="10">
        <f>MIN('02_Данные'!AN330,CH330)</f>
        <v/>
      </c>
      <c r="CJ330" s="10">
        <f>CH330-CI330</f>
        <v/>
      </c>
      <c r="CK330" s="10">
        <f>MIN('02_Данные'!AM330,CJ330)</f>
        <v/>
      </c>
      <c r="CL330" s="10">
        <f>CJ330-CK330</f>
        <v/>
      </c>
      <c r="CM330" s="10">
        <f>MIN('02_Данные'!AO330,CL330)</f>
        <v/>
      </c>
      <c r="CN330" s="10">
        <f>CL330-CM330</f>
        <v/>
      </c>
      <c r="CO330" s="10">
        <f>MIN('02_Данные'!AP330,CN330)</f>
        <v/>
      </c>
      <c r="CP330" s="10">
        <f>CN330-CO330</f>
        <v/>
      </c>
      <c r="CQ330" s="10">
        <f>CP330+'02_Данные'!K330</f>
        <v/>
      </c>
      <c r="CR330" s="10">
        <f>MIN('02_Данные'!AR330,CQ330)</f>
        <v/>
      </c>
      <c r="CS330" s="10">
        <f>CQ330-CR330</f>
        <v/>
      </c>
      <c r="CT330" s="10">
        <f>MIN('02_Данные'!AS330,CS330)</f>
        <v/>
      </c>
      <c r="CU330" s="10">
        <f>CS330-CT330</f>
        <v/>
      </c>
      <c r="CV330" s="10">
        <f>MIN('02_Данные'!AT330,CU330)</f>
        <v/>
      </c>
      <c r="CW330" s="10">
        <f>CU330-CV330</f>
        <v/>
      </c>
      <c r="CX330" s="10">
        <f>MIN('02_Данные'!AY330,CW330)</f>
        <v/>
      </c>
      <c r="CY330" s="10">
        <f>CW330-CX330</f>
        <v/>
      </c>
      <c r="CZ330" s="10">
        <f>MIN('02_Данные'!AV330,CY330)</f>
        <v/>
      </c>
      <c r="DA330" s="10">
        <f>CY330-CZ330</f>
        <v/>
      </c>
      <c r="DB330" s="10">
        <f>MIN('02_Данные'!AU330,DA330)</f>
        <v/>
      </c>
      <c r="DC330" s="10">
        <f>DA330-DB330</f>
        <v/>
      </c>
      <c r="DD330" s="10">
        <f>MIN('02_Данные'!AW330,DC330)</f>
        <v/>
      </c>
      <c r="DE330" s="10">
        <f>DC330-DD330</f>
        <v/>
      </c>
      <c r="DF330" s="10">
        <f>MIN('02_Данные'!AX330,DE330)</f>
        <v/>
      </c>
      <c r="DG330" s="10">
        <f>DE330-DF330</f>
        <v/>
      </c>
    </row>
    <row r="331">
      <c r="A331" s="9">
        <f>'02_Данные'!B331</f>
        <v/>
      </c>
      <c r="B331" s="9">
        <f>'02_Данные'!E331</f>
        <v/>
      </c>
      <c r="C331" s="10">
        <f>'02_Данные'!F331+'02_Данные'!G331+'02_Данные'!H331+'02_Данные'!I331+'02_Данные'!J331+'02_Данные'!K331</f>
        <v/>
      </c>
      <c r="D331" s="10">
        <f>SUM('02_Данные'!L331:'02_Данные'!AY331)</f>
        <v/>
      </c>
      <c r="E331" s="10">
        <f>MAX(0,D331-C331)</f>
        <v/>
      </c>
      <c r="F331" s="15">
        <f>IF(E331&gt;0.0001,"ДЕФИЦИТ",IF(Y331&gt;0.0001,"ПРОФИЦИТ","БАЛАНС"))</f>
        <v/>
      </c>
      <c r="G331" s="10">
        <f>AB331+AS331+BJ331+CA331+CR331</f>
        <v/>
      </c>
      <c r="H331" s="10">
        <f>AD331+AU331+BL331+CC331+CT331</f>
        <v/>
      </c>
      <c r="I331" s="10">
        <f>AF331+AW331+BN331+CE331+CV331</f>
        <v/>
      </c>
      <c r="J331" s="10">
        <f>AL331+BC331+BT331+CK331+DB331</f>
        <v/>
      </c>
      <c r="K331" s="10">
        <f>AJ331+BA331+BR331+CI331+CZ331</f>
        <v/>
      </c>
      <c r="L331" s="10">
        <f>AN331+BE331+BV331+CM331+DD331</f>
        <v/>
      </c>
      <c r="M331" s="10">
        <f>AP331+BG331+BX331+CO331+DF331</f>
        <v/>
      </c>
      <c r="N331" s="10">
        <f>AH331+AY331+BP331+CG331+CX331</f>
        <v/>
      </c>
      <c r="O331" s="10">
        <f>SUM(G331:N331)</f>
        <v/>
      </c>
      <c r="P331" s="10">
        <f>IFERROR(G331*MIN(1,'01_Нормативы'!$C$4/SUM(G$2:G$429)),0)</f>
        <v/>
      </c>
      <c r="Q331" s="10">
        <f>IFERROR(H331*MIN(1,'01_Нормативы'!$C$5/SUM(H$2:H$429)),0)</f>
        <v/>
      </c>
      <c r="R331" s="10">
        <f>IFERROR(I331*MIN(1,'01_Нормативы'!$C$6/SUM(I$2:I$429)),0)</f>
        <v/>
      </c>
      <c r="S331" s="10">
        <f>IFERROR(J331*MIN(1,'01_Нормативы'!$C$7/SUM(J$2:J$429)),0)</f>
        <v/>
      </c>
      <c r="T331" s="10">
        <f>IFERROR(K331*MIN(1,'01_Нормативы'!$C$8/SUM(K$2:K$429)),0)</f>
        <v/>
      </c>
      <c r="U331" s="10">
        <f>IFERROR(L331*MIN(1,'01_Нормативы'!$C$9/SUM(L$2:L$429)),0)</f>
        <v/>
      </c>
      <c r="V331" s="10">
        <f>IFERROR(M331*MIN(1,'01_Нормативы'!$C$10/SUM(M$2:M$429)),0)</f>
        <v/>
      </c>
      <c r="W331" s="10">
        <f>IFERROR(N331*MIN(1,'01_Нормативы'!$C$11/SUM(N$2:N$429)),0)</f>
        <v/>
      </c>
      <c r="X331" s="10">
        <f>SUM(P331:W331)</f>
        <v/>
      </c>
      <c r="Y331" s="10">
        <f>MAX(0,C331-X331)</f>
        <v/>
      </c>
      <c r="Z331" s="10">
        <f>IF(D331=0,100,X331/D331*100)</f>
        <v/>
      </c>
      <c r="AA331" s="10">
        <f>'02_Данные'!F331+'02_Данные'!G331</f>
        <v/>
      </c>
      <c r="AB331" s="10">
        <f>MIN('02_Данные'!L331,AA331)</f>
        <v/>
      </c>
      <c r="AC331" s="10">
        <f>AA331-AB331</f>
        <v/>
      </c>
      <c r="AD331" s="10">
        <f>MIN('02_Данные'!M331,AC331)</f>
        <v/>
      </c>
      <c r="AE331" s="10">
        <f>AC331-AD331</f>
        <v/>
      </c>
      <c r="AF331" s="10">
        <f>MIN('02_Данные'!N331,AE331)</f>
        <v/>
      </c>
      <c r="AG331" s="10">
        <f>AE331-AF331</f>
        <v/>
      </c>
      <c r="AH331" s="10">
        <f>MIN('02_Данные'!S331,AG331)</f>
        <v/>
      </c>
      <c r="AI331" s="10">
        <f>AG331-AH331</f>
        <v/>
      </c>
      <c r="AJ331" s="10">
        <f>MIN('02_Данные'!P331,AI331)</f>
        <v/>
      </c>
      <c r="AK331" s="10">
        <f>AI331-AJ331</f>
        <v/>
      </c>
      <c r="AL331" s="10">
        <f>MIN('02_Данные'!O331,AK331)</f>
        <v/>
      </c>
      <c r="AM331" s="10">
        <f>AK331-AL331</f>
        <v/>
      </c>
      <c r="AN331" s="10">
        <f>MIN('02_Данные'!Q331,AM331)</f>
        <v/>
      </c>
      <c r="AO331" s="10">
        <f>AM331-AN331</f>
        <v/>
      </c>
      <c r="AP331" s="10">
        <f>MIN('02_Данные'!R331,AO331)</f>
        <v/>
      </c>
      <c r="AQ331" s="10">
        <f>AO331-AP331</f>
        <v/>
      </c>
      <c r="AR331" s="10">
        <f>AQ331+'02_Данные'!H331</f>
        <v/>
      </c>
      <c r="AS331" s="10">
        <f>MIN('02_Данные'!T331,AR331)</f>
        <v/>
      </c>
      <c r="AT331" s="10">
        <f>AR331-AS331</f>
        <v/>
      </c>
      <c r="AU331" s="10">
        <f>MIN('02_Данные'!U331,AT331)</f>
        <v/>
      </c>
      <c r="AV331" s="10">
        <f>AT331-AU331</f>
        <v/>
      </c>
      <c r="AW331" s="10">
        <f>MIN('02_Данные'!V331,AV331)</f>
        <v/>
      </c>
      <c r="AX331" s="10">
        <f>AV331-AW331</f>
        <v/>
      </c>
      <c r="AY331" s="10">
        <f>MIN('02_Данные'!AA331,AX331)</f>
        <v/>
      </c>
      <c r="AZ331" s="10">
        <f>AX331-AY331</f>
        <v/>
      </c>
      <c r="BA331" s="10">
        <f>MIN('02_Данные'!X331,AZ331)</f>
        <v/>
      </c>
      <c r="BB331" s="10">
        <f>AZ331-BA331</f>
        <v/>
      </c>
      <c r="BC331" s="10">
        <f>MIN('02_Данные'!W331,BB331)</f>
        <v/>
      </c>
      <c r="BD331" s="10">
        <f>BB331-BC331</f>
        <v/>
      </c>
      <c r="BE331" s="10">
        <f>MIN('02_Данные'!Y331,BD331)</f>
        <v/>
      </c>
      <c r="BF331" s="10">
        <f>BD331-BE331</f>
        <v/>
      </c>
      <c r="BG331" s="10">
        <f>MIN('02_Данные'!Z331,BF331)</f>
        <v/>
      </c>
      <c r="BH331" s="10">
        <f>BF331-BG331</f>
        <v/>
      </c>
      <c r="BI331" s="10">
        <f>BH331+'02_Данные'!I331</f>
        <v/>
      </c>
      <c r="BJ331" s="10">
        <f>MIN('02_Данные'!AB331,BI331)</f>
        <v/>
      </c>
      <c r="BK331" s="10">
        <f>BI331-BJ331</f>
        <v/>
      </c>
      <c r="BL331" s="10">
        <f>MIN('02_Данные'!AC331,BK331)</f>
        <v/>
      </c>
      <c r="BM331" s="10">
        <f>BK331-BL331</f>
        <v/>
      </c>
      <c r="BN331" s="10">
        <f>MIN('02_Данные'!AD331,BM331)</f>
        <v/>
      </c>
      <c r="BO331" s="10">
        <f>BM331-BN331</f>
        <v/>
      </c>
      <c r="BP331" s="10">
        <f>MIN('02_Данные'!AI331,BO331)</f>
        <v/>
      </c>
      <c r="BQ331" s="10">
        <f>BO331-BP331</f>
        <v/>
      </c>
      <c r="BR331" s="10">
        <f>MIN('02_Данные'!AF331,BQ331)</f>
        <v/>
      </c>
      <c r="BS331" s="10">
        <f>BQ331-BR331</f>
        <v/>
      </c>
      <c r="BT331" s="10">
        <f>MIN('02_Данные'!AE331,BS331)</f>
        <v/>
      </c>
      <c r="BU331" s="10">
        <f>BS331-BT331</f>
        <v/>
      </c>
      <c r="BV331" s="10">
        <f>MIN('02_Данные'!AG331,BU331)</f>
        <v/>
      </c>
      <c r="BW331" s="10">
        <f>BU331-BV331</f>
        <v/>
      </c>
      <c r="BX331" s="10">
        <f>MIN('02_Данные'!AH331,BW331)</f>
        <v/>
      </c>
      <c r="BY331" s="10">
        <f>BW331-BX331</f>
        <v/>
      </c>
      <c r="BZ331" s="10">
        <f>BY331+'02_Данные'!J331</f>
        <v/>
      </c>
      <c r="CA331" s="10">
        <f>MIN('02_Данные'!AJ331,BZ331)</f>
        <v/>
      </c>
      <c r="CB331" s="10">
        <f>BZ331-CA331</f>
        <v/>
      </c>
      <c r="CC331" s="10">
        <f>MIN('02_Данные'!AK331,CB331)</f>
        <v/>
      </c>
      <c r="CD331" s="10">
        <f>CB331-CC331</f>
        <v/>
      </c>
      <c r="CE331" s="10">
        <f>MIN('02_Данные'!AL331,CD331)</f>
        <v/>
      </c>
      <c r="CF331" s="10">
        <f>CD331-CE331</f>
        <v/>
      </c>
      <c r="CG331" s="10">
        <f>MIN('02_Данные'!AQ331,CF331)</f>
        <v/>
      </c>
      <c r="CH331" s="10">
        <f>CF331-CG331</f>
        <v/>
      </c>
      <c r="CI331" s="10">
        <f>MIN('02_Данные'!AN331,CH331)</f>
        <v/>
      </c>
      <c r="CJ331" s="10">
        <f>CH331-CI331</f>
        <v/>
      </c>
      <c r="CK331" s="10">
        <f>MIN('02_Данные'!AM331,CJ331)</f>
        <v/>
      </c>
      <c r="CL331" s="10">
        <f>CJ331-CK331</f>
        <v/>
      </c>
      <c r="CM331" s="10">
        <f>MIN('02_Данные'!AO331,CL331)</f>
        <v/>
      </c>
      <c r="CN331" s="10">
        <f>CL331-CM331</f>
        <v/>
      </c>
      <c r="CO331" s="10">
        <f>MIN('02_Данные'!AP331,CN331)</f>
        <v/>
      </c>
      <c r="CP331" s="10">
        <f>CN331-CO331</f>
        <v/>
      </c>
      <c r="CQ331" s="10">
        <f>CP331+'02_Данные'!K331</f>
        <v/>
      </c>
      <c r="CR331" s="10">
        <f>MIN('02_Данные'!AR331,CQ331)</f>
        <v/>
      </c>
      <c r="CS331" s="10">
        <f>CQ331-CR331</f>
        <v/>
      </c>
      <c r="CT331" s="10">
        <f>MIN('02_Данные'!AS331,CS331)</f>
        <v/>
      </c>
      <c r="CU331" s="10">
        <f>CS331-CT331</f>
        <v/>
      </c>
      <c r="CV331" s="10">
        <f>MIN('02_Данные'!AT331,CU331)</f>
        <v/>
      </c>
      <c r="CW331" s="10">
        <f>CU331-CV331</f>
        <v/>
      </c>
      <c r="CX331" s="10">
        <f>MIN('02_Данные'!AY331,CW331)</f>
        <v/>
      </c>
      <c r="CY331" s="10">
        <f>CW331-CX331</f>
        <v/>
      </c>
      <c r="CZ331" s="10">
        <f>MIN('02_Данные'!AV331,CY331)</f>
        <v/>
      </c>
      <c r="DA331" s="10">
        <f>CY331-CZ331</f>
        <v/>
      </c>
      <c r="DB331" s="10">
        <f>MIN('02_Данные'!AU331,DA331)</f>
        <v/>
      </c>
      <c r="DC331" s="10">
        <f>DA331-DB331</f>
        <v/>
      </c>
      <c r="DD331" s="10">
        <f>MIN('02_Данные'!AW331,DC331)</f>
        <v/>
      </c>
      <c r="DE331" s="10">
        <f>DC331-DD331</f>
        <v/>
      </c>
      <c r="DF331" s="10">
        <f>MIN('02_Данные'!AX331,DE331)</f>
        <v/>
      </c>
      <c r="DG331" s="10">
        <f>DE331-DF331</f>
        <v/>
      </c>
    </row>
    <row r="332">
      <c r="A332" s="9">
        <f>'02_Данные'!B332</f>
        <v/>
      </c>
      <c r="B332" s="9">
        <f>'02_Данные'!E332</f>
        <v/>
      </c>
      <c r="C332" s="10">
        <f>'02_Данные'!F332+'02_Данные'!G332+'02_Данные'!H332+'02_Данные'!I332+'02_Данные'!J332+'02_Данные'!K332</f>
        <v/>
      </c>
      <c r="D332" s="10">
        <f>SUM('02_Данные'!L332:'02_Данные'!AY332)</f>
        <v/>
      </c>
      <c r="E332" s="10">
        <f>MAX(0,D332-C332)</f>
        <v/>
      </c>
      <c r="F332" s="15">
        <f>IF(E332&gt;0.0001,"ДЕФИЦИТ",IF(Y332&gt;0.0001,"ПРОФИЦИТ","БАЛАНС"))</f>
        <v/>
      </c>
      <c r="G332" s="10">
        <f>AB332+AS332+BJ332+CA332+CR332</f>
        <v/>
      </c>
      <c r="H332" s="10">
        <f>AD332+AU332+BL332+CC332+CT332</f>
        <v/>
      </c>
      <c r="I332" s="10">
        <f>AF332+AW332+BN332+CE332+CV332</f>
        <v/>
      </c>
      <c r="J332" s="10">
        <f>AL332+BC332+BT332+CK332+DB332</f>
        <v/>
      </c>
      <c r="K332" s="10">
        <f>AJ332+BA332+BR332+CI332+CZ332</f>
        <v/>
      </c>
      <c r="L332" s="10">
        <f>AN332+BE332+BV332+CM332+DD332</f>
        <v/>
      </c>
      <c r="M332" s="10">
        <f>AP332+BG332+BX332+CO332+DF332</f>
        <v/>
      </c>
      <c r="N332" s="10">
        <f>AH332+AY332+BP332+CG332+CX332</f>
        <v/>
      </c>
      <c r="O332" s="10">
        <f>SUM(G332:N332)</f>
        <v/>
      </c>
      <c r="P332" s="10">
        <f>IFERROR(G332*MIN(1,'01_Нормативы'!$C$4/SUM(G$2:G$429)),0)</f>
        <v/>
      </c>
      <c r="Q332" s="10">
        <f>IFERROR(H332*MIN(1,'01_Нормативы'!$C$5/SUM(H$2:H$429)),0)</f>
        <v/>
      </c>
      <c r="R332" s="10">
        <f>IFERROR(I332*MIN(1,'01_Нормативы'!$C$6/SUM(I$2:I$429)),0)</f>
        <v/>
      </c>
      <c r="S332" s="10">
        <f>IFERROR(J332*MIN(1,'01_Нормативы'!$C$7/SUM(J$2:J$429)),0)</f>
        <v/>
      </c>
      <c r="T332" s="10">
        <f>IFERROR(K332*MIN(1,'01_Нормативы'!$C$8/SUM(K$2:K$429)),0)</f>
        <v/>
      </c>
      <c r="U332" s="10">
        <f>IFERROR(L332*MIN(1,'01_Нормативы'!$C$9/SUM(L$2:L$429)),0)</f>
        <v/>
      </c>
      <c r="V332" s="10">
        <f>IFERROR(M332*MIN(1,'01_Нормативы'!$C$10/SUM(M$2:M$429)),0)</f>
        <v/>
      </c>
      <c r="W332" s="10">
        <f>IFERROR(N332*MIN(1,'01_Нормативы'!$C$11/SUM(N$2:N$429)),0)</f>
        <v/>
      </c>
      <c r="X332" s="10">
        <f>SUM(P332:W332)</f>
        <v/>
      </c>
      <c r="Y332" s="10">
        <f>MAX(0,C332-X332)</f>
        <v/>
      </c>
      <c r="Z332" s="10">
        <f>IF(D332=0,100,X332/D332*100)</f>
        <v/>
      </c>
      <c r="AA332" s="10">
        <f>'02_Данные'!F332+'02_Данные'!G332</f>
        <v/>
      </c>
      <c r="AB332" s="10">
        <f>MIN('02_Данные'!L332,AA332)</f>
        <v/>
      </c>
      <c r="AC332" s="10">
        <f>AA332-AB332</f>
        <v/>
      </c>
      <c r="AD332" s="10">
        <f>MIN('02_Данные'!M332,AC332)</f>
        <v/>
      </c>
      <c r="AE332" s="10">
        <f>AC332-AD332</f>
        <v/>
      </c>
      <c r="AF332" s="10">
        <f>MIN('02_Данные'!N332,AE332)</f>
        <v/>
      </c>
      <c r="AG332" s="10">
        <f>AE332-AF332</f>
        <v/>
      </c>
      <c r="AH332" s="10">
        <f>MIN('02_Данные'!S332,AG332)</f>
        <v/>
      </c>
      <c r="AI332" s="10">
        <f>AG332-AH332</f>
        <v/>
      </c>
      <c r="AJ332" s="10">
        <f>MIN('02_Данные'!P332,AI332)</f>
        <v/>
      </c>
      <c r="AK332" s="10">
        <f>AI332-AJ332</f>
        <v/>
      </c>
      <c r="AL332" s="10">
        <f>MIN('02_Данные'!O332,AK332)</f>
        <v/>
      </c>
      <c r="AM332" s="10">
        <f>AK332-AL332</f>
        <v/>
      </c>
      <c r="AN332" s="10">
        <f>MIN('02_Данные'!Q332,AM332)</f>
        <v/>
      </c>
      <c r="AO332" s="10">
        <f>AM332-AN332</f>
        <v/>
      </c>
      <c r="AP332" s="10">
        <f>MIN('02_Данные'!R332,AO332)</f>
        <v/>
      </c>
      <c r="AQ332" s="10">
        <f>AO332-AP332</f>
        <v/>
      </c>
      <c r="AR332" s="10">
        <f>AQ332+'02_Данные'!H332</f>
        <v/>
      </c>
      <c r="AS332" s="10">
        <f>MIN('02_Данные'!T332,AR332)</f>
        <v/>
      </c>
      <c r="AT332" s="10">
        <f>AR332-AS332</f>
        <v/>
      </c>
      <c r="AU332" s="10">
        <f>MIN('02_Данные'!U332,AT332)</f>
        <v/>
      </c>
      <c r="AV332" s="10">
        <f>AT332-AU332</f>
        <v/>
      </c>
      <c r="AW332" s="10">
        <f>MIN('02_Данные'!V332,AV332)</f>
        <v/>
      </c>
      <c r="AX332" s="10">
        <f>AV332-AW332</f>
        <v/>
      </c>
      <c r="AY332" s="10">
        <f>MIN('02_Данные'!AA332,AX332)</f>
        <v/>
      </c>
      <c r="AZ332" s="10">
        <f>AX332-AY332</f>
        <v/>
      </c>
      <c r="BA332" s="10">
        <f>MIN('02_Данные'!X332,AZ332)</f>
        <v/>
      </c>
      <c r="BB332" s="10">
        <f>AZ332-BA332</f>
        <v/>
      </c>
      <c r="BC332" s="10">
        <f>MIN('02_Данные'!W332,BB332)</f>
        <v/>
      </c>
      <c r="BD332" s="10">
        <f>BB332-BC332</f>
        <v/>
      </c>
      <c r="BE332" s="10">
        <f>MIN('02_Данные'!Y332,BD332)</f>
        <v/>
      </c>
      <c r="BF332" s="10">
        <f>BD332-BE332</f>
        <v/>
      </c>
      <c r="BG332" s="10">
        <f>MIN('02_Данные'!Z332,BF332)</f>
        <v/>
      </c>
      <c r="BH332" s="10">
        <f>BF332-BG332</f>
        <v/>
      </c>
      <c r="BI332" s="10">
        <f>BH332+'02_Данные'!I332</f>
        <v/>
      </c>
      <c r="BJ332" s="10">
        <f>MIN('02_Данные'!AB332,BI332)</f>
        <v/>
      </c>
      <c r="BK332" s="10">
        <f>BI332-BJ332</f>
        <v/>
      </c>
      <c r="BL332" s="10">
        <f>MIN('02_Данные'!AC332,BK332)</f>
        <v/>
      </c>
      <c r="BM332" s="10">
        <f>BK332-BL332</f>
        <v/>
      </c>
      <c r="BN332" s="10">
        <f>MIN('02_Данные'!AD332,BM332)</f>
        <v/>
      </c>
      <c r="BO332" s="10">
        <f>BM332-BN332</f>
        <v/>
      </c>
      <c r="BP332" s="10">
        <f>MIN('02_Данные'!AI332,BO332)</f>
        <v/>
      </c>
      <c r="BQ332" s="10">
        <f>BO332-BP332</f>
        <v/>
      </c>
      <c r="BR332" s="10">
        <f>MIN('02_Данные'!AF332,BQ332)</f>
        <v/>
      </c>
      <c r="BS332" s="10">
        <f>BQ332-BR332</f>
        <v/>
      </c>
      <c r="BT332" s="10">
        <f>MIN('02_Данные'!AE332,BS332)</f>
        <v/>
      </c>
      <c r="BU332" s="10">
        <f>BS332-BT332</f>
        <v/>
      </c>
      <c r="BV332" s="10">
        <f>MIN('02_Данные'!AG332,BU332)</f>
        <v/>
      </c>
      <c r="BW332" s="10">
        <f>BU332-BV332</f>
        <v/>
      </c>
      <c r="BX332" s="10">
        <f>MIN('02_Данные'!AH332,BW332)</f>
        <v/>
      </c>
      <c r="BY332" s="10">
        <f>BW332-BX332</f>
        <v/>
      </c>
      <c r="BZ332" s="10">
        <f>BY332+'02_Данные'!J332</f>
        <v/>
      </c>
      <c r="CA332" s="10">
        <f>MIN('02_Данные'!AJ332,BZ332)</f>
        <v/>
      </c>
      <c r="CB332" s="10">
        <f>BZ332-CA332</f>
        <v/>
      </c>
      <c r="CC332" s="10">
        <f>MIN('02_Данные'!AK332,CB332)</f>
        <v/>
      </c>
      <c r="CD332" s="10">
        <f>CB332-CC332</f>
        <v/>
      </c>
      <c r="CE332" s="10">
        <f>MIN('02_Данные'!AL332,CD332)</f>
        <v/>
      </c>
      <c r="CF332" s="10">
        <f>CD332-CE332</f>
        <v/>
      </c>
      <c r="CG332" s="10">
        <f>MIN('02_Данные'!AQ332,CF332)</f>
        <v/>
      </c>
      <c r="CH332" s="10">
        <f>CF332-CG332</f>
        <v/>
      </c>
      <c r="CI332" s="10">
        <f>MIN('02_Данные'!AN332,CH332)</f>
        <v/>
      </c>
      <c r="CJ332" s="10">
        <f>CH332-CI332</f>
        <v/>
      </c>
      <c r="CK332" s="10">
        <f>MIN('02_Данные'!AM332,CJ332)</f>
        <v/>
      </c>
      <c r="CL332" s="10">
        <f>CJ332-CK332</f>
        <v/>
      </c>
      <c r="CM332" s="10">
        <f>MIN('02_Данные'!AO332,CL332)</f>
        <v/>
      </c>
      <c r="CN332" s="10">
        <f>CL332-CM332</f>
        <v/>
      </c>
      <c r="CO332" s="10">
        <f>MIN('02_Данные'!AP332,CN332)</f>
        <v/>
      </c>
      <c r="CP332" s="10">
        <f>CN332-CO332</f>
        <v/>
      </c>
      <c r="CQ332" s="10">
        <f>CP332+'02_Данные'!K332</f>
        <v/>
      </c>
      <c r="CR332" s="10">
        <f>MIN('02_Данные'!AR332,CQ332)</f>
        <v/>
      </c>
      <c r="CS332" s="10">
        <f>CQ332-CR332</f>
        <v/>
      </c>
      <c r="CT332" s="10">
        <f>MIN('02_Данные'!AS332,CS332)</f>
        <v/>
      </c>
      <c r="CU332" s="10">
        <f>CS332-CT332</f>
        <v/>
      </c>
      <c r="CV332" s="10">
        <f>MIN('02_Данные'!AT332,CU332)</f>
        <v/>
      </c>
      <c r="CW332" s="10">
        <f>CU332-CV332</f>
        <v/>
      </c>
      <c r="CX332" s="10">
        <f>MIN('02_Данные'!AY332,CW332)</f>
        <v/>
      </c>
      <c r="CY332" s="10">
        <f>CW332-CX332</f>
        <v/>
      </c>
      <c r="CZ332" s="10">
        <f>MIN('02_Данные'!AV332,CY332)</f>
        <v/>
      </c>
      <c r="DA332" s="10">
        <f>CY332-CZ332</f>
        <v/>
      </c>
      <c r="DB332" s="10">
        <f>MIN('02_Данные'!AU332,DA332)</f>
        <v/>
      </c>
      <c r="DC332" s="10">
        <f>DA332-DB332</f>
        <v/>
      </c>
      <c r="DD332" s="10">
        <f>MIN('02_Данные'!AW332,DC332)</f>
        <v/>
      </c>
      <c r="DE332" s="10">
        <f>DC332-DD332</f>
        <v/>
      </c>
      <c r="DF332" s="10">
        <f>MIN('02_Данные'!AX332,DE332)</f>
        <v/>
      </c>
      <c r="DG332" s="10">
        <f>DE332-DF332</f>
        <v/>
      </c>
    </row>
    <row r="333">
      <c r="A333" s="9">
        <f>'02_Данные'!B333</f>
        <v/>
      </c>
      <c r="B333" s="9">
        <f>'02_Данные'!E333</f>
        <v/>
      </c>
      <c r="C333" s="10">
        <f>'02_Данные'!F333+'02_Данные'!G333+'02_Данные'!H333+'02_Данные'!I333+'02_Данные'!J333+'02_Данные'!K333</f>
        <v/>
      </c>
      <c r="D333" s="10">
        <f>SUM('02_Данные'!L333:'02_Данные'!AY333)</f>
        <v/>
      </c>
      <c r="E333" s="10">
        <f>MAX(0,D333-C333)</f>
        <v/>
      </c>
      <c r="F333" s="15">
        <f>IF(E333&gt;0.0001,"ДЕФИЦИТ",IF(Y333&gt;0.0001,"ПРОФИЦИТ","БАЛАНС"))</f>
        <v/>
      </c>
      <c r="G333" s="10">
        <f>AB333+AS333+BJ333+CA333+CR333</f>
        <v/>
      </c>
      <c r="H333" s="10">
        <f>AD333+AU333+BL333+CC333+CT333</f>
        <v/>
      </c>
      <c r="I333" s="10">
        <f>AF333+AW333+BN333+CE333+CV333</f>
        <v/>
      </c>
      <c r="J333" s="10">
        <f>AL333+BC333+BT333+CK333+DB333</f>
        <v/>
      </c>
      <c r="K333" s="10">
        <f>AJ333+BA333+BR333+CI333+CZ333</f>
        <v/>
      </c>
      <c r="L333" s="10">
        <f>AN333+BE333+BV333+CM333+DD333</f>
        <v/>
      </c>
      <c r="M333" s="10">
        <f>AP333+BG333+BX333+CO333+DF333</f>
        <v/>
      </c>
      <c r="N333" s="10">
        <f>AH333+AY333+BP333+CG333+CX333</f>
        <v/>
      </c>
      <c r="O333" s="10">
        <f>SUM(G333:N333)</f>
        <v/>
      </c>
      <c r="P333" s="10">
        <f>IFERROR(G333*MIN(1,'01_Нормативы'!$C$4/SUM(G$2:G$429)),0)</f>
        <v/>
      </c>
      <c r="Q333" s="10">
        <f>IFERROR(H333*MIN(1,'01_Нормативы'!$C$5/SUM(H$2:H$429)),0)</f>
        <v/>
      </c>
      <c r="R333" s="10">
        <f>IFERROR(I333*MIN(1,'01_Нормативы'!$C$6/SUM(I$2:I$429)),0)</f>
        <v/>
      </c>
      <c r="S333" s="10">
        <f>IFERROR(J333*MIN(1,'01_Нормативы'!$C$7/SUM(J$2:J$429)),0)</f>
        <v/>
      </c>
      <c r="T333" s="10">
        <f>IFERROR(K333*MIN(1,'01_Нормативы'!$C$8/SUM(K$2:K$429)),0)</f>
        <v/>
      </c>
      <c r="U333" s="10">
        <f>IFERROR(L333*MIN(1,'01_Нормативы'!$C$9/SUM(L$2:L$429)),0)</f>
        <v/>
      </c>
      <c r="V333" s="10">
        <f>IFERROR(M333*MIN(1,'01_Нормативы'!$C$10/SUM(M$2:M$429)),0)</f>
        <v/>
      </c>
      <c r="W333" s="10">
        <f>IFERROR(N333*MIN(1,'01_Нормативы'!$C$11/SUM(N$2:N$429)),0)</f>
        <v/>
      </c>
      <c r="X333" s="10">
        <f>SUM(P333:W333)</f>
        <v/>
      </c>
      <c r="Y333" s="10">
        <f>MAX(0,C333-X333)</f>
        <v/>
      </c>
      <c r="Z333" s="10">
        <f>IF(D333=0,100,X333/D333*100)</f>
        <v/>
      </c>
      <c r="AA333" s="10">
        <f>'02_Данные'!F333+'02_Данные'!G333</f>
        <v/>
      </c>
      <c r="AB333" s="10">
        <f>MIN('02_Данные'!L333,AA333)</f>
        <v/>
      </c>
      <c r="AC333" s="10">
        <f>AA333-AB333</f>
        <v/>
      </c>
      <c r="AD333" s="10">
        <f>MIN('02_Данные'!M333,AC333)</f>
        <v/>
      </c>
      <c r="AE333" s="10">
        <f>AC333-AD333</f>
        <v/>
      </c>
      <c r="AF333" s="10">
        <f>MIN('02_Данные'!N333,AE333)</f>
        <v/>
      </c>
      <c r="AG333" s="10">
        <f>AE333-AF333</f>
        <v/>
      </c>
      <c r="AH333" s="10">
        <f>MIN('02_Данные'!S333,AG333)</f>
        <v/>
      </c>
      <c r="AI333" s="10">
        <f>AG333-AH333</f>
        <v/>
      </c>
      <c r="AJ333" s="10">
        <f>MIN('02_Данные'!P333,AI333)</f>
        <v/>
      </c>
      <c r="AK333" s="10">
        <f>AI333-AJ333</f>
        <v/>
      </c>
      <c r="AL333" s="10">
        <f>MIN('02_Данные'!O333,AK333)</f>
        <v/>
      </c>
      <c r="AM333" s="10">
        <f>AK333-AL333</f>
        <v/>
      </c>
      <c r="AN333" s="10">
        <f>MIN('02_Данные'!Q333,AM333)</f>
        <v/>
      </c>
      <c r="AO333" s="10">
        <f>AM333-AN333</f>
        <v/>
      </c>
      <c r="AP333" s="10">
        <f>MIN('02_Данные'!R333,AO333)</f>
        <v/>
      </c>
      <c r="AQ333" s="10">
        <f>AO333-AP333</f>
        <v/>
      </c>
      <c r="AR333" s="10">
        <f>AQ333+'02_Данные'!H333</f>
        <v/>
      </c>
      <c r="AS333" s="10">
        <f>MIN('02_Данные'!T333,AR333)</f>
        <v/>
      </c>
      <c r="AT333" s="10">
        <f>AR333-AS333</f>
        <v/>
      </c>
      <c r="AU333" s="10">
        <f>MIN('02_Данные'!U333,AT333)</f>
        <v/>
      </c>
      <c r="AV333" s="10">
        <f>AT333-AU333</f>
        <v/>
      </c>
      <c r="AW333" s="10">
        <f>MIN('02_Данные'!V333,AV333)</f>
        <v/>
      </c>
      <c r="AX333" s="10">
        <f>AV333-AW333</f>
        <v/>
      </c>
      <c r="AY333" s="10">
        <f>MIN('02_Данные'!AA333,AX333)</f>
        <v/>
      </c>
      <c r="AZ333" s="10">
        <f>AX333-AY333</f>
        <v/>
      </c>
      <c r="BA333" s="10">
        <f>MIN('02_Данные'!X333,AZ333)</f>
        <v/>
      </c>
      <c r="BB333" s="10">
        <f>AZ333-BA333</f>
        <v/>
      </c>
      <c r="BC333" s="10">
        <f>MIN('02_Данные'!W333,BB333)</f>
        <v/>
      </c>
      <c r="BD333" s="10">
        <f>BB333-BC333</f>
        <v/>
      </c>
      <c r="BE333" s="10">
        <f>MIN('02_Данные'!Y333,BD333)</f>
        <v/>
      </c>
      <c r="BF333" s="10">
        <f>BD333-BE333</f>
        <v/>
      </c>
      <c r="BG333" s="10">
        <f>MIN('02_Данные'!Z333,BF333)</f>
        <v/>
      </c>
      <c r="BH333" s="10">
        <f>BF333-BG333</f>
        <v/>
      </c>
      <c r="BI333" s="10">
        <f>BH333+'02_Данные'!I333</f>
        <v/>
      </c>
      <c r="BJ333" s="10">
        <f>MIN('02_Данные'!AB333,BI333)</f>
        <v/>
      </c>
      <c r="BK333" s="10">
        <f>BI333-BJ333</f>
        <v/>
      </c>
      <c r="BL333" s="10">
        <f>MIN('02_Данные'!AC333,BK333)</f>
        <v/>
      </c>
      <c r="BM333" s="10">
        <f>BK333-BL333</f>
        <v/>
      </c>
      <c r="BN333" s="10">
        <f>MIN('02_Данные'!AD333,BM333)</f>
        <v/>
      </c>
      <c r="BO333" s="10">
        <f>BM333-BN333</f>
        <v/>
      </c>
      <c r="BP333" s="10">
        <f>MIN('02_Данные'!AI333,BO333)</f>
        <v/>
      </c>
      <c r="BQ333" s="10">
        <f>BO333-BP333</f>
        <v/>
      </c>
      <c r="BR333" s="10">
        <f>MIN('02_Данные'!AF333,BQ333)</f>
        <v/>
      </c>
      <c r="BS333" s="10">
        <f>BQ333-BR333</f>
        <v/>
      </c>
      <c r="BT333" s="10">
        <f>MIN('02_Данные'!AE333,BS333)</f>
        <v/>
      </c>
      <c r="BU333" s="10">
        <f>BS333-BT333</f>
        <v/>
      </c>
      <c r="BV333" s="10">
        <f>MIN('02_Данные'!AG333,BU333)</f>
        <v/>
      </c>
      <c r="BW333" s="10">
        <f>BU333-BV333</f>
        <v/>
      </c>
      <c r="BX333" s="10">
        <f>MIN('02_Данные'!AH333,BW333)</f>
        <v/>
      </c>
      <c r="BY333" s="10">
        <f>BW333-BX333</f>
        <v/>
      </c>
      <c r="BZ333" s="10">
        <f>BY333+'02_Данные'!J333</f>
        <v/>
      </c>
      <c r="CA333" s="10">
        <f>MIN('02_Данные'!AJ333,BZ333)</f>
        <v/>
      </c>
      <c r="CB333" s="10">
        <f>BZ333-CA333</f>
        <v/>
      </c>
      <c r="CC333" s="10">
        <f>MIN('02_Данные'!AK333,CB333)</f>
        <v/>
      </c>
      <c r="CD333" s="10">
        <f>CB333-CC333</f>
        <v/>
      </c>
      <c r="CE333" s="10">
        <f>MIN('02_Данные'!AL333,CD333)</f>
        <v/>
      </c>
      <c r="CF333" s="10">
        <f>CD333-CE333</f>
        <v/>
      </c>
      <c r="CG333" s="10">
        <f>MIN('02_Данные'!AQ333,CF333)</f>
        <v/>
      </c>
      <c r="CH333" s="10">
        <f>CF333-CG333</f>
        <v/>
      </c>
      <c r="CI333" s="10">
        <f>MIN('02_Данные'!AN333,CH333)</f>
        <v/>
      </c>
      <c r="CJ333" s="10">
        <f>CH333-CI333</f>
        <v/>
      </c>
      <c r="CK333" s="10">
        <f>MIN('02_Данные'!AM333,CJ333)</f>
        <v/>
      </c>
      <c r="CL333" s="10">
        <f>CJ333-CK333</f>
        <v/>
      </c>
      <c r="CM333" s="10">
        <f>MIN('02_Данные'!AO333,CL333)</f>
        <v/>
      </c>
      <c r="CN333" s="10">
        <f>CL333-CM333</f>
        <v/>
      </c>
      <c r="CO333" s="10">
        <f>MIN('02_Данные'!AP333,CN333)</f>
        <v/>
      </c>
      <c r="CP333" s="10">
        <f>CN333-CO333</f>
        <v/>
      </c>
      <c r="CQ333" s="10">
        <f>CP333+'02_Данные'!K333</f>
        <v/>
      </c>
      <c r="CR333" s="10">
        <f>MIN('02_Данные'!AR333,CQ333)</f>
        <v/>
      </c>
      <c r="CS333" s="10">
        <f>CQ333-CR333</f>
        <v/>
      </c>
      <c r="CT333" s="10">
        <f>MIN('02_Данные'!AS333,CS333)</f>
        <v/>
      </c>
      <c r="CU333" s="10">
        <f>CS333-CT333</f>
        <v/>
      </c>
      <c r="CV333" s="10">
        <f>MIN('02_Данные'!AT333,CU333)</f>
        <v/>
      </c>
      <c r="CW333" s="10">
        <f>CU333-CV333</f>
        <v/>
      </c>
      <c r="CX333" s="10">
        <f>MIN('02_Данные'!AY333,CW333)</f>
        <v/>
      </c>
      <c r="CY333" s="10">
        <f>CW333-CX333</f>
        <v/>
      </c>
      <c r="CZ333" s="10">
        <f>MIN('02_Данные'!AV333,CY333)</f>
        <v/>
      </c>
      <c r="DA333" s="10">
        <f>CY333-CZ333</f>
        <v/>
      </c>
      <c r="DB333" s="10">
        <f>MIN('02_Данные'!AU333,DA333)</f>
        <v/>
      </c>
      <c r="DC333" s="10">
        <f>DA333-DB333</f>
        <v/>
      </c>
      <c r="DD333" s="10">
        <f>MIN('02_Данные'!AW333,DC333)</f>
        <v/>
      </c>
      <c r="DE333" s="10">
        <f>DC333-DD333</f>
        <v/>
      </c>
      <c r="DF333" s="10">
        <f>MIN('02_Данные'!AX333,DE333)</f>
        <v/>
      </c>
      <c r="DG333" s="10">
        <f>DE333-DF333</f>
        <v/>
      </c>
    </row>
    <row r="334">
      <c r="A334" s="9">
        <f>'02_Данные'!B334</f>
        <v/>
      </c>
      <c r="B334" s="9">
        <f>'02_Данные'!E334</f>
        <v/>
      </c>
      <c r="C334" s="10">
        <f>'02_Данные'!F334+'02_Данные'!G334+'02_Данные'!H334+'02_Данные'!I334+'02_Данные'!J334+'02_Данные'!K334</f>
        <v/>
      </c>
      <c r="D334" s="10">
        <f>SUM('02_Данные'!L334:'02_Данные'!AY334)</f>
        <v/>
      </c>
      <c r="E334" s="10">
        <f>MAX(0,D334-C334)</f>
        <v/>
      </c>
      <c r="F334" s="15">
        <f>IF(E334&gt;0.0001,"ДЕФИЦИТ",IF(Y334&gt;0.0001,"ПРОФИЦИТ","БАЛАНС"))</f>
        <v/>
      </c>
      <c r="G334" s="10">
        <f>AB334+AS334+BJ334+CA334+CR334</f>
        <v/>
      </c>
      <c r="H334" s="10">
        <f>AD334+AU334+BL334+CC334+CT334</f>
        <v/>
      </c>
      <c r="I334" s="10">
        <f>AF334+AW334+BN334+CE334+CV334</f>
        <v/>
      </c>
      <c r="J334" s="10">
        <f>AL334+BC334+BT334+CK334+DB334</f>
        <v/>
      </c>
      <c r="K334" s="10">
        <f>AJ334+BA334+BR334+CI334+CZ334</f>
        <v/>
      </c>
      <c r="L334" s="10">
        <f>AN334+BE334+BV334+CM334+DD334</f>
        <v/>
      </c>
      <c r="M334" s="10">
        <f>AP334+BG334+BX334+CO334+DF334</f>
        <v/>
      </c>
      <c r="N334" s="10">
        <f>AH334+AY334+BP334+CG334+CX334</f>
        <v/>
      </c>
      <c r="O334" s="10">
        <f>SUM(G334:N334)</f>
        <v/>
      </c>
      <c r="P334" s="10">
        <f>IFERROR(G334*MIN(1,'01_Нормативы'!$C$4/SUM(G$2:G$429)),0)</f>
        <v/>
      </c>
      <c r="Q334" s="10">
        <f>IFERROR(H334*MIN(1,'01_Нормативы'!$C$5/SUM(H$2:H$429)),0)</f>
        <v/>
      </c>
      <c r="R334" s="10">
        <f>IFERROR(I334*MIN(1,'01_Нормативы'!$C$6/SUM(I$2:I$429)),0)</f>
        <v/>
      </c>
      <c r="S334" s="10">
        <f>IFERROR(J334*MIN(1,'01_Нормативы'!$C$7/SUM(J$2:J$429)),0)</f>
        <v/>
      </c>
      <c r="T334" s="10">
        <f>IFERROR(K334*MIN(1,'01_Нормативы'!$C$8/SUM(K$2:K$429)),0)</f>
        <v/>
      </c>
      <c r="U334" s="10">
        <f>IFERROR(L334*MIN(1,'01_Нормативы'!$C$9/SUM(L$2:L$429)),0)</f>
        <v/>
      </c>
      <c r="V334" s="10">
        <f>IFERROR(M334*MIN(1,'01_Нормативы'!$C$10/SUM(M$2:M$429)),0)</f>
        <v/>
      </c>
      <c r="W334" s="10">
        <f>IFERROR(N334*MIN(1,'01_Нормативы'!$C$11/SUM(N$2:N$429)),0)</f>
        <v/>
      </c>
      <c r="X334" s="10">
        <f>SUM(P334:W334)</f>
        <v/>
      </c>
      <c r="Y334" s="10">
        <f>MAX(0,C334-X334)</f>
        <v/>
      </c>
      <c r="Z334" s="10">
        <f>IF(D334=0,100,X334/D334*100)</f>
        <v/>
      </c>
      <c r="AA334" s="10">
        <f>'02_Данные'!F334+'02_Данные'!G334</f>
        <v/>
      </c>
      <c r="AB334" s="10">
        <f>MIN('02_Данные'!L334,AA334)</f>
        <v/>
      </c>
      <c r="AC334" s="10">
        <f>AA334-AB334</f>
        <v/>
      </c>
      <c r="AD334" s="10">
        <f>MIN('02_Данные'!M334,AC334)</f>
        <v/>
      </c>
      <c r="AE334" s="10">
        <f>AC334-AD334</f>
        <v/>
      </c>
      <c r="AF334" s="10">
        <f>MIN('02_Данные'!N334,AE334)</f>
        <v/>
      </c>
      <c r="AG334" s="10">
        <f>AE334-AF334</f>
        <v/>
      </c>
      <c r="AH334" s="10">
        <f>MIN('02_Данные'!S334,AG334)</f>
        <v/>
      </c>
      <c r="AI334" s="10">
        <f>AG334-AH334</f>
        <v/>
      </c>
      <c r="AJ334" s="10">
        <f>MIN('02_Данные'!P334,AI334)</f>
        <v/>
      </c>
      <c r="AK334" s="10">
        <f>AI334-AJ334</f>
        <v/>
      </c>
      <c r="AL334" s="10">
        <f>MIN('02_Данные'!O334,AK334)</f>
        <v/>
      </c>
      <c r="AM334" s="10">
        <f>AK334-AL334</f>
        <v/>
      </c>
      <c r="AN334" s="10">
        <f>MIN('02_Данные'!Q334,AM334)</f>
        <v/>
      </c>
      <c r="AO334" s="10">
        <f>AM334-AN334</f>
        <v/>
      </c>
      <c r="AP334" s="10">
        <f>MIN('02_Данные'!R334,AO334)</f>
        <v/>
      </c>
      <c r="AQ334" s="10">
        <f>AO334-AP334</f>
        <v/>
      </c>
      <c r="AR334" s="10">
        <f>AQ334+'02_Данные'!H334</f>
        <v/>
      </c>
      <c r="AS334" s="10">
        <f>MIN('02_Данные'!T334,AR334)</f>
        <v/>
      </c>
      <c r="AT334" s="10">
        <f>AR334-AS334</f>
        <v/>
      </c>
      <c r="AU334" s="10">
        <f>MIN('02_Данные'!U334,AT334)</f>
        <v/>
      </c>
      <c r="AV334" s="10">
        <f>AT334-AU334</f>
        <v/>
      </c>
      <c r="AW334" s="10">
        <f>MIN('02_Данные'!V334,AV334)</f>
        <v/>
      </c>
      <c r="AX334" s="10">
        <f>AV334-AW334</f>
        <v/>
      </c>
      <c r="AY334" s="10">
        <f>MIN('02_Данные'!AA334,AX334)</f>
        <v/>
      </c>
      <c r="AZ334" s="10">
        <f>AX334-AY334</f>
        <v/>
      </c>
      <c r="BA334" s="10">
        <f>MIN('02_Данные'!X334,AZ334)</f>
        <v/>
      </c>
      <c r="BB334" s="10">
        <f>AZ334-BA334</f>
        <v/>
      </c>
      <c r="BC334" s="10">
        <f>MIN('02_Данные'!W334,BB334)</f>
        <v/>
      </c>
      <c r="BD334" s="10">
        <f>BB334-BC334</f>
        <v/>
      </c>
      <c r="BE334" s="10">
        <f>MIN('02_Данные'!Y334,BD334)</f>
        <v/>
      </c>
      <c r="BF334" s="10">
        <f>BD334-BE334</f>
        <v/>
      </c>
      <c r="BG334" s="10">
        <f>MIN('02_Данные'!Z334,BF334)</f>
        <v/>
      </c>
      <c r="BH334" s="10">
        <f>BF334-BG334</f>
        <v/>
      </c>
      <c r="BI334" s="10">
        <f>BH334+'02_Данные'!I334</f>
        <v/>
      </c>
      <c r="BJ334" s="10">
        <f>MIN('02_Данные'!AB334,BI334)</f>
        <v/>
      </c>
      <c r="BK334" s="10">
        <f>BI334-BJ334</f>
        <v/>
      </c>
      <c r="BL334" s="10">
        <f>MIN('02_Данные'!AC334,BK334)</f>
        <v/>
      </c>
      <c r="BM334" s="10">
        <f>BK334-BL334</f>
        <v/>
      </c>
      <c r="BN334" s="10">
        <f>MIN('02_Данные'!AD334,BM334)</f>
        <v/>
      </c>
      <c r="BO334" s="10">
        <f>BM334-BN334</f>
        <v/>
      </c>
      <c r="BP334" s="10">
        <f>MIN('02_Данные'!AI334,BO334)</f>
        <v/>
      </c>
      <c r="BQ334" s="10">
        <f>BO334-BP334</f>
        <v/>
      </c>
      <c r="BR334" s="10">
        <f>MIN('02_Данные'!AF334,BQ334)</f>
        <v/>
      </c>
      <c r="BS334" s="10">
        <f>BQ334-BR334</f>
        <v/>
      </c>
      <c r="BT334" s="10">
        <f>MIN('02_Данные'!AE334,BS334)</f>
        <v/>
      </c>
      <c r="BU334" s="10">
        <f>BS334-BT334</f>
        <v/>
      </c>
      <c r="BV334" s="10">
        <f>MIN('02_Данные'!AG334,BU334)</f>
        <v/>
      </c>
      <c r="BW334" s="10">
        <f>BU334-BV334</f>
        <v/>
      </c>
      <c r="BX334" s="10">
        <f>MIN('02_Данные'!AH334,BW334)</f>
        <v/>
      </c>
      <c r="BY334" s="10">
        <f>BW334-BX334</f>
        <v/>
      </c>
      <c r="BZ334" s="10">
        <f>BY334+'02_Данные'!J334</f>
        <v/>
      </c>
      <c r="CA334" s="10">
        <f>MIN('02_Данные'!AJ334,BZ334)</f>
        <v/>
      </c>
      <c r="CB334" s="10">
        <f>BZ334-CA334</f>
        <v/>
      </c>
      <c r="CC334" s="10">
        <f>MIN('02_Данные'!AK334,CB334)</f>
        <v/>
      </c>
      <c r="CD334" s="10">
        <f>CB334-CC334</f>
        <v/>
      </c>
      <c r="CE334" s="10">
        <f>MIN('02_Данные'!AL334,CD334)</f>
        <v/>
      </c>
      <c r="CF334" s="10">
        <f>CD334-CE334</f>
        <v/>
      </c>
      <c r="CG334" s="10">
        <f>MIN('02_Данные'!AQ334,CF334)</f>
        <v/>
      </c>
      <c r="CH334" s="10">
        <f>CF334-CG334</f>
        <v/>
      </c>
      <c r="CI334" s="10">
        <f>MIN('02_Данные'!AN334,CH334)</f>
        <v/>
      </c>
      <c r="CJ334" s="10">
        <f>CH334-CI334</f>
        <v/>
      </c>
      <c r="CK334" s="10">
        <f>MIN('02_Данные'!AM334,CJ334)</f>
        <v/>
      </c>
      <c r="CL334" s="10">
        <f>CJ334-CK334</f>
        <v/>
      </c>
      <c r="CM334" s="10">
        <f>MIN('02_Данные'!AO334,CL334)</f>
        <v/>
      </c>
      <c r="CN334" s="10">
        <f>CL334-CM334</f>
        <v/>
      </c>
      <c r="CO334" s="10">
        <f>MIN('02_Данные'!AP334,CN334)</f>
        <v/>
      </c>
      <c r="CP334" s="10">
        <f>CN334-CO334</f>
        <v/>
      </c>
      <c r="CQ334" s="10">
        <f>CP334+'02_Данные'!K334</f>
        <v/>
      </c>
      <c r="CR334" s="10">
        <f>MIN('02_Данные'!AR334,CQ334)</f>
        <v/>
      </c>
      <c r="CS334" s="10">
        <f>CQ334-CR334</f>
        <v/>
      </c>
      <c r="CT334" s="10">
        <f>MIN('02_Данные'!AS334,CS334)</f>
        <v/>
      </c>
      <c r="CU334" s="10">
        <f>CS334-CT334</f>
        <v/>
      </c>
      <c r="CV334" s="10">
        <f>MIN('02_Данные'!AT334,CU334)</f>
        <v/>
      </c>
      <c r="CW334" s="10">
        <f>CU334-CV334</f>
        <v/>
      </c>
      <c r="CX334" s="10">
        <f>MIN('02_Данные'!AY334,CW334)</f>
        <v/>
      </c>
      <c r="CY334" s="10">
        <f>CW334-CX334</f>
        <v/>
      </c>
      <c r="CZ334" s="10">
        <f>MIN('02_Данные'!AV334,CY334)</f>
        <v/>
      </c>
      <c r="DA334" s="10">
        <f>CY334-CZ334</f>
        <v/>
      </c>
      <c r="DB334" s="10">
        <f>MIN('02_Данные'!AU334,DA334)</f>
        <v/>
      </c>
      <c r="DC334" s="10">
        <f>DA334-DB334</f>
        <v/>
      </c>
      <c r="DD334" s="10">
        <f>MIN('02_Данные'!AW334,DC334)</f>
        <v/>
      </c>
      <c r="DE334" s="10">
        <f>DC334-DD334</f>
        <v/>
      </c>
      <c r="DF334" s="10">
        <f>MIN('02_Данные'!AX334,DE334)</f>
        <v/>
      </c>
      <c r="DG334" s="10">
        <f>DE334-DF334</f>
        <v/>
      </c>
    </row>
    <row r="335">
      <c r="A335" s="9">
        <f>'02_Данные'!B335</f>
        <v/>
      </c>
      <c r="B335" s="9">
        <f>'02_Данные'!E335</f>
        <v/>
      </c>
      <c r="C335" s="10">
        <f>'02_Данные'!F335+'02_Данные'!G335+'02_Данные'!H335+'02_Данные'!I335+'02_Данные'!J335+'02_Данные'!K335</f>
        <v/>
      </c>
      <c r="D335" s="10">
        <f>SUM('02_Данные'!L335:'02_Данные'!AY335)</f>
        <v/>
      </c>
      <c r="E335" s="10">
        <f>MAX(0,D335-C335)</f>
        <v/>
      </c>
      <c r="F335" s="15">
        <f>IF(E335&gt;0.0001,"ДЕФИЦИТ",IF(Y335&gt;0.0001,"ПРОФИЦИТ","БАЛАНС"))</f>
        <v/>
      </c>
      <c r="G335" s="10">
        <f>AB335+AS335+BJ335+CA335+CR335</f>
        <v/>
      </c>
      <c r="H335" s="10">
        <f>AD335+AU335+BL335+CC335+CT335</f>
        <v/>
      </c>
      <c r="I335" s="10">
        <f>AF335+AW335+BN335+CE335+CV335</f>
        <v/>
      </c>
      <c r="J335" s="10">
        <f>AL335+BC335+BT335+CK335+DB335</f>
        <v/>
      </c>
      <c r="K335" s="10">
        <f>AJ335+BA335+BR335+CI335+CZ335</f>
        <v/>
      </c>
      <c r="L335" s="10">
        <f>AN335+BE335+BV335+CM335+DD335</f>
        <v/>
      </c>
      <c r="M335" s="10">
        <f>AP335+BG335+BX335+CO335+DF335</f>
        <v/>
      </c>
      <c r="N335" s="10">
        <f>AH335+AY335+BP335+CG335+CX335</f>
        <v/>
      </c>
      <c r="O335" s="10">
        <f>SUM(G335:N335)</f>
        <v/>
      </c>
      <c r="P335" s="10">
        <f>IFERROR(G335*MIN(1,'01_Нормативы'!$C$4/SUM(G$2:G$429)),0)</f>
        <v/>
      </c>
      <c r="Q335" s="10">
        <f>IFERROR(H335*MIN(1,'01_Нормативы'!$C$5/SUM(H$2:H$429)),0)</f>
        <v/>
      </c>
      <c r="R335" s="10">
        <f>IFERROR(I335*MIN(1,'01_Нормативы'!$C$6/SUM(I$2:I$429)),0)</f>
        <v/>
      </c>
      <c r="S335" s="10">
        <f>IFERROR(J335*MIN(1,'01_Нормативы'!$C$7/SUM(J$2:J$429)),0)</f>
        <v/>
      </c>
      <c r="T335" s="10">
        <f>IFERROR(K335*MIN(1,'01_Нормативы'!$C$8/SUM(K$2:K$429)),0)</f>
        <v/>
      </c>
      <c r="U335" s="10">
        <f>IFERROR(L335*MIN(1,'01_Нормативы'!$C$9/SUM(L$2:L$429)),0)</f>
        <v/>
      </c>
      <c r="V335" s="10">
        <f>IFERROR(M335*MIN(1,'01_Нормативы'!$C$10/SUM(M$2:M$429)),0)</f>
        <v/>
      </c>
      <c r="W335" s="10">
        <f>IFERROR(N335*MIN(1,'01_Нормативы'!$C$11/SUM(N$2:N$429)),0)</f>
        <v/>
      </c>
      <c r="X335" s="10">
        <f>SUM(P335:W335)</f>
        <v/>
      </c>
      <c r="Y335" s="10">
        <f>MAX(0,C335-X335)</f>
        <v/>
      </c>
      <c r="Z335" s="10">
        <f>IF(D335=0,100,X335/D335*100)</f>
        <v/>
      </c>
      <c r="AA335" s="10">
        <f>'02_Данные'!F335+'02_Данные'!G335</f>
        <v/>
      </c>
      <c r="AB335" s="10">
        <f>MIN('02_Данные'!L335,AA335)</f>
        <v/>
      </c>
      <c r="AC335" s="10">
        <f>AA335-AB335</f>
        <v/>
      </c>
      <c r="AD335" s="10">
        <f>MIN('02_Данные'!M335,AC335)</f>
        <v/>
      </c>
      <c r="AE335" s="10">
        <f>AC335-AD335</f>
        <v/>
      </c>
      <c r="AF335" s="10">
        <f>MIN('02_Данные'!N335,AE335)</f>
        <v/>
      </c>
      <c r="AG335" s="10">
        <f>AE335-AF335</f>
        <v/>
      </c>
      <c r="AH335" s="10">
        <f>MIN('02_Данные'!S335,AG335)</f>
        <v/>
      </c>
      <c r="AI335" s="10">
        <f>AG335-AH335</f>
        <v/>
      </c>
      <c r="AJ335" s="10">
        <f>MIN('02_Данные'!P335,AI335)</f>
        <v/>
      </c>
      <c r="AK335" s="10">
        <f>AI335-AJ335</f>
        <v/>
      </c>
      <c r="AL335" s="10">
        <f>MIN('02_Данные'!O335,AK335)</f>
        <v/>
      </c>
      <c r="AM335" s="10">
        <f>AK335-AL335</f>
        <v/>
      </c>
      <c r="AN335" s="10">
        <f>MIN('02_Данные'!Q335,AM335)</f>
        <v/>
      </c>
      <c r="AO335" s="10">
        <f>AM335-AN335</f>
        <v/>
      </c>
      <c r="AP335" s="10">
        <f>MIN('02_Данные'!R335,AO335)</f>
        <v/>
      </c>
      <c r="AQ335" s="10">
        <f>AO335-AP335</f>
        <v/>
      </c>
      <c r="AR335" s="10">
        <f>AQ335+'02_Данные'!H335</f>
        <v/>
      </c>
      <c r="AS335" s="10">
        <f>MIN('02_Данные'!T335,AR335)</f>
        <v/>
      </c>
      <c r="AT335" s="10">
        <f>AR335-AS335</f>
        <v/>
      </c>
      <c r="AU335" s="10">
        <f>MIN('02_Данные'!U335,AT335)</f>
        <v/>
      </c>
      <c r="AV335" s="10">
        <f>AT335-AU335</f>
        <v/>
      </c>
      <c r="AW335" s="10">
        <f>MIN('02_Данные'!V335,AV335)</f>
        <v/>
      </c>
      <c r="AX335" s="10">
        <f>AV335-AW335</f>
        <v/>
      </c>
      <c r="AY335" s="10">
        <f>MIN('02_Данные'!AA335,AX335)</f>
        <v/>
      </c>
      <c r="AZ335" s="10">
        <f>AX335-AY335</f>
        <v/>
      </c>
      <c r="BA335" s="10">
        <f>MIN('02_Данные'!X335,AZ335)</f>
        <v/>
      </c>
      <c r="BB335" s="10">
        <f>AZ335-BA335</f>
        <v/>
      </c>
      <c r="BC335" s="10">
        <f>MIN('02_Данные'!W335,BB335)</f>
        <v/>
      </c>
      <c r="BD335" s="10">
        <f>BB335-BC335</f>
        <v/>
      </c>
      <c r="BE335" s="10">
        <f>MIN('02_Данные'!Y335,BD335)</f>
        <v/>
      </c>
      <c r="BF335" s="10">
        <f>BD335-BE335</f>
        <v/>
      </c>
      <c r="BG335" s="10">
        <f>MIN('02_Данные'!Z335,BF335)</f>
        <v/>
      </c>
      <c r="BH335" s="10">
        <f>BF335-BG335</f>
        <v/>
      </c>
      <c r="BI335" s="10">
        <f>BH335+'02_Данные'!I335</f>
        <v/>
      </c>
      <c r="BJ335" s="10">
        <f>MIN('02_Данные'!AB335,BI335)</f>
        <v/>
      </c>
      <c r="BK335" s="10">
        <f>BI335-BJ335</f>
        <v/>
      </c>
      <c r="BL335" s="10">
        <f>MIN('02_Данные'!AC335,BK335)</f>
        <v/>
      </c>
      <c r="BM335" s="10">
        <f>BK335-BL335</f>
        <v/>
      </c>
      <c r="BN335" s="10">
        <f>MIN('02_Данные'!AD335,BM335)</f>
        <v/>
      </c>
      <c r="BO335" s="10">
        <f>BM335-BN335</f>
        <v/>
      </c>
      <c r="BP335" s="10">
        <f>MIN('02_Данные'!AI335,BO335)</f>
        <v/>
      </c>
      <c r="BQ335" s="10">
        <f>BO335-BP335</f>
        <v/>
      </c>
      <c r="BR335" s="10">
        <f>MIN('02_Данные'!AF335,BQ335)</f>
        <v/>
      </c>
      <c r="BS335" s="10">
        <f>BQ335-BR335</f>
        <v/>
      </c>
      <c r="BT335" s="10">
        <f>MIN('02_Данные'!AE335,BS335)</f>
        <v/>
      </c>
      <c r="BU335" s="10">
        <f>BS335-BT335</f>
        <v/>
      </c>
      <c r="BV335" s="10">
        <f>MIN('02_Данные'!AG335,BU335)</f>
        <v/>
      </c>
      <c r="BW335" s="10">
        <f>BU335-BV335</f>
        <v/>
      </c>
      <c r="BX335" s="10">
        <f>MIN('02_Данные'!AH335,BW335)</f>
        <v/>
      </c>
      <c r="BY335" s="10">
        <f>BW335-BX335</f>
        <v/>
      </c>
      <c r="BZ335" s="10">
        <f>BY335+'02_Данные'!J335</f>
        <v/>
      </c>
      <c r="CA335" s="10">
        <f>MIN('02_Данные'!AJ335,BZ335)</f>
        <v/>
      </c>
      <c r="CB335" s="10">
        <f>BZ335-CA335</f>
        <v/>
      </c>
      <c r="CC335" s="10">
        <f>MIN('02_Данные'!AK335,CB335)</f>
        <v/>
      </c>
      <c r="CD335" s="10">
        <f>CB335-CC335</f>
        <v/>
      </c>
      <c r="CE335" s="10">
        <f>MIN('02_Данные'!AL335,CD335)</f>
        <v/>
      </c>
      <c r="CF335" s="10">
        <f>CD335-CE335</f>
        <v/>
      </c>
      <c r="CG335" s="10">
        <f>MIN('02_Данные'!AQ335,CF335)</f>
        <v/>
      </c>
      <c r="CH335" s="10">
        <f>CF335-CG335</f>
        <v/>
      </c>
      <c r="CI335" s="10">
        <f>MIN('02_Данные'!AN335,CH335)</f>
        <v/>
      </c>
      <c r="CJ335" s="10">
        <f>CH335-CI335</f>
        <v/>
      </c>
      <c r="CK335" s="10">
        <f>MIN('02_Данные'!AM335,CJ335)</f>
        <v/>
      </c>
      <c r="CL335" s="10">
        <f>CJ335-CK335</f>
        <v/>
      </c>
      <c r="CM335" s="10">
        <f>MIN('02_Данные'!AO335,CL335)</f>
        <v/>
      </c>
      <c r="CN335" s="10">
        <f>CL335-CM335</f>
        <v/>
      </c>
      <c r="CO335" s="10">
        <f>MIN('02_Данные'!AP335,CN335)</f>
        <v/>
      </c>
      <c r="CP335" s="10">
        <f>CN335-CO335</f>
        <v/>
      </c>
      <c r="CQ335" s="10">
        <f>CP335+'02_Данные'!K335</f>
        <v/>
      </c>
      <c r="CR335" s="10">
        <f>MIN('02_Данные'!AR335,CQ335)</f>
        <v/>
      </c>
      <c r="CS335" s="10">
        <f>CQ335-CR335</f>
        <v/>
      </c>
      <c r="CT335" s="10">
        <f>MIN('02_Данные'!AS335,CS335)</f>
        <v/>
      </c>
      <c r="CU335" s="10">
        <f>CS335-CT335</f>
        <v/>
      </c>
      <c r="CV335" s="10">
        <f>MIN('02_Данные'!AT335,CU335)</f>
        <v/>
      </c>
      <c r="CW335" s="10">
        <f>CU335-CV335</f>
        <v/>
      </c>
      <c r="CX335" s="10">
        <f>MIN('02_Данные'!AY335,CW335)</f>
        <v/>
      </c>
      <c r="CY335" s="10">
        <f>CW335-CX335</f>
        <v/>
      </c>
      <c r="CZ335" s="10">
        <f>MIN('02_Данные'!AV335,CY335)</f>
        <v/>
      </c>
      <c r="DA335" s="10">
        <f>CY335-CZ335</f>
        <v/>
      </c>
      <c r="DB335" s="10">
        <f>MIN('02_Данные'!AU335,DA335)</f>
        <v/>
      </c>
      <c r="DC335" s="10">
        <f>DA335-DB335</f>
        <v/>
      </c>
      <c r="DD335" s="10">
        <f>MIN('02_Данные'!AW335,DC335)</f>
        <v/>
      </c>
      <c r="DE335" s="10">
        <f>DC335-DD335</f>
        <v/>
      </c>
      <c r="DF335" s="10">
        <f>MIN('02_Данные'!AX335,DE335)</f>
        <v/>
      </c>
      <c r="DG335" s="10">
        <f>DE335-DF335</f>
        <v/>
      </c>
    </row>
    <row r="336">
      <c r="A336" s="9">
        <f>'02_Данные'!B336</f>
        <v/>
      </c>
      <c r="B336" s="9">
        <f>'02_Данные'!E336</f>
        <v/>
      </c>
      <c r="C336" s="10">
        <f>'02_Данные'!F336+'02_Данные'!G336+'02_Данные'!H336+'02_Данные'!I336+'02_Данные'!J336+'02_Данные'!K336</f>
        <v/>
      </c>
      <c r="D336" s="10">
        <f>SUM('02_Данные'!L336:'02_Данные'!AY336)</f>
        <v/>
      </c>
      <c r="E336" s="10">
        <f>MAX(0,D336-C336)</f>
        <v/>
      </c>
      <c r="F336" s="15">
        <f>IF(E336&gt;0.0001,"ДЕФИЦИТ",IF(Y336&gt;0.0001,"ПРОФИЦИТ","БАЛАНС"))</f>
        <v/>
      </c>
      <c r="G336" s="10">
        <f>AB336+AS336+BJ336+CA336+CR336</f>
        <v/>
      </c>
      <c r="H336" s="10">
        <f>AD336+AU336+BL336+CC336+CT336</f>
        <v/>
      </c>
      <c r="I336" s="10">
        <f>AF336+AW336+BN336+CE336+CV336</f>
        <v/>
      </c>
      <c r="J336" s="10">
        <f>AL336+BC336+BT336+CK336+DB336</f>
        <v/>
      </c>
      <c r="K336" s="10">
        <f>AJ336+BA336+BR336+CI336+CZ336</f>
        <v/>
      </c>
      <c r="L336" s="10">
        <f>AN336+BE336+BV336+CM336+DD336</f>
        <v/>
      </c>
      <c r="M336" s="10">
        <f>AP336+BG336+BX336+CO336+DF336</f>
        <v/>
      </c>
      <c r="N336" s="10">
        <f>AH336+AY336+BP336+CG336+CX336</f>
        <v/>
      </c>
      <c r="O336" s="10">
        <f>SUM(G336:N336)</f>
        <v/>
      </c>
      <c r="P336" s="10">
        <f>IFERROR(G336*MIN(1,'01_Нормативы'!$C$4/SUM(G$2:G$429)),0)</f>
        <v/>
      </c>
      <c r="Q336" s="10">
        <f>IFERROR(H336*MIN(1,'01_Нормативы'!$C$5/SUM(H$2:H$429)),0)</f>
        <v/>
      </c>
      <c r="R336" s="10">
        <f>IFERROR(I336*MIN(1,'01_Нормативы'!$C$6/SUM(I$2:I$429)),0)</f>
        <v/>
      </c>
      <c r="S336" s="10">
        <f>IFERROR(J336*MIN(1,'01_Нормативы'!$C$7/SUM(J$2:J$429)),0)</f>
        <v/>
      </c>
      <c r="T336" s="10">
        <f>IFERROR(K336*MIN(1,'01_Нормативы'!$C$8/SUM(K$2:K$429)),0)</f>
        <v/>
      </c>
      <c r="U336" s="10">
        <f>IFERROR(L336*MIN(1,'01_Нормативы'!$C$9/SUM(L$2:L$429)),0)</f>
        <v/>
      </c>
      <c r="V336" s="10">
        <f>IFERROR(M336*MIN(1,'01_Нормативы'!$C$10/SUM(M$2:M$429)),0)</f>
        <v/>
      </c>
      <c r="W336" s="10">
        <f>IFERROR(N336*MIN(1,'01_Нормативы'!$C$11/SUM(N$2:N$429)),0)</f>
        <v/>
      </c>
      <c r="X336" s="10">
        <f>SUM(P336:W336)</f>
        <v/>
      </c>
      <c r="Y336" s="10">
        <f>MAX(0,C336-X336)</f>
        <v/>
      </c>
      <c r="Z336" s="10">
        <f>IF(D336=0,100,X336/D336*100)</f>
        <v/>
      </c>
      <c r="AA336" s="10">
        <f>'02_Данные'!F336+'02_Данные'!G336</f>
        <v/>
      </c>
      <c r="AB336" s="10">
        <f>MIN('02_Данные'!L336,AA336)</f>
        <v/>
      </c>
      <c r="AC336" s="10">
        <f>AA336-AB336</f>
        <v/>
      </c>
      <c r="AD336" s="10">
        <f>MIN('02_Данные'!M336,AC336)</f>
        <v/>
      </c>
      <c r="AE336" s="10">
        <f>AC336-AD336</f>
        <v/>
      </c>
      <c r="AF336" s="10">
        <f>MIN('02_Данные'!N336,AE336)</f>
        <v/>
      </c>
      <c r="AG336" s="10">
        <f>AE336-AF336</f>
        <v/>
      </c>
      <c r="AH336" s="10">
        <f>MIN('02_Данные'!S336,AG336)</f>
        <v/>
      </c>
      <c r="AI336" s="10">
        <f>AG336-AH336</f>
        <v/>
      </c>
      <c r="AJ336" s="10">
        <f>MIN('02_Данные'!P336,AI336)</f>
        <v/>
      </c>
      <c r="AK336" s="10">
        <f>AI336-AJ336</f>
        <v/>
      </c>
      <c r="AL336" s="10">
        <f>MIN('02_Данные'!O336,AK336)</f>
        <v/>
      </c>
      <c r="AM336" s="10">
        <f>AK336-AL336</f>
        <v/>
      </c>
      <c r="AN336" s="10">
        <f>MIN('02_Данные'!Q336,AM336)</f>
        <v/>
      </c>
      <c r="AO336" s="10">
        <f>AM336-AN336</f>
        <v/>
      </c>
      <c r="AP336" s="10">
        <f>MIN('02_Данные'!R336,AO336)</f>
        <v/>
      </c>
      <c r="AQ336" s="10">
        <f>AO336-AP336</f>
        <v/>
      </c>
      <c r="AR336" s="10">
        <f>AQ336+'02_Данные'!H336</f>
        <v/>
      </c>
      <c r="AS336" s="10">
        <f>MIN('02_Данные'!T336,AR336)</f>
        <v/>
      </c>
      <c r="AT336" s="10">
        <f>AR336-AS336</f>
        <v/>
      </c>
      <c r="AU336" s="10">
        <f>MIN('02_Данные'!U336,AT336)</f>
        <v/>
      </c>
      <c r="AV336" s="10">
        <f>AT336-AU336</f>
        <v/>
      </c>
      <c r="AW336" s="10">
        <f>MIN('02_Данные'!V336,AV336)</f>
        <v/>
      </c>
      <c r="AX336" s="10">
        <f>AV336-AW336</f>
        <v/>
      </c>
      <c r="AY336" s="10">
        <f>MIN('02_Данные'!AA336,AX336)</f>
        <v/>
      </c>
      <c r="AZ336" s="10">
        <f>AX336-AY336</f>
        <v/>
      </c>
      <c r="BA336" s="10">
        <f>MIN('02_Данные'!X336,AZ336)</f>
        <v/>
      </c>
      <c r="BB336" s="10">
        <f>AZ336-BA336</f>
        <v/>
      </c>
      <c r="BC336" s="10">
        <f>MIN('02_Данные'!W336,BB336)</f>
        <v/>
      </c>
      <c r="BD336" s="10">
        <f>BB336-BC336</f>
        <v/>
      </c>
      <c r="BE336" s="10">
        <f>MIN('02_Данные'!Y336,BD336)</f>
        <v/>
      </c>
      <c r="BF336" s="10">
        <f>BD336-BE336</f>
        <v/>
      </c>
      <c r="BG336" s="10">
        <f>MIN('02_Данные'!Z336,BF336)</f>
        <v/>
      </c>
      <c r="BH336" s="10">
        <f>BF336-BG336</f>
        <v/>
      </c>
      <c r="BI336" s="10">
        <f>BH336+'02_Данные'!I336</f>
        <v/>
      </c>
      <c r="BJ336" s="10">
        <f>MIN('02_Данные'!AB336,BI336)</f>
        <v/>
      </c>
      <c r="BK336" s="10">
        <f>BI336-BJ336</f>
        <v/>
      </c>
      <c r="BL336" s="10">
        <f>MIN('02_Данные'!AC336,BK336)</f>
        <v/>
      </c>
      <c r="BM336" s="10">
        <f>BK336-BL336</f>
        <v/>
      </c>
      <c r="BN336" s="10">
        <f>MIN('02_Данные'!AD336,BM336)</f>
        <v/>
      </c>
      <c r="BO336" s="10">
        <f>BM336-BN336</f>
        <v/>
      </c>
      <c r="BP336" s="10">
        <f>MIN('02_Данные'!AI336,BO336)</f>
        <v/>
      </c>
      <c r="BQ336" s="10">
        <f>BO336-BP336</f>
        <v/>
      </c>
      <c r="BR336" s="10">
        <f>MIN('02_Данные'!AF336,BQ336)</f>
        <v/>
      </c>
      <c r="BS336" s="10">
        <f>BQ336-BR336</f>
        <v/>
      </c>
      <c r="BT336" s="10">
        <f>MIN('02_Данные'!AE336,BS336)</f>
        <v/>
      </c>
      <c r="BU336" s="10">
        <f>BS336-BT336</f>
        <v/>
      </c>
      <c r="BV336" s="10">
        <f>MIN('02_Данные'!AG336,BU336)</f>
        <v/>
      </c>
      <c r="BW336" s="10">
        <f>BU336-BV336</f>
        <v/>
      </c>
      <c r="BX336" s="10">
        <f>MIN('02_Данные'!AH336,BW336)</f>
        <v/>
      </c>
      <c r="BY336" s="10">
        <f>BW336-BX336</f>
        <v/>
      </c>
      <c r="BZ336" s="10">
        <f>BY336+'02_Данные'!J336</f>
        <v/>
      </c>
      <c r="CA336" s="10">
        <f>MIN('02_Данные'!AJ336,BZ336)</f>
        <v/>
      </c>
      <c r="CB336" s="10">
        <f>BZ336-CA336</f>
        <v/>
      </c>
      <c r="CC336" s="10">
        <f>MIN('02_Данные'!AK336,CB336)</f>
        <v/>
      </c>
      <c r="CD336" s="10">
        <f>CB336-CC336</f>
        <v/>
      </c>
      <c r="CE336" s="10">
        <f>MIN('02_Данные'!AL336,CD336)</f>
        <v/>
      </c>
      <c r="CF336" s="10">
        <f>CD336-CE336</f>
        <v/>
      </c>
      <c r="CG336" s="10">
        <f>MIN('02_Данные'!AQ336,CF336)</f>
        <v/>
      </c>
      <c r="CH336" s="10">
        <f>CF336-CG336</f>
        <v/>
      </c>
      <c r="CI336" s="10">
        <f>MIN('02_Данные'!AN336,CH336)</f>
        <v/>
      </c>
      <c r="CJ336" s="10">
        <f>CH336-CI336</f>
        <v/>
      </c>
      <c r="CK336" s="10">
        <f>MIN('02_Данные'!AM336,CJ336)</f>
        <v/>
      </c>
      <c r="CL336" s="10">
        <f>CJ336-CK336</f>
        <v/>
      </c>
      <c r="CM336" s="10">
        <f>MIN('02_Данные'!AO336,CL336)</f>
        <v/>
      </c>
      <c r="CN336" s="10">
        <f>CL336-CM336</f>
        <v/>
      </c>
      <c r="CO336" s="10">
        <f>MIN('02_Данные'!AP336,CN336)</f>
        <v/>
      </c>
      <c r="CP336" s="10">
        <f>CN336-CO336</f>
        <v/>
      </c>
      <c r="CQ336" s="10">
        <f>CP336+'02_Данные'!K336</f>
        <v/>
      </c>
      <c r="CR336" s="10">
        <f>MIN('02_Данные'!AR336,CQ336)</f>
        <v/>
      </c>
      <c r="CS336" s="10">
        <f>CQ336-CR336</f>
        <v/>
      </c>
      <c r="CT336" s="10">
        <f>MIN('02_Данные'!AS336,CS336)</f>
        <v/>
      </c>
      <c r="CU336" s="10">
        <f>CS336-CT336</f>
        <v/>
      </c>
      <c r="CV336" s="10">
        <f>MIN('02_Данные'!AT336,CU336)</f>
        <v/>
      </c>
      <c r="CW336" s="10">
        <f>CU336-CV336</f>
        <v/>
      </c>
      <c r="CX336" s="10">
        <f>MIN('02_Данные'!AY336,CW336)</f>
        <v/>
      </c>
      <c r="CY336" s="10">
        <f>CW336-CX336</f>
        <v/>
      </c>
      <c r="CZ336" s="10">
        <f>MIN('02_Данные'!AV336,CY336)</f>
        <v/>
      </c>
      <c r="DA336" s="10">
        <f>CY336-CZ336</f>
        <v/>
      </c>
      <c r="DB336" s="10">
        <f>MIN('02_Данные'!AU336,DA336)</f>
        <v/>
      </c>
      <c r="DC336" s="10">
        <f>DA336-DB336</f>
        <v/>
      </c>
      <c r="DD336" s="10">
        <f>MIN('02_Данные'!AW336,DC336)</f>
        <v/>
      </c>
      <c r="DE336" s="10">
        <f>DC336-DD336</f>
        <v/>
      </c>
      <c r="DF336" s="10">
        <f>MIN('02_Данные'!AX336,DE336)</f>
        <v/>
      </c>
      <c r="DG336" s="10">
        <f>DE336-DF336</f>
        <v/>
      </c>
    </row>
    <row r="337">
      <c r="A337" s="9">
        <f>'02_Данные'!B337</f>
        <v/>
      </c>
      <c r="B337" s="9">
        <f>'02_Данные'!E337</f>
        <v/>
      </c>
      <c r="C337" s="10">
        <f>'02_Данные'!F337+'02_Данные'!G337+'02_Данные'!H337+'02_Данные'!I337+'02_Данные'!J337+'02_Данные'!K337</f>
        <v/>
      </c>
      <c r="D337" s="10">
        <f>SUM('02_Данные'!L337:'02_Данные'!AY337)</f>
        <v/>
      </c>
      <c r="E337" s="10">
        <f>MAX(0,D337-C337)</f>
        <v/>
      </c>
      <c r="F337" s="15">
        <f>IF(E337&gt;0.0001,"ДЕФИЦИТ",IF(Y337&gt;0.0001,"ПРОФИЦИТ","БАЛАНС"))</f>
        <v/>
      </c>
      <c r="G337" s="10">
        <f>AB337+AS337+BJ337+CA337+CR337</f>
        <v/>
      </c>
      <c r="H337" s="10">
        <f>AD337+AU337+BL337+CC337+CT337</f>
        <v/>
      </c>
      <c r="I337" s="10">
        <f>AF337+AW337+BN337+CE337+CV337</f>
        <v/>
      </c>
      <c r="J337" s="10">
        <f>AL337+BC337+BT337+CK337+DB337</f>
        <v/>
      </c>
      <c r="K337" s="10">
        <f>AJ337+BA337+BR337+CI337+CZ337</f>
        <v/>
      </c>
      <c r="L337" s="10">
        <f>AN337+BE337+BV337+CM337+DD337</f>
        <v/>
      </c>
      <c r="M337" s="10">
        <f>AP337+BG337+BX337+CO337+DF337</f>
        <v/>
      </c>
      <c r="N337" s="10">
        <f>AH337+AY337+BP337+CG337+CX337</f>
        <v/>
      </c>
      <c r="O337" s="10">
        <f>SUM(G337:N337)</f>
        <v/>
      </c>
      <c r="P337" s="10">
        <f>IFERROR(G337*MIN(1,'01_Нормативы'!$C$4/SUM(G$2:G$429)),0)</f>
        <v/>
      </c>
      <c r="Q337" s="10">
        <f>IFERROR(H337*MIN(1,'01_Нормативы'!$C$5/SUM(H$2:H$429)),0)</f>
        <v/>
      </c>
      <c r="R337" s="10">
        <f>IFERROR(I337*MIN(1,'01_Нормативы'!$C$6/SUM(I$2:I$429)),0)</f>
        <v/>
      </c>
      <c r="S337" s="10">
        <f>IFERROR(J337*MIN(1,'01_Нормативы'!$C$7/SUM(J$2:J$429)),0)</f>
        <v/>
      </c>
      <c r="T337" s="10">
        <f>IFERROR(K337*MIN(1,'01_Нормативы'!$C$8/SUM(K$2:K$429)),0)</f>
        <v/>
      </c>
      <c r="U337" s="10">
        <f>IFERROR(L337*MIN(1,'01_Нормативы'!$C$9/SUM(L$2:L$429)),0)</f>
        <v/>
      </c>
      <c r="V337" s="10">
        <f>IFERROR(M337*MIN(1,'01_Нормативы'!$C$10/SUM(M$2:M$429)),0)</f>
        <v/>
      </c>
      <c r="W337" s="10">
        <f>IFERROR(N337*MIN(1,'01_Нормативы'!$C$11/SUM(N$2:N$429)),0)</f>
        <v/>
      </c>
      <c r="X337" s="10">
        <f>SUM(P337:W337)</f>
        <v/>
      </c>
      <c r="Y337" s="10">
        <f>MAX(0,C337-X337)</f>
        <v/>
      </c>
      <c r="Z337" s="10">
        <f>IF(D337=0,100,X337/D337*100)</f>
        <v/>
      </c>
      <c r="AA337" s="10">
        <f>'02_Данные'!F337+'02_Данные'!G337</f>
        <v/>
      </c>
      <c r="AB337" s="10">
        <f>MIN('02_Данные'!L337,AA337)</f>
        <v/>
      </c>
      <c r="AC337" s="10">
        <f>AA337-AB337</f>
        <v/>
      </c>
      <c r="AD337" s="10">
        <f>MIN('02_Данные'!M337,AC337)</f>
        <v/>
      </c>
      <c r="AE337" s="10">
        <f>AC337-AD337</f>
        <v/>
      </c>
      <c r="AF337" s="10">
        <f>MIN('02_Данные'!N337,AE337)</f>
        <v/>
      </c>
      <c r="AG337" s="10">
        <f>AE337-AF337</f>
        <v/>
      </c>
      <c r="AH337" s="10">
        <f>MIN('02_Данные'!S337,AG337)</f>
        <v/>
      </c>
      <c r="AI337" s="10">
        <f>AG337-AH337</f>
        <v/>
      </c>
      <c r="AJ337" s="10">
        <f>MIN('02_Данные'!P337,AI337)</f>
        <v/>
      </c>
      <c r="AK337" s="10">
        <f>AI337-AJ337</f>
        <v/>
      </c>
      <c r="AL337" s="10">
        <f>MIN('02_Данные'!O337,AK337)</f>
        <v/>
      </c>
      <c r="AM337" s="10">
        <f>AK337-AL337</f>
        <v/>
      </c>
      <c r="AN337" s="10">
        <f>MIN('02_Данные'!Q337,AM337)</f>
        <v/>
      </c>
      <c r="AO337" s="10">
        <f>AM337-AN337</f>
        <v/>
      </c>
      <c r="AP337" s="10">
        <f>MIN('02_Данные'!R337,AO337)</f>
        <v/>
      </c>
      <c r="AQ337" s="10">
        <f>AO337-AP337</f>
        <v/>
      </c>
      <c r="AR337" s="10">
        <f>AQ337+'02_Данные'!H337</f>
        <v/>
      </c>
      <c r="AS337" s="10">
        <f>MIN('02_Данные'!T337,AR337)</f>
        <v/>
      </c>
      <c r="AT337" s="10">
        <f>AR337-AS337</f>
        <v/>
      </c>
      <c r="AU337" s="10">
        <f>MIN('02_Данные'!U337,AT337)</f>
        <v/>
      </c>
      <c r="AV337" s="10">
        <f>AT337-AU337</f>
        <v/>
      </c>
      <c r="AW337" s="10">
        <f>MIN('02_Данные'!V337,AV337)</f>
        <v/>
      </c>
      <c r="AX337" s="10">
        <f>AV337-AW337</f>
        <v/>
      </c>
      <c r="AY337" s="10">
        <f>MIN('02_Данные'!AA337,AX337)</f>
        <v/>
      </c>
      <c r="AZ337" s="10">
        <f>AX337-AY337</f>
        <v/>
      </c>
      <c r="BA337" s="10">
        <f>MIN('02_Данные'!X337,AZ337)</f>
        <v/>
      </c>
      <c r="BB337" s="10">
        <f>AZ337-BA337</f>
        <v/>
      </c>
      <c r="BC337" s="10">
        <f>MIN('02_Данные'!W337,BB337)</f>
        <v/>
      </c>
      <c r="BD337" s="10">
        <f>BB337-BC337</f>
        <v/>
      </c>
      <c r="BE337" s="10">
        <f>MIN('02_Данные'!Y337,BD337)</f>
        <v/>
      </c>
      <c r="BF337" s="10">
        <f>BD337-BE337</f>
        <v/>
      </c>
      <c r="BG337" s="10">
        <f>MIN('02_Данные'!Z337,BF337)</f>
        <v/>
      </c>
      <c r="BH337" s="10">
        <f>BF337-BG337</f>
        <v/>
      </c>
      <c r="BI337" s="10">
        <f>BH337+'02_Данные'!I337</f>
        <v/>
      </c>
      <c r="BJ337" s="10">
        <f>MIN('02_Данные'!AB337,BI337)</f>
        <v/>
      </c>
      <c r="BK337" s="10">
        <f>BI337-BJ337</f>
        <v/>
      </c>
      <c r="BL337" s="10">
        <f>MIN('02_Данные'!AC337,BK337)</f>
        <v/>
      </c>
      <c r="BM337" s="10">
        <f>BK337-BL337</f>
        <v/>
      </c>
      <c r="BN337" s="10">
        <f>MIN('02_Данные'!AD337,BM337)</f>
        <v/>
      </c>
      <c r="BO337" s="10">
        <f>BM337-BN337</f>
        <v/>
      </c>
      <c r="BP337" s="10">
        <f>MIN('02_Данные'!AI337,BO337)</f>
        <v/>
      </c>
      <c r="BQ337" s="10">
        <f>BO337-BP337</f>
        <v/>
      </c>
      <c r="BR337" s="10">
        <f>MIN('02_Данные'!AF337,BQ337)</f>
        <v/>
      </c>
      <c r="BS337" s="10">
        <f>BQ337-BR337</f>
        <v/>
      </c>
      <c r="BT337" s="10">
        <f>MIN('02_Данные'!AE337,BS337)</f>
        <v/>
      </c>
      <c r="BU337" s="10">
        <f>BS337-BT337</f>
        <v/>
      </c>
      <c r="BV337" s="10">
        <f>MIN('02_Данные'!AG337,BU337)</f>
        <v/>
      </c>
      <c r="BW337" s="10">
        <f>BU337-BV337</f>
        <v/>
      </c>
      <c r="BX337" s="10">
        <f>MIN('02_Данные'!AH337,BW337)</f>
        <v/>
      </c>
      <c r="BY337" s="10">
        <f>BW337-BX337</f>
        <v/>
      </c>
      <c r="BZ337" s="10">
        <f>BY337+'02_Данные'!J337</f>
        <v/>
      </c>
      <c r="CA337" s="10">
        <f>MIN('02_Данные'!AJ337,BZ337)</f>
        <v/>
      </c>
      <c r="CB337" s="10">
        <f>BZ337-CA337</f>
        <v/>
      </c>
      <c r="CC337" s="10">
        <f>MIN('02_Данные'!AK337,CB337)</f>
        <v/>
      </c>
      <c r="CD337" s="10">
        <f>CB337-CC337</f>
        <v/>
      </c>
      <c r="CE337" s="10">
        <f>MIN('02_Данные'!AL337,CD337)</f>
        <v/>
      </c>
      <c r="CF337" s="10">
        <f>CD337-CE337</f>
        <v/>
      </c>
      <c r="CG337" s="10">
        <f>MIN('02_Данные'!AQ337,CF337)</f>
        <v/>
      </c>
      <c r="CH337" s="10">
        <f>CF337-CG337</f>
        <v/>
      </c>
      <c r="CI337" s="10">
        <f>MIN('02_Данные'!AN337,CH337)</f>
        <v/>
      </c>
      <c r="CJ337" s="10">
        <f>CH337-CI337</f>
        <v/>
      </c>
      <c r="CK337" s="10">
        <f>MIN('02_Данные'!AM337,CJ337)</f>
        <v/>
      </c>
      <c r="CL337" s="10">
        <f>CJ337-CK337</f>
        <v/>
      </c>
      <c r="CM337" s="10">
        <f>MIN('02_Данные'!AO337,CL337)</f>
        <v/>
      </c>
      <c r="CN337" s="10">
        <f>CL337-CM337</f>
        <v/>
      </c>
      <c r="CO337" s="10">
        <f>MIN('02_Данные'!AP337,CN337)</f>
        <v/>
      </c>
      <c r="CP337" s="10">
        <f>CN337-CO337</f>
        <v/>
      </c>
      <c r="CQ337" s="10">
        <f>CP337+'02_Данные'!K337</f>
        <v/>
      </c>
      <c r="CR337" s="10">
        <f>MIN('02_Данные'!AR337,CQ337)</f>
        <v/>
      </c>
      <c r="CS337" s="10">
        <f>CQ337-CR337</f>
        <v/>
      </c>
      <c r="CT337" s="10">
        <f>MIN('02_Данные'!AS337,CS337)</f>
        <v/>
      </c>
      <c r="CU337" s="10">
        <f>CS337-CT337</f>
        <v/>
      </c>
      <c r="CV337" s="10">
        <f>MIN('02_Данные'!AT337,CU337)</f>
        <v/>
      </c>
      <c r="CW337" s="10">
        <f>CU337-CV337</f>
        <v/>
      </c>
      <c r="CX337" s="10">
        <f>MIN('02_Данные'!AY337,CW337)</f>
        <v/>
      </c>
      <c r="CY337" s="10">
        <f>CW337-CX337</f>
        <v/>
      </c>
      <c r="CZ337" s="10">
        <f>MIN('02_Данные'!AV337,CY337)</f>
        <v/>
      </c>
      <c r="DA337" s="10">
        <f>CY337-CZ337</f>
        <v/>
      </c>
      <c r="DB337" s="10">
        <f>MIN('02_Данные'!AU337,DA337)</f>
        <v/>
      </c>
      <c r="DC337" s="10">
        <f>DA337-DB337</f>
        <v/>
      </c>
      <c r="DD337" s="10">
        <f>MIN('02_Данные'!AW337,DC337)</f>
        <v/>
      </c>
      <c r="DE337" s="10">
        <f>DC337-DD337</f>
        <v/>
      </c>
      <c r="DF337" s="10">
        <f>MIN('02_Данные'!AX337,DE337)</f>
        <v/>
      </c>
      <c r="DG337" s="10">
        <f>DE337-DF337</f>
        <v/>
      </c>
    </row>
    <row r="338">
      <c r="A338" s="9">
        <f>'02_Данные'!B338</f>
        <v/>
      </c>
      <c r="B338" s="9">
        <f>'02_Данные'!E338</f>
        <v/>
      </c>
      <c r="C338" s="10">
        <f>'02_Данные'!F338+'02_Данные'!G338+'02_Данные'!H338+'02_Данные'!I338+'02_Данные'!J338+'02_Данные'!K338</f>
        <v/>
      </c>
      <c r="D338" s="10">
        <f>SUM('02_Данные'!L338:'02_Данные'!AY338)</f>
        <v/>
      </c>
      <c r="E338" s="10">
        <f>MAX(0,D338-C338)</f>
        <v/>
      </c>
      <c r="F338" s="15">
        <f>IF(E338&gt;0.0001,"ДЕФИЦИТ",IF(Y338&gt;0.0001,"ПРОФИЦИТ","БАЛАНС"))</f>
        <v/>
      </c>
      <c r="G338" s="10">
        <f>AB338+AS338+BJ338+CA338+CR338</f>
        <v/>
      </c>
      <c r="H338" s="10">
        <f>AD338+AU338+BL338+CC338+CT338</f>
        <v/>
      </c>
      <c r="I338" s="10">
        <f>AF338+AW338+BN338+CE338+CV338</f>
        <v/>
      </c>
      <c r="J338" s="10">
        <f>AL338+BC338+BT338+CK338+DB338</f>
        <v/>
      </c>
      <c r="K338" s="10">
        <f>AJ338+BA338+BR338+CI338+CZ338</f>
        <v/>
      </c>
      <c r="L338" s="10">
        <f>AN338+BE338+BV338+CM338+DD338</f>
        <v/>
      </c>
      <c r="M338" s="10">
        <f>AP338+BG338+BX338+CO338+DF338</f>
        <v/>
      </c>
      <c r="N338" s="10">
        <f>AH338+AY338+BP338+CG338+CX338</f>
        <v/>
      </c>
      <c r="O338" s="10">
        <f>SUM(G338:N338)</f>
        <v/>
      </c>
      <c r="P338" s="10">
        <f>IFERROR(G338*MIN(1,'01_Нормативы'!$C$4/SUM(G$2:G$429)),0)</f>
        <v/>
      </c>
      <c r="Q338" s="10">
        <f>IFERROR(H338*MIN(1,'01_Нормативы'!$C$5/SUM(H$2:H$429)),0)</f>
        <v/>
      </c>
      <c r="R338" s="10">
        <f>IFERROR(I338*MIN(1,'01_Нормативы'!$C$6/SUM(I$2:I$429)),0)</f>
        <v/>
      </c>
      <c r="S338" s="10">
        <f>IFERROR(J338*MIN(1,'01_Нормативы'!$C$7/SUM(J$2:J$429)),0)</f>
        <v/>
      </c>
      <c r="T338" s="10">
        <f>IFERROR(K338*MIN(1,'01_Нормативы'!$C$8/SUM(K$2:K$429)),0)</f>
        <v/>
      </c>
      <c r="U338" s="10">
        <f>IFERROR(L338*MIN(1,'01_Нормативы'!$C$9/SUM(L$2:L$429)),0)</f>
        <v/>
      </c>
      <c r="V338" s="10">
        <f>IFERROR(M338*MIN(1,'01_Нормативы'!$C$10/SUM(M$2:M$429)),0)</f>
        <v/>
      </c>
      <c r="W338" s="10">
        <f>IFERROR(N338*MIN(1,'01_Нормативы'!$C$11/SUM(N$2:N$429)),0)</f>
        <v/>
      </c>
      <c r="X338" s="10">
        <f>SUM(P338:W338)</f>
        <v/>
      </c>
      <c r="Y338" s="10">
        <f>MAX(0,C338-X338)</f>
        <v/>
      </c>
      <c r="Z338" s="10">
        <f>IF(D338=0,100,X338/D338*100)</f>
        <v/>
      </c>
      <c r="AA338" s="10">
        <f>'02_Данные'!F338+'02_Данные'!G338</f>
        <v/>
      </c>
      <c r="AB338" s="10">
        <f>MIN('02_Данные'!L338,AA338)</f>
        <v/>
      </c>
      <c r="AC338" s="10">
        <f>AA338-AB338</f>
        <v/>
      </c>
      <c r="AD338" s="10">
        <f>MIN('02_Данные'!M338,AC338)</f>
        <v/>
      </c>
      <c r="AE338" s="10">
        <f>AC338-AD338</f>
        <v/>
      </c>
      <c r="AF338" s="10">
        <f>MIN('02_Данные'!N338,AE338)</f>
        <v/>
      </c>
      <c r="AG338" s="10">
        <f>AE338-AF338</f>
        <v/>
      </c>
      <c r="AH338" s="10">
        <f>MIN('02_Данные'!S338,AG338)</f>
        <v/>
      </c>
      <c r="AI338" s="10">
        <f>AG338-AH338</f>
        <v/>
      </c>
      <c r="AJ338" s="10">
        <f>MIN('02_Данные'!P338,AI338)</f>
        <v/>
      </c>
      <c r="AK338" s="10">
        <f>AI338-AJ338</f>
        <v/>
      </c>
      <c r="AL338" s="10">
        <f>MIN('02_Данные'!O338,AK338)</f>
        <v/>
      </c>
      <c r="AM338" s="10">
        <f>AK338-AL338</f>
        <v/>
      </c>
      <c r="AN338" s="10">
        <f>MIN('02_Данные'!Q338,AM338)</f>
        <v/>
      </c>
      <c r="AO338" s="10">
        <f>AM338-AN338</f>
        <v/>
      </c>
      <c r="AP338" s="10">
        <f>MIN('02_Данные'!R338,AO338)</f>
        <v/>
      </c>
      <c r="AQ338" s="10">
        <f>AO338-AP338</f>
        <v/>
      </c>
      <c r="AR338" s="10">
        <f>AQ338+'02_Данные'!H338</f>
        <v/>
      </c>
      <c r="AS338" s="10">
        <f>MIN('02_Данные'!T338,AR338)</f>
        <v/>
      </c>
      <c r="AT338" s="10">
        <f>AR338-AS338</f>
        <v/>
      </c>
      <c r="AU338" s="10">
        <f>MIN('02_Данные'!U338,AT338)</f>
        <v/>
      </c>
      <c r="AV338" s="10">
        <f>AT338-AU338</f>
        <v/>
      </c>
      <c r="AW338" s="10">
        <f>MIN('02_Данные'!V338,AV338)</f>
        <v/>
      </c>
      <c r="AX338" s="10">
        <f>AV338-AW338</f>
        <v/>
      </c>
      <c r="AY338" s="10">
        <f>MIN('02_Данные'!AA338,AX338)</f>
        <v/>
      </c>
      <c r="AZ338" s="10">
        <f>AX338-AY338</f>
        <v/>
      </c>
      <c r="BA338" s="10">
        <f>MIN('02_Данные'!X338,AZ338)</f>
        <v/>
      </c>
      <c r="BB338" s="10">
        <f>AZ338-BA338</f>
        <v/>
      </c>
      <c r="BC338" s="10">
        <f>MIN('02_Данные'!W338,BB338)</f>
        <v/>
      </c>
      <c r="BD338" s="10">
        <f>BB338-BC338</f>
        <v/>
      </c>
      <c r="BE338" s="10">
        <f>MIN('02_Данные'!Y338,BD338)</f>
        <v/>
      </c>
      <c r="BF338" s="10">
        <f>BD338-BE338</f>
        <v/>
      </c>
      <c r="BG338" s="10">
        <f>MIN('02_Данные'!Z338,BF338)</f>
        <v/>
      </c>
      <c r="BH338" s="10">
        <f>BF338-BG338</f>
        <v/>
      </c>
      <c r="BI338" s="10">
        <f>BH338+'02_Данные'!I338</f>
        <v/>
      </c>
      <c r="BJ338" s="10">
        <f>MIN('02_Данные'!AB338,BI338)</f>
        <v/>
      </c>
      <c r="BK338" s="10">
        <f>BI338-BJ338</f>
        <v/>
      </c>
      <c r="BL338" s="10">
        <f>MIN('02_Данные'!AC338,BK338)</f>
        <v/>
      </c>
      <c r="BM338" s="10">
        <f>BK338-BL338</f>
        <v/>
      </c>
      <c r="BN338" s="10">
        <f>MIN('02_Данные'!AD338,BM338)</f>
        <v/>
      </c>
      <c r="BO338" s="10">
        <f>BM338-BN338</f>
        <v/>
      </c>
      <c r="BP338" s="10">
        <f>MIN('02_Данные'!AI338,BO338)</f>
        <v/>
      </c>
      <c r="BQ338" s="10">
        <f>BO338-BP338</f>
        <v/>
      </c>
      <c r="BR338" s="10">
        <f>MIN('02_Данные'!AF338,BQ338)</f>
        <v/>
      </c>
      <c r="BS338" s="10">
        <f>BQ338-BR338</f>
        <v/>
      </c>
      <c r="BT338" s="10">
        <f>MIN('02_Данные'!AE338,BS338)</f>
        <v/>
      </c>
      <c r="BU338" s="10">
        <f>BS338-BT338</f>
        <v/>
      </c>
      <c r="BV338" s="10">
        <f>MIN('02_Данные'!AG338,BU338)</f>
        <v/>
      </c>
      <c r="BW338" s="10">
        <f>BU338-BV338</f>
        <v/>
      </c>
      <c r="BX338" s="10">
        <f>MIN('02_Данные'!AH338,BW338)</f>
        <v/>
      </c>
      <c r="BY338" s="10">
        <f>BW338-BX338</f>
        <v/>
      </c>
      <c r="BZ338" s="10">
        <f>BY338+'02_Данные'!J338</f>
        <v/>
      </c>
      <c r="CA338" s="10">
        <f>MIN('02_Данные'!AJ338,BZ338)</f>
        <v/>
      </c>
      <c r="CB338" s="10">
        <f>BZ338-CA338</f>
        <v/>
      </c>
      <c r="CC338" s="10">
        <f>MIN('02_Данные'!AK338,CB338)</f>
        <v/>
      </c>
      <c r="CD338" s="10">
        <f>CB338-CC338</f>
        <v/>
      </c>
      <c r="CE338" s="10">
        <f>MIN('02_Данные'!AL338,CD338)</f>
        <v/>
      </c>
      <c r="CF338" s="10">
        <f>CD338-CE338</f>
        <v/>
      </c>
      <c r="CG338" s="10">
        <f>MIN('02_Данные'!AQ338,CF338)</f>
        <v/>
      </c>
      <c r="CH338" s="10">
        <f>CF338-CG338</f>
        <v/>
      </c>
      <c r="CI338" s="10">
        <f>MIN('02_Данные'!AN338,CH338)</f>
        <v/>
      </c>
      <c r="CJ338" s="10">
        <f>CH338-CI338</f>
        <v/>
      </c>
      <c r="CK338" s="10">
        <f>MIN('02_Данные'!AM338,CJ338)</f>
        <v/>
      </c>
      <c r="CL338" s="10">
        <f>CJ338-CK338</f>
        <v/>
      </c>
      <c r="CM338" s="10">
        <f>MIN('02_Данные'!AO338,CL338)</f>
        <v/>
      </c>
      <c r="CN338" s="10">
        <f>CL338-CM338</f>
        <v/>
      </c>
      <c r="CO338" s="10">
        <f>MIN('02_Данные'!AP338,CN338)</f>
        <v/>
      </c>
      <c r="CP338" s="10">
        <f>CN338-CO338</f>
        <v/>
      </c>
      <c r="CQ338" s="10">
        <f>CP338+'02_Данные'!K338</f>
        <v/>
      </c>
      <c r="CR338" s="10">
        <f>MIN('02_Данные'!AR338,CQ338)</f>
        <v/>
      </c>
      <c r="CS338" s="10">
        <f>CQ338-CR338</f>
        <v/>
      </c>
      <c r="CT338" s="10">
        <f>MIN('02_Данные'!AS338,CS338)</f>
        <v/>
      </c>
      <c r="CU338" s="10">
        <f>CS338-CT338</f>
        <v/>
      </c>
      <c r="CV338" s="10">
        <f>MIN('02_Данные'!AT338,CU338)</f>
        <v/>
      </c>
      <c r="CW338" s="10">
        <f>CU338-CV338</f>
        <v/>
      </c>
      <c r="CX338" s="10">
        <f>MIN('02_Данные'!AY338,CW338)</f>
        <v/>
      </c>
      <c r="CY338" s="10">
        <f>CW338-CX338</f>
        <v/>
      </c>
      <c r="CZ338" s="10">
        <f>MIN('02_Данные'!AV338,CY338)</f>
        <v/>
      </c>
      <c r="DA338" s="10">
        <f>CY338-CZ338</f>
        <v/>
      </c>
      <c r="DB338" s="10">
        <f>MIN('02_Данные'!AU338,DA338)</f>
        <v/>
      </c>
      <c r="DC338" s="10">
        <f>DA338-DB338</f>
        <v/>
      </c>
      <c r="DD338" s="10">
        <f>MIN('02_Данные'!AW338,DC338)</f>
        <v/>
      </c>
      <c r="DE338" s="10">
        <f>DC338-DD338</f>
        <v/>
      </c>
      <c r="DF338" s="10">
        <f>MIN('02_Данные'!AX338,DE338)</f>
        <v/>
      </c>
      <c r="DG338" s="10">
        <f>DE338-DF338</f>
        <v/>
      </c>
    </row>
    <row r="339">
      <c r="A339" s="9">
        <f>'02_Данные'!B339</f>
        <v/>
      </c>
      <c r="B339" s="9">
        <f>'02_Данные'!E339</f>
        <v/>
      </c>
      <c r="C339" s="10">
        <f>'02_Данные'!F339+'02_Данные'!G339+'02_Данные'!H339+'02_Данные'!I339+'02_Данные'!J339+'02_Данные'!K339</f>
        <v/>
      </c>
      <c r="D339" s="10">
        <f>SUM('02_Данные'!L339:'02_Данные'!AY339)</f>
        <v/>
      </c>
      <c r="E339" s="10">
        <f>MAX(0,D339-C339)</f>
        <v/>
      </c>
      <c r="F339" s="15">
        <f>IF(E339&gt;0.0001,"ДЕФИЦИТ",IF(Y339&gt;0.0001,"ПРОФИЦИТ","БАЛАНС"))</f>
        <v/>
      </c>
      <c r="G339" s="10">
        <f>AB339+AS339+BJ339+CA339+CR339</f>
        <v/>
      </c>
      <c r="H339" s="10">
        <f>AD339+AU339+BL339+CC339+CT339</f>
        <v/>
      </c>
      <c r="I339" s="10">
        <f>AF339+AW339+BN339+CE339+CV339</f>
        <v/>
      </c>
      <c r="J339" s="10">
        <f>AL339+BC339+BT339+CK339+DB339</f>
        <v/>
      </c>
      <c r="K339" s="10">
        <f>AJ339+BA339+BR339+CI339+CZ339</f>
        <v/>
      </c>
      <c r="L339" s="10">
        <f>AN339+BE339+BV339+CM339+DD339</f>
        <v/>
      </c>
      <c r="M339" s="10">
        <f>AP339+BG339+BX339+CO339+DF339</f>
        <v/>
      </c>
      <c r="N339" s="10">
        <f>AH339+AY339+BP339+CG339+CX339</f>
        <v/>
      </c>
      <c r="O339" s="10">
        <f>SUM(G339:N339)</f>
        <v/>
      </c>
      <c r="P339" s="10">
        <f>IFERROR(G339*MIN(1,'01_Нормативы'!$C$4/SUM(G$2:G$429)),0)</f>
        <v/>
      </c>
      <c r="Q339" s="10">
        <f>IFERROR(H339*MIN(1,'01_Нормативы'!$C$5/SUM(H$2:H$429)),0)</f>
        <v/>
      </c>
      <c r="R339" s="10">
        <f>IFERROR(I339*MIN(1,'01_Нормативы'!$C$6/SUM(I$2:I$429)),0)</f>
        <v/>
      </c>
      <c r="S339" s="10">
        <f>IFERROR(J339*MIN(1,'01_Нормативы'!$C$7/SUM(J$2:J$429)),0)</f>
        <v/>
      </c>
      <c r="T339" s="10">
        <f>IFERROR(K339*MIN(1,'01_Нормативы'!$C$8/SUM(K$2:K$429)),0)</f>
        <v/>
      </c>
      <c r="U339" s="10">
        <f>IFERROR(L339*MIN(1,'01_Нормативы'!$C$9/SUM(L$2:L$429)),0)</f>
        <v/>
      </c>
      <c r="V339" s="10">
        <f>IFERROR(M339*MIN(1,'01_Нормативы'!$C$10/SUM(M$2:M$429)),0)</f>
        <v/>
      </c>
      <c r="W339" s="10">
        <f>IFERROR(N339*MIN(1,'01_Нормативы'!$C$11/SUM(N$2:N$429)),0)</f>
        <v/>
      </c>
      <c r="X339" s="10">
        <f>SUM(P339:W339)</f>
        <v/>
      </c>
      <c r="Y339" s="10">
        <f>MAX(0,C339-X339)</f>
        <v/>
      </c>
      <c r="Z339" s="10">
        <f>IF(D339=0,100,X339/D339*100)</f>
        <v/>
      </c>
      <c r="AA339" s="10">
        <f>'02_Данные'!F339+'02_Данные'!G339</f>
        <v/>
      </c>
      <c r="AB339" s="10">
        <f>MIN('02_Данные'!L339,AA339)</f>
        <v/>
      </c>
      <c r="AC339" s="10">
        <f>AA339-AB339</f>
        <v/>
      </c>
      <c r="AD339" s="10">
        <f>MIN('02_Данные'!M339,AC339)</f>
        <v/>
      </c>
      <c r="AE339" s="10">
        <f>AC339-AD339</f>
        <v/>
      </c>
      <c r="AF339" s="10">
        <f>MIN('02_Данные'!N339,AE339)</f>
        <v/>
      </c>
      <c r="AG339" s="10">
        <f>AE339-AF339</f>
        <v/>
      </c>
      <c r="AH339" s="10">
        <f>MIN('02_Данные'!S339,AG339)</f>
        <v/>
      </c>
      <c r="AI339" s="10">
        <f>AG339-AH339</f>
        <v/>
      </c>
      <c r="AJ339" s="10">
        <f>MIN('02_Данные'!P339,AI339)</f>
        <v/>
      </c>
      <c r="AK339" s="10">
        <f>AI339-AJ339</f>
        <v/>
      </c>
      <c r="AL339" s="10">
        <f>MIN('02_Данные'!O339,AK339)</f>
        <v/>
      </c>
      <c r="AM339" s="10">
        <f>AK339-AL339</f>
        <v/>
      </c>
      <c r="AN339" s="10">
        <f>MIN('02_Данные'!Q339,AM339)</f>
        <v/>
      </c>
      <c r="AO339" s="10">
        <f>AM339-AN339</f>
        <v/>
      </c>
      <c r="AP339" s="10">
        <f>MIN('02_Данные'!R339,AO339)</f>
        <v/>
      </c>
      <c r="AQ339" s="10">
        <f>AO339-AP339</f>
        <v/>
      </c>
      <c r="AR339" s="10">
        <f>AQ339+'02_Данные'!H339</f>
        <v/>
      </c>
      <c r="AS339" s="10">
        <f>MIN('02_Данные'!T339,AR339)</f>
        <v/>
      </c>
      <c r="AT339" s="10">
        <f>AR339-AS339</f>
        <v/>
      </c>
      <c r="AU339" s="10">
        <f>MIN('02_Данные'!U339,AT339)</f>
        <v/>
      </c>
      <c r="AV339" s="10">
        <f>AT339-AU339</f>
        <v/>
      </c>
      <c r="AW339" s="10">
        <f>MIN('02_Данные'!V339,AV339)</f>
        <v/>
      </c>
      <c r="AX339" s="10">
        <f>AV339-AW339</f>
        <v/>
      </c>
      <c r="AY339" s="10">
        <f>MIN('02_Данные'!AA339,AX339)</f>
        <v/>
      </c>
      <c r="AZ339" s="10">
        <f>AX339-AY339</f>
        <v/>
      </c>
      <c r="BA339" s="10">
        <f>MIN('02_Данные'!X339,AZ339)</f>
        <v/>
      </c>
      <c r="BB339" s="10">
        <f>AZ339-BA339</f>
        <v/>
      </c>
      <c r="BC339" s="10">
        <f>MIN('02_Данные'!W339,BB339)</f>
        <v/>
      </c>
      <c r="BD339" s="10">
        <f>BB339-BC339</f>
        <v/>
      </c>
      <c r="BE339" s="10">
        <f>MIN('02_Данные'!Y339,BD339)</f>
        <v/>
      </c>
      <c r="BF339" s="10">
        <f>BD339-BE339</f>
        <v/>
      </c>
      <c r="BG339" s="10">
        <f>MIN('02_Данные'!Z339,BF339)</f>
        <v/>
      </c>
      <c r="BH339" s="10">
        <f>BF339-BG339</f>
        <v/>
      </c>
      <c r="BI339" s="10">
        <f>BH339+'02_Данные'!I339</f>
        <v/>
      </c>
      <c r="BJ339" s="10">
        <f>MIN('02_Данные'!AB339,BI339)</f>
        <v/>
      </c>
      <c r="BK339" s="10">
        <f>BI339-BJ339</f>
        <v/>
      </c>
      <c r="BL339" s="10">
        <f>MIN('02_Данные'!AC339,BK339)</f>
        <v/>
      </c>
      <c r="BM339" s="10">
        <f>BK339-BL339</f>
        <v/>
      </c>
      <c r="BN339" s="10">
        <f>MIN('02_Данные'!AD339,BM339)</f>
        <v/>
      </c>
      <c r="BO339" s="10">
        <f>BM339-BN339</f>
        <v/>
      </c>
      <c r="BP339" s="10">
        <f>MIN('02_Данные'!AI339,BO339)</f>
        <v/>
      </c>
      <c r="BQ339" s="10">
        <f>BO339-BP339</f>
        <v/>
      </c>
      <c r="BR339" s="10">
        <f>MIN('02_Данные'!AF339,BQ339)</f>
        <v/>
      </c>
      <c r="BS339" s="10">
        <f>BQ339-BR339</f>
        <v/>
      </c>
      <c r="BT339" s="10">
        <f>MIN('02_Данные'!AE339,BS339)</f>
        <v/>
      </c>
      <c r="BU339" s="10">
        <f>BS339-BT339</f>
        <v/>
      </c>
      <c r="BV339" s="10">
        <f>MIN('02_Данные'!AG339,BU339)</f>
        <v/>
      </c>
      <c r="BW339" s="10">
        <f>BU339-BV339</f>
        <v/>
      </c>
      <c r="BX339" s="10">
        <f>MIN('02_Данные'!AH339,BW339)</f>
        <v/>
      </c>
      <c r="BY339" s="10">
        <f>BW339-BX339</f>
        <v/>
      </c>
      <c r="BZ339" s="10">
        <f>BY339+'02_Данные'!J339</f>
        <v/>
      </c>
      <c r="CA339" s="10">
        <f>MIN('02_Данные'!AJ339,BZ339)</f>
        <v/>
      </c>
      <c r="CB339" s="10">
        <f>BZ339-CA339</f>
        <v/>
      </c>
      <c r="CC339" s="10">
        <f>MIN('02_Данные'!AK339,CB339)</f>
        <v/>
      </c>
      <c r="CD339" s="10">
        <f>CB339-CC339</f>
        <v/>
      </c>
      <c r="CE339" s="10">
        <f>MIN('02_Данные'!AL339,CD339)</f>
        <v/>
      </c>
      <c r="CF339" s="10">
        <f>CD339-CE339</f>
        <v/>
      </c>
      <c r="CG339" s="10">
        <f>MIN('02_Данные'!AQ339,CF339)</f>
        <v/>
      </c>
      <c r="CH339" s="10">
        <f>CF339-CG339</f>
        <v/>
      </c>
      <c r="CI339" s="10">
        <f>MIN('02_Данные'!AN339,CH339)</f>
        <v/>
      </c>
      <c r="CJ339" s="10">
        <f>CH339-CI339</f>
        <v/>
      </c>
      <c r="CK339" s="10">
        <f>MIN('02_Данные'!AM339,CJ339)</f>
        <v/>
      </c>
      <c r="CL339" s="10">
        <f>CJ339-CK339</f>
        <v/>
      </c>
      <c r="CM339" s="10">
        <f>MIN('02_Данные'!AO339,CL339)</f>
        <v/>
      </c>
      <c r="CN339" s="10">
        <f>CL339-CM339</f>
        <v/>
      </c>
      <c r="CO339" s="10">
        <f>MIN('02_Данные'!AP339,CN339)</f>
        <v/>
      </c>
      <c r="CP339" s="10">
        <f>CN339-CO339</f>
        <v/>
      </c>
      <c r="CQ339" s="10">
        <f>CP339+'02_Данные'!K339</f>
        <v/>
      </c>
      <c r="CR339" s="10">
        <f>MIN('02_Данные'!AR339,CQ339)</f>
        <v/>
      </c>
      <c r="CS339" s="10">
        <f>CQ339-CR339</f>
        <v/>
      </c>
      <c r="CT339" s="10">
        <f>MIN('02_Данные'!AS339,CS339)</f>
        <v/>
      </c>
      <c r="CU339" s="10">
        <f>CS339-CT339</f>
        <v/>
      </c>
      <c r="CV339" s="10">
        <f>MIN('02_Данные'!AT339,CU339)</f>
        <v/>
      </c>
      <c r="CW339" s="10">
        <f>CU339-CV339</f>
        <v/>
      </c>
      <c r="CX339" s="10">
        <f>MIN('02_Данные'!AY339,CW339)</f>
        <v/>
      </c>
      <c r="CY339" s="10">
        <f>CW339-CX339</f>
        <v/>
      </c>
      <c r="CZ339" s="10">
        <f>MIN('02_Данные'!AV339,CY339)</f>
        <v/>
      </c>
      <c r="DA339" s="10">
        <f>CY339-CZ339</f>
        <v/>
      </c>
      <c r="DB339" s="10">
        <f>MIN('02_Данные'!AU339,DA339)</f>
        <v/>
      </c>
      <c r="DC339" s="10">
        <f>DA339-DB339</f>
        <v/>
      </c>
      <c r="DD339" s="10">
        <f>MIN('02_Данные'!AW339,DC339)</f>
        <v/>
      </c>
      <c r="DE339" s="10">
        <f>DC339-DD339</f>
        <v/>
      </c>
      <c r="DF339" s="10">
        <f>MIN('02_Данные'!AX339,DE339)</f>
        <v/>
      </c>
      <c r="DG339" s="10">
        <f>DE339-DF339</f>
        <v/>
      </c>
    </row>
    <row r="340">
      <c r="A340" s="9">
        <f>'02_Данные'!B340</f>
        <v/>
      </c>
      <c r="B340" s="9">
        <f>'02_Данные'!E340</f>
        <v/>
      </c>
      <c r="C340" s="10">
        <f>'02_Данные'!F340+'02_Данные'!G340+'02_Данные'!H340+'02_Данные'!I340+'02_Данные'!J340+'02_Данные'!K340</f>
        <v/>
      </c>
      <c r="D340" s="10">
        <f>SUM('02_Данные'!L340:'02_Данные'!AY340)</f>
        <v/>
      </c>
      <c r="E340" s="10">
        <f>MAX(0,D340-C340)</f>
        <v/>
      </c>
      <c r="F340" s="15">
        <f>IF(E340&gt;0.0001,"ДЕФИЦИТ",IF(Y340&gt;0.0001,"ПРОФИЦИТ","БАЛАНС"))</f>
        <v/>
      </c>
      <c r="G340" s="10">
        <f>AB340+AS340+BJ340+CA340+CR340</f>
        <v/>
      </c>
      <c r="H340" s="10">
        <f>AD340+AU340+BL340+CC340+CT340</f>
        <v/>
      </c>
      <c r="I340" s="10">
        <f>AF340+AW340+BN340+CE340+CV340</f>
        <v/>
      </c>
      <c r="J340" s="10">
        <f>AL340+BC340+BT340+CK340+DB340</f>
        <v/>
      </c>
      <c r="K340" s="10">
        <f>AJ340+BA340+BR340+CI340+CZ340</f>
        <v/>
      </c>
      <c r="L340" s="10">
        <f>AN340+BE340+BV340+CM340+DD340</f>
        <v/>
      </c>
      <c r="M340" s="10">
        <f>AP340+BG340+BX340+CO340+DF340</f>
        <v/>
      </c>
      <c r="N340" s="10">
        <f>AH340+AY340+BP340+CG340+CX340</f>
        <v/>
      </c>
      <c r="O340" s="10">
        <f>SUM(G340:N340)</f>
        <v/>
      </c>
      <c r="P340" s="10">
        <f>IFERROR(G340*MIN(1,'01_Нормативы'!$C$4/SUM(G$2:G$429)),0)</f>
        <v/>
      </c>
      <c r="Q340" s="10">
        <f>IFERROR(H340*MIN(1,'01_Нормативы'!$C$5/SUM(H$2:H$429)),0)</f>
        <v/>
      </c>
      <c r="R340" s="10">
        <f>IFERROR(I340*MIN(1,'01_Нормативы'!$C$6/SUM(I$2:I$429)),0)</f>
        <v/>
      </c>
      <c r="S340" s="10">
        <f>IFERROR(J340*MIN(1,'01_Нормативы'!$C$7/SUM(J$2:J$429)),0)</f>
        <v/>
      </c>
      <c r="T340" s="10">
        <f>IFERROR(K340*MIN(1,'01_Нормативы'!$C$8/SUM(K$2:K$429)),0)</f>
        <v/>
      </c>
      <c r="U340" s="10">
        <f>IFERROR(L340*MIN(1,'01_Нормативы'!$C$9/SUM(L$2:L$429)),0)</f>
        <v/>
      </c>
      <c r="V340" s="10">
        <f>IFERROR(M340*MIN(1,'01_Нормативы'!$C$10/SUM(M$2:M$429)),0)</f>
        <v/>
      </c>
      <c r="W340" s="10">
        <f>IFERROR(N340*MIN(1,'01_Нормативы'!$C$11/SUM(N$2:N$429)),0)</f>
        <v/>
      </c>
      <c r="X340" s="10">
        <f>SUM(P340:W340)</f>
        <v/>
      </c>
      <c r="Y340" s="10">
        <f>MAX(0,C340-X340)</f>
        <v/>
      </c>
      <c r="Z340" s="10">
        <f>IF(D340=0,100,X340/D340*100)</f>
        <v/>
      </c>
      <c r="AA340" s="10">
        <f>'02_Данные'!F340+'02_Данные'!G340</f>
        <v/>
      </c>
      <c r="AB340" s="10">
        <f>MIN('02_Данные'!L340,AA340)</f>
        <v/>
      </c>
      <c r="AC340" s="10">
        <f>AA340-AB340</f>
        <v/>
      </c>
      <c r="AD340" s="10">
        <f>MIN('02_Данные'!M340,AC340)</f>
        <v/>
      </c>
      <c r="AE340" s="10">
        <f>AC340-AD340</f>
        <v/>
      </c>
      <c r="AF340" s="10">
        <f>MIN('02_Данные'!N340,AE340)</f>
        <v/>
      </c>
      <c r="AG340" s="10">
        <f>AE340-AF340</f>
        <v/>
      </c>
      <c r="AH340" s="10">
        <f>MIN('02_Данные'!S340,AG340)</f>
        <v/>
      </c>
      <c r="AI340" s="10">
        <f>AG340-AH340</f>
        <v/>
      </c>
      <c r="AJ340" s="10">
        <f>MIN('02_Данные'!P340,AI340)</f>
        <v/>
      </c>
      <c r="AK340" s="10">
        <f>AI340-AJ340</f>
        <v/>
      </c>
      <c r="AL340" s="10">
        <f>MIN('02_Данные'!O340,AK340)</f>
        <v/>
      </c>
      <c r="AM340" s="10">
        <f>AK340-AL340</f>
        <v/>
      </c>
      <c r="AN340" s="10">
        <f>MIN('02_Данные'!Q340,AM340)</f>
        <v/>
      </c>
      <c r="AO340" s="10">
        <f>AM340-AN340</f>
        <v/>
      </c>
      <c r="AP340" s="10">
        <f>MIN('02_Данные'!R340,AO340)</f>
        <v/>
      </c>
      <c r="AQ340" s="10">
        <f>AO340-AP340</f>
        <v/>
      </c>
      <c r="AR340" s="10">
        <f>AQ340+'02_Данные'!H340</f>
        <v/>
      </c>
      <c r="AS340" s="10">
        <f>MIN('02_Данные'!T340,AR340)</f>
        <v/>
      </c>
      <c r="AT340" s="10">
        <f>AR340-AS340</f>
        <v/>
      </c>
      <c r="AU340" s="10">
        <f>MIN('02_Данные'!U340,AT340)</f>
        <v/>
      </c>
      <c r="AV340" s="10">
        <f>AT340-AU340</f>
        <v/>
      </c>
      <c r="AW340" s="10">
        <f>MIN('02_Данные'!V340,AV340)</f>
        <v/>
      </c>
      <c r="AX340" s="10">
        <f>AV340-AW340</f>
        <v/>
      </c>
      <c r="AY340" s="10">
        <f>MIN('02_Данные'!AA340,AX340)</f>
        <v/>
      </c>
      <c r="AZ340" s="10">
        <f>AX340-AY340</f>
        <v/>
      </c>
      <c r="BA340" s="10">
        <f>MIN('02_Данные'!X340,AZ340)</f>
        <v/>
      </c>
      <c r="BB340" s="10">
        <f>AZ340-BA340</f>
        <v/>
      </c>
      <c r="BC340" s="10">
        <f>MIN('02_Данные'!W340,BB340)</f>
        <v/>
      </c>
      <c r="BD340" s="10">
        <f>BB340-BC340</f>
        <v/>
      </c>
      <c r="BE340" s="10">
        <f>MIN('02_Данные'!Y340,BD340)</f>
        <v/>
      </c>
      <c r="BF340" s="10">
        <f>BD340-BE340</f>
        <v/>
      </c>
      <c r="BG340" s="10">
        <f>MIN('02_Данные'!Z340,BF340)</f>
        <v/>
      </c>
      <c r="BH340" s="10">
        <f>BF340-BG340</f>
        <v/>
      </c>
      <c r="BI340" s="10">
        <f>BH340+'02_Данные'!I340</f>
        <v/>
      </c>
      <c r="BJ340" s="10">
        <f>MIN('02_Данные'!AB340,BI340)</f>
        <v/>
      </c>
      <c r="BK340" s="10">
        <f>BI340-BJ340</f>
        <v/>
      </c>
      <c r="BL340" s="10">
        <f>MIN('02_Данные'!AC340,BK340)</f>
        <v/>
      </c>
      <c r="BM340" s="10">
        <f>BK340-BL340</f>
        <v/>
      </c>
      <c r="BN340" s="10">
        <f>MIN('02_Данные'!AD340,BM340)</f>
        <v/>
      </c>
      <c r="BO340" s="10">
        <f>BM340-BN340</f>
        <v/>
      </c>
      <c r="BP340" s="10">
        <f>MIN('02_Данные'!AI340,BO340)</f>
        <v/>
      </c>
      <c r="BQ340" s="10">
        <f>BO340-BP340</f>
        <v/>
      </c>
      <c r="BR340" s="10">
        <f>MIN('02_Данные'!AF340,BQ340)</f>
        <v/>
      </c>
      <c r="BS340" s="10">
        <f>BQ340-BR340</f>
        <v/>
      </c>
      <c r="BT340" s="10">
        <f>MIN('02_Данные'!AE340,BS340)</f>
        <v/>
      </c>
      <c r="BU340" s="10">
        <f>BS340-BT340</f>
        <v/>
      </c>
      <c r="BV340" s="10">
        <f>MIN('02_Данные'!AG340,BU340)</f>
        <v/>
      </c>
      <c r="BW340" s="10">
        <f>BU340-BV340</f>
        <v/>
      </c>
      <c r="BX340" s="10">
        <f>MIN('02_Данные'!AH340,BW340)</f>
        <v/>
      </c>
      <c r="BY340" s="10">
        <f>BW340-BX340</f>
        <v/>
      </c>
      <c r="BZ340" s="10">
        <f>BY340+'02_Данные'!J340</f>
        <v/>
      </c>
      <c r="CA340" s="10">
        <f>MIN('02_Данные'!AJ340,BZ340)</f>
        <v/>
      </c>
      <c r="CB340" s="10">
        <f>BZ340-CA340</f>
        <v/>
      </c>
      <c r="CC340" s="10">
        <f>MIN('02_Данные'!AK340,CB340)</f>
        <v/>
      </c>
      <c r="CD340" s="10">
        <f>CB340-CC340</f>
        <v/>
      </c>
      <c r="CE340" s="10">
        <f>MIN('02_Данные'!AL340,CD340)</f>
        <v/>
      </c>
      <c r="CF340" s="10">
        <f>CD340-CE340</f>
        <v/>
      </c>
      <c r="CG340" s="10">
        <f>MIN('02_Данные'!AQ340,CF340)</f>
        <v/>
      </c>
      <c r="CH340" s="10">
        <f>CF340-CG340</f>
        <v/>
      </c>
      <c r="CI340" s="10">
        <f>MIN('02_Данные'!AN340,CH340)</f>
        <v/>
      </c>
      <c r="CJ340" s="10">
        <f>CH340-CI340</f>
        <v/>
      </c>
      <c r="CK340" s="10">
        <f>MIN('02_Данные'!AM340,CJ340)</f>
        <v/>
      </c>
      <c r="CL340" s="10">
        <f>CJ340-CK340</f>
        <v/>
      </c>
      <c r="CM340" s="10">
        <f>MIN('02_Данные'!AO340,CL340)</f>
        <v/>
      </c>
      <c r="CN340" s="10">
        <f>CL340-CM340</f>
        <v/>
      </c>
      <c r="CO340" s="10">
        <f>MIN('02_Данные'!AP340,CN340)</f>
        <v/>
      </c>
      <c r="CP340" s="10">
        <f>CN340-CO340</f>
        <v/>
      </c>
      <c r="CQ340" s="10">
        <f>CP340+'02_Данные'!K340</f>
        <v/>
      </c>
      <c r="CR340" s="10">
        <f>MIN('02_Данные'!AR340,CQ340)</f>
        <v/>
      </c>
      <c r="CS340" s="10">
        <f>CQ340-CR340</f>
        <v/>
      </c>
      <c r="CT340" s="10">
        <f>MIN('02_Данные'!AS340,CS340)</f>
        <v/>
      </c>
      <c r="CU340" s="10">
        <f>CS340-CT340</f>
        <v/>
      </c>
      <c r="CV340" s="10">
        <f>MIN('02_Данные'!AT340,CU340)</f>
        <v/>
      </c>
      <c r="CW340" s="10">
        <f>CU340-CV340</f>
        <v/>
      </c>
      <c r="CX340" s="10">
        <f>MIN('02_Данные'!AY340,CW340)</f>
        <v/>
      </c>
      <c r="CY340" s="10">
        <f>CW340-CX340</f>
        <v/>
      </c>
      <c r="CZ340" s="10">
        <f>MIN('02_Данные'!AV340,CY340)</f>
        <v/>
      </c>
      <c r="DA340" s="10">
        <f>CY340-CZ340</f>
        <v/>
      </c>
      <c r="DB340" s="10">
        <f>MIN('02_Данные'!AU340,DA340)</f>
        <v/>
      </c>
      <c r="DC340" s="10">
        <f>DA340-DB340</f>
        <v/>
      </c>
      <c r="DD340" s="10">
        <f>MIN('02_Данные'!AW340,DC340)</f>
        <v/>
      </c>
      <c r="DE340" s="10">
        <f>DC340-DD340</f>
        <v/>
      </c>
      <c r="DF340" s="10">
        <f>MIN('02_Данные'!AX340,DE340)</f>
        <v/>
      </c>
      <c r="DG340" s="10">
        <f>DE340-DF340</f>
        <v/>
      </c>
    </row>
    <row r="341">
      <c r="A341" s="9">
        <f>'02_Данные'!B341</f>
        <v/>
      </c>
      <c r="B341" s="9">
        <f>'02_Данные'!E341</f>
        <v/>
      </c>
      <c r="C341" s="10">
        <f>'02_Данные'!F341+'02_Данные'!G341+'02_Данные'!H341+'02_Данные'!I341+'02_Данные'!J341+'02_Данные'!K341</f>
        <v/>
      </c>
      <c r="D341" s="10">
        <f>SUM('02_Данные'!L341:'02_Данные'!AY341)</f>
        <v/>
      </c>
      <c r="E341" s="10">
        <f>MAX(0,D341-C341)</f>
        <v/>
      </c>
      <c r="F341" s="15">
        <f>IF(E341&gt;0.0001,"ДЕФИЦИТ",IF(Y341&gt;0.0001,"ПРОФИЦИТ","БАЛАНС"))</f>
        <v/>
      </c>
      <c r="G341" s="10">
        <f>AB341+AS341+BJ341+CA341+CR341</f>
        <v/>
      </c>
      <c r="H341" s="10">
        <f>AD341+AU341+BL341+CC341+CT341</f>
        <v/>
      </c>
      <c r="I341" s="10">
        <f>AF341+AW341+BN341+CE341+CV341</f>
        <v/>
      </c>
      <c r="J341" s="10">
        <f>AL341+BC341+BT341+CK341+DB341</f>
        <v/>
      </c>
      <c r="K341" s="10">
        <f>AJ341+BA341+BR341+CI341+CZ341</f>
        <v/>
      </c>
      <c r="L341" s="10">
        <f>AN341+BE341+BV341+CM341+DD341</f>
        <v/>
      </c>
      <c r="M341" s="10">
        <f>AP341+BG341+BX341+CO341+DF341</f>
        <v/>
      </c>
      <c r="N341" s="10">
        <f>AH341+AY341+BP341+CG341+CX341</f>
        <v/>
      </c>
      <c r="O341" s="10">
        <f>SUM(G341:N341)</f>
        <v/>
      </c>
      <c r="P341" s="10">
        <f>IFERROR(G341*MIN(1,'01_Нормативы'!$C$4/SUM(G$2:G$429)),0)</f>
        <v/>
      </c>
      <c r="Q341" s="10">
        <f>IFERROR(H341*MIN(1,'01_Нормативы'!$C$5/SUM(H$2:H$429)),0)</f>
        <v/>
      </c>
      <c r="R341" s="10">
        <f>IFERROR(I341*MIN(1,'01_Нормативы'!$C$6/SUM(I$2:I$429)),0)</f>
        <v/>
      </c>
      <c r="S341" s="10">
        <f>IFERROR(J341*MIN(1,'01_Нормативы'!$C$7/SUM(J$2:J$429)),0)</f>
        <v/>
      </c>
      <c r="T341" s="10">
        <f>IFERROR(K341*MIN(1,'01_Нормативы'!$C$8/SUM(K$2:K$429)),0)</f>
        <v/>
      </c>
      <c r="U341" s="10">
        <f>IFERROR(L341*MIN(1,'01_Нормативы'!$C$9/SUM(L$2:L$429)),0)</f>
        <v/>
      </c>
      <c r="V341" s="10">
        <f>IFERROR(M341*MIN(1,'01_Нормативы'!$C$10/SUM(M$2:M$429)),0)</f>
        <v/>
      </c>
      <c r="W341" s="10">
        <f>IFERROR(N341*MIN(1,'01_Нормативы'!$C$11/SUM(N$2:N$429)),0)</f>
        <v/>
      </c>
      <c r="X341" s="10">
        <f>SUM(P341:W341)</f>
        <v/>
      </c>
      <c r="Y341" s="10">
        <f>MAX(0,C341-X341)</f>
        <v/>
      </c>
      <c r="Z341" s="10">
        <f>IF(D341=0,100,X341/D341*100)</f>
        <v/>
      </c>
      <c r="AA341" s="10">
        <f>'02_Данные'!F341+'02_Данные'!G341</f>
        <v/>
      </c>
      <c r="AB341" s="10">
        <f>MIN('02_Данные'!L341,AA341)</f>
        <v/>
      </c>
      <c r="AC341" s="10">
        <f>AA341-AB341</f>
        <v/>
      </c>
      <c r="AD341" s="10">
        <f>MIN('02_Данные'!M341,AC341)</f>
        <v/>
      </c>
      <c r="AE341" s="10">
        <f>AC341-AD341</f>
        <v/>
      </c>
      <c r="AF341" s="10">
        <f>MIN('02_Данные'!N341,AE341)</f>
        <v/>
      </c>
      <c r="AG341" s="10">
        <f>AE341-AF341</f>
        <v/>
      </c>
      <c r="AH341" s="10">
        <f>MIN('02_Данные'!S341,AG341)</f>
        <v/>
      </c>
      <c r="AI341" s="10">
        <f>AG341-AH341</f>
        <v/>
      </c>
      <c r="AJ341" s="10">
        <f>MIN('02_Данные'!P341,AI341)</f>
        <v/>
      </c>
      <c r="AK341" s="10">
        <f>AI341-AJ341</f>
        <v/>
      </c>
      <c r="AL341" s="10">
        <f>MIN('02_Данные'!O341,AK341)</f>
        <v/>
      </c>
      <c r="AM341" s="10">
        <f>AK341-AL341</f>
        <v/>
      </c>
      <c r="AN341" s="10">
        <f>MIN('02_Данные'!Q341,AM341)</f>
        <v/>
      </c>
      <c r="AO341" s="10">
        <f>AM341-AN341</f>
        <v/>
      </c>
      <c r="AP341" s="10">
        <f>MIN('02_Данные'!R341,AO341)</f>
        <v/>
      </c>
      <c r="AQ341" s="10">
        <f>AO341-AP341</f>
        <v/>
      </c>
      <c r="AR341" s="10">
        <f>AQ341+'02_Данные'!H341</f>
        <v/>
      </c>
      <c r="AS341" s="10">
        <f>MIN('02_Данные'!T341,AR341)</f>
        <v/>
      </c>
      <c r="AT341" s="10">
        <f>AR341-AS341</f>
        <v/>
      </c>
      <c r="AU341" s="10">
        <f>MIN('02_Данные'!U341,AT341)</f>
        <v/>
      </c>
      <c r="AV341" s="10">
        <f>AT341-AU341</f>
        <v/>
      </c>
      <c r="AW341" s="10">
        <f>MIN('02_Данные'!V341,AV341)</f>
        <v/>
      </c>
      <c r="AX341" s="10">
        <f>AV341-AW341</f>
        <v/>
      </c>
      <c r="AY341" s="10">
        <f>MIN('02_Данные'!AA341,AX341)</f>
        <v/>
      </c>
      <c r="AZ341" s="10">
        <f>AX341-AY341</f>
        <v/>
      </c>
      <c r="BA341" s="10">
        <f>MIN('02_Данные'!X341,AZ341)</f>
        <v/>
      </c>
      <c r="BB341" s="10">
        <f>AZ341-BA341</f>
        <v/>
      </c>
      <c r="BC341" s="10">
        <f>MIN('02_Данные'!W341,BB341)</f>
        <v/>
      </c>
      <c r="BD341" s="10">
        <f>BB341-BC341</f>
        <v/>
      </c>
      <c r="BE341" s="10">
        <f>MIN('02_Данные'!Y341,BD341)</f>
        <v/>
      </c>
      <c r="BF341" s="10">
        <f>BD341-BE341</f>
        <v/>
      </c>
      <c r="BG341" s="10">
        <f>MIN('02_Данные'!Z341,BF341)</f>
        <v/>
      </c>
      <c r="BH341" s="10">
        <f>BF341-BG341</f>
        <v/>
      </c>
      <c r="BI341" s="10">
        <f>BH341+'02_Данные'!I341</f>
        <v/>
      </c>
      <c r="BJ341" s="10">
        <f>MIN('02_Данные'!AB341,BI341)</f>
        <v/>
      </c>
      <c r="BK341" s="10">
        <f>BI341-BJ341</f>
        <v/>
      </c>
      <c r="BL341" s="10">
        <f>MIN('02_Данные'!AC341,BK341)</f>
        <v/>
      </c>
      <c r="BM341" s="10">
        <f>BK341-BL341</f>
        <v/>
      </c>
      <c r="BN341" s="10">
        <f>MIN('02_Данные'!AD341,BM341)</f>
        <v/>
      </c>
      <c r="BO341" s="10">
        <f>BM341-BN341</f>
        <v/>
      </c>
      <c r="BP341" s="10">
        <f>MIN('02_Данные'!AI341,BO341)</f>
        <v/>
      </c>
      <c r="BQ341" s="10">
        <f>BO341-BP341</f>
        <v/>
      </c>
      <c r="BR341" s="10">
        <f>MIN('02_Данные'!AF341,BQ341)</f>
        <v/>
      </c>
      <c r="BS341" s="10">
        <f>BQ341-BR341</f>
        <v/>
      </c>
      <c r="BT341" s="10">
        <f>MIN('02_Данные'!AE341,BS341)</f>
        <v/>
      </c>
      <c r="BU341" s="10">
        <f>BS341-BT341</f>
        <v/>
      </c>
      <c r="BV341" s="10">
        <f>MIN('02_Данные'!AG341,BU341)</f>
        <v/>
      </c>
      <c r="BW341" s="10">
        <f>BU341-BV341</f>
        <v/>
      </c>
      <c r="BX341" s="10">
        <f>MIN('02_Данные'!AH341,BW341)</f>
        <v/>
      </c>
      <c r="BY341" s="10">
        <f>BW341-BX341</f>
        <v/>
      </c>
      <c r="BZ341" s="10">
        <f>BY341+'02_Данные'!J341</f>
        <v/>
      </c>
      <c r="CA341" s="10">
        <f>MIN('02_Данные'!AJ341,BZ341)</f>
        <v/>
      </c>
      <c r="CB341" s="10">
        <f>BZ341-CA341</f>
        <v/>
      </c>
      <c r="CC341" s="10">
        <f>MIN('02_Данные'!AK341,CB341)</f>
        <v/>
      </c>
      <c r="CD341" s="10">
        <f>CB341-CC341</f>
        <v/>
      </c>
      <c r="CE341" s="10">
        <f>MIN('02_Данные'!AL341,CD341)</f>
        <v/>
      </c>
      <c r="CF341" s="10">
        <f>CD341-CE341</f>
        <v/>
      </c>
      <c r="CG341" s="10">
        <f>MIN('02_Данные'!AQ341,CF341)</f>
        <v/>
      </c>
      <c r="CH341" s="10">
        <f>CF341-CG341</f>
        <v/>
      </c>
      <c r="CI341" s="10">
        <f>MIN('02_Данные'!AN341,CH341)</f>
        <v/>
      </c>
      <c r="CJ341" s="10">
        <f>CH341-CI341</f>
        <v/>
      </c>
      <c r="CK341" s="10">
        <f>MIN('02_Данные'!AM341,CJ341)</f>
        <v/>
      </c>
      <c r="CL341" s="10">
        <f>CJ341-CK341</f>
        <v/>
      </c>
      <c r="CM341" s="10">
        <f>MIN('02_Данные'!AO341,CL341)</f>
        <v/>
      </c>
      <c r="CN341" s="10">
        <f>CL341-CM341</f>
        <v/>
      </c>
      <c r="CO341" s="10">
        <f>MIN('02_Данные'!AP341,CN341)</f>
        <v/>
      </c>
      <c r="CP341" s="10">
        <f>CN341-CO341</f>
        <v/>
      </c>
      <c r="CQ341" s="10">
        <f>CP341+'02_Данные'!K341</f>
        <v/>
      </c>
      <c r="CR341" s="10">
        <f>MIN('02_Данные'!AR341,CQ341)</f>
        <v/>
      </c>
      <c r="CS341" s="10">
        <f>CQ341-CR341</f>
        <v/>
      </c>
      <c r="CT341" s="10">
        <f>MIN('02_Данные'!AS341,CS341)</f>
        <v/>
      </c>
      <c r="CU341" s="10">
        <f>CS341-CT341</f>
        <v/>
      </c>
      <c r="CV341" s="10">
        <f>MIN('02_Данные'!AT341,CU341)</f>
        <v/>
      </c>
      <c r="CW341" s="10">
        <f>CU341-CV341</f>
        <v/>
      </c>
      <c r="CX341" s="10">
        <f>MIN('02_Данные'!AY341,CW341)</f>
        <v/>
      </c>
      <c r="CY341" s="10">
        <f>CW341-CX341</f>
        <v/>
      </c>
      <c r="CZ341" s="10">
        <f>MIN('02_Данные'!AV341,CY341)</f>
        <v/>
      </c>
      <c r="DA341" s="10">
        <f>CY341-CZ341</f>
        <v/>
      </c>
      <c r="DB341" s="10">
        <f>MIN('02_Данные'!AU341,DA341)</f>
        <v/>
      </c>
      <c r="DC341" s="10">
        <f>DA341-DB341</f>
        <v/>
      </c>
      <c r="DD341" s="10">
        <f>MIN('02_Данные'!AW341,DC341)</f>
        <v/>
      </c>
      <c r="DE341" s="10">
        <f>DC341-DD341</f>
        <v/>
      </c>
      <c r="DF341" s="10">
        <f>MIN('02_Данные'!AX341,DE341)</f>
        <v/>
      </c>
      <c r="DG341" s="10">
        <f>DE341-DF341</f>
        <v/>
      </c>
    </row>
    <row r="342">
      <c r="A342" s="9">
        <f>'02_Данные'!B342</f>
        <v/>
      </c>
      <c r="B342" s="9">
        <f>'02_Данные'!E342</f>
        <v/>
      </c>
      <c r="C342" s="10">
        <f>'02_Данные'!F342+'02_Данные'!G342+'02_Данные'!H342+'02_Данные'!I342+'02_Данные'!J342+'02_Данные'!K342</f>
        <v/>
      </c>
      <c r="D342" s="10">
        <f>SUM('02_Данные'!L342:'02_Данные'!AY342)</f>
        <v/>
      </c>
      <c r="E342" s="10">
        <f>MAX(0,D342-C342)</f>
        <v/>
      </c>
      <c r="F342" s="15">
        <f>IF(E342&gt;0.0001,"ДЕФИЦИТ",IF(Y342&gt;0.0001,"ПРОФИЦИТ","БАЛАНС"))</f>
        <v/>
      </c>
      <c r="G342" s="10">
        <f>AB342+AS342+BJ342+CA342+CR342</f>
        <v/>
      </c>
      <c r="H342" s="10">
        <f>AD342+AU342+BL342+CC342+CT342</f>
        <v/>
      </c>
      <c r="I342" s="10">
        <f>AF342+AW342+BN342+CE342+CV342</f>
        <v/>
      </c>
      <c r="J342" s="10">
        <f>AL342+BC342+BT342+CK342+DB342</f>
        <v/>
      </c>
      <c r="K342" s="10">
        <f>AJ342+BA342+BR342+CI342+CZ342</f>
        <v/>
      </c>
      <c r="L342" s="10">
        <f>AN342+BE342+BV342+CM342+DD342</f>
        <v/>
      </c>
      <c r="M342" s="10">
        <f>AP342+BG342+BX342+CO342+DF342</f>
        <v/>
      </c>
      <c r="N342" s="10">
        <f>AH342+AY342+BP342+CG342+CX342</f>
        <v/>
      </c>
      <c r="O342" s="10">
        <f>SUM(G342:N342)</f>
        <v/>
      </c>
      <c r="P342" s="10">
        <f>IFERROR(G342*MIN(1,'01_Нормативы'!$C$4/SUM(G$2:G$429)),0)</f>
        <v/>
      </c>
      <c r="Q342" s="10">
        <f>IFERROR(H342*MIN(1,'01_Нормативы'!$C$5/SUM(H$2:H$429)),0)</f>
        <v/>
      </c>
      <c r="R342" s="10">
        <f>IFERROR(I342*MIN(1,'01_Нормативы'!$C$6/SUM(I$2:I$429)),0)</f>
        <v/>
      </c>
      <c r="S342" s="10">
        <f>IFERROR(J342*MIN(1,'01_Нормативы'!$C$7/SUM(J$2:J$429)),0)</f>
        <v/>
      </c>
      <c r="T342" s="10">
        <f>IFERROR(K342*MIN(1,'01_Нормативы'!$C$8/SUM(K$2:K$429)),0)</f>
        <v/>
      </c>
      <c r="U342" s="10">
        <f>IFERROR(L342*MIN(1,'01_Нормативы'!$C$9/SUM(L$2:L$429)),0)</f>
        <v/>
      </c>
      <c r="V342" s="10">
        <f>IFERROR(M342*MIN(1,'01_Нормативы'!$C$10/SUM(M$2:M$429)),0)</f>
        <v/>
      </c>
      <c r="W342" s="10">
        <f>IFERROR(N342*MIN(1,'01_Нормативы'!$C$11/SUM(N$2:N$429)),0)</f>
        <v/>
      </c>
      <c r="X342" s="10">
        <f>SUM(P342:W342)</f>
        <v/>
      </c>
      <c r="Y342" s="10">
        <f>MAX(0,C342-X342)</f>
        <v/>
      </c>
      <c r="Z342" s="10">
        <f>IF(D342=0,100,X342/D342*100)</f>
        <v/>
      </c>
      <c r="AA342" s="10">
        <f>'02_Данные'!F342+'02_Данные'!G342</f>
        <v/>
      </c>
      <c r="AB342" s="10">
        <f>MIN('02_Данные'!L342,AA342)</f>
        <v/>
      </c>
      <c r="AC342" s="10">
        <f>AA342-AB342</f>
        <v/>
      </c>
      <c r="AD342" s="10">
        <f>MIN('02_Данные'!M342,AC342)</f>
        <v/>
      </c>
      <c r="AE342" s="10">
        <f>AC342-AD342</f>
        <v/>
      </c>
      <c r="AF342" s="10">
        <f>MIN('02_Данные'!N342,AE342)</f>
        <v/>
      </c>
      <c r="AG342" s="10">
        <f>AE342-AF342</f>
        <v/>
      </c>
      <c r="AH342" s="10">
        <f>MIN('02_Данные'!S342,AG342)</f>
        <v/>
      </c>
      <c r="AI342" s="10">
        <f>AG342-AH342</f>
        <v/>
      </c>
      <c r="AJ342" s="10">
        <f>MIN('02_Данные'!P342,AI342)</f>
        <v/>
      </c>
      <c r="AK342" s="10">
        <f>AI342-AJ342</f>
        <v/>
      </c>
      <c r="AL342" s="10">
        <f>MIN('02_Данные'!O342,AK342)</f>
        <v/>
      </c>
      <c r="AM342" s="10">
        <f>AK342-AL342</f>
        <v/>
      </c>
      <c r="AN342" s="10">
        <f>MIN('02_Данные'!Q342,AM342)</f>
        <v/>
      </c>
      <c r="AO342" s="10">
        <f>AM342-AN342</f>
        <v/>
      </c>
      <c r="AP342" s="10">
        <f>MIN('02_Данные'!R342,AO342)</f>
        <v/>
      </c>
      <c r="AQ342" s="10">
        <f>AO342-AP342</f>
        <v/>
      </c>
      <c r="AR342" s="10">
        <f>AQ342+'02_Данные'!H342</f>
        <v/>
      </c>
      <c r="AS342" s="10">
        <f>MIN('02_Данные'!T342,AR342)</f>
        <v/>
      </c>
      <c r="AT342" s="10">
        <f>AR342-AS342</f>
        <v/>
      </c>
      <c r="AU342" s="10">
        <f>MIN('02_Данные'!U342,AT342)</f>
        <v/>
      </c>
      <c r="AV342" s="10">
        <f>AT342-AU342</f>
        <v/>
      </c>
      <c r="AW342" s="10">
        <f>MIN('02_Данные'!V342,AV342)</f>
        <v/>
      </c>
      <c r="AX342" s="10">
        <f>AV342-AW342</f>
        <v/>
      </c>
      <c r="AY342" s="10">
        <f>MIN('02_Данные'!AA342,AX342)</f>
        <v/>
      </c>
      <c r="AZ342" s="10">
        <f>AX342-AY342</f>
        <v/>
      </c>
      <c r="BA342" s="10">
        <f>MIN('02_Данные'!X342,AZ342)</f>
        <v/>
      </c>
      <c r="BB342" s="10">
        <f>AZ342-BA342</f>
        <v/>
      </c>
      <c r="BC342" s="10">
        <f>MIN('02_Данные'!W342,BB342)</f>
        <v/>
      </c>
      <c r="BD342" s="10">
        <f>BB342-BC342</f>
        <v/>
      </c>
      <c r="BE342" s="10">
        <f>MIN('02_Данные'!Y342,BD342)</f>
        <v/>
      </c>
      <c r="BF342" s="10">
        <f>BD342-BE342</f>
        <v/>
      </c>
      <c r="BG342" s="10">
        <f>MIN('02_Данные'!Z342,BF342)</f>
        <v/>
      </c>
      <c r="BH342" s="10">
        <f>BF342-BG342</f>
        <v/>
      </c>
      <c r="BI342" s="10">
        <f>BH342+'02_Данные'!I342</f>
        <v/>
      </c>
      <c r="BJ342" s="10">
        <f>MIN('02_Данные'!AB342,BI342)</f>
        <v/>
      </c>
      <c r="BK342" s="10">
        <f>BI342-BJ342</f>
        <v/>
      </c>
      <c r="BL342" s="10">
        <f>MIN('02_Данные'!AC342,BK342)</f>
        <v/>
      </c>
      <c r="BM342" s="10">
        <f>BK342-BL342</f>
        <v/>
      </c>
      <c r="BN342" s="10">
        <f>MIN('02_Данные'!AD342,BM342)</f>
        <v/>
      </c>
      <c r="BO342" s="10">
        <f>BM342-BN342</f>
        <v/>
      </c>
      <c r="BP342" s="10">
        <f>MIN('02_Данные'!AI342,BO342)</f>
        <v/>
      </c>
      <c r="BQ342" s="10">
        <f>BO342-BP342</f>
        <v/>
      </c>
      <c r="BR342" s="10">
        <f>MIN('02_Данные'!AF342,BQ342)</f>
        <v/>
      </c>
      <c r="BS342" s="10">
        <f>BQ342-BR342</f>
        <v/>
      </c>
      <c r="BT342" s="10">
        <f>MIN('02_Данные'!AE342,BS342)</f>
        <v/>
      </c>
      <c r="BU342" s="10">
        <f>BS342-BT342</f>
        <v/>
      </c>
      <c r="BV342" s="10">
        <f>MIN('02_Данные'!AG342,BU342)</f>
        <v/>
      </c>
      <c r="BW342" s="10">
        <f>BU342-BV342</f>
        <v/>
      </c>
      <c r="BX342" s="10">
        <f>MIN('02_Данные'!AH342,BW342)</f>
        <v/>
      </c>
      <c r="BY342" s="10">
        <f>BW342-BX342</f>
        <v/>
      </c>
      <c r="BZ342" s="10">
        <f>BY342+'02_Данные'!J342</f>
        <v/>
      </c>
      <c r="CA342" s="10">
        <f>MIN('02_Данные'!AJ342,BZ342)</f>
        <v/>
      </c>
      <c r="CB342" s="10">
        <f>BZ342-CA342</f>
        <v/>
      </c>
      <c r="CC342" s="10">
        <f>MIN('02_Данные'!AK342,CB342)</f>
        <v/>
      </c>
      <c r="CD342" s="10">
        <f>CB342-CC342</f>
        <v/>
      </c>
      <c r="CE342" s="10">
        <f>MIN('02_Данные'!AL342,CD342)</f>
        <v/>
      </c>
      <c r="CF342" s="10">
        <f>CD342-CE342</f>
        <v/>
      </c>
      <c r="CG342" s="10">
        <f>MIN('02_Данные'!AQ342,CF342)</f>
        <v/>
      </c>
      <c r="CH342" s="10">
        <f>CF342-CG342</f>
        <v/>
      </c>
      <c r="CI342" s="10">
        <f>MIN('02_Данные'!AN342,CH342)</f>
        <v/>
      </c>
      <c r="CJ342" s="10">
        <f>CH342-CI342</f>
        <v/>
      </c>
      <c r="CK342" s="10">
        <f>MIN('02_Данные'!AM342,CJ342)</f>
        <v/>
      </c>
      <c r="CL342" s="10">
        <f>CJ342-CK342</f>
        <v/>
      </c>
      <c r="CM342" s="10">
        <f>MIN('02_Данные'!AO342,CL342)</f>
        <v/>
      </c>
      <c r="CN342" s="10">
        <f>CL342-CM342</f>
        <v/>
      </c>
      <c r="CO342" s="10">
        <f>MIN('02_Данные'!AP342,CN342)</f>
        <v/>
      </c>
      <c r="CP342" s="10">
        <f>CN342-CO342</f>
        <v/>
      </c>
      <c r="CQ342" s="10">
        <f>CP342+'02_Данные'!K342</f>
        <v/>
      </c>
      <c r="CR342" s="10">
        <f>MIN('02_Данные'!AR342,CQ342)</f>
        <v/>
      </c>
      <c r="CS342" s="10">
        <f>CQ342-CR342</f>
        <v/>
      </c>
      <c r="CT342" s="10">
        <f>MIN('02_Данные'!AS342,CS342)</f>
        <v/>
      </c>
      <c r="CU342" s="10">
        <f>CS342-CT342</f>
        <v/>
      </c>
      <c r="CV342" s="10">
        <f>MIN('02_Данные'!AT342,CU342)</f>
        <v/>
      </c>
      <c r="CW342" s="10">
        <f>CU342-CV342</f>
        <v/>
      </c>
      <c r="CX342" s="10">
        <f>MIN('02_Данные'!AY342,CW342)</f>
        <v/>
      </c>
      <c r="CY342" s="10">
        <f>CW342-CX342</f>
        <v/>
      </c>
      <c r="CZ342" s="10">
        <f>MIN('02_Данные'!AV342,CY342)</f>
        <v/>
      </c>
      <c r="DA342" s="10">
        <f>CY342-CZ342</f>
        <v/>
      </c>
      <c r="DB342" s="10">
        <f>MIN('02_Данные'!AU342,DA342)</f>
        <v/>
      </c>
      <c r="DC342" s="10">
        <f>DA342-DB342</f>
        <v/>
      </c>
      <c r="DD342" s="10">
        <f>MIN('02_Данные'!AW342,DC342)</f>
        <v/>
      </c>
      <c r="DE342" s="10">
        <f>DC342-DD342</f>
        <v/>
      </c>
      <c r="DF342" s="10">
        <f>MIN('02_Данные'!AX342,DE342)</f>
        <v/>
      </c>
      <c r="DG342" s="10">
        <f>DE342-DF342</f>
        <v/>
      </c>
    </row>
    <row r="343">
      <c r="A343" s="9">
        <f>'02_Данные'!B343</f>
        <v/>
      </c>
      <c r="B343" s="9">
        <f>'02_Данные'!E343</f>
        <v/>
      </c>
      <c r="C343" s="10">
        <f>'02_Данные'!F343+'02_Данные'!G343+'02_Данные'!H343+'02_Данные'!I343+'02_Данные'!J343+'02_Данные'!K343</f>
        <v/>
      </c>
      <c r="D343" s="10">
        <f>SUM('02_Данные'!L343:'02_Данные'!AY343)</f>
        <v/>
      </c>
      <c r="E343" s="10">
        <f>MAX(0,D343-C343)</f>
        <v/>
      </c>
      <c r="F343" s="15">
        <f>IF(E343&gt;0.0001,"ДЕФИЦИТ",IF(Y343&gt;0.0001,"ПРОФИЦИТ","БАЛАНС"))</f>
        <v/>
      </c>
      <c r="G343" s="10">
        <f>AB343+AS343+BJ343+CA343+CR343</f>
        <v/>
      </c>
      <c r="H343" s="10">
        <f>AD343+AU343+BL343+CC343+CT343</f>
        <v/>
      </c>
      <c r="I343" s="10">
        <f>AF343+AW343+BN343+CE343+CV343</f>
        <v/>
      </c>
      <c r="J343" s="10">
        <f>AL343+BC343+BT343+CK343+DB343</f>
        <v/>
      </c>
      <c r="K343" s="10">
        <f>AJ343+BA343+BR343+CI343+CZ343</f>
        <v/>
      </c>
      <c r="L343" s="10">
        <f>AN343+BE343+BV343+CM343+DD343</f>
        <v/>
      </c>
      <c r="M343" s="10">
        <f>AP343+BG343+BX343+CO343+DF343</f>
        <v/>
      </c>
      <c r="N343" s="10">
        <f>AH343+AY343+BP343+CG343+CX343</f>
        <v/>
      </c>
      <c r="O343" s="10">
        <f>SUM(G343:N343)</f>
        <v/>
      </c>
      <c r="P343" s="10">
        <f>IFERROR(G343*MIN(1,'01_Нормативы'!$C$4/SUM(G$2:G$429)),0)</f>
        <v/>
      </c>
      <c r="Q343" s="10">
        <f>IFERROR(H343*MIN(1,'01_Нормативы'!$C$5/SUM(H$2:H$429)),0)</f>
        <v/>
      </c>
      <c r="R343" s="10">
        <f>IFERROR(I343*MIN(1,'01_Нормативы'!$C$6/SUM(I$2:I$429)),0)</f>
        <v/>
      </c>
      <c r="S343" s="10">
        <f>IFERROR(J343*MIN(1,'01_Нормативы'!$C$7/SUM(J$2:J$429)),0)</f>
        <v/>
      </c>
      <c r="T343" s="10">
        <f>IFERROR(K343*MIN(1,'01_Нормативы'!$C$8/SUM(K$2:K$429)),0)</f>
        <v/>
      </c>
      <c r="U343" s="10">
        <f>IFERROR(L343*MIN(1,'01_Нормативы'!$C$9/SUM(L$2:L$429)),0)</f>
        <v/>
      </c>
      <c r="V343" s="10">
        <f>IFERROR(M343*MIN(1,'01_Нормативы'!$C$10/SUM(M$2:M$429)),0)</f>
        <v/>
      </c>
      <c r="W343" s="10">
        <f>IFERROR(N343*MIN(1,'01_Нормативы'!$C$11/SUM(N$2:N$429)),0)</f>
        <v/>
      </c>
      <c r="X343" s="10">
        <f>SUM(P343:W343)</f>
        <v/>
      </c>
      <c r="Y343" s="10">
        <f>MAX(0,C343-X343)</f>
        <v/>
      </c>
      <c r="Z343" s="10">
        <f>IF(D343=0,100,X343/D343*100)</f>
        <v/>
      </c>
      <c r="AA343" s="10">
        <f>'02_Данные'!F343+'02_Данные'!G343</f>
        <v/>
      </c>
      <c r="AB343" s="10">
        <f>MIN('02_Данные'!L343,AA343)</f>
        <v/>
      </c>
      <c r="AC343" s="10">
        <f>AA343-AB343</f>
        <v/>
      </c>
      <c r="AD343" s="10">
        <f>MIN('02_Данные'!M343,AC343)</f>
        <v/>
      </c>
      <c r="AE343" s="10">
        <f>AC343-AD343</f>
        <v/>
      </c>
      <c r="AF343" s="10">
        <f>MIN('02_Данные'!N343,AE343)</f>
        <v/>
      </c>
      <c r="AG343" s="10">
        <f>AE343-AF343</f>
        <v/>
      </c>
      <c r="AH343" s="10">
        <f>MIN('02_Данные'!S343,AG343)</f>
        <v/>
      </c>
      <c r="AI343" s="10">
        <f>AG343-AH343</f>
        <v/>
      </c>
      <c r="AJ343" s="10">
        <f>MIN('02_Данные'!P343,AI343)</f>
        <v/>
      </c>
      <c r="AK343" s="10">
        <f>AI343-AJ343</f>
        <v/>
      </c>
      <c r="AL343" s="10">
        <f>MIN('02_Данные'!O343,AK343)</f>
        <v/>
      </c>
      <c r="AM343" s="10">
        <f>AK343-AL343</f>
        <v/>
      </c>
      <c r="AN343" s="10">
        <f>MIN('02_Данные'!Q343,AM343)</f>
        <v/>
      </c>
      <c r="AO343" s="10">
        <f>AM343-AN343</f>
        <v/>
      </c>
      <c r="AP343" s="10">
        <f>MIN('02_Данные'!R343,AO343)</f>
        <v/>
      </c>
      <c r="AQ343" s="10">
        <f>AO343-AP343</f>
        <v/>
      </c>
      <c r="AR343" s="10">
        <f>AQ343+'02_Данные'!H343</f>
        <v/>
      </c>
      <c r="AS343" s="10">
        <f>MIN('02_Данные'!T343,AR343)</f>
        <v/>
      </c>
      <c r="AT343" s="10">
        <f>AR343-AS343</f>
        <v/>
      </c>
      <c r="AU343" s="10">
        <f>MIN('02_Данные'!U343,AT343)</f>
        <v/>
      </c>
      <c r="AV343" s="10">
        <f>AT343-AU343</f>
        <v/>
      </c>
      <c r="AW343" s="10">
        <f>MIN('02_Данные'!V343,AV343)</f>
        <v/>
      </c>
      <c r="AX343" s="10">
        <f>AV343-AW343</f>
        <v/>
      </c>
      <c r="AY343" s="10">
        <f>MIN('02_Данные'!AA343,AX343)</f>
        <v/>
      </c>
      <c r="AZ343" s="10">
        <f>AX343-AY343</f>
        <v/>
      </c>
      <c r="BA343" s="10">
        <f>MIN('02_Данные'!X343,AZ343)</f>
        <v/>
      </c>
      <c r="BB343" s="10">
        <f>AZ343-BA343</f>
        <v/>
      </c>
      <c r="BC343" s="10">
        <f>MIN('02_Данные'!W343,BB343)</f>
        <v/>
      </c>
      <c r="BD343" s="10">
        <f>BB343-BC343</f>
        <v/>
      </c>
      <c r="BE343" s="10">
        <f>MIN('02_Данные'!Y343,BD343)</f>
        <v/>
      </c>
      <c r="BF343" s="10">
        <f>BD343-BE343</f>
        <v/>
      </c>
      <c r="BG343" s="10">
        <f>MIN('02_Данные'!Z343,BF343)</f>
        <v/>
      </c>
      <c r="BH343" s="10">
        <f>BF343-BG343</f>
        <v/>
      </c>
      <c r="BI343" s="10">
        <f>BH343+'02_Данные'!I343</f>
        <v/>
      </c>
      <c r="BJ343" s="10">
        <f>MIN('02_Данные'!AB343,BI343)</f>
        <v/>
      </c>
      <c r="BK343" s="10">
        <f>BI343-BJ343</f>
        <v/>
      </c>
      <c r="BL343" s="10">
        <f>MIN('02_Данные'!AC343,BK343)</f>
        <v/>
      </c>
      <c r="BM343" s="10">
        <f>BK343-BL343</f>
        <v/>
      </c>
      <c r="BN343" s="10">
        <f>MIN('02_Данные'!AD343,BM343)</f>
        <v/>
      </c>
      <c r="BO343" s="10">
        <f>BM343-BN343</f>
        <v/>
      </c>
      <c r="BP343" s="10">
        <f>MIN('02_Данные'!AI343,BO343)</f>
        <v/>
      </c>
      <c r="BQ343" s="10">
        <f>BO343-BP343</f>
        <v/>
      </c>
      <c r="BR343" s="10">
        <f>MIN('02_Данные'!AF343,BQ343)</f>
        <v/>
      </c>
      <c r="BS343" s="10">
        <f>BQ343-BR343</f>
        <v/>
      </c>
      <c r="BT343" s="10">
        <f>MIN('02_Данные'!AE343,BS343)</f>
        <v/>
      </c>
      <c r="BU343" s="10">
        <f>BS343-BT343</f>
        <v/>
      </c>
      <c r="BV343" s="10">
        <f>MIN('02_Данные'!AG343,BU343)</f>
        <v/>
      </c>
      <c r="BW343" s="10">
        <f>BU343-BV343</f>
        <v/>
      </c>
      <c r="BX343" s="10">
        <f>MIN('02_Данные'!AH343,BW343)</f>
        <v/>
      </c>
      <c r="BY343" s="10">
        <f>BW343-BX343</f>
        <v/>
      </c>
      <c r="BZ343" s="10">
        <f>BY343+'02_Данные'!J343</f>
        <v/>
      </c>
      <c r="CA343" s="10">
        <f>MIN('02_Данные'!AJ343,BZ343)</f>
        <v/>
      </c>
      <c r="CB343" s="10">
        <f>BZ343-CA343</f>
        <v/>
      </c>
      <c r="CC343" s="10">
        <f>MIN('02_Данные'!AK343,CB343)</f>
        <v/>
      </c>
      <c r="CD343" s="10">
        <f>CB343-CC343</f>
        <v/>
      </c>
      <c r="CE343" s="10">
        <f>MIN('02_Данные'!AL343,CD343)</f>
        <v/>
      </c>
      <c r="CF343" s="10">
        <f>CD343-CE343</f>
        <v/>
      </c>
      <c r="CG343" s="10">
        <f>MIN('02_Данные'!AQ343,CF343)</f>
        <v/>
      </c>
      <c r="CH343" s="10">
        <f>CF343-CG343</f>
        <v/>
      </c>
      <c r="CI343" s="10">
        <f>MIN('02_Данные'!AN343,CH343)</f>
        <v/>
      </c>
      <c r="CJ343" s="10">
        <f>CH343-CI343</f>
        <v/>
      </c>
      <c r="CK343" s="10">
        <f>MIN('02_Данные'!AM343,CJ343)</f>
        <v/>
      </c>
      <c r="CL343" s="10">
        <f>CJ343-CK343</f>
        <v/>
      </c>
      <c r="CM343" s="10">
        <f>MIN('02_Данные'!AO343,CL343)</f>
        <v/>
      </c>
      <c r="CN343" s="10">
        <f>CL343-CM343</f>
        <v/>
      </c>
      <c r="CO343" s="10">
        <f>MIN('02_Данные'!AP343,CN343)</f>
        <v/>
      </c>
      <c r="CP343" s="10">
        <f>CN343-CO343</f>
        <v/>
      </c>
      <c r="CQ343" s="10">
        <f>CP343+'02_Данные'!K343</f>
        <v/>
      </c>
      <c r="CR343" s="10">
        <f>MIN('02_Данные'!AR343,CQ343)</f>
        <v/>
      </c>
      <c r="CS343" s="10">
        <f>CQ343-CR343</f>
        <v/>
      </c>
      <c r="CT343" s="10">
        <f>MIN('02_Данные'!AS343,CS343)</f>
        <v/>
      </c>
      <c r="CU343" s="10">
        <f>CS343-CT343</f>
        <v/>
      </c>
      <c r="CV343" s="10">
        <f>MIN('02_Данные'!AT343,CU343)</f>
        <v/>
      </c>
      <c r="CW343" s="10">
        <f>CU343-CV343</f>
        <v/>
      </c>
      <c r="CX343" s="10">
        <f>MIN('02_Данные'!AY343,CW343)</f>
        <v/>
      </c>
      <c r="CY343" s="10">
        <f>CW343-CX343</f>
        <v/>
      </c>
      <c r="CZ343" s="10">
        <f>MIN('02_Данные'!AV343,CY343)</f>
        <v/>
      </c>
      <c r="DA343" s="10">
        <f>CY343-CZ343</f>
        <v/>
      </c>
      <c r="DB343" s="10">
        <f>MIN('02_Данные'!AU343,DA343)</f>
        <v/>
      </c>
      <c r="DC343" s="10">
        <f>DA343-DB343</f>
        <v/>
      </c>
      <c r="DD343" s="10">
        <f>MIN('02_Данные'!AW343,DC343)</f>
        <v/>
      </c>
      <c r="DE343" s="10">
        <f>DC343-DD343</f>
        <v/>
      </c>
      <c r="DF343" s="10">
        <f>MIN('02_Данные'!AX343,DE343)</f>
        <v/>
      </c>
      <c r="DG343" s="10">
        <f>DE343-DF343</f>
        <v/>
      </c>
    </row>
    <row r="344">
      <c r="A344" s="9">
        <f>'02_Данные'!B344</f>
        <v/>
      </c>
      <c r="B344" s="9">
        <f>'02_Данные'!E344</f>
        <v/>
      </c>
      <c r="C344" s="10">
        <f>'02_Данные'!F344+'02_Данные'!G344+'02_Данные'!H344+'02_Данные'!I344+'02_Данные'!J344+'02_Данные'!K344</f>
        <v/>
      </c>
      <c r="D344" s="10">
        <f>SUM('02_Данные'!L344:'02_Данные'!AY344)</f>
        <v/>
      </c>
      <c r="E344" s="10">
        <f>MAX(0,D344-C344)</f>
        <v/>
      </c>
      <c r="F344" s="15">
        <f>IF(E344&gt;0.0001,"ДЕФИЦИТ",IF(Y344&gt;0.0001,"ПРОФИЦИТ","БАЛАНС"))</f>
        <v/>
      </c>
      <c r="G344" s="10">
        <f>AB344+AS344+BJ344+CA344+CR344</f>
        <v/>
      </c>
      <c r="H344" s="10">
        <f>AD344+AU344+BL344+CC344+CT344</f>
        <v/>
      </c>
      <c r="I344" s="10">
        <f>AF344+AW344+BN344+CE344+CV344</f>
        <v/>
      </c>
      <c r="J344" s="10">
        <f>AL344+BC344+BT344+CK344+DB344</f>
        <v/>
      </c>
      <c r="K344" s="10">
        <f>AJ344+BA344+BR344+CI344+CZ344</f>
        <v/>
      </c>
      <c r="L344" s="10">
        <f>AN344+BE344+BV344+CM344+DD344</f>
        <v/>
      </c>
      <c r="M344" s="10">
        <f>AP344+BG344+BX344+CO344+DF344</f>
        <v/>
      </c>
      <c r="N344" s="10">
        <f>AH344+AY344+BP344+CG344+CX344</f>
        <v/>
      </c>
      <c r="O344" s="10">
        <f>SUM(G344:N344)</f>
        <v/>
      </c>
      <c r="P344" s="10">
        <f>IFERROR(G344*MIN(1,'01_Нормативы'!$C$4/SUM(G$2:G$429)),0)</f>
        <v/>
      </c>
      <c r="Q344" s="10">
        <f>IFERROR(H344*MIN(1,'01_Нормативы'!$C$5/SUM(H$2:H$429)),0)</f>
        <v/>
      </c>
      <c r="R344" s="10">
        <f>IFERROR(I344*MIN(1,'01_Нормативы'!$C$6/SUM(I$2:I$429)),0)</f>
        <v/>
      </c>
      <c r="S344" s="10">
        <f>IFERROR(J344*MIN(1,'01_Нормативы'!$C$7/SUM(J$2:J$429)),0)</f>
        <v/>
      </c>
      <c r="T344" s="10">
        <f>IFERROR(K344*MIN(1,'01_Нормативы'!$C$8/SUM(K$2:K$429)),0)</f>
        <v/>
      </c>
      <c r="U344" s="10">
        <f>IFERROR(L344*MIN(1,'01_Нормативы'!$C$9/SUM(L$2:L$429)),0)</f>
        <v/>
      </c>
      <c r="V344" s="10">
        <f>IFERROR(M344*MIN(1,'01_Нормативы'!$C$10/SUM(M$2:M$429)),0)</f>
        <v/>
      </c>
      <c r="W344" s="10">
        <f>IFERROR(N344*MIN(1,'01_Нормативы'!$C$11/SUM(N$2:N$429)),0)</f>
        <v/>
      </c>
      <c r="X344" s="10">
        <f>SUM(P344:W344)</f>
        <v/>
      </c>
      <c r="Y344" s="10">
        <f>MAX(0,C344-X344)</f>
        <v/>
      </c>
      <c r="Z344" s="10">
        <f>IF(D344=0,100,X344/D344*100)</f>
        <v/>
      </c>
      <c r="AA344" s="10">
        <f>'02_Данные'!F344+'02_Данные'!G344</f>
        <v/>
      </c>
      <c r="AB344" s="10">
        <f>MIN('02_Данные'!L344,AA344)</f>
        <v/>
      </c>
      <c r="AC344" s="10">
        <f>AA344-AB344</f>
        <v/>
      </c>
      <c r="AD344" s="10">
        <f>MIN('02_Данные'!M344,AC344)</f>
        <v/>
      </c>
      <c r="AE344" s="10">
        <f>AC344-AD344</f>
        <v/>
      </c>
      <c r="AF344" s="10">
        <f>MIN('02_Данные'!N344,AE344)</f>
        <v/>
      </c>
      <c r="AG344" s="10">
        <f>AE344-AF344</f>
        <v/>
      </c>
      <c r="AH344" s="10">
        <f>MIN('02_Данные'!S344,AG344)</f>
        <v/>
      </c>
      <c r="AI344" s="10">
        <f>AG344-AH344</f>
        <v/>
      </c>
      <c r="AJ344" s="10">
        <f>MIN('02_Данные'!P344,AI344)</f>
        <v/>
      </c>
      <c r="AK344" s="10">
        <f>AI344-AJ344</f>
        <v/>
      </c>
      <c r="AL344" s="10">
        <f>MIN('02_Данные'!O344,AK344)</f>
        <v/>
      </c>
      <c r="AM344" s="10">
        <f>AK344-AL344</f>
        <v/>
      </c>
      <c r="AN344" s="10">
        <f>MIN('02_Данные'!Q344,AM344)</f>
        <v/>
      </c>
      <c r="AO344" s="10">
        <f>AM344-AN344</f>
        <v/>
      </c>
      <c r="AP344" s="10">
        <f>MIN('02_Данные'!R344,AO344)</f>
        <v/>
      </c>
      <c r="AQ344" s="10">
        <f>AO344-AP344</f>
        <v/>
      </c>
      <c r="AR344" s="10">
        <f>AQ344+'02_Данные'!H344</f>
        <v/>
      </c>
      <c r="AS344" s="10">
        <f>MIN('02_Данные'!T344,AR344)</f>
        <v/>
      </c>
      <c r="AT344" s="10">
        <f>AR344-AS344</f>
        <v/>
      </c>
      <c r="AU344" s="10">
        <f>MIN('02_Данные'!U344,AT344)</f>
        <v/>
      </c>
      <c r="AV344" s="10">
        <f>AT344-AU344</f>
        <v/>
      </c>
      <c r="AW344" s="10">
        <f>MIN('02_Данные'!V344,AV344)</f>
        <v/>
      </c>
      <c r="AX344" s="10">
        <f>AV344-AW344</f>
        <v/>
      </c>
      <c r="AY344" s="10">
        <f>MIN('02_Данные'!AA344,AX344)</f>
        <v/>
      </c>
      <c r="AZ344" s="10">
        <f>AX344-AY344</f>
        <v/>
      </c>
      <c r="BA344" s="10">
        <f>MIN('02_Данные'!X344,AZ344)</f>
        <v/>
      </c>
      <c r="BB344" s="10">
        <f>AZ344-BA344</f>
        <v/>
      </c>
      <c r="BC344" s="10">
        <f>MIN('02_Данные'!W344,BB344)</f>
        <v/>
      </c>
      <c r="BD344" s="10">
        <f>BB344-BC344</f>
        <v/>
      </c>
      <c r="BE344" s="10">
        <f>MIN('02_Данные'!Y344,BD344)</f>
        <v/>
      </c>
      <c r="BF344" s="10">
        <f>BD344-BE344</f>
        <v/>
      </c>
      <c r="BG344" s="10">
        <f>MIN('02_Данные'!Z344,BF344)</f>
        <v/>
      </c>
      <c r="BH344" s="10">
        <f>BF344-BG344</f>
        <v/>
      </c>
      <c r="BI344" s="10">
        <f>BH344+'02_Данные'!I344</f>
        <v/>
      </c>
      <c r="BJ344" s="10">
        <f>MIN('02_Данные'!AB344,BI344)</f>
        <v/>
      </c>
      <c r="BK344" s="10">
        <f>BI344-BJ344</f>
        <v/>
      </c>
      <c r="BL344" s="10">
        <f>MIN('02_Данные'!AC344,BK344)</f>
        <v/>
      </c>
      <c r="BM344" s="10">
        <f>BK344-BL344</f>
        <v/>
      </c>
      <c r="BN344" s="10">
        <f>MIN('02_Данные'!AD344,BM344)</f>
        <v/>
      </c>
      <c r="BO344" s="10">
        <f>BM344-BN344</f>
        <v/>
      </c>
      <c r="BP344" s="10">
        <f>MIN('02_Данные'!AI344,BO344)</f>
        <v/>
      </c>
      <c r="BQ344" s="10">
        <f>BO344-BP344</f>
        <v/>
      </c>
      <c r="BR344" s="10">
        <f>MIN('02_Данные'!AF344,BQ344)</f>
        <v/>
      </c>
      <c r="BS344" s="10">
        <f>BQ344-BR344</f>
        <v/>
      </c>
      <c r="BT344" s="10">
        <f>MIN('02_Данные'!AE344,BS344)</f>
        <v/>
      </c>
      <c r="BU344" s="10">
        <f>BS344-BT344</f>
        <v/>
      </c>
      <c r="BV344" s="10">
        <f>MIN('02_Данные'!AG344,BU344)</f>
        <v/>
      </c>
      <c r="BW344" s="10">
        <f>BU344-BV344</f>
        <v/>
      </c>
      <c r="BX344" s="10">
        <f>MIN('02_Данные'!AH344,BW344)</f>
        <v/>
      </c>
      <c r="BY344" s="10">
        <f>BW344-BX344</f>
        <v/>
      </c>
      <c r="BZ344" s="10">
        <f>BY344+'02_Данные'!J344</f>
        <v/>
      </c>
      <c r="CA344" s="10">
        <f>MIN('02_Данные'!AJ344,BZ344)</f>
        <v/>
      </c>
      <c r="CB344" s="10">
        <f>BZ344-CA344</f>
        <v/>
      </c>
      <c r="CC344" s="10">
        <f>MIN('02_Данные'!AK344,CB344)</f>
        <v/>
      </c>
      <c r="CD344" s="10">
        <f>CB344-CC344</f>
        <v/>
      </c>
      <c r="CE344" s="10">
        <f>MIN('02_Данные'!AL344,CD344)</f>
        <v/>
      </c>
      <c r="CF344" s="10">
        <f>CD344-CE344</f>
        <v/>
      </c>
      <c r="CG344" s="10">
        <f>MIN('02_Данные'!AQ344,CF344)</f>
        <v/>
      </c>
      <c r="CH344" s="10">
        <f>CF344-CG344</f>
        <v/>
      </c>
      <c r="CI344" s="10">
        <f>MIN('02_Данные'!AN344,CH344)</f>
        <v/>
      </c>
      <c r="CJ344" s="10">
        <f>CH344-CI344</f>
        <v/>
      </c>
      <c r="CK344" s="10">
        <f>MIN('02_Данные'!AM344,CJ344)</f>
        <v/>
      </c>
      <c r="CL344" s="10">
        <f>CJ344-CK344</f>
        <v/>
      </c>
      <c r="CM344" s="10">
        <f>MIN('02_Данные'!AO344,CL344)</f>
        <v/>
      </c>
      <c r="CN344" s="10">
        <f>CL344-CM344</f>
        <v/>
      </c>
      <c r="CO344" s="10">
        <f>MIN('02_Данные'!AP344,CN344)</f>
        <v/>
      </c>
      <c r="CP344" s="10">
        <f>CN344-CO344</f>
        <v/>
      </c>
      <c r="CQ344" s="10">
        <f>CP344+'02_Данные'!K344</f>
        <v/>
      </c>
      <c r="CR344" s="10">
        <f>MIN('02_Данные'!AR344,CQ344)</f>
        <v/>
      </c>
      <c r="CS344" s="10">
        <f>CQ344-CR344</f>
        <v/>
      </c>
      <c r="CT344" s="10">
        <f>MIN('02_Данные'!AS344,CS344)</f>
        <v/>
      </c>
      <c r="CU344" s="10">
        <f>CS344-CT344</f>
        <v/>
      </c>
      <c r="CV344" s="10">
        <f>MIN('02_Данные'!AT344,CU344)</f>
        <v/>
      </c>
      <c r="CW344" s="10">
        <f>CU344-CV344</f>
        <v/>
      </c>
      <c r="CX344" s="10">
        <f>MIN('02_Данные'!AY344,CW344)</f>
        <v/>
      </c>
      <c r="CY344" s="10">
        <f>CW344-CX344</f>
        <v/>
      </c>
      <c r="CZ344" s="10">
        <f>MIN('02_Данные'!AV344,CY344)</f>
        <v/>
      </c>
      <c r="DA344" s="10">
        <f>CY344-CZ344</f>
        <v/>
      </c>
      <c r="DB344" s="10">
        <f>MIN('02_Данные'!AU344,DA344)</f>
        <v/>
      </c>
      <c r="DC344" s="10">
        <f>DA344-DB344</f>
        <v/>
      </c>
      <c r="DD344" s="10">
        <f>MIN('02_Данные'!AW344,DC344)</f>
        <v/>
      </c>
      <c r="DE344" s="10">
        <f>DC344-DD344</f>
        <v/>
      </c>
      <c r="DF344" s="10">
        <f>MIN('02_Данные'!AX344,DE344)</f>
        <v/>
      </c>
      <c r="DG344" s="10">
        <f>DE344-DF344</f>
        <v/>
      </c>
    </row>
    <row r="345">
      <c r="A345" s="9">
        <f>'02_Данные'!B345</f>
        <v/>
      </c>
      <c r="B345" s="9">
        <f>'02_Данные'!E345</f>
        <v/>
      </c>
      <c r="C345" s="10">
        <f>'02_Данные'!F345+'02_Данные'!G345+'02_Данные'!H345+'02_Данные'!I345+'02_Данные'!J345+'02_Данные'!K345</f>
        <v/>
      </c>
      <c r="D345" s="10">
        <f>SUM('02_Данные'!L345:'02_Данные'!AY345)</f>
        <v/>
      </c>
      <c r="E345" s="10">
        <f>MAX(0,D345-C345)</f>
        <v/>
      </c>
      <c r="F345" s="15">
        <f>IF(E345&gt;0.0001,"ДЕФИЦИТ",IF(Y345&gt;0.0001,"ПРОФИЦИТ","БАЛАНС"))</f>
        <v/>
      </c>
      <c r="G345" s="10">
        <f>AB345+AS345+BJ345+CA345+CR345</f>
        <v/>
      </c>
      <c r="H345" s="10">
        <f>AD345+AU345+BL345+CC345+CT345</f>
        <v/>
      </c>
      <c r="I345" s="10">
        <f>AF345+AW345+BN345+CE345+CV345</f>
        <v/>
      </c>
      <c r="J345" s="10">
        <f>AL345+BC345+BT345+CK345+DB345</f>
        <v/>
      </c>
      <c r="K345" s="10">
        <f>AJ345+BA345+BR345+CI345+CZ345</f>
        <v/>
      </c>
      <c r="L345" s="10">
        <f>AN345+BE345+BV345+CM345+DD345</f>
        <v/>
      </c>
      <c r="M345" s="10">
        <f>AP345+BG345+BX345+CO345+DF345</f>
        <v/>
      </c>
      <c r="N345" s="10">
        <f>AH345+AY345+BP345+CG345+CX345</f>
        <v/>
      </c>
      <c r="O345" s="10">
        <f>SUM(G345:N345)</f>
        <v/>
      </c>
      <c r="P345" s="10">
        <f>IFERROR(G345*MIN(1,'01_Нормативы'!$C$4/SUM(G$2:G$429)),0)</f>
        <v/>
      </c>
      <c r="Q345" s="10">
        <f>IFERROR(H345*MIN(1,'01_Нормативы'!$C$5/SUM(H$2:H$429)),0)</f>
        <v/>
      </c>
      <c r="R345" s="10">
        <f>IFERROR(I345*MIN(1,'01_Нормативы'!$C$6/SUM(I$2:I$429)),0)</f>
        <v/>
      </c>
      <c r="S345" s="10">
        <f>IFERROR(J345*MIN(1,'01_Нормативы'!$C$7/SUM(J$2:J$429)),0)</f>
        <v/>
      </c>
      <c r="T345" s="10">
        <f>IFERROR(K345*MIN(1,'01_Нормативы'!$C$8/SUM(K$2:K$429)),0)</f>
        <v/>
      </c>
      <c r="U345" s="10">
        <f>IFERROR(L345*MIN(1,'01_Нормативы'!$C$9/SUM(L$2:L$429)),0)</f>
        <v/>
      </c>
      <c r="V345" s="10">
        <f>IFERROR(M345*MIN(1,'01_Нормативы'!$C$10/SUM(M$2:M$429)),0)</f>
        <v/>
      </c>
      <c r="W345" s="10">
        <f>IFERROR(N345*MIN(1,'01_Нормативы'!$C$11/SUM(N$2:N$429)),0)</f>
        <v/>
      </c>
      <c r="X345" s="10">
        <f>SUM(P345:W345)</f>
        <v/>
      </c>
      <c r="Y345" s="10">
        <f>MAX(0,C345-X345)</f>
        <v/>
      </c>
      <c r="Z345" s="10">
        <f>IF(D345=0,100,X345/D345*100)</f>
        <v/>
      </c>
      <c r="AA345" s="10">
        <f>'02_Данные'!F345+'02_Данные'!G345</f>
        <v/>
      </c>
      <c r="AB345" s="10">
        <f>MIN('02_Данные'!L345,AA345)</f>
        <v/>
      </c>
      <c r="AC345" s="10">
        <f>AA345-AB345</f>
        <v/>
      </c>
      <c r="AD345" s="10">
        <f>MIN('02_Данные'!M345,AC345)</f>
        <v/>
      </c>
      <c r="AE345" s="10">
        <f>AC345-AD345</f>
        <v/>
      </c>
      <c r="AF345" s="10">
        <f>MIN('02_Данные'!N345,AE345)</f>
        <v/>
      </c>
      <c r="AG345" s="10">
        <f>AE345-AF345</f>
        <v/>
      </c>
      <c r="AH345" s="10">
        <f>MIN('02_Данные'!S345,AG345)</f>
        <v/>
      </c>
      <c r="AI345" s="10">
        <f>AG345-AH345</f>
        <v/>
      </c>
      <c r="AJ345" s="10">
        <f>MIN('02_Данные'!P345,AI345)</f>
        <v/>
      </c>
      <c r="AK345" s="10">
        <f>AI345-AJ345</f>
        <v/>
      </c>
      <c r="AL345" s="10">
        <f>MIN('02_Данные'!O345,AK345)</f>
        <v/>
      </c>
      <c r="AM345" s="10">
        <f>AK345-AL345</f>
        <v/>
      </c>
      <c r="AN345" s="10">
        <f>MIN('02_Данные'!Q345,AM345)</f>
        <v/>
      </c>
      <c r="AO345" s="10">
        <f>AM345-AN345</f>
        <v/>
      </c>
      <c r="AP345" s="10">
        <f>MIN('02_Данные'!R345,AO345)</f>
        <v/>
      </c>
      <c r="AQ345" s="10">
        <f>AO345-AP345</f>
        <v/>
      </c>
      <c r="AR345" s="10">
        <f>AQ345+'02_Данные'!H345</f>
        <v/>
      </c>
      <c r="AS345" s="10">
        <f>MIN('02_Данные'!T345,AR345)</f>
        <v/>
      </c>
      <c r="AT345" s="10">
        <f>AR345-AS345</f>
        <v/>
      </c>
      <c r="AU345" s="10">
        <f>MIN('02_Данные'!U345,AT345)</f>
        <v/>
      </c>
      <c r="AV345" s="10">
        <f>AT345-AU345</f>
        <v/>
      </c>
      <c r="AW345" s="10">
        <f>MIN('02_Данные'!V345,AV345)</f>
        <v/>
      </c>
      <c r="AX345" s="10">
        <f>AV345-AW345</f>
        <v/>
      </c>
      <c r="AY345" s="10">
        <f>MIN('02_Данные'!AA345,AX345)</f>
        <v/>
      </c>
      <c r="AZ345" s="10">
        <f>AX345-AY345</f>
        <v/>
      </c>
      <c r="BA345" s="10">
        <f>MIN('02_Данные'!X345,AZ345)</f>
        <v/>
      </c>
      <c r="BB345" s="10">
        <f>AZ345-BA345</f>
        <v/>
      </c>
      <c r="BC345" s="10">
        <f>MIN('02_Данные'!W345,BB345)</f>
        <v/>
      </c>
      <c r="BD345" s="10">
        <f>BB345-BC345</f>
        <v/>
      </c>
      <c r="BE345" s="10">
        <f>MIN('02_Данные'!Y345,BD345)</f>
        <v/>
      </c>
      <c r="BF345" s="10">
        <f>BD345-BE345</f>
        <v/>
      </c>
      <c r="BG345" s="10">
        <f>MIN('02_Данные'!Z345,BF345)</f>
        <v/>
      </c>
      <c r="BH345" s="10">
        <f>BF345-BG345</f>
        <v/>
      </c>
      <c r="BI345" s="10">
        <f>BH345+'02_Данные'!I345</f>
        <v/>
      </c>
      <c r="BJ345" s="10">
        <f>MIN('02_Данные'!AB345,BI345)</f>
        <v/>
      </c>
      <c r="BK345" s="10">
        <f>BI345-BJ345</f>
        <v/>
      </c>
      <c r="BL345" s="10">
        <f>MIN('02_Данные'!AC345,BK345)</f>
        <v/>
      </c>
      <c r="BM345" s="10">
        <f>BK345-BL345</f>
        <v/>
      </c>
      <c r="BN345" s="10">
        <f>MIN('02_Данные'!AD345,BM345)</f>
        <v/>
      </c>
      <c r="BO345" s="10">
        <f>BM345-BN345</f>
        <v/>
      </c>
      <c r="BP345" s="10">
        <f>MIN('02_Данные'!AI345,BO345)</f>
        <v/>
      </c>
      <c r="BQ345" s="10">
        <f>BO345-BP345</f>
        <v/>
      </c>
      <c r="BR345" s="10">
        <f>MIN('02_Данные'!AF345,BQ345)</f>
        <v/>
      </c>
      <c r="BS345" s="10">
        <f>BQ345-BR345</f>
        <v/>
      </c>
      <c r="BT345" s="10">
        <f>MIN('02_Данные'!AE345,BS345)</f>
        <v/>
      </c>
      <c r="BU345" s="10">
        <f>BS345-BT345</f>
        <v/>
      </c>
      <c r="BV345" s="10">
        <f>MIN('02_Данные'!AG345,BU345)</f>
        <v/>
      </c>
      <c r="BW345" s="10">
        <f>BU345-BV345</f>
        <v/>
      </c>
      <c r="BX345" s="10">
        <f>MIN('02_Данные'!AH345,BW345)</f>
        <v/>
      </c>
      <c r="BY345" s="10">
        <f>BW345-BX345</f>
        <v/>
      </c>
      <c r="BZ345" s="10">
        <f>BY345+'02_Данные'!J345</f>
        <v/>
      </c>
      <c r="CA345" s="10">
        <f>MIN('02_Данные'!AJ345,BZ345)</f>
        <v/>
      </c>
      <c r="CB345" s="10">
        <f>BZ345-CA345</f>
        <v/>
      </c>
      <c r="CC345" s="10">
        <f>MIN('02_Данные'!AK345,CB345)</f>
        <v/>
      </c>
      <c r="CD345" s="10">
        <f>CB345-CC345</f>
        <v/>
      </c>
      <c r="CE345" s="10">
        <f>MIN('02_Данные'!AL345,CD345)</f>
        <v/>
      </c>
      <c r="CF345" s="10">
        <f>CD345-CE345</f>
        <v/>
      </c>
      <c r="CG345" s="10">
        <f>MIN('02_Данные'!AQ345,CF345)</f>
        <v/>
      </c>
      <c r="CH345" s="10">
        <f>CF345-CG345</f>
        <v/>
      </c>
      <c r="CI345" s="10">
        <f>MIN('02_Данные'!AN345,CH345)</f>
        <v/>
      </c>
      <c r="CJ345" s="10">
        <f>CH345-CI345</f>
        <v/>
      </c>
      <c r="CK345" s="10">
        <f>MIN('02_Данные'!AM345,CJ345)</f>
        <v/>
      </c>
      <c r="CL345" s="10">
        <f>CJ345-CK345</f>
        <v/>
      </c>
      <c r="CM345" s="10">
        <f>MIN('02_Данные'!AO345,CL345)</f>
        <v/>
      </c>
      <c r="CN345" s="10">
        <f>CL345-CM345</f>
        <v/>
      </c>
      <c r="CO345" s="10">
        <f>MIN('02_Данные'!AP345,CN345)</f>
        <v/>
      </c>
      <c r="CP345" s="10">
        <f>CN345-CO345</f>
        <v/>
      </c>
      <c r="CQ345" s="10">
        <f>CP345+'02_Данные'!K345</f>
        <v/>
      </c>
      <c r="CR345" s="10">
        <f>MIN('02_Данные'!AR345,CQ345)</f>
        <v/>
      </c>
      <c r="CS345" s="10">
        <f>CQ345-CR345</f>
        <v/>
      </c>
      <c r="CT345" s="10">
        <f>MIN('02_Данные'!AS345,CS345)</f>
        <v/>
      </c>
      <c r="CU345" s="10">
        <f>CS345-CT345</f>
        <v/>
      </c>
      <c r="CV345" s="10">
        <f>MIN('02_Данные'!AT345,CU345)</f>
        <v/>
      </c>
      <c r="CW345" s="10">
        <f>CU345-CV345</f>
        <v/>
      </c>
      <c r="CX345" s="10">
        <f>MIN('02_Данные'!AY345,CW345)</f>
        <v/>
      </c>
      <c r="CY345" s="10">
        <f>CW345-CX345</f>
        <v/>
      </c>
      <c r="CZ345" s="10">
        <f>MIN('02_Данные'!AV345,CY345)</f>
        <v/>
      </c>
      <c r="DA345" s="10">
        <f>CY345-CZ345</f>
        <v/>
      </c>
      <c r="DB345" s="10">
        <f>MIN('02_Данные'!AU345,DA345)</f>
        <v/>
      </c>
      <c r="DC345" s="10">
        <f>DA345-DB345</f>
        <v/>
      </c>
      <c r="DD345" s="10">
        <f>MIN('02_Данные'!AW345,DC345)</f>
        <v/>
      </c>
      <c r="DE345" s="10">
        <f>DC345-DD345</f>
        <v/>
      </c>
      <c r="DF345" s="10">
        <f>MIN('02_Данные'!AX345,DE345)</f>
        <v/>
      </c>
      <c r="DG345" s="10">
        <f>DE345-DF345</f>
        <v/>
      </c>
    </row>
    <row r="346">
      <c r="A346" s="9">
        <f>'02_Данные'!B346</f>
        <v/>
      </c>
      <c r="B346" s="9">
        <f>'02_Данные'!E346</f>
        <v/>
      </c>
      <c r="C346" s="10">
        <f>'02_Данные'!F346+'02_Данные'!G346+'02_Данные'!H346+'02_Данные'!I346+'02_Данные'!J346+'02_Данные'!K346</f>
        <v/>
      </c>
      <c r="D346" s="10">
        <f>SUM('02_Данные'!L346:'02_Данные'!AY346)</f>
        <v/>
      </c>
      <c r="E346" s="10">
        <f>MAX(0,D346-C346)</f>
        <v/>
      </c>
      <c r="F346" s="15">
        <f>IF(E346&gt;0.0001,"ДЕФИЦИТ",IF(Y346&gt;0.0001,"ПРОФИЦИТ","БАЛАНС"))</f>
        <v/>
      </c>
      <c r="G346" s="10">
        <f>AB346+AS346+BJ346+CA346+CR346</f>
        <v/>
      </c>
      <c r="H346" s="10">
        <f>AD346+AU346+BL346+CC346+CT346</f>
        <v/>
      </c>
      <c r="I346" s="10">
        <f>AF346+AW346+BN346+CE346+CV346</f>
        <v/>
      </c>
      <c r="J346" s="10">
        <f>AL346+BC346+BT346+CK346+DB346</f>
        <v/>
      </c>
      <c r="K346" s="10">
        <f>AJ346+BA346+BR346+CI346+CZ346</f>
        <v/>
      </c>
      <c r="L346" s="10">
        <f>AN346+BE346+BV346+CM346+DD346</f>
        <v/>
      </c>
      <c r="M346" s="10">
        <f>AP346+BG346+BX346+CO346+DF346</f>
        <v/>
      </c>
      <c r="N346" s="10">
        <f>AH346+AY346+BP346+CG346+CX346</f>
        <v/>
      </c>
      <c r="O346" s="10">
        <f>SUM(G346:N346)</f>
        <v/>
      </c>
      <c r="P346" s="10">
        <f>IFERROR(G346*MIN(1,'01_Нормативы'!$C$4/SUM(G$2:G$429)),0)</f>
        <v/>
      </c>
      <c r="Q346" s="10">
        <f>IFERROR(H346*MIN(1,'01_Нормативы'!$C$5/SUM(H$2:H$429)),0)</f>
        <v/>
      </c>
      <c r="R346" s="10">
        <f>IFERROR(I346*MIN(1,'01_Нормативы'!$C$6/SUM(I$2:I$429)),0)</f>
        <v/>
      </c>
      <c r="S346" s="10">
        <f>IFERROR(J346*MIN(1,'01_Нормативы'!$C$7/SUM(J$2:J$429)),0)</f>
        <v/>
      </c>
      <c r="T346" s="10">
        <f>IFERROR(K346*MIN(1,'01_Нормативы'!$C$8/SUM(K$2:K$429)),0)</f>
        <v/>
      </c>
      <c r="U346" s="10">
        <f>IFERROR(L346*MIN(1,'01_Нормативы'!$C$9/SUM(L$2:L$429)),0)</f>
        <v/>
      </c>
      <c r="V346" s="10">
        <f>IFERROR(M346*MIN(1,'01_Нормативы'!$C$10/SUM(M$2:M$429)),0)</f>
        <v/>
      </c>
      <c r="W346" s="10">
        <f>IFERROR(N346*MIN(1,'01_Нормативы'!$C$11/SUM(N$2:N$429)),0)</f>
        <v/>
      </c>
      <c r="X346" s="10">
        <f>SUM(P346:W346)</f>
        <v/>
      </c>
      <c r="Y346" s="10">
        <f>MAX(0,C346-X346)</f>
        <v/>
      </c>
      <c r="Z346" s="10">
        <f>IF(D346=0,100,X346/D346*100)</f>
        <v/>
      </c>
      <c r="AA346" s="10">
        <f>'02_Данные'!F346+'02_Данные'!G346</f>
        <v/>
      </c>
      <c r="AB346" s="10">
        <f>MIN('02_Данные'!L346,AA346)</f>
        <v/>
      </c>
      <c r="AC346" s="10">
        <f>AA346-AB346</f>
        <v/>
      </c>
      <c r="AD346" s="10">
        <f>MIN('02_Данные'!M346,AC346)</f>
        <v/>
      </c>
      <c r="AE346" s="10">
        <f>AC346-AD346</f>
        <v/>
      </c>
      <c r="AF346" s="10">
        <f>MIN('02_Данные'!N346,AE346)</f>
        <v/>
      </c>
      <c r="AG346" s="10">
        <f>AE346-AF346</f>
        <v/>
      </c>
      <c r="AH346" s="10">
        <f>MIN('02_Данные'!S346,AG346)</f>
        <v/>
      </c>
      <c r="AI346" s="10">
        <f>AG346-AH346</f>
        <v/>
      </c>
      <c r="AJ346" s="10">
        <f>MIN('02_Данные'!P346,AI346)</f>
        <v/>
      </c>
      <c r="AK346" s="10">
        <f>AI346-AJ346</f>
        <v/>
      </c>
      <c r="AL346" s="10">
        <f>MIN('02_Данные'!O346,AK346)</f>
        <v/>
      </c>
      <c r="AM346" s="10">
        <f>AK346-AL346</f>
        <v/>
      </c>
      <c r="AN346" s="10">
        <f>MIN('02_Данные'!Q346,AM346)</f>
        <v/>
      </c>
      <c r="AO346" s="10">
        <f>AM346-AN346</f>
        <v/>
      </c>
      <c r="AP346" s="10">
        <f>MIN('02_Данные'!R346,AO346)</f>
        <v/>
      </c>
      <c r="AQ346" s="10">
        <f>AO346-AP346</f>
        <v/>
      </c>
      <c r="AR346" s="10">
        <f>AQ346+'02_Данные'!H346</f>
        <v/>
      </c>
      <c r="AS346" s="10">
        <f>MIN('02_Данные'!T346,AR346)</f>
        <v/>
      </c>
      <c r="AT346" s="10">
        <f>AR346-AS346</f>
        <v/>
      </c>
      <c r="AU346" s="10">
        <f>MIN('02_Данные'!U346,AT346)</f>
        <v/>
      </c>
      <c r="AV346" s="10">
        <f>AT346-AU346</f>
        <v/>
      </c>
      <c r="AW346" s="10">
        <f>MIN('02_Данные'!V346,AV346)</f>
        <v/>
      </c>
      <c r="AX346" s="10">
        <f>AV346-AW346</f>
        <v/>
      </c>
      <c r="AY346" s="10">
        <f>MIN('02_Данные'!AA346,AX346)</f>
        <v/>
      </c>
      <c r="AZ346" s="10">
        <f>AX346-AY346</f>
        <v/>
      </c>
      <c r="BA346" s="10">
        <f>MIN('02_Данные'!X346,AZ346)</f>
        <v/>
      </c>
      <c r="BB346" s="10">
        <f>AZ346-BA346</f>
        <v/>
      </c>
      <c r="BC346" s="10">
        <f>MIN('02_Данные'!W346,BB346)</f>
        <v/>
      </c>
      <c r="BD346" s="10">
        <f>BB346-BC346</f>
        <v/>
      </c>
      <c r="BE346" s="10">
        <f>MIN('02_Данные'!Y346,BD346)</f>
        <v/>
      </c>
      <c r="BF346" s="10">
        <f>BD346-BE346</f>
        <v/>
      </c>
      <c r="BG346" s="10">
        <f>MIN('02_Данные'!Z346,BF346)</f>
        <v/>
      </c>
      <c r="BH346" s="10">
        <f>BF346-BG346</f>
        <v/>
      </c>
      <c r="BI346" s="10">
        <f>BH346+'02_Данные'!I346</f>
        <v/>
      </c>
      <c r="BJ346" s="10">
        <f>MIN('02_Данные'!AB346,BI346)</f>
        <v/>
      </c>
      <c r="BK346" s="10">
        <f>BI346-BJ346</f>
        <v/>
      </c>
      <c r="BL346" s="10">
        <f>MIN('02_Данные'!AC346,BK346)</f>
        <v/>
      </c>
      <c r="BM346" s="10">
        <f>BK346-BL346</f>
        <v/>
      </c>
      <c r="BN346" s="10">
        <f>MIN('02_Данные'!AD346,BM346)</f>
        <v/>
      </c>
      <c r="BO346" s="10">
        <f>BM346-BN346</f>
        <v/>
      </c>
      <c r="BP346" s="10">
        <f>MIN('02_Данные'!AI346,BO346)</f>
        <v/>
      </c>
      <c r="BQ346" s="10">
        <f>BO346-BP346</f>
        <v/>
      </c>
      <c r="BR346" s="10">
        <f>MIN('02_Данные'!AF346,BQ346)</f>
        <v/>
      </c>
      <c r="BS346" s="10">
        <f>BQ346-BR346</f>
        <v/>
      </c>
      <c r="BT346" s="10">
        <f>MIN('02_Данные'!AE346,BS346)</f>
        <v/>
      </c>
      <c r="BU346" s="10">
        <f>BS346-BT346</f>
        <v/>
      </c>
      <c r="BV346" s="10">
        <f>MIN('02_Данные'!AG346,BU346)</f>
        <v/>
      </c>
      <c r="BW346" s="10">
        <f>BU346-BV346</f>
        <v/>
      </c>
      <c r="BX346" s="10">
        <f>MIN('02_Данные'!AH346,BW346)</f>
        <v/>
      </c>
      <c r="BY346" s="10">
        <f>BW346-BX346</f>
        <v/>
      </c>
      <c r="BZ346" s="10">
        <f>BY346+'02_Данные'!J346</f>
        <v/>
      </c>
      <c r="CA346" s="10">
        <f>MIN('02_Данные'!AJ346,BZ346)</f>
        <v/>
      </c>
      <c r="CB346" s="10">
        <f>BZ346-CA346</f>
        <v/>
      </c>
      <c r="CC346" s="10">
        <f>MIN('02_Данные'!AK346,CB346)</f>
        <v/>
      </c>
      <c r="CD346" s="10">
        <f>CB346-CC346</f>
        <v/>
      </c>
      <c r="CE346" s="10">
        <f>MIN('02_Данные'!AL346,CD346)</f>
        <v/>
      </c>
      <c r="CF346" s="10">
        <f>CD346-CE346</f>
        <v/>
      </c>
      <c r="CG346" s="10">
        <f>MIN('02_Данные'!AQ346,CF346)</f>
        <v/>
      </c>
      <c r="CH346" s="10">
        <f>CF346-CG346</f>
        <v/>
      </c>
      <c r="CI346" s="10">
        <f>MIN('02_Данные'!AN346,CH346)</f>
        <v/>
      </c>
      <c r="CJ346" s="10">
        <f>CH346-CI346</f>
        <v/>
      </c>
      <c r="CK346" s="10">
        <f>MIN('02_Данные'!AM346,CJ346)</f>
        <v/>
      </c>
      <c r="CL346" s="10">
        <f>CJ346-CK346</f>
        <v/>
      </c>
      <c r="CM346" s="10">
        <f>MIN('02_Данные'!AO346,CL346)</f>
        <v/>
      </c>
      <c r="CN346" s="10">
        <f>CL346-CM346</f>
        <v/>
      </c>
      <c r="CO346" s="10">
        <f>MIN('02_Данные'!AP346,CN346)</f>
        <v/>
      </c>
      <c r="CP346" s="10">
        <f>CN346-CO346</f>
        <v/>
      </c>
      <c r="CQ346" s="10">
        <f>CP346+'02_Данные'!K346</f>
        <v/>
      </c>
      <c r="CR346" s="10">
        <f>MIN('02_Данные'!AR346,CQ346)</f>
        <v/>
      </c>
      <c r="CS346" s="10">
        <f>CQ346-CR346</f>
        <v/>
      </c>
      <c r="CT346" s="10">
        <f>MIN('02_Данные'!AS346,CS346)</f>
        <v/>
      </c>
      <c r="CU346" s="10">
        <f>CS346-CT346</f>
        <v/>
      </c>
      <c r="CV346" s="10">
        <f>MIN('02_Данные'!AT346,CU346)</f>
        <v/>
      </c>
      <c r="CW346" s="10">
        <f>CU346-CV346</f>
        <v/>
      </c>
      <c r="CX346" s="10">
        <f>MIN('02_Данные'!AY346,CW346)</f>
        <v/>
      </c>
      <c r="CY346" s="10">
        <f>CW346-CX346</f>
        <v/>
      </c>
      <c r="CZ346" s="10">
        <f>MIN('02_Данные'!AV346,CY346)</f>
        <v/>
      </c>
      <c r="DA346" s="10">
        <f>CY346-CZ346</f>
        <v/>
      </c>
      <c r="DB346" s="10">
        <f>MIN('02_Данные'!AU346,DA346)</f>
        <v/>
      </c>
      <c r="DC346" s="10">
        <f>DA346-DB346</f>
        <v/>
      </c>
      <c r="DD346" s="10">
        <f>MIN('02_Данные'!AW346,DC346)</f>
        <v/>
      </c>
      <c r="DE346" s="10">
        <f>DC346-DD346</f>
        <v/>
      </c>
      <c r="DF346" s="10">
        <f>MIN('02_Данные'!AX346,DE346)</f>
        <v/>
      </c>
      <c r="DG346" s="10">
        <f>DE346-DF346</f>
        <v/>
      </c>
    </row>
    <row r="347">
      <c r="A347" s="9">
        <f>'02_Данные'!B347</f>
        <v/>
      </c>
      <c r="B347" s="9">
        <f>'02_Данные'!E347</f>
        <v/>
      </c>
      <c r="C347" s="10">
        <f>'02_Данные'!F347+'02_Данные'!G347+'02_Данные'!H347+'02_Данные'!I347+'02_Данные'!J347+'02_Данные'!K347</f>
        <v/>
      </c>
      <c r="D347" s="10">
        <f>SUM('02_Данные'!L347:'02_Данные'!AY347)</f>
        <v/>
      </c>
      <c r="E347" s="10">
        <f>MAX(0,D347-C347)</f>
        <v/>
      </c>
      <c r="F347" s="15">
        <f>IF(E347&gt;0.0001,"ДЕФИЦИТ",IF(Y347&gt;0.0001,"ПРОФИЦИТ","БАЛАНС"))</f>
        <v/>
      </c>
      <c r="G347" s="10">
        <f>AB347+AS347+BJ347+CA347+CR347</f>
        <v/>
      </c>
      <c r="H347" s="10">
        <f>AD347+AU347+BL347+CC347+CT347</f>
        <v/>
      </c>
      <c r="I347" s="10">
        <f>AF347+AW347+BN347+CE347+CV347</f>
        <v/>
      </c>
      <c r="J347" s="10">
        <f>AL347+BC347+BT347+CK347+DB347</f>
        <v/>
      </c>
      <c r="K347" s="10">
        <f>AJ347+BA347+BR347+CI347+CZ347</f>
        <v/>
      </c>
      <c r="L347" s="10">
        <f>AN347+BE347+BV347+CM347+DD347</f>
        <v/>
      </c>
      <c r="M347" s="10">
        <f>AP347+BG347+BX347+CO347+DF347</f>
        <v/>
      </c>
      <c r="N347" s="10">
        <f>AH347+AY347+BP347+CG347+CX347</f>
        <v/>
      </c>
      <c r="O347" s="10">
        <f>SUM(G347:N347)</f>
        <v/>
      </c>
      <c r="P347" s="10">
        <f>IFERROR(G347*MIN(1,'01_Нормативы'!$C$4/SUM(G$2:G$429)),0)</f>
        <v/>
      </c>
      <c r="Q347" s="10">
        <f>IFERROR(H347*MIN(1,'01_Нормативы'!$C$5/SUM(H$2:H$429)),0)</f>
        <v/>
      </c>
      <c r="R347" s="10">
        <f>IFERROR(I347*MIN(1,'01_Нормативы'!$C$6/SUM(I$2:I$429)),0)</f>
        <v/>
      </c>
      <c r="S347" s="10">
        <f>IFERROR(J347*MIN(1,'01_Нормативы'!$C$7/SUM(J$2:J$429)),0)</f>
        <v/>
      </c>
      <c r="T347" s="10">
        <f>IFERROR(K347*MIN(1,'01_Нормативы'!$C$8/SUM(K$2:K$429)),0)</f>
        <v/>
      </c>
      <c r="U347" s="10">
        <f>IFERROR(L347*MIN(1,'01_Нормативы'!$C$9/SUM(L$2:L$429)),0)</f>
        <v/>
      </c>
      <c r="V347" s="10">
        <f>IFERROR(M347*MIN(1,'01_Нормативы'!$C$10/SUM(M$2:M$429)),0)</f>
        <v/>
      </c>
      <c r="W347" s="10">
        <f>IFERROR(N347*MIN(1,'01_Нормативы'!$C$11/SUM(N$2:N$429)),0)</f>
        <v/>
      </c>
      <c r="X347" s="10">
        <f>SUM(P347:W347)</f>
        <v/>
      </c>
      <c r="Y347" s="10">
        <f>MAX(0,C347-X347)</f>
        <v/>
      </c>
      <c r="Z347" s="10">
        <f>IF(D347=0,100,X347/D347*100)</f>
        <v/>
      </c>
      <c r="AA347" s="10">
        <f>'02_Данные'!F347+'02_Данные'!G347</f>
        <v/>
      </c>
      <c r="AB347" s="10">
        <f>MIN('02_Данные'!L347,AA347)</f>
        <v/>
      </c>
      <c r="AC347" s="10">
        <f>AA347-AB347</f>
        <v/>
      </c>
      <c r="AD347" s="10">
        <f>MIN('02_Данные'!M347,AC347)</f>
        <v/>
      </c>
      <c r="AE347" s="10">
        <f>AC347-AD347</f>
        <v/>
      </c>
      <c r="AF347" s="10">
        <f>MIN('02_Данные'!N347,AE347)</f>
        <v/>
      </c>
      <c r="AG347" s="10">
        <f>AE347-AF347</f>
        <v/>
      </c>
      <c r="AH347" s="10">
        <f>MIN('02_Данные'!S347,AG347)</f>
        <v/>
      </c>
      <c r="AI347" s="10">
        <f>AG347-AH347</f>
        <v/>
      </c>
      <c r="AJ347" s="10">
        <f>MIN('02_Данные'!P347,AI347)</f>
        <v/>
      </c>
      <c r="AK347" s="10">
        <f>AI347-AJ347</f>
        <v/>
      </c>
      <c r="AL347" s="10">
        <f>MIN('02_Данные'!O347,AK347)</f>
        <v/>
      </c>
      <c r="AM347" s="10">
        <f>AK347-AL347</f>
        <v/>
      </c>
      <c r="AN347" s="10">
        <f>MIN('02_Данные'!Q347,AM347)</f>
        <v/>
      </c>
      <c r="AO347" s="10">
        <f>AM347-AN347</f>
        <v/>
      </c>
      <c r="AP347" s="10">
        <f>MIN('02_Данные'!R347,AO347)</f>
        <v/>
      </c>
      <c r="AQ347" s="10">
        <f>AO347-AP347</f>
        <v/>
      </c>
      <c r="AR347" s="10">
        <f>AQ347+'02_Данные'!H347</f>
        <v/>
      </c>
      <c r="AS347" s="10">
        <f>MIN('02_Данные'!T347,AR347)</f>
        <v/>
      </c>
      <c r="AT347" s="10">
        <f>AR347-AS347</f>
        <v/>
      </c>
      <c r="AU347" s="10">
        <f>MIN('02_Данные'!U347,AT347)</f>
        <v/>
      </c>
      <c r="AV347" s="10">
        <f>AT347-AU347</f>
        <v/>
      </c>
      <c r="AW347" s="10">
        <f>MIN('02_Данные'!V347,AV347)</f>
        <v/>
      </c>
      <c r="AX347" s="10">
        <f>AV347-AW347</f>
        <v/>
      </c>
      <c r="AY347" s="10">
        <f>MIN('02_Данные'!AA347,AX347)</f>
        <v/>
      </c>
      <c r="AZ347" s="10">
        <f>AX347-AY347</f>
        <v/>
      </c>
      <c r="BA347" s="10">
        <f>MIN('02_Данные'!X347,AZ347)</f>
        <v/>
      </c>
      <c r="BB347" s="10">
        <f>AZ347-BA347</f>
        <v/>
      </c>
      <c r="BC347" s="10">
        <f>MIN('02_Данные'!W347,BB347)</f>
        <v/>
      </c>
      <c r="BD347" s="10">
        <f>BB347-BC347</f>
        <v/>
      </c>
      <c r="BE347" s="10">
        <f>MIN('02_Данные'!Y347,BD347)</f>
        <v/>
      </c>
      <c r="BF347" s="10">
        <f>BD347-BE347</f>
        <v/>
      </c>
      <c r="BG347" s="10">
        <f>MIN('02_Данные'!Z347,BF347)</f>
        <v/>
      </c>
      <c r="BH347" s="10">
        <f>BF347-BG347</f>
        <v/>
      </c>
      <c r="BI347" s="10">
        <f>BH347+'02_Данные'!I347</f>
        <v/>
      </c>
      <c r="BJ347" s="10">
        <f>MIN('02_Данные'!AB347,BI347)</f>
        <v/>
      </c>
      <c r="BK347" s="10">
        <f>BI347-BJ347</f>
        <v/>
      </c>
      <c r="BL347" s="10">
        <f>MIN('02_Данные'!AC347,BK347)</f>
        <v/>
      </c>
      <c r="BM347" s="10">
        <f>BK347-BL347</f>
        <v/>
      </c>
      <c r="BN347" s="10">
        <f>MIN('02_Данные'!AD347,BM347)</f>
        <v/>
      </c>
      <c r="BO347" s="10">
        <f>BM347-BN347</f>
        <v/>
      </c>
      <c r="BP347" s="10">
        <f>MIN('02_Данные'!AI347,BO347)</f>
        <v/>
      </c>
      <c r="BQ347" s="10">
        <f>BO347-BP347</f>
        <v/>
      </c>
      <c r="BR347" s="10">
        <f>MIN('02_Данные'!AF347,BQ347)</f>
        <v/>
      </c>
      <c r="BS347" s="10">
        <f>BQ347-BR347</f>
        <v/>
      </c>
      <c r="BT347" s="10">
        <f>MIN('02_Данные'!AE347,BS347)</f>
        <v/>
      </c>
      <c r="BU347" s="10">
        <f>BS347-BT347</f>
        <v/>
      </c>
      <c r="BV347" s="10">
        <f>MIN('02_Данные'!AG347,BU347)</f>
        <v/>
      </c>
      <c r="BW347" s="10">
        <f>BU347-BV347</f>
        <v/>
      </c>
      <c r="BX347" s="10">
        <f>MIN('02_Данные'!AH347,BW347)</f>
        <v/>
      </c>
      <c r="BY347" s="10">
        <f>BW347-BX347</f>
        <v/>
      </c>
      <c r="BZ347" s="10">
        <f>BY347+'02_Данные'!J347</f>
        <v/>
      </c>
      <c r="CA347" s="10">
        <f>MIN('02_Данные'!AJ347,BZ347)</f>
        <v/>
      </c>
      <c r="CB347" s="10">
        <f>BZ347-CA347</f>
        <v/>
      </c>
      <c r="CC347" s="10">
        <f>MIN('02_Данные'!AK347,CB347)</f>
        <v/>
      </c>
      <c r="CD347" s="10">
        <f>CB347-CC347</f>
        <v/>
      </c>
      <c r="CE347" s="10">
        <f>MIN('02_Данные'!AL347,CD347)</f>
        <v/>
      </c>
      <c r="CF347" s="10">
        <f>CD347-CE347</f>
        <v/>
      </c>
      <c r="CG347" s="10">
        <f>MIN('02_Данные'!AQ347,CF347)</f>
        <v/>
      </c>
      <c r="CH347" s="10">
        <f>CF347-CG347</f>
        <v/>
      </c>
      <c r="CI347" s="10">
        <f>MIN('02_Данные'!AN347,CH347)</f>
        <v/>
      </c>
      <c r="CJ347" s="10">
        <f>CH347-CI347</f>
        <v/>
      </c>
      <c r="CK347" s="10">
        <f>MIN('02_Данные'!AM347,CJ347)</f>
        <v/>
      </c>
      <c r="CL347" s="10">
        <f>CJ347-CK347</f>
        <v/>
      </c>
      <c r="CM347" s="10">
        <f>MIN('02_Данные'!AO347,CL347)</f>
        <v/>
      </c>
      <c r="CN347" s="10">
        <f>CL347-CM347</f>
        <v/>
      </c>
      <c r="CO347" s="10">
        <f>MIN('02_Данные'!AP347,CN347)</f>
        <v/>
      </c>
      <c r="CP347" s="10">
        <f>CN347-CO347</f>
        <v/>
      </c>
      <c r="CQ347" s="10">
        <f>CP347+'02_Данные'!K347</f>
        <v/>
      </c>
      <c r="CR347" s="10">
        <f>MIN('02_Данные'!AR347,CQ347)</f>
        <v/>
      </c>
      <c r="CS347" s="10">
        <f>CQ347-CR347</f>
        <v/>
      </c>
      <c r="CT347" s="10">
        <f>MIN('02_Данные'!AS347,CS347)</f>
        <v/>
      </c>
      <c r="CU347" s="10">
        <f>CS347-CT347</f>
        <v/>
      </c>
      <c r="CV347" s="10">
        <f>MIN('02_Данные'!AT347,CU347)</f>
        <v/>
      </c>
      <c r="CW347" s="10">
        <f>CU347-CV347</f>
        <v/>
      </c>
      <c r="CX347" s="10">
        <f>MIN('02_Данные'!AY347,CW347)</f>
        <v/>
      </c>
      <c r="CY347" s="10">
        <f>CW347-CX347</f>
        <v/>
      </c>
      <c r="CZ347" s="10">
        <f>MIN('02_Данные'!AV347,CY347)</f>
        <v/>
      </c>
      <c r="DA347" s="10">
        <f>CY347-CZ347</f>
        <v/>
      </c>
      <c r="DB347" s="10">
        <f>MIN('02_Данные'!AU347,DA347)</f>
        <v/>
      </c>
      <c r="DC347" s="10">
        <f>DA347-DB347</f>
        <v/>
      </c>
      <c r="DD347" s="10">
        <f>MIN('02_Данные'!AW347,DC347)</f>
        <v/>
      </c>
      <c r="DE347" s="10">
        <f>DC347-DD347</f>
        <v/>
      </c>
      <c r="DF347" s="10">
        <f>MIN('02_Данные'!AX347,DE347)</f>
        <v/>
      </c>
      <c r="DG347" s="10">
        <f>DE347-DF347</f>
        <v/>
      </c>
    </row>
    <row r="348">
      <c r="A348" s="9">
        <f>'02_Данные'!B348</f>
        <v/>
      </c>
      <c r="B348" s="9">
        <f>'02_Данные'!E348</f>
        <v/>
      </c>
      <c r="C348" s="10">
        <f>'02_Данные'!F348+'02_Данные'!G348+'02_Данные'!H348+'02_Данные'!I348+'02_Данные'!J348+'02_Данные'!K348</f>
        <v/>
      </c>
      <c r="D348" s="10">
        <f>SUM('02_Данные'!L348:'02_Данные'!AY348)</f>
        <v/>
      </c>
      <c r="E348" s="10">
        <f>MAX(0,D348-C348)</f>
        <v/>
      </c>
      <c r="F348" s="15">
        <f>IF(E348&gt;0.0001,"ДЕФИЦИТ",IF(Y348&gt;0.0001,"ПРОФИЦИТ","БАЛАНС"))</f>
        <v/>
      </c>
      <c r="G348" s="10">
        <f>AB348+AS348+BJ348+CA348+CR348</f>
        <v/>
      </c>
      <c r="H348" s="10">
        <f>AD348+AU348+BL348+CC348+CT348</f>
        <v/>
      </c>
      <c r="I348" s="10">
        <f>AF348+AW348+BN348+CE348+CV348</f>
        <v/>
      </c>
      <c r="J348" s="10">
        <f>AL348+BC348+BT348+CK348+DB348</f>
        <v/>
      </c>
      <c r="K348" s="10">
        <f>AJ348+BA348+BR348+CI348+CZ348</f>
        <v/>
      </c>
      <c r="L348" s="10">
        <f>AN348+BE348+BV348+CM348+DD348</f>
        <v/>
      </c>
      <c r="M348" s="10">
        <f>AP348+BG348+BX348+CO348+DF348</f>
        <v/>
      </c>
      <c r="N348" s="10">
        <f>AH348+AY348+BP348+CG348+CX348</f>
        <v/>
      </c>
      <c r="O348" s="10">
        <f>SUM(G348:N348)</f>
        <v/>
      </c>
      <c r="P348" s="10">
        <f>IFERROR(G348*MIN(1,'01_Нормативы'!$C$4/SUM(G$2:G$429)),0)</f>
        <v/>
      </c>
      <c r="Q348" s="10">
        <f>IFERROR(H348*MIN(1,'01_Нормативы'!$C$5/SUM(H$2:H$429)),0)</f>
        <v/>
      </c>
      <c r="R348" s="10">
        <f>IFERROR(I348*MIN(1,'01_Нормативы'!$C$6/SUM(I$2:I$429)),0)</f>
        <v/>
      </c>
      <c r="S348" s="10">
        <f>IFERROR(J348*MIN(1,'01_Нормативы'!$C$7/SUM(J$2:J$429)),0)</f>
        <v/>
      </c>
      <c r="T348" s="10">
        <f>IFERROR(K348*MIN(1,'01_Нормативы'!$C$8/SUM(K$2:K$429)),0)</f>
        <v/>
      </c>
      <c r="U348" s="10">
        <f>IFERROR(L348*MIN(1,'01_Нормативы'!$C$9/SUM(L$2:L$429)),0)</f>
        <v/>
      </c>
      <c r="V348" s="10">
        <f>IFERROR(M348*MIN(1,'01_Нормативы'!$C$10/SUM(M$2:M$429)),0)</f>
        <v/>
      </c>
      <c r="W348" s="10">
        <f>IFERROR(N348*MIN(1,'01_Нормативы'!$C$11/SUM(N$2:N$429)),0)</f>
        <v/>
      </c>
      <c r="X348" s="10">
        <f>SUM(P348:W348)</f>
        <v/>
      </c>
      <c r="Y348" s="10">
        <f>MAX(0,C348-X348)</f>
        <v/>
      </c>
      <c r="Z348" s="10">
        <f>IF(D348=0,100,X348/D348*100)</f>
        <v/>
      </c>
      <c r="AA348" s="10">
        <f>'02_Данные'!F348+'02_Данные'!G348</f>
        <v/>
      </c>
      <c r="AB348" s="10">
        <f>MIN('02_Данные'!L348,AA348)</f>
        <v/>
      </c>
      <c r="AC348" s="10">
        <f>AA348-AB348</f>
        <v/>
      </c>
      <c r="AD348" s="10">
        <f>MIN('02_Данные'!M348,AC348)</f>
        <v/>
      </c>
      <c r="AE348" s="10">
        <f>AC348-AD348</f>
        <v/>
      </c>
      <c r="AF348" s="10">
        <f>MIN('02_Данные'!N348,AE348)</f>
        <v/>
      </c>
      <c r="AG348" s="10">
        <f>AE348-AF348</f>
        <v/>
      </c>
      <c r="AH348" s="10">
        <f>MIN('02_Данные'!S348,AG348)</f>
        <v/>
      </c>
      <c r="AI348" s="10">
        <f>AG348-AH348</f>
        <v/>
      </c>
      <c r="AJ348" s="10">
        <f>MIN('02_Данные'!P348,AI348)</f>
        <v/>
      </c>
      <c r="AK348" s="10">
        <f>AI348-AJ348</f>
        <v/>
      </c>
      <c r="AL348" s="10">
        <f>MIN('02_Данные'!O348,AK348)</f>
        <v/>
      </c>
      <c r="AM348" s="10">
        <f>AK348-AL348</f>
        <v/>
      </c>
      <c r="AN348" s="10">
        <f>MIN('02_Данные'!Q348,AM348)</f>
        <v/>
      </c>
      <c r="AO348" s="10">
        <f>AM348-AN348</f>
        <v/>
      </c>
      <c r="AP348" s="10">
        <f>MIN('02_Данные'!R348,AO348)</f>
        <v/>
      </c>
      <c r="AQ348" s="10">
        <f>AO348-AP348</f>
        <v/>
      </c>
      <c r="AR348" s="10">
        <f>AQ348+'02_Данные'!H348</f>
        <v/>
      </c>
      <c r="AS348" s="10">
        <f>MIN('02_Данные'!T348,AR348)</f>
        <v/>
      </c>
      <c r="AT348" s="10">
        <f>AR348-AS348</f>
        <v/>
      </c>
      <c r="AU348" s="10">
        <f>MIN('02_Данные'!U348,AT348)</f>
        <v/>
      </c>
      <c r="AV348" s="10">
        <f>AT348-AU348</f>
        <v/>
      </c>
      <c r="AW348" s="10">
        <f>MIN('02_Данные'!V348,AV348)</f>
        <v/>
      </c>
      <c r="AX348" s="10">
        <f>AV348-AW348</f>
        <v/>
      </c>
      <c r="AY348" s="10">
        <f>MIN('02_Данные'!AA348,AX348)</f>
        <v/>
      </c>
      <c r="AZ348" s="10">
        <f>AX348-AY348</f>
        <v/>
      </c>
      <c r="BA348" s="10">
        <f>MIN('02_Данные'!X348,AZ348)</f>
        <v/>
      </c>
      <c r="BB348" s="10">
        <f>AZ348-BA348</f>
        <v/>
      </c>
      <c r="BC348" s="10">
        <f>MIN('02_Данные'!W348,BB348)</f>
        <v/>
      </c>
      <c r="BD348" s="10">
        <f>BB348-BC348</f>
        <v/>
      </c>
      <c r="BE348" s="10">
        <f>MIN('02_Данные'!Y348,BD348)</f>
        <v/>
      </c>
      <c r="BF348" s="10">
        <f>BD348-BE348</f>
        <v/>
      </c>
      <c r="BG348" s="10">
        <f>MIN('02_Данные'!Z348,BF348)</f>
        <v/>
      </c>
      <c r="BH348" s="10">
        <f>BF348-BG348</f>
        <v/>
      </c>
      <c r="BI348" s="10">
        <f>BH348+'02_Данные'!I348</f>
        <v/>
      </c>
      <c r="BJ348" s="10">
        <f>MIN('02_Данные'!AB348,BI348)</f>
        <v/>
      </c>
      <c r="BK348" s="10">
        <f>BI348-BJ348</f>
        <v/>
      </c>
      <c r="BL348" s="10">
        <f>MIN('02_Данные'!AC348,BK348)</f>
        <v/>
      </c>
      <c r="BM348" s="10">
        <f>BK348-BL348</f>
        <v/>
      </c>
      <c r="BN348" s="10">
        <f>MIN('02_Данные'!AD348,BM348)</f>
        <v/>
      </c>
      <c r="BO348" s="10">
        <f>BM348-BN348</f>
        <v/>
      </c>
      <c r="BP348" s="10">
        <f>MIN('02_Данные'!AI348,BO348)</f>
        <v/>
      </c>
      <c r="BQ348" s="10">
        <f>BO348-BP348</f>
        <v/>
      </c>
      <c r="BR348" s="10">
        <f>MIN('02_Данные'!AF348,BQ348)</f>
        <v/>
      </c>
      <c r="BS348" s="10">
        <f>BQ348-BR348</f>
        <v/>
      </c>
      <c r="BT348" s="10">
        <f>MIN('02_Данные'!AE348,BS348)</f>
        <v/>
      </c>
      <c r="BU348" s="10">
        <f>BS348-BT348</f>
        <v/>
      </c>
      <c r="BV348" s="10">
        <f>MIN('02_Данные'!AG348,BU348)</f>
        <v/>
      </c>
      <c r="BW348" s="10">
        <f>BU348-BV348</f>
        <v/>
      </c>
      <c r="BX348" s="10">
        <f>MIN('02_Данные'!AH348,BW348)</f>
        <v/>
      </c>
      <c r="BY348" s="10">
        <f>BW348-BX348</f>
        <v/>
      </c>
      <c r="BZ348" s="10">
        <f>BY348+'02_Данные'!J348</f>
        <v/>
      </c>
      <c r="CA348" s="10">
        <f>MIN('02_Данные'!AJ348,BZ348)</f>
        <v/>
      </c>
      <c r="CB348" s="10">
        <f>BZ348-CA348</f>
        <v/>
      </c>
      <c r="CC348" s="10">
        <f>MIN('02_Данные'!AK348,CB348)</f>
        <v/>
      </c>
      <c r="CD348" s="10">
        <f>CB348-CC348</f>
        <v/>
      </c>
      <c r="CE348" s="10">
        <f>MIN('02_Данные'!AL348,CD348)</f>
        <v/>
      </c>
      <c r="CF348" s="10">
        <f>CD348-CE348</f>
        <v/>
      </c>
      <c r="CG348" s="10">
        <f>MIN('02_Данные'!AQ348,CF348)</f>
        <v/>
      </c>
      <c r="CH348" s="10">
        <f>CF348-CG348</f>
        <v/>
      </c>
      <c r="CI348" s="10">
        <f>MIN('02_Данные'!AN348,CH348)</f>
        <v/>
      </c>
      <c r="CJ348" s="10">
        <f>CH348-CI348</f>
        <v/>
      </c>
      <c r="CK348" s="10">
        <f>MIN('02_Данные'!AM348,CJ348)</f>
        <v/>
      </c>
      <c r="CL348" s="10">
        <f>CJ348-CK348</f>
        <v/>
      </c>
      <c r="CM348" s="10">
        <f>MIN('02_Данные'!AO348,CL348)</f>
        <v/>
      </c>
      <c r="CN348" s="10">
        <f>CL348-CM348</f>
        <v/>
      </c>
      <c r="CO348" s="10">
        <f>MIN('02_Данные'!AP348,CN348)</f>
        <v/>
      </c>
      <c r="CP348" s="10">
        <f>CN348-CO348</f>
        <v/>
      </c>
      <c r="CQ348" s="10">
        <f>CP348+'02_Данные'!K348</f>
        <v/>
      </c>
      <c r="CR348" s="10">
        <f>MIN('02_Данные'!AR348,CQ348)</f>
        <v/>
      </c>
      <c r="CS348" s="10">
        <f>CQ348-CR348</f>
        <v/>
      </c>
      <c r="CT348" s="10">
        <f>MIN('02_Данные'!AS348,CS348)</f>
        <v/>
      </c>
      <c r="CU348" s="10">
        <f>CS348-CT348</f>
        <v/>
      </c>
      <c r="CV348" s="10">
        <f>MIN('02_Данные'!AT348,CU348)</f>
        <v/>
      </c>
      <c r="CW348" s="10">
        <f>CU348-CV348</f>
        <v/>
      </c>
      <c r="CX348" s="10">
        <f>MIN('02_Данные'!AY348,CW348)</f>
        <v/>
      </c>
      <c r="CY348" s="10">
        <f>CW348-CX348</f>
        <v/>
      </c>
      <c r="CZ348" s="10">
        <f>MIN('02_Данные'!AV348,CY348)</f>
        <v/>
      </c>
      <c r="DA348" s="10">
        <f>CY348-CZ348</f>
        <v/>
      </c>
      <c r="DB348" s="10">
        <f>MIN('02_Данные'!AU348,DA348)</f>
        <v/>
      </c>
      <c r="DC348" s="10">
        <f>DA348-DB348</f>
        <v/>
      </c>
      <c r="DD348" s="10">
        <f>MIN('02_Данные'!AW348,DC348)</f>
        <v/>
      </c>
      <c r="DE348" s="10">
        <f>DC348-DD348</f>
        <v/>
      </c>
      <c r="DF348" s="10">
        <f>MIN('02_Данные'!AX348,DE348)</f>
        <v/>
      </c>
      <c r="DG348" s="10">
        <f>DE348-DF348</f>
        <v/>
      </c>
    </row>
    <row r="349">
      <c r="A349" s="9">
        <f>'02_Данные'!B349</f>
        <v/>
      </c>
      <c r="B349" s="9">
        <f>'02_Данные'!E349</f>
        <v/>
      </c>
      <c r="C349" s="10">
        <f>'02_Данные'!F349+'02_Данные'!G349+'02_Данные'!H349+'02_Данные'!I349+'02_Данные'!J349+'02_Данные'!K349</f>
        <v/>
      </c>
      <c r="D349" s="10">
        <f>SUM('02_Данные'!L349:'02_Данные'!AY349)</f>
        <v/>
      </c>
      <c r="E349" s="10">
        <f>MAX(0,D349-C349)</f>
        <v/>
      </c>
      <c r="F349" s="15">
        <f>IF(E349&gt;0.0001,"ДЕФИЦИТ",IF(Y349&gt;0.0001,"ПРОФИЦИТ","БАЛАНС"))</f>
        <v/>
      </c>
      <c r="G349" s="10">
        <f>AB349+AS349+BJ349+CA349+CR349</f>
        <v/>
      </c>
      <c r="H349" s="10">
        <f>AD349+AU349+BL349+CC349+CT349</f>
        <v/>
      </c>
      <c r="I349" s="10">
        <f>AF349+AW349+BN349+CE349+CV349</f>
        <v/>
      </c>
      <c r="J349" s="10">
        <f>AL349+BC349+BT349+CK349+DB349</f>
        <v/>
      </c>
      <c r="K349" s="10">
        <f>AJ349+BA349+BR349+CI349+CZ349</f>
        <v/>
      </c>
      <c r="L349" s="10">
        <f>AN349+BE349+BV349+CM349+DD349</f>
        <v/>
      </c>
      <c r="M349" s="10">
        <f>AP349+BG349+BX349+CO349+DF349</f>
        <v/>
      </c>
      <c r="N349" s="10">
        <f>AH349+AY349+BP349+CG349+CX349</f>
        <v/>
      </c>
      <c r="O349" s="10">
        <f>SUM(G349:N349)</f>
        <v/>
      </c>
      <c r="P349" s="10">
        <f>IFERROR(G349*MIN(1,'01_Нормативы'!$C$4/SUM(G$2:G$429)),0)</f>
        <v/>
      </c>
      <c r="Q349" s="10">
        <f>IFERROR(H349*MIN(1,'01_Нормативы'!$C$5/SUM(H$2:H$429)),0)</f>
        <v/>
      </c>
      <c r="R349" s="10">
        <f>IFERROR(I349*MIN(1,'01_Нормативы'!$C$6/SUM(I$2:I$429)),0)</f>
        <v/>
      </c>
      <c r="S349" s="10">
        <f>IFERROR(J349*MIN(1,'01_Нормативы'!$C$7/SUM(J$2:J$429)),0)</f>
        <v/>
      </c>
      <c r="T349" s="10">
        <f>IFERROR(K349*MIN(1,'01_Нормативы'!$C$8/SUM(K$2:K$429)),0)</f>
        <v/>
      </c>
      <c r="U349" s="10">
        <f>IFERROR(L349*MIN(1,'01_Нормативы'!$C$9/SUM(L$2:L$429)),0)</f>
        <v/>
      </c>
      <c r="V349" s="10">
        <f>IFERROR(M349*MIN(1,'01_Нормативы'!$C$10/SUM(M$2:M$429)),0)</f>
        <v/>
      </c>
      <c r="W349" s="10">
        <f>IFERROR(N349*MIN(1,'01_Нормативы'!$C$11/SUM(N$2:N$429)),0)</f>
        <v/>
      </c>
      <c r="X349" s="10">
        <f>SUM(P349:W349)</f>
        <v/>
      </c>
      <c r="Y349" s="10">
        <f>MAX(0,C349-X349)</f>
        <v/>
      </c>
      <c r="Z349" s="10">
        <f>IF(D349=0,100,X349/D349*100)</f>
        <v/>
      </c>
      <c r="AA349" s="10">
        <f>'02_Данные'!F349+'02_Данные'!G349</f>
        <v/>
      </c>
      <c r="AB349" s="10">
        <f>MIN('02_Данные'!L349,AA349)</f>
        <v/>
      </c>
      <c r="AC349" s="10">
        <f>AA349-AB349</f>
        <v/>
      </c>
      <c r="AD349" s="10">
        <f>MIN('02_Данные'!M349,AC349)</f>
        <v/>
      </c>
      <c r="AE349" s="10">
        <f>AC349-AD349</f>
        <v/>
      </c>
      <c r="AF349" s="10">
        <f>MIN('02_Данные'!N349,AE349)</f>
        <v/>
      </c>
      <c r="AG349" s="10">
        <f>AE349-AF349</f>
        <v/>
      </c>
      <c r="AH349" s="10">
        <f>MIN('02_Данные'!S349,AG349)</f>
        <v/>
      </c>
      <c r="AI349" s="10">
        <f>AG349-AH349</f>
        <v/>
      </c>
      <c r="AJ349" s="10">
        <f>MIN('02_Данные'!P349,AI349)</f>
        <v/>
      </c>
      <c r="AK349" s="10">
        <f>AI349-AJ349</f>
        <v/>
      </c>
      <c r="AL349" s="10">
        <f>MIN('02_Данные'!O349,AK349)</f>
        <v/>
      </c>
      <c r="AM349" s="10">
        <f>AK349-AL349</f>
        <v/>
      </c>
      <c r="AN349" s="10">
        <f>MIN('02_Данные'!Q349,AM349)</f>
        <v/>
      </c>
      <c r="AO349" s="10">
        <f>AM349-AN349</f>
        <v/>
      </c>
      <c r="AP349" s="10">
        <f>MIN('02_Данные'!R349,AO349)</f>
        <v/>
      </c>
      <c r="AQ349" s="10">
        <f>AO349-AP349</f>
        <v/>
      </c>
      <c r="AR349" s="10">
        <f>AQ349+'02_Данные'!H349</f>
        <v/>
      </c>
      <c r="AS349" s="10">
        <f>MIN('02_Данные'!T349,AR349)</f>
        <v/>
      </c>
      <c r="AT349" s="10">
        <f>AR349-AS349</f>
        <v/>
      </c>
      <c r="AU349" s="10">
        <f>MIN('02_Данные'!U349,AT349)</f>
        <v/>
      </c>
      <c r="AV349" s="10">
        <f>AT349-AU349</f>
        <v/>
      </c>
      <c r="AW349" s="10">
        <f>MIN('02_Данные'!V349,AV349)</f>
        <v/>
      </c>
      <c r="AX349" s="10">
        <f>AV349-AW349</f>
        <v/>
      </c>
      <c r="AY349" s="10">
        <f>MIN('02_Данные'!AA349,AX349)</f>
        <v/>
      </c>
      <c r="AZ349" s="10">
        <f>AX349-AY349</f>
        <v/>
      </c>
      <c r="BA349" s="10">
        <f>MIN('02_Данные'!X349,AZ349)</f>
        <v/>
      </c>
      <c r="BB349" s="10">
        <f>AZ349-BA349</f>
        <v/>
      </c>
      <c r="BC349" s="10">
        <f>MIN('02_Данные'!W349,BB349)</f>
        <v/>
      </c>
      <c r="BD349" s="10">
        <f>BB349-BC349</f>
        <v/>
      </c>
      <c r="BE349" s="10">
        <f>MIN('02_Данные'!Y349,BD349)</f>
        <v/>
      </c>
      <c r="BF349" s="10">
        <f>BD349-BE349</f>
        <v/>
      </c>
      <c r="BG349" s="10">
        <f>MIN('02_Данные'!Z349,BF349)</f>
        <v/>
      </c>
      <c r="BH349" s="10">
        <f>BF349-BG349</f>
        <v/>
      </c>
      <c r="BI349" s="10">
        <f>BH349+'02_Данные'!I349</f>
        <v/>
      </c>
      <c r="BJ349" s="10">
        <f>MIN('02_Данные'!AB349,BI349)</f>
        <v/>
      </c>
      <c r="BK349" s="10">
        <f>BI349-BJ349</f>
        <v/>
      </c>
      <c r="BL349" s="10">
        <f>MIN('02_Данные'!AC349,BK349)</f>
        <v/>
      </c>
      <c r="BM349" s="10">
        <f>BK349-BL349</f>
        <v/>
      </c>
      <c r="BN349" s="10">
        <f>MIN('02_Данные'!AD349,BM349)</f>
        <v/>
      </c>
      <c r="BO349" s="10">
        <f>BM349-BN349</f>
        <v/>
      </c>
      <c r="BP349" s="10">
        <f>MIN('02_Данные'!AI349,BO349)</f>
        <v/>
      </c>
      <c r="BQ349" s="10">
        <f>BO349-BP349</f>
        <v/>
      </c>
      <c r="BR349" s="10">
        <f>MIN('02_Данные'!AF349,BQ349)</f>
        <v/>
      </c>
      <c r="BS349" s="10">
        <f>BQ349-BR349</f>
        <v/>
      </c>
      <c r="BT349" s="10">
        <f>MIN('02_Данные'!AE349,BS349)</f>
        <v/>
      </c>
      <c r="BU349" s="10">
        <f>BS349-BT349</f>
        <v/>
      </c>
      <c r="BV349" s="10">
        <f>MIN('02_Данные'!AG349,BU349)</f>
        <v/>
      </c>
      <c r="BW349" s="10">
        <f>BU349-BV349</f>
        <v/>
      </c>
      <c r="BX349" s="10">
        <f>MIN('02_Данные'!AH349,BW349)</f>
        <v/>
      </c>
      <c r="BY349" s="10">
        <f>BW349-BX349</f>
        <v/>
      </c>
      <c r="BZ349" s="10">
        <f>BY349+'02_Данные'!J349</f>
        <v/>
      </c>
      <c r="CA349" s="10">
        <f>MIN('02_Данные'!AJ349,BZ349)</f>
        <v/>
      </c>
      <c r="CB349" s="10">
        <f>BZ349-CA349</f>
        <v/>
      </c>
      <c r="CC349" s="10">
        <f>MIN('02_Данные'!AK349,CB349)</f>
        <v/>
      </c>
      <c r="CD349" s="10">
        <f>CB349-CC349</f>
        <v/>
      </c>
      <c r="CE349" s="10">
        <f>MIN('02_Данные'!AL349,CD349)</f>
        <v/>
      </c>
      <c r="CF349" s="10">
        <f>CD349-CE349</f>
        <v/>
      </c>
      <c r="CG349" s="10">
        <f>MIN('02_Данные'!AQ349,CF349)</f>
        <v/>
      </c>
      <c r="CH349" s="10">
        <f>CF349-CG349</f>
        <v/>
      </c>
      <c r="CI349" s="10">
        <f>MIN('02_Данные'!AN349,CH349)</f>
        <v/>
      </c>
      <c r="CJ349" s="10">
        <f>CH349-CI349</f>
        <v/>
      </c>
      <c r="CK349" s="10">
        <f>MIN('02_Данные'!AM349,CJ349)</f>
        <v/>
      </c>
      <c r="CL349" s="10">
        <f>CJ349-CK349</f>
        <v/>
      </c>
      <c r="CM349" s="10">
        <f>MIN('02_Данные'!AO349,CL349)</f>
        <v/>
      </c>
      <c r="CN349" s="10">
        <f>CL349-CM349</f>
        <v/>
      </c>
      <c r="CO349" s="10">
        <f>MIN('02_Данные'!AP349,CN349)</f>
        <v/>
      </c>
      <c r="CP349" s="10">
        <f>CN349-CO349</f>
        <v/>
      </c>
      <c r="CQ349" s="10">
        <f>CP349+'02_Данные'!K349</f>
        <v/>
      </c>
      <c r="CR349" s="10">
        <f>MIN('02_Данные'!AR349,CQ349)</f>
        <v/>
      </c>
      <c r="CS349" s="10">
        <f>CQ349-CR349</f>
        <v/>
      </c>
      <c r="CT349" s="10">
        <f>MIN('02_Данные'!AS349,CS349)</f>
        <v/>
      </c>
      <c r="CU349" s="10">
        <f>CS349-CT349</f>
        <v/>
      </c>
      <c r="CV349" s="10">
        <f>MIN('02_Данные'!AT349,CU349)</f>
        <v/>
      </c>
      <c r="CW349" s="10">
        <f>CU349-CV349</f>
        <v/>
      </c>
      <c r="CX349" s="10">
        <f>MIN('02_Данные'!AY349,CW349)</f>
        <v/>
      </c>
      <c r="CY349" s="10">
        <f>CW349-CX349</f>
        <v/>
      </c>
      <c r="CZ349" s="10">
        <f>MIN('02_Данные'!AV349,CY349)</f>
        <v/>
      </c>
      <c r="DA349" s="10">
        <f>CY349-CZ349</f>
        <v/>
      </c>
      <c r="DB349" s="10">
        <f>MIN('02_Данные'!AU349,DA349)</f>
        <v/>
      </c>
      <c r="DC349" s="10">
        <f>DA349-DB349</f>
        <v/>
      </c>
      <c r="DD349" s="10">
        <f>MIN('02_Данные'!AW349,DC349)</f>
        <v/>
      </c>
      <c r="DE349" s="10">
        <f>DC349-DD349</f>
        <v/>
      </c>
      <c r="DF349" s="10">
        <f>MIN('02_Данные'!AX349,DE349)</f>
        <v/>
      </c>
      <c r="DG349" s="10">
        <f>DE349-DF349</f>
        <v/>
      </c>
    </row>
    <row r="350">
      <c r="A350" s="9">
        <f>'02_Данные'!B350</f>
        <v/>
      </c>
      <c r="B350" s="9">
        <f>'02_Данные'!E350</f>
        <v/>
      </c>
      <c r="C350" s="10">
        <f>'02_Данные'!F350+'02_Данные'!G350+'02_Данные'!H350+'02_Данные'!I350+'02_Данные'!J350+'02_Данные'!K350</f>
        <v/>
      </c>
      <c r="D350" s="10">
        <f>SUM('02_Данные'!L350:'02_Данные'!AY350)</f>
        <v/>
      </c>
      <c r="E350" s="10">
        <f>MAX(0,D350-C350)</f>
        <v/>
      </c>
      <c r="F350" s="15">
        <f>IF(E350&gt;0.0001,"ДЕФИЦИТ",IF(Y350&gt;0.0001,"ПРОФИЦИТ","БАЛАНС"))</f>
        <v/>
      </c>
      <c r="G350" s="10">
        <f>AB350+AS350+BJ350+CA350+CR350</f>
        <v/>
      </c>
      <c r="H350" s="10">
        <f>AD350+AU350+BL350+CC350+CT350</f>
        <v/>
      </c>
      <c r="I350" s="10">
        <f>AF350+AW350+BN350+CE350+CV350</f>
        <v/>
      </c>
      <c r="J350" s="10">
        <f>AL350+BC350+BT350+CK350+DB350</f>
        <v/>
      </c>
      <c r="K350" s="10">
        <f>AJ350+BA350+BR350+CI350+CZ350</f>
        <v/>
      </c>
      <c r="L350" s="10">
        <f>AN350+BE350+BV350+CM350+DD350</f>
        <v/>
      </c>
      <c r="M350" s="10">
        <f>AP350+BG350+BX350+CO350+DF350</f>
        <v/>
      </c>
      <c r="N350" s="10">
        <f>AH350+AY350+BP350+CG350+CX350</f>
        <v/>
      </c>
      <c r="O350" s="10">
        <f>SUM(G350:N350)</f>
        <v/>
      </c>
      <c r="P350" s="10">
        <f>IFERROR(G350*MIN(1,'01_Нормативы'!$C$4/SUM(G$2:G$429)),0)</f>
        <v/>
      </c>
      <c r="Q350" s="10">
        <f>IFERROR(H350*MIN(1,'01_Нормативы'!$C$5/SUM(H$2:H$429)),0)</f>
        <v/>
      </c>
      <c r="R350" s="10">
        <f>IFERROR(I350*MIN(1,'01_Нормативы'!$C$6/SUM(I$2:I$429)),0)</f>
        <v/>
      </c>
      <c r="S350" s="10">
        <f>IFERROR(J350*MIN(1,'01_Нормативы'!$C$7/SUM(J$2:J$429)),0)</f>
        <v/>
      </c>
      <c r="T350" s="10">
        <f>IFERROR(K350*MIN(1,'01_Нормативы'!$C$8/SUM(K$2:K$429)),0)</f>
        <v/>
      </c>
      <c r="U350" s="10">
        <f>IFERROR(L350*MIN(1,'01_Нормативы'!$C$9/SUM(L$2:L$429)),0)</f>
        <v/>
      </c>
      <c r="V350" s="10">
        <f>IFERROR(M350*MIN(1,'01_Нормативы'!$C$10/SUM(M$2:M$429)),0)</f>
        <v/>
      </c>
      <c r="W350" s="10">
        <f>IFERROR(N350*MIN(1,'01_Нормативы'!$C$11/SUM(N$2:N$429)),0)</f>
        <v/>
      </c>
      <c r="X350" s="10">
        <f>SUM(P350:W350)</f>
        <v/>
      </c>
      <c r="Y350" s="10">
        <f>MAX(0,C350-X350)</f>
        <v/>
      </c>
      <c r="Z350" s="10">
        <f>IF(D350=0,100,X350/D350*100)</f>
        <v/>
      </c>
      <c r="AA350" s="10">
        <f>'02_Данные'!F350+'02_Данные'!G350</f>
        <v/>
      </c>
      <c r="AB350" s="10">
        <f>MIN('02_Данные'!L350,AA350)</f>
        <v/>
      </c>
      <c r="AC350" s="10">
        <f>AA350-AB350</f>
        <v/>
      </c>
      <c r="AD350" s="10">
        <f>MIN('02_Данные'!M350,AC350)</f>
        <v/>
      </c>
      <c r="AE350" s="10">
        <f>AC350-AD350</f>
        <v/>
      </c>
      <c r="AF350" s="10">
        <f>MIN('02_Данные'!N350,AE350)</f>
        <v/>
      </c>
      <c r="AG350" s="10">
        <f>AE350-AF350</f>
        <v/>
      </c>
      <c r="AH350" s="10">
        <f>MIN('02_Данные'!S350,AG350)</f>
        <v/>
      </c>
      <c r="AI350" s="10">
        <f>AG350-AH350</f>
        <v/>
      </c>
      <c r="AJ350" s="10">
        <f>MIN('02_Данные'!P350,AI350)</f>
        <v/>
      </c>
      <c r="AK350" s="10">
        <f>AI350-AJ350</f>
        <v/>
      </c>
      <c r="AL350" s="10">
        <f>MIN('02_Данные'!O350,AK350)</f>
        <v/>
      </c>
      <c r="AM350" s="10">
        <f>AK350-AL350</f>
        <v/>
      </c>
      <c r="AN350" s="10">
        <f>MIN('02_Данные'!Q350,AM350)</f>
        <v/>
      </c>
      <c r="AO350" s="10">
        <f>AM350-AN350</f>
        <v/>
      </c>
      <c r="AP350" s="10">
        <f>MIN('02_Данные'!R350,AO350)</f>
        <v/>
      </c>
      <c r="AQ350" s="10">
        <f>AO350-AP350</f>
        <v/>
      </c>
      <c r="AR350" s="10">
        <f>AQ350+'02_Данные'!H350</f>
        <v/>
      </c>
      <c r="AS350" s="10">
        <f>MIN('02_Данные'!T350,AR350)</f>
        <v/>
      </c>
      <c r="AT350" s="10">
        <f>AR350-AS350</f>
        <v/>
      </c>
      <c r="AU350" s="10">
        <f>MIN('02_Данные'!U350,AT350)</f>
        <v/>
      </c>
      <c r="AV350" s="10">
        <f>AT350-AU350</f>
        <v/>
      </c>
      <c r="AW350" s="10">
        <f>MIN('02_Данные'!V350,AV350)</f>
        <v/>
      </c>
      <c r="AX350" s="10">
        <f>AV350-AW350</f>
        <v/>
      </c>
      <c r="AY350" s="10">
        <f>MIN('02_Данные'!AA350,AX350)</f>
        <v/>
      </c>
      <c r="AZ350" s="10">
        <f>AX350-AY350</f>
        <v/>
      </c>
      <c r="BA350" s="10">
        <f>MIN('02_Данные'!X350,AZ350)</f>
        <v/>
      </c>
      <c r="BB350" s="10">
        <f>AZ350-BA350</f>
        <v/>
      </c>
      <c r="BC350" s="10">
        <f>MIN('02_Данные'!W350,BB350)</f>
        <v/>
      </c>
      <c r="BD350" s="10">
        <f>BB350-BC350</f>
        <v/>
      </c>
      <c r="BE350" s="10">
        <f>MIN('02_Данные'!Y350,BD350)</f>
        <v/>
      </c>
      <c r="BF350" s="10">
        <f>BD350-BE350</f>
        <v/>
      </c>
      <c r="BG350" s="10">
        <f>MIN('02_Данные'!Z350,BF350)</f>
        <v/>
      </c>
      <c r="BH350" s="10">
        <f>BF350-BG350</f>
        <v/>
      </c>
      <c r="BI350" s="10">
        <f>BH350+'02_Данные'!I350</f>
        <v/>
      </c>
      <c r="BJ350" s="10">
        <f>MIN('02_Данные'!AB350,BI350)</f>
        <v/>
      </c>
      <c r="BK350" s="10">
        <f>BI350-BJ350</f>
        <v/>
      </c>
      <c r="BL350" s="10">
        <f>MIN('02_Данные'!AC350,BK350)</f>
        <v/>
      </c>
      <c r="BM350" s="10">
        <f>BK350-BL350</f>
        <v/>
      </c>
      <c r="BN350" s="10">
        <f>MIN('02_Данные'!AD350,BM350)</f>
        <v/>
      </c>
      <c r="BO350" s="10">
        <f>BM350-BN350</f>
        <v/>
      </c>
      <c r="BP350" s="10">
        <f>MIN('02_Данные'!AI350,BO350)</f>
        <v/>
      </c>
      <c r="BQ350" s="10">
        <f>BO350-BP350</f>
        <v/>
      </c>
      <c r="BR350" s="10">
        <f>MIN('02_Данные'!AF350,BQ350)</f>
        <v/>
      </c>
      <c r="BS350" s="10">
        <f>BQ350-BR350</f>
        <v/>
      </c>
      <c r="BT350" s="10">
        <f>MIN('02_Данные'!AE350,BS350)</f>
        <v/>
      </c>
      <c r="BU350" s="10">
        <f>BS350-BT350</f>
        <v/>
      </c>
      <c r="BV350" s="10">
        <f>MIN('02_Данные'!AG350,BU350)</f>
        <v/>
      </c>
      <c r="BW350" s="10">
        <f>BU350-BV350</f>
        <v/>
      </c>
      <c r="BX350" s="10">
        <f>MIN('02_Данные'!AH350,BW350)</f>
        <v/>
      </c>
      <c r="BY350" s="10">
        <f>BW350-BX350</f>
        <v/>
      </c>
      <c r="BZ350" s="10">
        <f>BY350+'02_Данные'!J350</f>
        <v/>
      </c>
      <c r="CA350" s="10">
        <f>MIN('02_Данные'!AJ350,BZ350)</f>
        <v/>
      </c>
      <c r="CB350" s="10">
        <f>BZ350-CA350</f>
        <v/>
      </c>
      <c r="CC350" s="10">
        <f>MIN('02_Данные'!AK350,CB350)</f>
        <v/>
      </c>
      <c r="CD350" s="10">
        <f>CB350-CC350</f>
        <v/>
      </c>
      <c r="CE350" s="10">
        <f>MIN('02_Данные'!AL350,CD350)</f>
        <v/>
      </c>
      <c r="CF350" s="10">
        <f>CD350-CE350</f>
        <v/>
      </c>
      <c r="CG350" s="10">
        <f>MIN('02_Данные'!AQ350,CF350)</f>
        <v/>
      </c>
      <c r="CH350" s="10">
        <f>CF350-CG350</f>
        <v/>
      </c>
      <c r="CI350" s="10">
        <f>MIN('02_Данные'!AN350,CH350)</f>
        <v/>
      </c>
      <c r="CJ350" s="10">
        <f>CH350-CI350</f>
        <v/>
      </c>
      <c r="CK350" s="10">
        <f>MIN('02_Данные'!AM350,CJ350)</f>
        <v/>
      </c>
      <c r="CL350" s="10">
        <f>CJ350-CK350</f>
        <v/>
      </c>
      <c r="CM350" s="10">
        <f>MIN('02_Данные'!AO350,CL350)</f>
        <v/>
      </c>
      <c r="CN350" s="10">
        <f>CL350-CM350</f>
        <v/>
      </c>
      <c r="CO350" s="10">
        <f>MIN('02_Данные'!AP350,CN350)</f>
        <v/>
      </c>
      <c r="CP350" s="10">
        <f>CN350-CO350</f>
        <v/>
      </c>
      <c r="CQ350" s="10">
        <f>CP350+'02_Данные'!K350</f>
        <v/>
      </c>
      <c r="CR350" s="10">
        <f>MIN('02_Данные'!AR350,CQ350)</f>
        <v/>
      </c>
      <c r="CS350" s="10">
        <f>CQ350-CR350</f>
        <v/>
      </c>
      <c r="CT350" s="10">
        <f>MIN('02_Данные'!AS350,CS350)</f>
        <v/>
      </c>
      <c r="CU350" s="10">
        <f>CS350-CT350</f>
        <v/>
      </c>
      <c r="CV350" s="10">
        <f>MIN('02_Данные'!AT350,CU350)</f>
        <v/>
      </c>
      <c r="CW350" s="10">
        <f>CU350-CV350</f>
        <v/>
      </c>
      <c r="CX350" s="10">
        <f>MIN('02_Данные'!AY350,CW350)</f>
        <v/>
      </c>
      <c r="CY350" s="10">
        <f>CW350-CX350</f>
        <v/>
      </c>
      <c r="CZ350" s="10">
        <f>MIN('02_Данные'!AV350,CY350)</f>
        <v/>
      </c>
      <c r="DA350" s="10">
        <f>CY350-CZ350</f>
        <v/>
      </c>
      <c r="DB350" s="10">
        <f>MIN('02_Данные'!AU350,DA350)</f>
        <v/>
      </c>
      <c r="DC350" s="10">
        <f>DA350-DB350</f>
        <v/>
      </c>
      <c r="DD350" s="10">
        <f>MIN('02_Данные'!AW350,DC350)</f>
        <v/>
      </c>
      <c r="DE350" s="10">
        <f>DC350-DD350</f>
        <v/>
      </c>
      <c r="DF350" s="10">
        <f>MIN('02_Данные'!AX350,DE350)</f>
        <v/>
      </c>
      <c r="DG350" s="10">
        <f>DE350-DF350</f>
        <v/>
      </c>
    </row>
    <row r="351">
      <c r="A351" s="9">
        <f>'02_Данные'!B351</f>
        <v/>
      </c>
      <c r="B351" s="9">
        <f>'02_Данные'!E351</f>
        <v/>
      </c>
      <c r="C351" s="10">
        <f>'02_Данные'!F351+'02_Данные'!G351+'02_Данные'!H351+'02_Данные'!I351+'02_Данные'!J351+'02_Данные'!K351</f>
        <v/>
      </c>
      <c r="D351" s="10">
        <f>SUM('02_Данные'!L351:'02_Данные'!AY351)</f>
        <v/>
      </c>
      <c r="E351" s="10">
        <f>MAX(0,D351-C351)</f>
        <v/>
      </c>
      <c r="F351" s="15">
        <f>IF(E351&gt;0.0001,"ДЕФИЦИТ",IF(Y351&gt;0.0001,"ПРОФИЦИТ","БАЛАНС"))</f>
        <v/>
      </c>
      <c r="G351" s="10">
        <f>AB351+AS351+BJ351+CA351+CR351</f>
        <v/>
      </c>
      <c r="H351" s="10">
        <f>AD351+AU351+BL351+CC351+CT351</f>
        <v/>
      </c>
      <c r="I351" s="10">
        <f>AF351+AW351+BN351+CE351+CV351</f>
        <v/>
      </c>
      <c r="J351" s="10">
        <f>AL351+BC351+BT351+CK351+DB351</f>
        <v/>
      </c>
      <c r="K351" s="10">
        <f>AJ351+BA351+BR351+CI351+CZ351</f>
        <v/>
      </c>
      <c r="L351" s="10">
        <f>AN351+BE351+BV351+CM351+DD351</f>
        <v/>
      </c>
      <c r="M351" s="10">
        <f>AP351+BG351+BX351+CO351+DF351</f>
        <v/>
      </c>
      <c r="N351" s="10">
        <f>AH351+AY351+BP351+CG351+CX351</f>
        <v/>
      </c>
      <c r="O351" s="10">
        <f>SUM(G351:N351)</f>
        <v/>
      </c>
      <c r="P351" s="10">
        <f>IFERROR(G351*MIN(1,'01_Нормативы'!$C$4/SUM(G$2:G$429)),0)</f>
        <v/>
      </c>
      <c r="Q351" s="10">
        <f>IFERROR(H351*MIN(1,'01_Нормативы'!$C$5/SUM(H$2:H$429)),0)</f>
        <v/>
      </c>
      <c r="R351" s="10">
        <f>IFERROR(I351*MIN(1,'01_Нормативы'!$C$6/SUM(I$2:I$429)),0)</f>
        <v/>
      </c>
      <c r="S351" s="10">
        <f>IFERROR(J351*MIN(1,'01_Нормативы'!$C$7/SUM(J$2:J$429)),0)</f>
        <v/>
      </c>
      <c r="T351" s="10">
        <f>IFERROR(K351*MIN(1,'01_Нормативы'!$C$8/SUM(K$2:K$429)),0)</f>
        <v/>
      </c>
      <c r="U351" s="10">
        <f>IFERROR(L351*MIN(1,'01_Нормативы'!$C$9/SUM(L$2:L$429)),0)</f>
        <v/>
      </c>
      <c r="V351" s="10">
        <f>IFERROR(M351*MIN(1,'01_Нормативы'!$C$10/SUM(M$2:M$429)),0)</f>
        <v/>
      </c>
      <c r="W351" s="10">
        <f>IFERROR(N351*MIN(1,'01_Нормативы'!$C$11/SUM(N$2:N$429)),0)</f>
        <v/>
      </c>
      <c r="X351" s="10">
        <f>SUM(P351:W351)</f>
        <v/>
      </c>
      <c r="Y351" s="10">
        <f>MAX(0,C351-X351)</f>
        <v/>
      </c>
      <c r="Z351" s="10">
        <f>IF(D351=0,100,X351/D351*100)</f>
        <v/>
      </c>
      <c r="AA351" s="10">
        <f>'02_Данные'!F351+'02_Данные'!G351</f>
        <v/>
      </c>
      <c r="AB351" s="10">
        <f>MIN('02_Данные'!L351,AA351)</f>
        <v/>
      </c>
      <c r="AC351" s="10">
        <f>AA351-AB351</f>
        <v/>
      </c>
      <c r="AD351" s="10">
        <f>MIN('02_Данные'!M351,AC351)</f>
        <v/>
      </c>
      <c r="AE351" s="10">
        <f>AC351-AD351</f>
        <v/>
      </c>
      <c r="AF351" s="10">
        <f>MIN('02_Данные'!N351,AE351)</f>
        <v/>
      </c>
      <c r="AG351" s="10">
        <f>AE351-AF351</f>
        <v/>
      </c>
      <c r="AH351" s="10">
        <f>MIN('02_Данные'!S351,AG351)</f>
        <v/>
      </c>
      <c r="AI351" s="10">
        <f>AG351-AH351</f>
        <v/>
      </c>
      <c r="AJ351" s="10">
        <f>MIN('02_Данные'!P351,AI351)</f>
        <v/>
      </c>
      <c r="AK351" s="10">
        <f>AI351-AJ351</f>
        <v/>
      </c>
      <c r="AL351" s="10">
        <f>MIN('02_Данные'!O351,AK351)</f>
        <v/>
      </c>
      <c r="AM351" s="10">
        <f>AK351-AL351</f>
        <v/>
      </c>
      <c r="AN351" s="10">
        <f>MIN('02_Данные'!Q351,AM351)</f>
        <v/>
      </c>
      <c r="AO351" s="10">
        <f>AM351-AN351</f>
        <v/>
      </c>
      <c r="AP351" s="10">
        <f>MIN('02_Данные'!R351,AO351)</f>
        <v/>
      </c>
      <c r="AQ351" s="10">
        <f>AO351-AP351</f>
        <v/>
      </c>
      <c r="AR351" s="10">
        <f>AQ351+'02_Данные'!H351</f>
        <v/>
      </c>
      <c r="AS351" s="10">
        <f>MIN('02_Данные'!T351,AR351)</f>
        <v/>
      </c>
      <c r="AT351" s="10">
        <f>AR351-AS351</f>
        <v/>
      </c>
      <c r="AU351" s="10">
        <f>MIN('02_Данные'!U351,AT351)</f>
        <v/>
      </c>
      <c r="AV351" s="10">
        <f>AT351-AU351</f>
        <v/>
      </c>
      <c r="AW351" s="10">
        <f>MIN('02_Данные'!V351,AV351)</f>
        <v/>
      </c>
      <c r="AX351" s="10">
        <f>AV351-AW351</f>
        <v/>
      </c>
      <c r="AY351" s="10">
        <f>MIN('02_Данные'!AA351,AX351)</f>
        <v/>
      </c>
      <c r="AZ351" s="10">
        <f>AX351-AY351</f>
        <v/>
      </c>
      <c r="BA351" s="10">
        <f>MIN('02_Данные'!X351,AZ351)</f>
        <v/>
      </c>
      <c r="BB351" s="10">
        <f>AZ351-BA351</f>
        <v/>
      </c>
      <c r="BC351" s="10">
        <f>MIN('02_Данные'!W351,BB351)</f>
        <v/>
      </c>
      <c r="BD351" s="10">
        <f>BB351-BC351</f>
        <v/>
      </c>
      <c r="BE351" s="10">
        <f>MIN('02_Данные'!Y351,BD351)</f>
        <v/>
      </c>
      <c r="BF351" s="10">
        <f>BD351-BE351</f>
        <v/>
      </c>
      <c r="BG351" s="10">
        <f>MIN('02_Данные'!Z351,BF351)</f>
        <v/>
      </c>
      <c r="BH351" s="10">
        <f>BF351-BG351</f>
        <v/>
      </c>
      <c r="BI351" s="10">
        <f>BH351+'02_Данные'!I351</f>
        <v/>
      </c>
      <c r="BJ351" s="10">
        <f>MIN('02_Данные'!AB351,BI351)</f>
        <v/>
      </c>
      <c r="BK351" s="10">
        <f>BI351-BJ351</f>
        <v/>
      </c>
      <c r="BL351" s="10">
        <f>MIN('02_Данные'!AC351,BK351)</f>
        <v/>
      </c>
      <c r="BM351" s="10">
        <f>BK351-BL351</f>
        <v/>
      </c>
      <c r="BN351" s="10">
        <f>MIN('02_Данные'!AD351,BM351)</f>
        <v/>
      </c>
      <c r="BO351" s="10">
        <f>BM351-BN351</f>
        <v/>
      </c>
      <c r="BP351" s="10">
        <f>MIN('02_Данные'!AI351,BO351)</f>
        <v/>
      </c>
      <c r="BQ351" s="10">
        <f>BO351-BP351</f>
        <v/>
      </c>
      <c r="BR351" s="10">
        <f>MIN('02_Данные'!AF351,BQ351)</f>
        <v/>
      </c>
      <c r="BS351" s="10">
        <f>BQ351-BR351</f>
        <v/>
      </c>
      <c r="BT351" s="10">
        <f>MIN('02_Данные'!AE351,BS351)</f>
        <v/>
      </c>
      <c r="BU351" s="10">
        <f>BS351-BT351</f>
        <v/>
      </c>
      <c r="BV351" s="10">
        <f>MIN('02_Данные'!AG351,BU351)</f>
        <v/>
      </c>
      <c r="BW351" s="10">
        <f>BU351-BV351</f>
        <v/>
      </c>
      <c r="BX351" s="10">
        <f>MIN('02_Данные'!AH351,BW351)</f>
        <v/>
      </c>
      <c r="BY351" s="10">
        <f>BW351-BX351</f>
        <v/>
      </c>
      <c r="BZ351" s="10">
        <f>BY351+'02_Данные'!J351</f>
        <v/>
      </c>
      <c r="CA351" s="10">
        <f>MIN('02_Данные'!AJ351,BZ351)</f>
        <v/>
      </c>
      <c r="CB351" s="10">
        <f>BZ351-CA351</f>
        <v/>
      </c>
      <c r="CC351" s="10">
        <f>MIN('02_Данные'!AK351,CB351)</f>
        <v/>
      </c>
      <c r="CD351" s="10">
        <f>CB351-CC351</f>
        <v/>
      </c>
      <c r="CE351" s="10">
        <f>MIN('02_Данные'!AL351,CD351)</f>
        <v/>
      </c>
      <c r="CF351" s="10">
        <f>CD351-CE351</f>
        <v/>
      </c>
      <c r="CG351" s="10">
        <f>MIN('02_Данные'!AQ351,CF351)</f>
        <v/>
      </c>
      <c r="CH351" s="10">
        <f>CF351-CG351</f>
        <v/>
      </c>
      <c r="CI351" s="10">
        <f>MIN('02_Данные'!AN351,CH351)</f>
        <v/>
      </c>
      <c r="CJ351" s="10">
        <f>CH351-CI351</f>
        <v/>
      </c>
      <c r="CK351" s="10">
        <f>MIN('02_Данные'!AM351,CJ351)</f>
        <v/>
      </c>
      <c r="CL351" s="10">
        <f>CJ351-CK351</f>
        <v/>
      </c>
      <c r="CM351" s="10">
        <f>MIN('02_Данные'!AO351,CL351)</f>
        <v/>
      </c>
      <c r="CN351" s="10">
        <f>CL351-CM351</f>
        <v/>
      </c>
      <c r="CO351" s="10">
        <f>MIN('02_Данные'!AP351,CN351)</f>
        <v/>
      </c>
      <c r="CP351" s="10">
        <f>CN351-CO351</f>
        <v/>
      </c>
      <c r="CQ351" s="10">
        <f>CP351+'02_Данные'!K351</f>
        <v/>
      </c>
      <c r="CR351" s="10">
        <f>MIN('02_Данные'!AR351,CQ351)</f>
        <v/>
      </c>
      <c r="CS351" s="10">
        <f>CQ351-CR351</f>
        <v/>
      </c>
      <c r="CT351" s="10">
        <f>MIN('02_Данные'!AS351,CS351)</f>
        <v/>
      </c>
      <c r="CU351" s="10">
        <f>CS351-CT351</f>
        <v/>
      </c>
      <c r="CV351" s="10">
        <f>MIN('02_Данные'!AT351,CU351)</f>
        <v/>
      </c>
      <c r="CW351" s="10">
        <f>CU351-CV351</f>
        <v/>
      </c>
      <c r="CX351" s="10">
        <f>MIN('02_Данные'!AY351,CW351)</f>
        <v/>
      </c>
      <c r="CY351" s="10">
        <f>CW351-CX351</f>
        <v/>
      </c>
      <c r="CZ351" s="10">
        <f>MIN('02_Данные'!AV351,CY351)</f>
        <v/>
      </c>
      <c r="DA351" s="10">
        <f>CY351-CZ351</f>
        <v/>
      </c>
      <c r="DB351" s="10">
        <f>MIN('02_Данные'!AU351,DA351)</f>
        <v/>
      </c>
      <c r="DC351" s="10">
        <f>DA351-DB351</f>
        <v/>
      </c>
      <c r="DD351" s="10">
        <f>MIN('02_Данные'!AW351,DC351)</f>
        <v/>
      </c>
      <c r="DE351" s="10">
        <f>DC351-DD351</f>
        <v/>
      </c>
      <c r="DF351" s="10">
        <f>MIN('02_Данные'!AX351,DE351)</f>
        <v/>
      </c>
      <c r="DG351" s="10">
        <f>DE351-DF351</f>
        <v/>
      </c>
    </row>
    <row r="352">
      <c r="A352" s="9">
        <f>'02_Данные'!B352</f>
        <v/>
      </c>
      <c r="B352" s="9">
        <f>'02_Данные'!E352</f>
        <v/>
      </c>
      <c r="C352" s="10">
        <f>'02_Данные'!F352+'02_Данные'!G352+'02_Данные'!H352+'02_Данные'!I352+'02_Данные'!J352+'02_Данные'!K352</f>
        <v/>
      </c>
      <c r="D352" s="10">
        <f>SUM('02_Данные'!L352:'02_Данные'!AY352)</f>
        <v/>
      </c>
      <c r="E352" s="10">
        <f>MAX(0,D352-C352)</f>
        <v/>
      </c>
      <c r="F352" s="15">
        <f>IF(E352&gt;0.0001,"ДЕФИЦИТ",IF(Y352&gt;0.0001,"ПРОФИЦИТ","БАЛАНС"))</f>
        <v/>
      </c>
      <c r="G352" s="10">
        <f>AB352+AS352+BJ352+CA352+CR352</f>
        <v/>
      </c>
      <c r="H352" s="10">
        <f>AD352+AU352+BL352+CC352+CT352</f>
        <v/>
      </c>
      <c r="I352" s="10">
        <f>AF352+AW352+BN352+CE352+CV352</f>
        <v/>
      </c>
      <c r="J352" s="10">
        <f>AL352+BC352+BT352+CK352+DB352</f>
        <v/>
      </c>
      <c r="K352" s="10">
        <f>AJ352+BA352+BR352+CI352+CZ352</f>
        <v/>
      </c>
      <c r="L352" s="10">
        <f>AN352+BE352+BV352+CM352+DD352</f>
        <v/>
      </c>
      <c r="M352" s="10">
        <f>AP352+BG352+BX352+CO352+DF352</f>
        <v/>
      </c>
      <c r="N352" s="10">
        <f>AH352+AY352+BP352+CG352+CX352</f>
        <v/>
      </c>
      <c r="O352" s="10">
        <f>SUM(G352:N352)</f>
        <v/>
      </c>
      <c r="P352" s="10">
        <f>IFERROR(G352*MIN(1,'01_Нормативы'!$C$4/SUM(G$2:G$429)),0)</f>
        <v/>
      </c>
      <c r="Q352" s="10">
        <f>IFERROR(H352*MIN(1,'01_Нормативы'!$C$5/SUM(H$2:H$429)),0)</f>
        <v/>
      </c>
      <c r="R352" s="10">
        <f>IFERROR(I352*MIN(1,'01_Нормативы'!$C$6/SUM(I$2:I$429)),0)</f>
        <v/>
      </c>
      <c r="S352" s="10">
        <f>IFERROR(J352*MIN(1,'01_Нормативы'!$C$7/SUM(J$2:J$429)),0)</f>
        <v/>
      </c>
      <c r="T352" s="10">
        <f>IFERROR(K352*MIN(1,'01_Нормативы'!$C$8/SUM(K$2:K$429)),0)</f>
        <v/>
      </c>
      <c r="U352" s="10">
        <f>IFERROR(L352*MIN(1,'01_Нормативы'!$C$9/SUM(L$2:L$429)),0)</f>
        <v/>
      </c>
      <c r="V352" s="10">
        <f>IFERROR(M352*MIN(1,'01_Нормативы'!$C$10/SUM(M$2:M$429)),0)</f>
        <v/>
      </c>
      <c r="W352" s="10">
        <f>IFERROR(N352*MIN(1,'01_Нормативы'!$C$11/SUM(N$2:N$429)),0)</f>
        <v/>
      </c>
      <c r="X352" s="10">
        <f>SUM(P352:W352)</f>
        <v/>
      </c>
      <c r="Y352" s="10">
        <f>MAX(0,C352-X352)</f>
        <v/>
      </c>
      <c r="Z352" s="10">
        <f>IF(D352=0,100,X352/D352*100)</f>
        <v/>
      </c>
      <c r="AA352" s="10">
        <f>'02_Данные'!F352+'02_Данные'!G352</f>
        <v/>
      </c>
      <c r="AB352" s="10">
        <f>MIN('02_Данные'!L352,AA352)</f>
        <v/>
      </c>
      <c r="AC352" s="10">
        <f>AA352-AB352</f>
        <v/>
      </c>
      <c r="AD352" s="10">
        <f>MIN('02_Данные'!M352,AC352)</f>
        <v/>
      </c>
      <c r="AE352" s="10">
        <f>AC352-AD352</f>
        <v/>
      </c>
      <c r="AF352" s="10">
        <f>MIN('02_Данные'!N352,AE352)</f>
        <v/>
      </c>
      <c r="AG352" s="10">
        <f>AE352-AF352</f>
        <v/>
      </c>
      <c r="AH352" s="10">
        <f>MIN('02_Данные'!S352,AG352)</f>
        <v/>
      </c>
      <c r="AI352" s="10">
        <f>AG352-AH352</f>
        <v/>
      </c>
      <c r="AJ352" s="10">
        <f>MIN('02_Данные'!P352,AI352)</f>
        <v/>
      </c>
      <c r="AK352" s="10">
        <f>AI352-AJ352</f>
        <v/>
      </c>
      <c r="AL352" s="10">
        <f>MIN('02_Данные'!O352,AK352)</f>
        <v/>
      </c>
      <c r="AM352" s="10">
        <f>AK352-AL352</f>
        <v/>
      </c>
      <c r="AN352" s="10">
        <f>MIN('02_Данные'!Q352,AM352)</f>
        <v/>
      </c>
      <c r="AO352" s="10">
        <f>AM352-AN352</f>
        <v/>
      </c>
      <c r="AP352" s="10">
        <f>MIN('02_Данные'!R352,AO352)</f>
        <v/>
      </c>
      <c r="AQ352" s="10">
        <f>AO352-AP352</f>
        <v/>
      </c>
      <c r="AR352" s="10">
        <f>AQ352+'02_Данные'!H352</f>
        <v/>
      </c>
      <c r="AS352" s="10">
        <f>MIN('02_Данные'!T352,AR352)</f>
        <v/>
      </c>
      <c r="AT352" s="10">
        <f>AR352-AS352</f>
        <v/>
      </c>
      <c r="AU352" s="10">
        <f>MIN('02_Данные'!U352,AT352)</f>
        <v/>
      </c>
      <c r="AV352" s="10">
        <f>AT352-AU352</f>
        <v/>
      </c>
      <c r="AW352" s="10">
        <f>MIN('02_Данные'!V352,AV352)</f>
        <v/>
      </c>
      <c r="AX352" s="10">
        <f>AV352-AW352</f>
        <v/>
      </c>
      <c r="AY352" s="10">
        <f>MIN('02_Данные'!AA352,AX352)</f>
        <v/>
      </c>
      <c r="AZ352" s="10">
        <f>AX352-AY352</f>
        <v/>
      </c>
      <c r="BA352" s="10">
        <f>MIN('02_Данные'!X352,AZ352)</f>
        <v/>
      </c>
      <c r="BB352" s="10">
        <f>AZ352-BA352</f>
        <v/>
      </c>
      <c r="BC352" s="10">
        <f>MIN('02_Данные'!W352,BB352)</f>
        <v/>
      </c>
      <c r="BD352" s="10">
        <f>BB352-BC352</f>
        <v/>
      </c>
      <c r="BE352" s="10">
        <f>MIN('02_Данные'!Y352,BD352)</f>
        <v/>
      </c>
      <c r="BF352" s="10">
        <f>BD352-BE352</f>
        <v/>
      </c>
      <c r="BG352" s="10">
        <f>MIN('02_Данные'!Z352,BF352)</f>
        <v/>
      </c>
      <c r="BH352" s="10">
        <f>BF352-BG352</f>
        <v/>
      </c>
      <c r="BI352" s="10">
        <f>BH352+'02_Данные'!I352</f>
        <v/>
      </c>
      <c r="BJ352" s="10">
        <f>MIN('02_Данные'!AB352,BI352)</f>
        <v/>
      </c>
      <c r="BK352" s="10">
        <f>BI352-BJ352</f>
        <v/>
      </c>
      <c r="BL352" s="10">
        <f>MIN('02_Данные'!AC352,BK352)</f>
        <v/>
      </c>
      <c r="BM352" s="10">
        <f>BK352-BL352</f>
        <v/>
      </c>
      <c r="BN352" s="10">
        <f>MIN('02_Данные'!AD352,BM352)</f>
        <v/>
      </c>
      <c r="BO352" s="10">
        <f>BM352-BN352</f>
        <v/>
      </c>
      <c r="BP352" s="10">
        <f>MIN('02_Данные'!AI352,BO352)</f>
        <v/>
      </c>
      <c r="BQ352" s="10">
        <f>BO352-BP352</f>
        <v/>
      </c>
      <c r="BR352" s="10">
        <f>MIN('02_Данные'!AF352,BQ352)</f>
        <v/>
      </c>
      <c r="BS352" s="10">
        <f>BQ352-BR352</f>
        <v/>
      </c>
      <c r="BT352" s="10">
        <f>MIN('02_Данные'!AE352,BS352)</f>
        <v/>
      </c>
      <c r="BU352" s="10">
        <f>BS352-BT352</f>
        <v/>
      </c>
      <c r="BV352" s="10">
        <f>MIN('02_Данные'!AG352,BU352)</f>
        <v/>
      </c>
      <c r="BW352" s="10">
        <f>BU352-BV352</f>
        <v/>
      </c>
      <c r="BX352" s="10">
        <f>MIN('02_Данные'!AH352,BW352)</f>
        <v/>
      </c>
      <c r="BY352" s="10">
        <f>BW352-BX352</f>
        <v/>
      </c>
      <c r="BZ352" s="10">
        <f>BY352+'02_Данные'!J352</f>
        <v/>
      </c>
      <c r="CA352" s="10">
        <f>MIN('02_Данные'!AJ352,BZ352)</f>
        <v/>
      </c>
      <c r="CB352" s="10">
        <f>BZ352-CA352</f>
        <v/>
      </c>
      <c r="CC352" s="10">
        <f>MIN('02_Данные'!AK352,CB352)</f>
        <v/>
      </c>
      <c r="CD352" s="10">
        <f>CB352-CC352</f>
        <v/>
      </c>
      <c r="CE352" s="10">
        <f>MIN('02_Данные'!AL352,CD352)</f>
        <v/>
      </c>
      <c r="CF352" s="10">
        <f>CD352-CE352</f>
        <v/>
      </c>
      <c r="CG352" s="10">
        <f>MIN('02_Данные'!AQ352,CF352)</f>
        <v/>
      </c>
      <c r="CH352" s="10">
        <f>CF352-CG352</f>
        <v/>
      </c>
      <c r="CI352" s="10">
        <f>MIN('02_Данные'!AN352,CH352)</f>
        <v/>
      </c>
      <c r="CJ352" s="10">
        <f>CH352-CI352</f>
        <v/>
      </c>
      <c r="CK352" s="10">
        <f>MIN('02_Данные'!AM352,CJ352)</f>
        <v/>
      </c>
      <c r="CL352" s="10">
        <f>CJ352-CK352</f>
        <v/>
      </c>
      <c r="CM352" s="10">
        <f>MIN('02_Данные'!AO352,CL352)</f>
        <v/>
      </c>
      <c r="CN352" s="10">
        <f>CL352-CM352</f>
        <v/>
      </c>
      <c r="CO352" s="10">
        <f>MIN('02_Данные'!AP352,CN352)</f>
        <v/>
      </c>
      <c r="CP352" s="10">
        <f>CN352-CO352</f>
        <v/>
      </c>
      <c r="CQ352" s="10">
        <f>CP352+'02_Данные'!K352</f>
        <v/>
      </c>
      <c r="CR352" s="10">
        <f>MIN('02_Данные'!AR352,CQ352)</f>
        <v/>
      </c>
      <c r="CS352" s="10">
        <f>CQ352-CR352</f>
        <v/>
      </c>
      <c r="CT352" s="10">
        <f>MIN('02_Данные'!AS352,CS352)</f>
        <v/>
      </c>
      <c r="CU352" s="10">
        <f>CS352-CT352</f>
        <v/>
      </c>
      <c r="CV352" s="10">
        <f>MIN('02_Данные'!AT352,CU352)</f>
        <v/>
      </c>
      <c r="CW352" s="10">
        <f>CU352-CV352</f>
        <v/>
      </c>
      <c r="CX352" s="10">
        <f>MIN('02_Данные'!AY352,CW352)</f>
        <v/>
      </c>
      <c r="CY352" s="10">
        <f>CW352-CX352</f>
        <v/>
      </c>
      <c r="CZ352" s="10">
        <f>MIN('02_Данные'!AV352,CY352)</f>
        <v/>
      </c>
      <c r="DA352" s="10">
        <f>CY352-CZ352</f>
        <v/>
      </c>
      <c r="DB352" s="10">
        <f>MIN('02_Данные'!AU352,DA352)</f>
        <v/>
      </c>
      <c r="DC352" s="10">
        <f>DA352-DB352</f>
        <v/>
      </c>
      <c r="DD352" s="10">
        <f>MIN('02_Данные'!AW352,DC352)</f>
        <v/>
      </c>
      <c r="DE352" s="10">
        <f>DC352-DD352</f>
        <v/>
      </c>
      <c r="DF352" s="10">
        <f>MIN('02_Данные'!AX352,DE352)</f>
        <v/>
      </c>
      <c r="DG352" s="10">
        <f>DE352-DF352</f>
        <v/>
      </c>
    </row>
    <row r="353">
      <c r="A353" s="9">
        <f>'02_Данные'!B353</f>
        <v/>
      </c>
      <c r="B353" s="9">
        <f>'02_Данные'!E353</f>
        <v/>
      </c>
      <c r="C353" s="10">
        <f>'02_Данные'!F353+'02_Данные'!G353+'02_Данные'!H353+'02_Данные'!I353+'02_Данные'!J353+'02_Данные'!K353</f>
        <v/>
      </c>
      <c r="D353" s="10">
        <f>SUM('02_Данные'!L353:'02_Данные'!AY353)</f>
        <v/>
      </c>
      <c r="E353" s="10">
        <f>MAX(0,D353-C353)</f>
        <v/>
      </c>
      <c r="F353" s="15">
        <f>IF(E353&gt;0.0001,"ДЕФИЦИТ",IF(Y353&gt;0.0001,"ПРОФИЦИТ","БАЛАНС"))</f>
        <v/>
      </c>
      <c r="G353" s="10">
        <f>AB353+AS353+BJ353+CA353+CR353</f>
        <v/>
      </c>
      <c r="H353" s="10">
        <f>AD353+AU353+BL353+CC353+CT353</f>
        <v/>
      </c>
      <c r="I353" s="10">
        <f>AF353+AW353+BN353+CE353+CV353</f>
        <v/>
      </c>
      <c r="J353" s="10">
        <f>AL353+BC353+BT353+CK353+DB353</f>
        <v/>
      </c>
      <c r="K353" s="10">
        <f>AJ353+BA353+BR353+CI353+CZ353</f>
        <v/>
      </c>
      <c r="L353" s="10">
        <f>AN353+BE353+BV353+CM353+DD353</f>
        <v/>
      </c>
      <c r="M353" s="10">
        <f>AP353+BG353+BX353+CO353+DF353</f>
        <v/>
      </c>
      <c r="N353" s="10">
        <f>AH353+AY353+BP353+CG353+CX353</f>
        <v/>
      </c>
      <c r="O353" s="10">
        <f>SUM(G353:N353)</f>
        <v/>
      </c>
      <c r="P353" s="10">
        <f>IFERROR(G353*MIN(1,'01_Нормативы'!$C$4/SUM(G$2:G$429)),0)</f>
        <v/>
      </c>
      <c r="Q353" s="10">
        <f>IFERROR(H353*MIN(1,'01_Нормативы'!$C$5/SUM(H$2:H$429)),0)</f>
        <v/>
      </c>
      <c r="R353" s="10">
        <f>IFERROR(I353*MIN(1,'01_Нормативы'!$C$6/SUM(I$2:I$429)),0)</f>
        <v/>
      </c>
      <c r="S353" s="10">
        <f>IFERROR(J353*MIN(1,'01_Нормативы'!$C$7/SUM(J$2:J$429)),0)</f>
        <v/>
      </c>
      <c r="T353" s="10">
        <f>IFERROR(K353*MIN(1,'01_Нормативы'!$C$8/SUM(K$2:K$429)),0)</f>
        <v/>
      </c>
      <c r="U353" s="10">
        <f>IFERROR(L353*MIN(1,'01_Нормативы'!$C$9/SUM(L$2:L$429)),0)</f>
        <v/>
      </c>
      <c r="V353" s="10">
        <f>IFERROR(M353*MIN(1,'01_Нормативы'!$C$10/SUM(M$2:M$429)),0)</f>
        <v/>
      </c>
      <c r="W353" s="10">
        <f>IFERROR(N353*MIN(1,'01_Нормативы'!$C$11/SUM(N$2:N$429)),0)</f>
        <v/>
      </c>
      <c r="X353" s="10">
        <f>SUM(P353:W353)</f>
        <v/>
      </c>
      <c r="Y353" s="10">
        <f>MAX(0,C353-X353)</f>
        <v/>
      </c>
      <c r="Z353" s="10">
        <f>IF(D353=0,100,X353/D353*100)</f>
        <v/>
      </c>
      <c r="AA353" s="10">
        <f>'02_Данные'!F353+'02_Данные'!G353</f>
        <v/>
      </c>
      <c r="AB353" s="10">
        <f>MIN('02_Данные'!L353,AA353)</f>
        <v/>
      </c>
      <c r="AC353" s="10">
        <f>AA353-AB353</f>
        <v/>
      </c>
      <c r="AD353" s="10">
        <f>MIN('02_Данные'!M353,AC353)</f>
        <v/>
      </c>
      <c r="AE353" s="10">
        <f>AC353-AD353</f>
        <v/>
      </c>
      <c r="AF353" s="10">
        <f>MIN('02_Данные'!N353,AE353)</f>
        <v/>
      </c>
      <c r="AG353" s="10">
        <f>AE353-AF353</f>
        <v/>
      </c>
      <c r="AH353" s="10">
        <f>MIN('02_Данные'!S353,AG353)</f>
        <v/>
      </c>
      <c r="AI353" s="10">
        <f>AG353-AH353</f>
        <v/>
      </c>
      <c r="AJ353" s="10">
        <f>MIN('02_Данные'!P353,AI353)</f>
        <v/>
      </c>
      <c r="AK353" s="10">
        <f>AI353-AJ353</f>
        <v/>
      </c>
      <c r="AL353" s="10">
        <f>MIN('02_Данные'!O353,AK353)</f>
        <v/>
      </c>
      <c r="AM353" s="10">
        <f>AK353-AL353</f>
        <v/>
      </c>
      <c r="AN353" s="10">
        <f>MIN('02_Данные'!Q353,AM353)</f>
        <v/>
      </c>
      <c r="AO353" s="10">
        <f>AM353-AN353</f>
        <v/>
      </c>
      <c r="AP353" s="10">
        <f>MIN('02_Данные'!R353,AO353)</f>
        <v/>
      </c>
      <c r="AQ353" s="10">
        <f>AO353-AP353</f>
        <v/>
      </c>
      <c r="AR353" s="10">
        <f>AQ353+'02_Данные'!H353</f>
        <v/>
      </c>
      <c r="AS353" s="10">
        <f>MIN('02_Данные'!T353,AR353)</f>
        <v/>
      </c>
      <c r="AT353" s="10">
        <f>AR353-AS353</f>
        <v/>
      </c>
      <c r="AU353" s="10">
        <f>MIN('02_Данные'!U353,AT353)</f>
        <v/>
      </c>
      <c r="AV353" s="10">
        <f>AT353-AU353</f>
        <v/>
      </c>
      <c r="AW353" s="10">
        <f>MIN('02_Данные'!V353,AV353)</f>
        <v/>
      </c>
      <c r="AX353" s="10">
        <f>AV353-AW353</f>
        <v/>
      </c>
      <c r="AY353" s="10">
        <f>MIN('02_Данные'!AA353,AX353)</f>
        <v/>
      </c>
      <c r="AZ353" s="10">
        <f>AX353-AY353</f>
        <v/>
      </c>
      <c r="BA353" s="10">
        <f>MIN('02_Данные'!X353,AZ353)</f>
        <v/>
      </c>
      <c r="BB353" s="10">
        <f>AZ353-BA353</f>
        <v/>
      </c>
      <c r="BC353" s="10">
        <f>MIN('02_Данные'!W353,BB353)</f>
        <v/>
      </c>
      <c r="BD353" s="10">
        <f>BB353-BC353</f>
        <v/>
      </c>
      <c r="BE353" s="10">
        <f>MIN('02_Данные'!Y353,BD353)</f>
        <v/>
      </c>
      <c r="BF353" s="10">
        <f>BD353-BE353</f>
        <v/>
      </c>
      <c r="BG353" s="10">
        <f>MIN('02_Данные'!Z353,BF353)</f>
        <v/>
      </c>
      <c r="BH353" s="10">
        <f>BF353-BG353</f>
        <v/>
      </c>
      <c r="BI353" s="10">
        <f>BH353+'02_Данные'!I353</f>
        <v/>
      </c>
      <c r="BJ353" s="10">
        <f>MIN('02_Данные'!AB353,BI353)</f>
        <v/>
      </c>
      <c r="BK353" s="10">
        <f>BI353-BJ353</f>
        <v/>
      </c>
      <c r="BL353" s="10">
        <f>MIN('02_Данные'!AC353,BK353)</f>
        <v/>
      </c>
      <c r="BM353" s="10">
        <f>BK353-BL353</f>
        <v/>
      </c>
      <c r="BN353" s="10">
        <f>MIN('02_Данные'!AD353,BM353)</f>
        <v/>
      </c>
      <c r="BO353" s="10">
        <f>BM353-BN353</f>
        <v/>
      </c>
      <c r="BP353" s="10">
        <f>MIN('02_Данные'!AI353,BO353)</f>
        <v/>
      </c>
      <c r="BQ353" s="10">
        <f>BO353-BP353</f>
        <v/>
      </c>
      <c r="BR353" s="10">
        <f>MIN('02_Данные'!AF353,BQ353)</f>
        <v/>
      </c>
      <c r="BS353" s="10">
        <f>BQ353-BR353</f>
        <v/>
      </c>
      <c r="BT353" s="10">
        <f>MIN('02_Данные'!AE353,BS353)</f>
        <v/>
      </c>
      <c r="BU353" s="10">
        <f>BS353-BT353</f>
        <v/>
      </c>
      <c r="BV353" s="10">
        <f>MIN('02_Данные'!AG353,BU353)</f>
        <v/>
      </c>
      <c r="BW353" s="10">
        <f>BU353-BV353</f>
        <v/>
      </c>
      <c r="BX353" s="10">
        <f>MIN('02_Данные'!AH353,BW353)</f>
        <v/>
      </c>
      <c r="BY353" s="10">
        <f>BW353-BX353</f>
        <v/>
      </c>
      <c r="BZ353" s="10">
        <f>BY353+'02_Данные'!J353</f>
        <v/>
      </c>
      <c r="CA353" s="10">
        <f>MIN('02_Данные'!AJ353,BZ353)</f>
        <v/>
      </c>
      <c r="CB353" s="10">
        <f>BZ353-CA353</f>
        <v/>
      </c>
      <c r="CC353" s="10">
        <f>MIN('02_Данные'!AK353,CB353)</f>
        <v/>
      </c>
      <c r="CD353" s="10">
        <f>CB353-CC353</f>
        <v/>
      </c>
      <c r="CE353" s="10">
        <f>MIN('02_Данные'!AL353,CD353)</f>
        <v/>
      </c>
      <c r="CF353" s="10">
        <f>CD353-CE353</f>
        <v/>
      </c>
      <c r="CG353" s="10">
        <f>MIN('02_Данные'!AQ353,CF353)</f>
        <v/>
      </c>
      <c r="CH353" s="10">
        <f>CF353-CG353</f>
        <v/>
      </c>
      <c r="CI353" s="10">
        <f>MIN('02_Данные'!AN353,CH353)</f>
        <v/>
      </c>
      <c r="CJ353" s="10">
        <f>CH353-CI353</f>
        <v/>
      </c>
      <c r="CK353" s="10">
        <f>MIN('02_Данные'!AM353,CJ353)</f>
        <v/>
      </c>
      <c r="CL353" s="10">
        <f>CJ353-CK353</f>
        <v/>
      </c>
      <c r="CM353" s="10">
        <f>MIN('02_Данные'!AO353,CL353)</f>
        <v/>
      </c>
      <c r="CN353" s="10">
        <f>CL353-CM353</f>
        <v/>
      </c>
      <c r="CO353" s="10">
        <f>MIN('02_Данные'!AP353,CN353)</f>
        <v/>
      </c>
      <c r="CP353" s="10">
        <f>CN353-CO353</f>
        <v/>
      </c>
      <c r="CQ353" s="10">
        <f>CP353+'02_Данные'!K353</f>
        <v/>
      </c>
      <c r="CR353" s="10">
        <f>MIN('02_Данные'!AR353,CQ353)</f>
        <v/>
      </c>
      <c r="CS353" s="10">
        <f>CQ353-CR353</f>
        <v/>
      </c>
      <c r="CT353" s="10">
        <f>MIN('02_Данные'!AS353,CS353)</f>
        <v/>
      </c>
      <c r="CU353" s="10">
        <f>CS353-CT353</f>
        <v/>
      </c>
      <c r="CV353" s="10">
        <f>MIN('02_Данные'!AT353,CU353)</f>
        <v/>
      </c>
      <c r="CW353" s="10">
        <f>CU353-CV353</f>
        <v/>
      </c>
      <c r="CX353" s="10">
        <f>MIN('02_Данные'!AY353,CW353)</f>
        <v/>
      </c>
      <c r="CY353" s="10">
        <f>CW353-CX353</f>
        <v/>
      </c>
      <c r="CZ353" s="10">
        <f>MIN('02_Данные'!AV353,CY353)</f>
        <v/>
      </c>
      <c r="DA353" s="10">
        <f>CY353-CZ353</f>
        <v/>
      </c>
      <c r="DB353" s="10">
        <f>MIN('02_Данные'!AU353,DA353)</f>
        <v/>
      </c>
      <c r="DC353" s="10">
        <f>DA353-DB353</f>
        <v/>
      </c>
      <c r="DD353" s="10">
        <f>MIN('02_Данные'!AW353,DC353)</f>
        <v/>
      </c>
      <c r="DE353" s="10">
        <f>DC353-DD353</f>
        <v/>
      </c>
      <c r="DF353" s="10">
        <f>MIN('02_Данные'!AX353,DE353)</f>
        <v/>
      </c>
      <c r="DG353" s="10">
        <f>DE353-DF353</f>
        <v/>
      </c>
    </row>
    <row r="354">
      <c r="A354" s="9">
        <f>'02_Данные'!B354</f>
        <v/>
      </c>
      <c r="B354" s="9">
        <f>'02_Данные'!E354</f>
        <v/>
      </c>
      <c r="C354" s="10">
        <f>'02_Данные'!F354+'02_Данные'!G354+'02_Данные'!H354+'02_Данные'!I354+'02_Данные'!J354+'02_Данные'!K354</f>
        <v/>
      </c>
      <c r="D354" s="10">
        <f>SUM('02_Данные'!L354:'02_Данные'!AY354)</f>
        <v/>
      </c>
      <c r="E354" s="10">
        <f>MAX(0,D354-C354)</f>
        <v/>
      </c>
      <c r="F354" s="15">
        <f>IF(E354&gt;0.0001,"ДЕФИЦИТ",IF(Y354&gt;0.0001,"ПРОФИЦИТ","БАЛАНС"))</f>
        <v/>
      </c>
      <c r="G354" s="10">
        <f>AB354+AS354+BJ354+CA354+CR354</f>
        <v/>
      </c>
      <c r="H354" s="10">
        <f>AD354+AU354+BL354+CC354+CT354</f>
        <v/>
      </c>
      <c r="I354" s="10">
        <f>AF354+AW354+BN354+CE354+CV354</f>
        <v/>
      </c>
      <c r="J354" s="10">
        <f>AL354+BC354+BT354+CK354+DB354</f>
        <v/>
      </c>
      <c r="K354" s="10">
        <f>AJ354+BA354+BR354+CI354+CZ354</f>
        <v/>
      </c>
      <c r="L354" s="10">
        <f>AN354+BE354+BV354+CM354+DD354</f>
        <v/>
      </c>
      <c r="M354" s="10">
        <f>AP354+BG354+BX354+CO354+DF354</f>
        <v/>
      </c>
      <c r="N354" s="10">
        <f>AH354+AY354+BP354+CG354+CX354</f>
        <v/>
      </c>
      <c r="O354" s="10">
        <f>SUM(G354:N354)</f>
        <v/>
      </c>
      <c r="P354" s="10">
        <f>IFERROR(G354*MIN(1,'01_Нормативы'!$C$4/SUM(G$2:G$429)),0)</f>
        <v/>
      </c>
      <c r="Q354" s="10">
        <f>IFERROR(H354*MIN(1,'01_Нормативы'!$C$5/SUM(H$2:H$429)),0)</f>
        <v/>
      </c>
      <c r="R354" s="10">
        <f>IFERROR(I354*MIN(1,'01_Нормативы'!$C$6/SUM(I$2:I$429)),0)</f>
        <v/>
      </c>
      <c r="S354" s="10">
        <f>IFERROR(J354*MIN(1,'01_Нормативы'!$C$7/SUM(J$2:J$429)),0)</f>
        <v/>
      </c>
      <c r="T354" s="10">
        <f>IFERROR(K354*MIN(1,'01_Нормативы'!$C$8/SUM(K$2:K$429)),0)</f>
        <v/>
      </c>
      <c r="U354" s="10">
        <f>IFERROR(L354*MIN(1,'01_Нормативы'!$C$9/SUM(L$2:L$429)),0)</f>
        <v/>
      </c>
      <c r="V354" s="10">
        <f>IFERROR(M354*MIN(1,'01_Нормативы'!$C$10/SUM(M$2:M$429)),0)</f>
        <v/>
      </c>
      <c r="W354" s="10">
        <f>IFERROR(N354*MIN(1,'01_Нормативы'!$C$11/SUM(N$2:N$429)),0)</f>
        <v/>
      </c>
      <c r="X354" s="10">
        <f>SUM(P354:W354)</f>
        <v/>
      </c>
      <c r="Y354" s="10">
        <f>MAX(0,C354-X354)</f>
        <v/>
      </c>
      <c r="Z354" s="10">
        <f>IF(D354=0,100,X354/D354*100)</f>
        <v/>
      </c>
      <c r="AA354" s="10">
        <f>'02_Данные'!F354+'02_Данные'!G354</f>
        <v/>
      </c>
      <c r="AB354" s="10">
        <f>MIN('02_Данные'!L354,AA354)</f>
        <v/>
      </c>
      <c r="AC354" s="10">
        <f>AA354-AB354</f>
        <v/>
      </c>
      <c r="AD354" s="10">
        <f>MIN('02_Данные'!M354,AC354)</f>
        <v/>
      </c>
      <c r="AE354" s="10">
        <f>AC354-AD354</f>
        <v/>
      </c>
      <c r="AF354" s="10">
        <f>MIN('02_Данные'!N354,AE354)</f>
        <v/>
      </c>
      <c r="AG354" s="10">
        <f>AE354-AF354</f>
        <v/>
      </c>
      <c r="AH354" s="10">
        <f>MIN('02_Данные'!S354,AG354)</f>
        <v/>
      </c>
      <c r="AI354" s="10">
        <f>AG354-AH354</f>
        <v/>
      </c>
      <c r="AJ354" s="10">
        <f>MIN('02_Данные'!P354,AI354)</f>
        <v/>
      </c>
      <c r="AK354" s="10">
        <f>AI354-AJ354</f>
        <v/>
      </c>
      <c r="AL354" s="10">
        <f>MIN('02_Данные'!O354,AK354)</f>
        <v/>
      </c>
      <c r="AM354" s="10">
        <f>AK354-AL354</f>
        <v/>
      </c>
      <c r="AN354" s="10">
        <f>MIN('02_Данные'!Q354,AM354)</f>
        <v/>
      </c>
      <c r="AO354" s="10">
        <f>AM354-AN354</f>
        <v/>
      </c>
      <c r="AP354" s="10">
        <f>MIN('02_Данные'!R354,AO354)</f>
        <v/>
      </c>
      <c r="AQ354" s="10">
        <f>AO354-AP354</f>
        <v/>
      </c>
      <c r="AR354" s="10">
        <f>AQ354+'02_Данные'!H354</f>
        <v/>
      </c>
      <c r="AS354" s="10">
        <f>MIN('02_Данные'!T354,AR354)</f>
        <v/>
      </c>
      <c r="AT354" s="10">
        <f>AR354-AS354</f>
        <v/>
      </c>
      <c r="AU354" s="10">
        <f>MIN('02_Данные'!U354,AT354)</f>
        <v/>
      </c>
      <c r="AV354" s="10">
        <f>AT354-AU354</f>
        <v/>
      </c>
      <c r="AW354" s="10">
        <f>MIN('02_Данные'!V354,AV354)</f>
        <v/>
      </c>
      <c r="AX354" s="10">
        <f>AV354-AW354</f>
        <v/>
      </c>
      <c r="AY354" s="10">
        <f>MIN('02_Данные'!AA354,AX354)</f>
        <v/>
      </c>
      <c r="AZ354" s="10">
        <f>AX354-AY354</f>
        <v/>
      </c>
      <c r="BA354" s="10">
        <f>MIN('02_Данные'!X354,AZ354)</f>
        <v/>
      </c>
      <c r="BB354" s="10">
        <f>AZ354-BA354</f>
        <v/>
      </c>
      <c r="BC354" s="10">
        <f>MIN('02_Данные'!W354,BB354)</f>
        <v/>
      </c>
      <c r="BD354" s="10">
        <f>BB354-BC354</f>
        <v/>
      </c>
      <c r="BE354" s="10">
        <f>MIN('02_Данные'!Y354,BD354)</f>
        <v/>
      </c>
      <c r="BF354" s="10">
        <f>BD354-BE354</f>
        <v/>
      </c>
      <c r="BG354" s="10">
        <f>MIN('02_Данные'!Z354,BF354)</f>
        <v/>
      </c>
      <c r="BH354" s="10">
        <f>BF354-BG354</f>
        <v/>
      </c>
      <c r="BI354" s="10">
        <f>BH354+'02_Данные'!I354</f>
        <v/>
      </c>
      <c r="BJ354" s="10">
        <f>MIN('02_Данные'!AB354,BI354)</f>
        <v/>
      </c>
      <c r="BK354" s="10">
        <f>BI354-BJ354</f>
        <v/>
      </c>
      <c r="BL354" s="10">
        <f>MIN('02_Данные'!AC354,BK354)</f>
        <v/>
      </c>
      <c r="BM354" s="10">
        <f>BK354-BL354</f>
        <v/>
      </c>
      <c r="BN354" s="10">
        <f>MIN('02_Данные'!AD354,BM354)</f>
        <v/>
      </c>
      <c r="BO354" s="10">
        <f>BM354-BN354</f>
        <v/>
      </c>
      <c r="BP354" s="10">
        <f>MIN('02_Данные'!AI354,BO354)</f>
        <v/>
      </c>
      <c r="BQ354" s="10">
        <f>BO354-BP354</f>
        <v/>
      </c>
      <c r="BR354" s="10">
        <f>MIN('02_Данные'!AF354,BQ354)</f>
        <v/>
      </c>
      <c r="BS354" s="10">
        <f>BQ354-BR354</f>
        <v/>
      </c>
      <c r="BT354" s="10">
        <f>MIN('02_Данные'!AE354,BS354)</f>
        <v/>
      </c>
      <c r="BU354" s="10">
        <f>BS354-BT354</f>
        <v/>
      </c>
      <c r="BV354" s="10">
        <f>MIN('02_Данные'!AG354,BU354)</f>
        <v/>
      </c>
      <c r="BW354" s="10">
        <f>BU354-BV354</f>
        <v/>
      </c>
      <c r="BX354" s="10">
        <f>MIN('02_Данные'!AH354,BW354)</f>
        <v/>
      </c>
      <c r="BY354" s="10">
        <f>BW354-BX354</f>
        <v/>
      </c>
      <c r="BZ354" s="10">
        <f>BY354+'02_Данные'!J354</f>
        <v/>
      </c>
      <c r="CA354" s="10">
        <f>MIN('02_Данные'!AJ354,BZ354)</f>
        <v/>
      </c>
      <c r="CB354" s="10">
        <f>BZ354-CA354</f>
        <v/>
      </c>
      <c r="CC354" s="10">
        <f>MIN('02_Данные'!AK354,CB354)</f>
        <v/>
      </c>
      <c r="CD354" s="10">
        <f>CB354-CC354</f>
        <v/>
      </c>
      <c r="CE354" s="10">
        <f>MIN('02_Данные'!AL354,CD354)</f>
        <v/>
      </c>
      <c r="CF354" s="10">
        <f>CD354-CE354</f>
        <v/>
      </c>
      <c r="CG354" s="10">
        <f>MIN('02_Данные'!AQ354,CF354)</f>
        <v/>
      </c>
      <c r="CH354" s="10">
        <f>CF354-CG354</f>
        <v/>
      </c>
      <c r="CI354" s="10">
        <f>MIN('02_Данные'!AN354,CH354)</f>
        <v/>
      </c>
      <c r="CJ354" s="10">
        <f>CH354-CI354</f>
        <v/>
      </c>
      <c r="CK354" s="10">
        <f>MIN('02_Данные'!AM354,CJ354)</f>
        <v/>
      </c>
      <c r="CL354" s="10">
        <f>CJ354-CK354</f>
        <v/>
      </c>
      <c r="CM354" s="10">
        <f>MIN('02_Данные'!AO354,CL354)</f>
        <v/>
      </c>
      <c r="CN354" s="10">
        <f>CL354-CM354</f>
        <v/>
      </c>
      <c r="CO354" s="10">
        <f>MIN('02_Данные'!AP354,CN354)</f>
        <v/>
      </c>
      <c r="CP354" s="10">
        <f>CN354-CO354</f>
        <v/>
      </c>
      <c r="CQ354" s="10">
        <f>CP354+'02_Данные'!K354</f>
        <v/>
      </c>
      <c r="CR354" s="10">
        <f>MIN('02_Данные'!AR354,CQ354)</f>
        <v/>
      </c>
      <c r="CS354" s="10">
        <f>CQ354-CR354</f>
        <v/>
      </c>
      <c r="CT354" s="10">
        <f>MIN('02_Данные'!AS354,CS354)</f>
        <v/>
      </c>
      <c r="CU354" s="10">
        <f>CS354-CT354</f>
        <v/>
      </c>
      <c r="CV354" s="10">
        <f>MIN('02_Данные'!AT354,CU354)</f>
        <v/>
      </c>
      <c r="CW354" s="10">
        <f>CU354-CV354</f>
        <v/>
      </c>
      <c r="CX354" s="10">
        <f>MIN('02_Данные'!AY354,CW354)</f>
        <v/>
      </c>
      <c r="CY354" s="10">
        <f>CW354-CX354</f>
        <v/>
      </c>
      <c r="CZ354" s="10">
        <f>MIN('02_Данные'!AV354,CY354)</f>
        <v/>
      </c>
      <c r="DA354" s="10">
        <f>CY354-CZ354</f>
        <v/>
      </c>
      <c r="DB354" s="10">
        <f>MIN('02_Данные'!AU354,DA354)</f>
        <v/>
      </c>
      <c r="DC354" s="10">
        <f>DA354-DB354</f>
        <v/>
      </c>
      <c r="DD354" s="10">
        <f>MIN('02_Данные'!AW354,DC354)</f>
        <v/>
      </c>
      <c r="DE354" s="10">
        <f>DC354-DD354</f>
        <v/>
      </c>
      <c r="DF354" s="10">
        <f>MIN('02_Данные'!AX354,DE354)</f>
        <v/>
      </c>
      <c r="DG354" s="10">
        <f>DE354-DF354</f>
        <v/>
      </c>
    </row>
    <row r="355">
      <c r="A355" s="9">
        <f>'02_Данные'!B355</f>
        <v/>
      </c>
      <c r="B355" s="9">
        <f>'02_Данные'!E355</f>
        <v/>
      </c>
      <c r="C355" s="10">
        <f>'02_Данные'!F355+'02_Данные'!G355+'02_Данные'!H355+'02_Данные'!I355+'02_Данные'!J355+'02_Данные'!K355</f>
        <v/>
      </c>
      <c r="D355" s="10">
        <f>SUM('02_Данные'!L355:'02_Данные'!AY355)</f>
        <v/>
      </c>
      <c r="E355" s="10">
        <f>MAX(0,D355-C355)</f>
        <v/>
      </c>
      <c r="F355" s="15">
        <f>IF(E355&gt;0.0001,"ДЕФИЦИТ",IF(Y355&gt;0.0001,"ПРОФИЦИТ","БАЛАНС"))</f>
        <v/>
      </c>
      <c r="G355" s="10">
        <f>AB355+AS355+BJ355+CA355+CR355</f>
        <v/>
      </c>
      <c r="H355" s="10">
        <f>AD355+AU355+BL355+CC355+CT355</f>
        <v/>
      </c>
      <c r="I355" s="10">
        <f>AF355+AW355+BN355+CE355+CV355</f>
        <v/>
      </c>
      <c r="J355" s="10">
        <f>AL355+BC355+BT355+CK355+DB355</f>
        <v/>
      </c>
      <c r="K355" s="10">
        <f>AJ355+BA355+BR355+CI355+CZ355</f>
        <v/>
      </c>
      <c r="L355" s="10">
        <f>AN355+BE355+BV355+CM355+DD355</f>
        <v/>
      </c>
      <c r="M355" s="10">
        <f>AP355+BG355+BX355+CO355+DF355</f>
        <v/>
      </c>
      <c r="N355" s="10">
        <f>AH355+AY355+BP355+CG355+CX355</f>
        <v/>
      </c>
      <c r="O355" s="10">
        <f>SUM(G355:N355)</f>
        <v/>
      </c>
      <c r="P355" s="10">
        <f>IFERROR(G355*MIN(1,'01_Нормативы'!$C$4/SUM(G$2:G$429)),0)</f>
        <v/>
      </c>
      <c r="Q355" s="10">
        <f>IFERROR(H355*MIN(1,'01_Нормативы'!$C$5/SUM(H$2:H$429)),0)</f>
        <v/>
      </c>
      <c r="R355" s="10">
        <f>IFERROR(I355*MIN(1,'01_Нормативы'!$C$6/SUM(I$2:I$429)),0)</f>
        <v/>
      </c>
      <c r="S355" s="10">
        <f>IFERROR(J355*MIN(1,'01_Нормативы'!$C$7/SUM(J$2:J$429)),0)</f>
        <v/>
      </c>
      <c r="T355" s="10">
        <f>IFERROR(K355*MIN(1,'01_Нормативы'!$C$8/SUM(K$2:K$429)),0)</f>
        <v/>
      </c>
      <c r="U355" s="10">
        <f>IFERROR(L355*MIN(1,'01_Нормативы'!$C$9/SUM(L$2:L$429)),0)</f>
        <v/>
      </c>
      <c r="V355" s="10">
        <f>IFERROR(M355*MIN(1,'01_Нормативы'!$C$10/SUM(M$2:M$429)),0)</f>
        <v/>
      </c>
      <c r="W355" s="10">
        <f>IFERROR(N355*MIN(1,'01_Нормативы'!$C$11/SUM(N$2:N$429)),0)</f>
        <v/>
      </c>
      <c r="X355" s="10">
        <f>SUM(P355:W355)</f>
        <v/>
      </c>
      <c r="Y355" s="10">
        <f>MAX(0,C355-X355)</f>
        <v/>
      </c>
      <c r="Z355" s="10">
        <f>IF(D355=0,100,X355/D355*100)</f>
        <v/>
      </c>
      <c r="AA355" s="10">
        <f>'02_Данные'!F355+'02_Данные'!G355</f>
        <v/>
      </c>
      <c r="AB355" s="10">
        <f>MIN('02_Данные'!L355,AA355)</f>
        <v/>
      </c>
      <c r="AC355" s="10">
        <f>AA355-AB355</f>
        <v/>
      </c>
      <c r="AD355" s="10">
        <f>MIN('02_Данные'!M355,AC355)</f>
        <v/>
      </c>
      <c r="AE355" s="10">
        <f>AC355-AD355</f>
        <v/>
      </c>
      <c r="AF355" s="10">
        <f>MIN('02_Данные'!N355,AE355)</f>
        <v/>
      </c>
      <c r="AG355" s="10">
        <f>AE355-AF355</f>
        <v/>
      </c>
      <c r="AH355" s="10">
        <f>MIN('02_Данные'!S355,AG355)</f>
        <v/>
      </c>
      <c r="AI355" s="10">
        <f>AG355-AH355</f>
        <v/>
      </c>
      <c r="AJ355" s="10">
        <f>MIN('02_Данные'!P355,AI355)</f>
        <v/>
      </c>
      <c r="AK355" s="10">
        <f>AI355-AJ355</f>
        <v/>
      </c>
      <c r="AL355" s="10">
        <f>MIN('02_Данные'!O355,AK355)</f>
        <v/>
      </c>
      <c r="AM355" s="10">
        <f>AK355-AL355</f>
        <v/>
      </c>
      <c r="AN355" s="10">
        <f>MIN('02_Данные'!Q355,AM355)</f>
        <v/>
      </c>
      <c r="AO355" s="10">
        <f>AM355-AN355</f>
        <v/>
      </c>
      <c r="AP355" s="10">
        <f>MIN('02_Данные'!R355,AO355)</f>
        <v/>
      </c>
      <c r="AQ355" s="10">
        <f>AO355-AP355</f>
        <v/>
      </c>
      <c r="AR355" s="10">
        <f>AQ355+'02_Данные'!H355</f>
        <v/>
      </c>
      <c r="AS355" s="10">
        <f>MIN('02_Данные'!T355,AR355)</f>
        <v/>
      </c>
      <c r="AT355" s="10">
        <f>AR355-AS355</f>
        <v/>
      </c>
      <c r="AU355" s="10">
        <f>MIN('02_Данные'!U355,AT355)</f>
        <v/>
      </c>
      <c r="AV355" s="10">
        <f>AT355-AU355</f>
        <v/>
      </c>
      <c r="AW355" s="10">
        <f>MIN('02_Данные'!V355,AV355)</f>
        <v/>
      </c>
      <c r="AX355" s="10">
        <f>AV355-AW355</f>
        <v/>
      </c>
      <c r="AY355" s="10">
        <f>MIN('02_Данные'!AA355,AX355)</f>
        <v/>
      </c>
      <c r="AZ355" s="10">
        <f>AX355-AY355</f>
        <v/>
      </c>
      <c r="BA355" s="10">
        <f>MIN('02_Данные'!X355,AZ355)</f>
        <v/>
      </c>
      <c r="BB355" s="10">
        <f>AZ355-BA355</f>
        <v/>
      </c>
      <c r="BC355" s="10">
        <f>MIN('02_Данные'!W355,BB355)</f>
        <v/>
      </c>
      <c r="BD355" s="10">
        <f>BB355-BC355</f>
        <v/>
      </c>
      <c r="BE355" s="10">
        <f>MIN('02_Данные'!Y355,BD355)</f>
        <v/>
      </c>
      <c r="BF355" s="10">
        <f>BD355-BE355</f>
        <v/>
      </c>
      <c r="BG355" s="10">
        <f>MIN('02_Данные'!Z355,BF355)</f>
        <v/>
      </c>
      <c r="BH355" s="10">
        <f>BF355-BG355</f>
        <v/>
      </c>
      <c r="BI355" s="10">
        <f>BH355+'02_Данные'!I355</f>
        <v/>
      </c>
      <c r="BJ355" s="10">
        <f>MIN('02_Данные'!AB355,BI355)</f>
        <v/>
      </c>
      <c r="BK355" s="10">
        <f>BI355-BJ355</f>
        <v/>
      </c>
      <c r="BL355" s="10">
        <f>MIN('02_Данные'!AC355,BK355)</f>
        <v/>
      </c>
      <c r="BM355" s="10">
        <f>BK355-BL355</f>
        <v/>
      </c>
      <c r="BN355" s="10">
        <f>MIN('02_Данные'!AD355,BM355)</f>
        <v/>
      </c>
      <c r="BO355" s="10">
        <f>BM355-BN355</f>
        <v/>
      </c>
      <c r="BP355" s="10">
        <f>MIN('02_Данные'!AI355,BO355)</f>
        <v/>
      </c>
      <c r="BQ355" s="10">
        <f>BO355-BP355</f>
        <v/>
      </c>
      <c r="BR355" s="10">
        <f>MIN('02_Данные'!AF355,BQ355)</f>
        <v/>
      </c>
      <c r="BS355" s="10">
        <f>BQ355-BR355</f>
        <v/>
      </c>
      <c r="BT355" s="10">
        <f>MIN('02_Данные'!AE355,BS355)</f>
        <v/>
      </c>
      <c r="BU355" s="10">
        <f>BS355-BT355</f>
        <v/>
      </c>
      <c r="BV355" s="10">
        <f>MIN('02_Данные'!AG355,BU355)</f>
        <v/>
      </c>
      <c r="BW355" s="10">
        <f>BU355-BV355</f>
        <v/>
      </c>
      <c r="BX355" s="10">
        <f>MIN('02_Данные'!AH355,BW355)</f>
        <v/>
      </c>
      <c r="BY355" s="10">
        <f>BW355-BX355</f>
        <v/>
      </c>
      <c r="BZ355" s="10">
        <f>BY355+'02_Данные'!J355</f>
        <v/>
      </c>
      <c r="CA355" s="10">
        <f>MIN('02_Данные'!AJ355,BZ355)</f>
        <v/>
      </c>
      <c r="CB355" s="10">
        <f>BZ355-CA355</f>
        <v/>
      </c>
      <c r="CC355" s="10">
        <f>MIN('02_Данные'!AK355,CB355)</f>
        <v/>
      </c>
      <c r="CD355" s="10">
        <f>CB355-CC355</f>
        <v/>
      </c>
      <c r="CE355" s="10">
        <f>MIN('02_Данные'!AL355,CD355)</f>
        <v/>
      </c>
      <c r="CF355" s="10">
        <f>CD355-CE355</f>
        <v/>
      </c>
      <c r="CG355" s="10">
        <f>MIN('02_Данные'!AQ355,CF355)</f>
        <v/>
      </c>
      <c r="CH355" s="10">
        <f>CF355-CG355</f>
        <v/>
      </c>
      <c r="CI355" s="10">
        <f>MIN('02_Данные'!AN355,CH355)</f>
        <v/>
      </c>
      <c r="CJ355" s="10">
        <f>CH355-CI355</f>
        <v/>
      </c>
      <c r="CK355" s="10">
        <f>MIN('02_Данные'!AM355,CJ355)</f>
        <v/>
      </c>
      <c r="CL355" s="10">
        <f>CJ355-CK355</f>
        <v/>
      </c>
      <c r="CM355" s="10">
        <f>MIN('02_Данные'!AO355,CL355)</f>
        <v/>
      </c>
      <c r="CN355" s="10">
        <f>CL355-CM355</f>
        <v/>
      </c>
      <c r="CO355" s="10">
        <f>MIN('02_Данные'!AP355,CN355)</f>
        <v/>
      </c>
      <c r="CP355" s="10">
        <f>CN355-CO355</f>
        <v/>
      </c>
      <c r="CQ355" s="10">
        <f>CP355+'02_Данные'!K355</f>
        <v/>
      </c>
      <c r="CR355" s="10">
        <f>MIN('02_Данные'!AR355,CQ355)</f>
        <v/>
      </c>
      <c r="CS355" s="10">
        <f>CQ355-CR355</f>
        <v/>
      </c>
      <c r="CT355" s="10">
        <f>MIN('02_Данные'!AS355,CS355)</f>
        <v/>
      </c>
      <c r="CU355" s="10">
        <f>CS355-CT355</f>
        <v/>
      </c>
      <c r="CV355" s="10">
        <f>MIN('02_Данные'!AT355,CU355)</f>
        <v/>
      </c>
      <c r="CW355" s="10">
        <f>CU355-CV355</f>
        <v/>
      </c>
      <c r="CX355" s="10">
        <f>MIN('02_Данные'!AY355,CW355)</f>
        <v/>
      </c>
      <c r="CY355" s="10">
        <f>CW355-CX355</f>
        <v/>
      </c>
      <c r="CZ355" s="10">
        <f>MIN('02_Данные'!AV355,CY355)</f>
        <v/>
      </c>
      <c r="DA355" s="10">
        <f>CY355-CZ355</f>
        <v/>
      </c>
      <c r="DB355" s="10">
        <f>MIN('02_Данные'!AU355,DA355)</f>
        <v/>
      </c>
      <c r="DC355" s="10">
        <f>DA355-DB355</f>
        <v/>
      </c>
      <c r="DD355" s="10">
        <f>MIN('02_Данные'!AW355,DC355)</f>
        <v/>
      </c>
      <c r="DE355" s="10">
        <f>DC355-DD355</f>
        <v/>
      </c>
      <c r="DF355" s="10">
        <f>MIN('02_Данные'!AX355,DE355)</f>
        <v/>
      </c>
      <c r="DG355" s="10">
        <f>DE355-DF355</f>
        <v/>
      </c>
    </row>
    <row r="356">
      <c r="A356" s="9">
        <f>'02_Данные'!B356</f>
        <v/>
      </c>
      <c r="B356" s="9">
        <f>'02_Данные'!E356</f>
        <v/>
      </c>
      <c r="C356" s="10">
        <f>'02_Данные'!F356+'02_Данные'!G356+'02_Данные'!H356+'02_Данные'!I356+'02_Данные'!J356+'02_Данные'!K356</f>
        <v/>
      </c>
      <c r="D356" s="10">
        <f>SUM('02_Данные'!L356:'02_Данные'!AY356)</f>
        <v/>
      </c>
      <c r="E356" s="10">
        <f>MAX(0,D356-C356)</f>
        <v/>
      </c>
      <c r="F356" s="15">
        <f>IF(E356&gt;0.0001,"ДЕФИЦИТ",IF(Y356&gt;0.0001,"ПРОФИЦИТ","БАЛАНС"))</f>
        <v/>
      </c>
      <c r="G356" s="10">
        <f>AB356+AS356+BJ356+CA356+CR356</f>
        <v/>
      </c>
      <c r="H356" s="10">
        <f>AD356+AU356+BL356+CC356+CT356</f>
        <v/>
      </c>
      <c r="I356" s="10">
        <f>AF356+AW356+BN356+CE356+CV356</f>
        <v/>
      </c>
      <c r="J356" s="10">
        <f>AL356+BC356+BT356+CK356+DB356</f>
        <v/>
      </c>
      <c r="K356" s="10">
        <f>AJ356+BA356+BR356+CI356+CZ356</f>
        <v/>
      </c>
      <c r="L356" s="10">
        <f>AN356+BE356+BV356+CM356+DD356</f>
        <v/>
      </c>
      <c r="M356" s="10">
        <f>AP356+BG356+BX356+CO356+DF356</f>
        <v/>
      </c>
      <c r="N356" s="10">
        <f>AH356+AY356+BP356+CG356+CX356</f>
        <v/>
      </c>
      <c r="O356" s="10">
        <f>SUM(G356:N356)</f>
        <v/>
      </c>
      <c r="P356" s="10">
        <f>IFERROR(G356*MIN(1,'01_Нормативы'!$C$4/SUM(G$2:G$429)),0)</f>
        <v/>
      </c>
      <c r="Q356" s="10">
        <f>IFERROR(H356*MIN(1,'01_Нормативы'!$C$5/SUM(H$2:H$429)),0)</f>
        <v/>
      </c>
      <c r="R356" s="10">
        <f>IFERROR(I356*MIN(1,'01_Нормативы'!$C$6/SUM(I$2:I$429)),0)</f>
        <v/>
      </c>
      <c r="S356" s="10">
        <f>IFERROR(J356*MIN(1,'01_Нормативы'!$C$7/SUM(J$2:J$429)),0)</f>
        <v/>
      </c>
      <c r="T356" s="10">
        <f>IFERROR(K356*MIN(1,'01_Нормативы'!$C$8/SUM(K$2:K$429)),0)</f>
        <v/>
      </c>
      <c r="U356" s="10">
        <f>IFERROR(L356*MIN(1,'01_Нормативы'!$C$9/SUM(L$2:L$429)),0)</f>
        <v/>
      </c>
      <c r="V356" s="10">
        <f>IFERROR(M356*MIN(1,'01_Нормативы'!$C$10/SUM(M$2:M$429)),0)</f>
        <v/>
      </c>
      <c r="W356" s="10">
        <f>IFERROR(N356*MIN(1,'01_Нормативы'!$C$11/SUM(N$2:N$429)),0)</f>
        <v/>
      </c>
      <c r="X356" s="10">
        <f>SUM(P356:W356)</f>
        <v/>
      </c>
      <c r="Y356" s="10">
        <f>MAX(0,C356-X356)</f>
        <v/>
      </c>
      <c r="Z356" s="10">
        <f>IF(D356=0,100,X356/D356*100)</f>
        <v/>
      </c>
      <c r="AA356" s="10">
        <f>'02_Данные'!F356+'02_Данные'!G356</f>
        <v/>
      </c>
      <c r="AB356" s="10">
        <f>MIN('02_Данные'!L356,AA356)</f>
        <v/>
      </c>
      <c r="AC356" s="10">
        <f>AA356-AB356</f>
        <v/>
      </c>
      <c r="AD356" s="10">
        <f>MIN('02_Данные'!M356,AC356)</f>
        <v/>
      </c>
      <c r="AE356" s="10">
        <f>AC356-AD356</f>
        <v/>
      </c>
      <c r="AF356" s="10">
        <f>MIN('02_Данные'!N356,AE356)</f>
        <v/>
      </c>
      <c r="AG356" s="10">
        <f>AE356-AF356</f>
        <v/>
      </c>
      <c r="AH356" s="10">
        <f>MIN('02_Данные'!S356,AG356)</f>
        <v/>
      </c>
      <c r="AI356" s="10">
        <f>AG356-AH356</f>
        <v/>
      </c>
      <c r="AJ356" s="10">
        <f>MIN('02_Данные'!P356,AI356)</f>
        <v/>
      </c>
      <c r="AK356" s="10">
        <f>AI356-AJ356</f>
        <v/>
      </c>
      <c r="AL356" s="10">
        <f>MIN('02_Данные'!O356,AK356)</f>
        <v/>
      </c>
      <c r="AM356" s="10">
        <f>AK356-AL356</f>
        <v/>
      </c>
      <c r="AN356" s="10">
        <f>MIN('02_Данные'!Q356,AM356)</f>
        <v/>
      </c>
      <c r="AO356" s="10">
        <f>AM356-AN356</f>
        <v/>
      </c>
      <c r="AP356" s="10">
        <f>MIN('02_Данные'!R356,AO356)</f>
        <v/>
      </c>
      <c r="AQ356" s="10">
        <f>AO356-AP356</f>
        <v/>
      </c>
      <c r="AR356" s="10">
        <f>AQ356+'02_Данные'!H356</f>
        <v/>
      </c>
      <c r="AS356" s="10">
        <f>MIN('02_Данные'!T356,AR356)</f>
        <v/>
      </c>
      <c r="AT356" s="10">
        <f>AR356-AS356</f>
        <v/>
      </c>
      <c r="AU356" s="10">
        <f>MIN('02_Данные'!U356,AT356)</f>
        <v/>
      </c>
      <c r="AV356" s="10">
        <f>AT356-AU356</f>
        <v/>
      </c>
      <c r="AW356" s="10">
        <f>MIN('02_Данные'!V356,AV356)</f>
        <v/>
      </c>
      <c r="AX356" s="10">
        <f>AV356-AW356</f>
        <v/>
      </c>
      <c r="AY356" s="10">
        <f>MIN('02_Данные'!AA356,AX356)</f>
        <v/>
      </c>
      <c r="AZ356" s="10">
        <f>AX356-AY356</f>
        <v/>
      </c>
      <c r="BA356" s="10">
        <f>MIN('02_Данные'!X356,AZ356)</f>
        <v/>
      </c>
      <c r="BB356" s="10">
        <f>AZ356-BA356</f>
        <v/>
      </c>
      <c r="BC356" s="10">
        <f>MIN('02_Данные'!W356,BB356)</f>
        <v/>
      </c>
      <c r="BD356" s="10">
        <f>BB356-BC356</f>
        <v/>
      </c>
      <c r="BE356" s="10">
        <f>MIN('02_Данные'!Y356,BD356)</f>
        <v/>
      </c>
      <c r="BF356" s="10">
        <f>BD356-BE356</f>
        <v/>
      </c>
      <c r="BG356" s="10">
        <f>MIN('02_Данные'!Z356,BF356)</f>
        <v/>
      </c>
      <c r="BH356" s="10">
        <f>BF356-BG356</f>
        <v/>
      </c>
      <c r="BI356" s="10">
        <f>BH356+'02_Данные'!I356</f>
        <v/>
      </c>
      <c r="BJ356" s="10">
        <f>MIN('02_Данные'!AB356,BI356)</f>
        <v/>
      </c>
      <c r="BK356" s="10">
        <f>BI356-BJ356</f>
        <v/>
      </c>
      <c r="BL356" s="10">
        <f>MIN('02_Данные'!AC356,BK356)</f>
        <v/>
      </c>
      <c r="BM356" s="10">
        <f>BK356-BL356</f>
        <v/>
      </c>
      <c r="BN356" s="10">
        <f>MIN('02_Данные'!AD356,BM356)</f>
        <v/>
      </c>
      <c r="BO356" s="10">
        <f>BM356-BN356</f>
        <v/>
      </c>
      <c r="BP356" s="10">
        <f>MIN('02_Данные'!AI356,BO356)</f>
        <v/>
      </c>
      <c r="BQ356" s="10">
        <f>BO356-BP356</f>
        <v/>
      </c>
      <c r="BR356" s="10">
        <f>MIN('02_Данные'!AF356,BQ356)</f>
        <v/>
      </c>
      <c r="BS356" s="10">
        <f>BQ356-BR356</f>
        <v/>
      </c>
      <c r="BT356" s="10">
        <f>MIN('02_Данные'!AE356,BS356)</f>
        <v/>
      </c>
      <c r="BU356" s="10">
        <f>BS356-BT356</f>
        <v/>
      </c>
      <c r="BV356" s="10">
        <f>MIN('02_Данные'!AG356,BU356)</f>
        <v/>
      </c>
      <c r="BW356" s="10">
        <f>BU356-BV356</f>
        <v/>
      </c>
      <c r="BX356" s="10">
        <f>MIN('02_Данные'!AH356,BW356)</f>
        <v/>
      </c>
      <c r="BY356" s="10">
        <f>BW356-BX356</f>
        <v/>
      </c>
      <c r="BZ356" s="10">
        <f>BY356+'02_Данные'!J356</f>
        <v/>
      </c>
      <c r="CA356" s="10">
        <f>MIN('02_Данные'!AJ356,BZ356)</f>
        <v/>
      </c>
      <c r="CB356" s="10">
        <f>BZ356-CA356</f>
        <v/>
      </c>
      <c r="CC356" s="10">
        <f>MIN('02_Данные'!AK356,CB356)</f>
        <v/>
      </c>
      <c r="CD356" s="10">
        <f>CB356-CC356</f>
        <v/>
      </c>
      <c r="CE356" s="10">
        <f>MIN('02_Данные'!AL356,CD356)</f>
        <v/>
      </c>
      <c r="CF356" s="10">
        <f>CD356-CE356</f>
        <v/>
      </c>
      <c r="CG356" s="10">
        <f>MIN('02_Данные'!AQ356,CF356)</f>
        <v/>
      </c>
      <c r="CH356" s="10">
        <f>CF356-CG356</f>
        <v/>
      </c>
      <c r="CI356" s="10">
        <f>MIN('02_Данные'!AN356,CH356)</f>
        <v/>
      </c>
      <c r="CJ356" s="10">
        <f>CH356-CI356</f>
        <v/>
      </c>
      <c r="CK356" s="10">
        <f>MIN('02_Данные'!AM356,CJ356)</f>
        <v/>
      </c>
      <c r="CL356" s="10">
        <f>CJ356-CK356</f>
        <v/>
      </c>
      <c r="CM356" s="10">
        <f>MIN('02_Данные'!AO356,CL356)</f>
        <v/>
      </c>
      <c r="CN356" s="10">
        <f>CL356-CM356</f>
        <v/>
      </c>
      <c r="CO356" s="10">
        <f>MIN('02_Данные'!AP356,CN356)</f>
        <v/>
      </c>
      <c r="CP356" s="10">
        <f>CN356-CO356</f>
        <v/>
      </c>
      <c r="CQ356" s="10">
        <f>CP356+'02_Данные'!K356</f>
        <v/>
      </c>
      <c r="CR356" s="10">
        <f>MIN('02_Данные'!AR356,CQ356)</f>
        <v/>
      </c>
      <c r="CS356" s="10">
        <f>CQ356-CR356</f>
        <v/>
      </c>
      <c r="CT356" s="10">
        <f>MIN('02_Данные'!AS356,CS356)</f>
        <v/>
      </c>
      <c r="CU356" s="10">
        <f>CS356-CT356</f>
        <v/>
      </c>
      <c r="CV356" s="10">
        <f>MIN('02_Данные'!AT356,CU356)</f>
        <v/>
      </c>
      <c r="CW356" s="10">
        <f>CU356-CV356</f>
        <v/>
      </c>
      <c r="CX356" s="10">
        <f>MIN('02_Данные'!AY356,CW356)</f>
        <v/>
      </c>
      <c r="CY356" s="10">
        <f>CW356-CX356</f>
        <v/>
      </c>
      <c r="CZ356" s="10">
        <f>MIN('02_Данные'!AV356,CY356)</f>
        <v/>
      </c>
      <c r="DA356" s="10">
        <f>CY356-CZ356</f>
        <v/>
      </c>
      <c r="DB356" s="10">
        <f>MIN('02_Данные'!AU356,DA356)</f>
        <v/>
      </c>
      <c r="DC356" s="10">
        <f>DA356-DB356</f>
        <v/>
      </c>
      <c r="DD356" s="10">
        <f>MIN('02_Данные'!AW356,DC356)</f>
        <v/>
      </c>
      <c r="DE356" s="10">
        <f>DC356-DD356</f>
        <v/>
      </c>
      <c r="DF356" s="10">
        <f>MIN('02_Данные'!AX356,DE356)</f>
        <v/>
      </c>
      <c r="DG356" s="10">
        <f>DE356-DF356</f>
        <v/>
      </c>
    </row>
    <row r="357">
      <c r="A357" s="9">
        <f>'02_Данные'!B357</f>
        <v/>
      </c>
      <c r="B357" s="9">
        <f>'02_Данные'!E357</f>
        <v/>
      </c>
      <c r="C357" s="10">
        <f>'02_Данные'!F357+'02_Данные'!G357+'02_Данные'!H357+'02_Данные'!I357+'02_Данные'!J357+'02_Данные'!K357</f>
        <v/>
      </c>
      <c r="D357" s="10">
        <f>SUM('02_Данные'!L357:'02_Данные'!AY357)</f>
        <v/>
      </c>
      <c r="E357" s="10">
        <f>MAX(0,D357-C357)</f>
        <v/>
      </c>
      <c r="F357" s="15">
        <f>IF(E357&gt;0.0001,"ДЕФИЦИТ",IF(Y357&gt;0.0001,"ПРОФИЦИТ","БАЛАНС"))</f>
        <v/>
      </c>
      <c r="G357" s="10">
        <f>AB357+AS357+BJ357+CA357+CR357</f>
        <v/>
      </c>
      <c r="H357" s="10">
        <f>AD357+AU357+BL357+CC357+CT357</f>
        <v/>
      </c>
      <c r="I357" s="10">
        <f>AF357+AW357+BN357+CE357+CV357</f>
        <v/>
      </c>
      <c r="J357" s="10">
        <f>AL357+BC357+BT357+CK357+DB357</f>
        <v/>
      </c>
      <c r="K357" s="10">
        <f>AJ357+BA357+BR357+CI357+CZ357</f>
        <v/>
      </c>
      <c r="L357" s="10">
        <f>AN357+BE357+BV357+CM357+DD357</f>
        <v/>
      </c>
      <c r="M357" s="10">
        <f>AP357+BG357+BX357+CO357+DF357</f>
        <v/>
      </c>
      <c r="N357" s="10">
        <f>AH357+AY357+BP357+CG357+CX357</f>
        <v/>
      </c>
      <c r="O357" s="10">
        <f>SUM(G357:N357)</f>
        <v/>
      </c>
      <c r="P357" s="10">
        <f>IFERROR(G357*MIN(1,'01_Нормативы'!$C$4/SUM(G$2:G$429)),0)</f>
        <v/>
      </c>
      <c r="Q357" s="10">
        <f>IFERROR(H357*MIN(1,'01_Нормативы'!$C$5/SUM(H$2:H$429)),0)</f>
        <v/>
      </c>
      <c r="R357" s="10">
        <f>IFERROR(I357*MIN(1,'01_Нормативы'!$C$6/SUM(I$2:I$429)),0)</f>
        <v/>
      </c>
      <c r="S357" s="10">
        <f>IFERROR(J357*MIN(1,'01_Нормативы'!$C$7/SUM(J$2:J$429)),0)</f>
        <v/>
      </c>
      <c r="T357" s="10">
        <f>IFERROR(K357*MIN(1,'01_Нормативы'!$C$8/SUM(K$2:K$429)),0)</f>
        <v/>
      </c>
      <c r="U357" s="10">
        <f>IFERROR(L357*MIN(1,'01_Нормативы'!$C$9/SUM(L$2:L$429)),0)</f>
        <v/>
      </c>
      <c r="V357" s="10">
        <f>IFERROR(M357*MIN(1,'01_Нормативы'!$C$10/SUM(M$2:M$429)),0)</f>
        <v/>
      </c>
      <c r="W357" s="10">
        <f>IFERROR(N357*MIN(1,'01_Нормативы'!$C$11/SUM(N$2:N$429)),0)</f>
        <v/>
      </c>
      <c r="X357" s="10">
        <f>SUM(P357:W357)</f>
        <v/>
      </c>
      <c r="Y357" s="10">
        <f>MAX(0,C357-X357)</f>
        <v/>
      </c>
      <c r="Z357" s="10">
        <f>IF(D357=0,100,X357/D357*100)</f>
        <v/>
      </c>
      <c r="AA357" s="10">
        <f>'02_Данные'!F357+'02_Данные'!G357</f>
        <v/>
      </c>
      <c r="AB357" s="10">
        <f>MIN('02_Данные'!L357,AA357)</f>
        <v/>
      </c>
      <c r="AC357" s="10">
        <f>AA357-AB357</f>
        <v/>
      </c>
      <c r="AD357" s="10">
        <f>MIN('02_Данные'!M357,AC357)</f>
        <v/>
      </c>
      <c r="AE357" s="10">
        <f>AC357-AD357</f>
        <v/>
      </c>
      <c r="AF357" s="10">
        <f>MIN('02_Данные'!N357,AE357)</f>
        <v/>
      </c>
      <c r="AG357" s="10">
        <f>AE357-AF357</f>
        <v/>
      </c>
      <c r="AH357" s="10">
        <f>MIN('02_Данные'!S357,AG357)</f>
        <v/>
      </c>
      <c r="AI357" s="10">
        <f>AG357-AH357</f>
        <v/>
      </c>
      <c r="AJ357" s="10">
        <f>MIN('02_Данные'!P357,AI357)</f>
        <v/>
      </c>
      <c r="AK357" s="10">
        <f>AI357-AJ357</f>
        <v/>
      </c>
      <c r="AL357" s="10">
        <f>MIN('02_Данные'!O357,AK357)</f>
        <v/>
      </c>
      <c r="AM357" s="10">
        <f>AK357-AL357</f>
        <v/>
      </c>
      <c r="AN357" s="10">
        <f>MIN('02_Данные'!Q357,AM357)</f>
        <v/>
      </c>
      <c r="AO357" s="10">
        <f>AM357-AN357</f>
        <v/>
      </c>
      <c r="AP357" s="10">
        <f>MIN('02_Данные'!R357,AO357)</f>
        <v/>
      </c>
      <c r="AQ357" s="10">
        <f>AO357-AP357</f>
        <v/>
      </c>
      <c r="AR357" s="10">
        <f>AQ357+'02_Данные'!H357</f>
        <v/>
      </c>
      <c r="AS357" s="10">
        <f>MIN('02_Данные'!T357,AR357)</f>
        <v/>
      </c>
      <c r="AT357" s="10">
        <f>AR357-AS357</f>
        <v/>
      </c>
      <c r="AU357" s="10">
        <f>MIN('02_Данные'!U357,AT357)</f>
        <v/>
      </c>
      <c r="AV357" s="10">
        <f>AT357-AU357</f>
        <v/>
      </c>
      <c r="AW357" s="10">
        <f>MIN('02_Данные'!V357,AV357)</f>
        <v/>
      </c>
      <c r="AX357" s="10">
        <f>AV357-AW357</f>
        <v/>
      </c>
      <c r="AY357" s="10">
        <f>MIN('02_Данные'!AA357,AX357)</f>
        <v/>
      </c>
      <c r="AZ357" s="10">
        <f>AX357-AY357</f>
        <v/>
      </c>
      <c r="BA357" s="10">
        <f>MIN('02_Данные'!X357,AZ357)</f>
        <v/>
      </c>
      <c r="BB357" s="10">
        <f>AZ357-BA357</f>
        <v/>
      </c>
      <c r="BC357" s="10">
        <f>MIN('02_Данные'!W357,BB357)</f>
        <v/>
      </c>
      <c r="BD357" s="10">
        <f>BB357-BC357</f>
        <v/>
      </c>
      <c r="BE357" s="10">
        <f>MIN('02_Данные'!Y357,BD357)</f>
        <v/>
      </c>
      <c r="BF357" s="10">
        <f>BD357-BE357</f>
        <v/>
      </c>
      <c r="BG357" s="10">
        <f>MIN('02_Данные'!Z357,BF357)</f>
        <v/>
      </c>
      <c r="BH357" s="10">
        <f>BF357-BG357</f>
        <v/>
      </c>
      <c r="BI357" s="10">
        <f>BH357+'02_Данные'!I357</f>
        <v/>
      </c>
      <c r="BJ357" s="10">
        <f>MIN('02_Данные'!AB357,BI357)</f>
        <v/>
      </c>
      <c r="BK357" s="10">
        <f>BI357-BJ357</f>
        <v/>
      </c>
      <c r="BL357" s="10">
        <f>MIN('02_Данные'!AC357,BK357)</f>
        <v/>
      </c>
      <c r="BM357" s="10">
        <f>BK357-BL357</f>
        <v/>
      </c>
      <c r="BN357" s="10">
        <f>MIN('02_Данные'!AD357,BM357)</f>
        <v/>
      </c>
      <c r="BO357" s="10">
        <f>BM357-BN357</f>
        <v/>
      </c>
      <c r="BP357" s="10">
        <f>MIN('02_Данные'!AI357,BO357)</f>
        <v/>
      </c>
      <c r="BQ357" s="10">
        <f>BO357-BP357</f>
        <v/>
      </c>
      <c r="BR357" s="10">
        <f>MIN('02_Данные'!AF357,BQ357)</f>
        <v/>
      </c>
      <c r="BS357" s="10">
        <f>BQ357-BR357</f>
        <v/>
      </c>
      <c r="BT357" s="10">
        <f>MIN('02_Данные'!AE357,BS357)</f>
        <v/>
      </c>
      <c r="BU357" s="10">
        <f>BS357-BT357</f>
        <v/>
      </c>
      <c r="BV357" s="10">
        <f>MIN('02_Данные'!AG357,BU357)</f>
        <v/>
      </c>
      <c r="BW357" s="10">
        <f>BU357-BV357</f>
        <v/>
      </c>
      <c r="BX357" s="10">
        <f>MIN('02_Данные'!AH357,BW357)</f>
        <v/>
      </c>
      <c r="BY357" s="10">
        <f>BW357-BX357</f>
        <v/>
      </c>
      <c r="BZ357" s="10">
        <f>BY357+'02_Данные'!J357</f>
        <v/>
      </c>
      <c r="CA357" s="10">
        <f>MIN('02_Данные'!AJ357,BZ357)</f>
        <v/>
      </c>
      <c r="CB357" s="10">
        <f>BZ357-CA357</f>
        <v/>
      </c>
      <c r="CC357" s="10">
        <f>MIN('02_Данные'!AK357,CB357)</f>
        <v/>
      </c>
      <c r="CD357" s="10">
        <f>CB357-CC357</f>
        <v/>
      </c>
      <c r="CE357" s="10">
        <f>MIN('02_Данные'!AL357,CD357)</f>
        <v/>
      </c>
      <c r="CF357" s="10">
        <f>CD357-CE357</f>
        <v/>
      </c>
      <c r="CG357" s="10">
        <f>MIN('02_Данные'!AQ357,CF357)</f>
        <v/>
      </c>
      <c r="CH357" s="10">
        <f>CF357-CG357</f>
        <v/>
      </c>
      <c r="CI357" s="10">
        <f>MIN('02_Данные'!AN357,CH357)</f>
        <v/>
      </c>
      <c r="CJ357" s="10">
        <f>CH357-CI357</f>
        <v/>
      </c>
      <c r="CK357" s="10">
        <f>MIN('02_Данные'!AM357,CJ357)</f>
        <v/>
      </c>
      <c r="CL357" s="10">
        <f>CJ357-CK357</f>
        <v/>
      </c>
      <c r="CM357" s="10">
        <f>MIN('02_Данные'!AO357,CL357)</f>
        <v/>
      </c>
      <c r="CN357" s="10">
        <f>CL357-CM357</f>
        <v/>
      </c>
      <c r="CO357" s="10">
        <f>MIN('02_Данные'!AP357,CN357)</f>
        <v/>
      </c>
      <c r="CP357" s="10">
        <f>CN357-CO357</f>
        <v/>
      </c>
      <c r="CQ357" s="10">
        <f>CP357+'02_Данные'!K357</f>
        <v/>
      </c>
      <c r="CR357" s="10">
        <f>MIN('02_Данные'!AR357,CQ357)</f>
        <v/>
      </c>
      <c r="CS357" s="10">
        <f>CQ357-CR357</f>
        <v/>
      </c>
      <c r="CT357" s="10">
        <f>MIN('02_Данные'!AS357,CS357)</f>
        <v/>
      </c>
      <c r="CU357" s="10">
        <f>CS357-CT357</f>
        <v/>
      </c>
      <c r="CV357" s="10">
        <f>MIN('02_Данные'!AT357,CU357)</f>
        <v/>
      </c>
      <c r="CW357" s="10">
        <f>CU357-CV357</f>
        <v/>
      </c>
      <c r="CX357" s="10">
        <f>MIN('02_Данные'!AY357,CW357)</f>
        <v/>
      </c>
      <c r="CY357" s="10">
        <f>CW357-CX357</f>
        <v/>
      </c>
      <c r="CZ357" s="10">
        <f>MIN('02_Данные'!AV357,CY357)</f>
        <v/>
      </c>
      <c r="DA357" s="10">
        <f>CY357-CZ357</f>
        <v/>
      </c>
      <c r="DB357" s="10">
        <f>MIN('02_Данные'!AU357,DA357)</f>
        <v/>
      </c>
      <c r="DC357" s="10">
        <f>DA357-DB357</f>
        <v/>
      </c>
      <c r="DD357" s="10">
        <f>MIN('02_Данные'!AW357,DC357)</f>
        <v/>
      </c>
      <c r="DE357" s="10">
        <f>DC357-DD357</f>
        <v/>
      </c>
      <c r="DF357" s="10">
        <f>MIN('02_Данные'!AX357,DE357)</f>
        <v/>
      </c>
      <c r="DG357" s="10">
        <f>DE357-DF357</f>
        <v/>
      </c>
    </row>
    <row r="358">
      <c r="A358" s="9">
        <f>'02_Данные'!B358</f>
        <v/>
      </c>
      <c r="B358" s="9">
        <f>'02_Данные'!E358</f>
        <v/>
      </c>
      <c r="C358" s="10">
        <f>'02_Данные'!F358+'02_Данные'!G358+'02_Данные'!H358+'02_Данные'!I358+'02_Данные'!J358+'02_Данные'!K358</f>
        <v/>
      </c>
      <c r="D358" s="10">
        <f>SUM('02_Данные'!L358:'02_Данные'!AY358)</f>
        <v/>
      </c>
      <c r="E358" s="10">
        <f>MAX(0,D358-C358)</f>
        <v/>
      </c>
      <c r="F358" s="15">
        <f>IF(E358&gt;0.0001,"ДЕФИЦИТ",IF(Y358&gt;0.0001,"ПРОФИЦИТ","БАЛАНС"))</f>
        <v/>
      </c>
      <c r="G358" s="10">
        <f>AB358+AS358+BJ358+CA358+CR358</f>
        <v/>
      </c>
      <c r="H358" s="10">
        <f>AD358+AU358+BL358+CC358+CT358</f>
        <v/>
      </c>
      <c r="I358" s="10">
        <f>AF358+AW358+BN358+CE358+CV358</f>
        <v/>
      </c>
      <c r="J358" s="10">
        <f>AL358+BC358+BT358+CK358+DB358</f>
        <v/>
      </c>
      <c r="K358" s="10">
        <f>AJ358+BA358+BR358+CI358+CZ358</f>
        <v/>
      </c>
      <c r="L358" s="10">
        <f>AN358+BE358+BV358+CM358+DD358</f>
        <v/>
      </c>
      <c r="M358" s="10">
        <f>AP358+BG358+BX358+CO358+DF358</f>
        <v/>
      </c>
      <c r="N358" s="10">
        <f>AH358+AY358+BP358+CG358+CX358</f>
        <v/>
      </c>
      <c r="O358" s="10">
        <f>SUM(G358:N358)</f>
        <v/>
      </c>
      <c r="P358" s="10">
        <f>IFERROR(G358*MIN(1,'01_Нормативы'!$C$4/SUM(G$2:G$429)),0)</f>
        <v/>
      </c>
      <c r="Q358" s="10">
        <f>IFERROR(H358*MIN(1,'01_Нормативы'!$C$5/SUM(H$2:H$429)),0)</f>
        <v/>
      </c>
      <c r="R358" s="10">
        <f>IFERROR(I358*MIN(1,'01_Нормативы'!$C$6/SUM(I$2:I$429)),0)</f>
        <v/>
      </c>
      <c r="S358" s="10">
        <f>IFERROR(J358*MIN(1,'01_Нормативы'!$C$7/SUM(J$2:J$429)),0)</f>
        <v/>
      </c>
      <c r="T358" s="10">
        <f>IFERROR(K358*MIN(1,'01_Нормативы'!$C$8/SUM(K$2:K$429)),0)</f>
        <v/>
      </c>
      <c r="U358" s="10">
        <f>IFERROR(L358*MIN(1,'01_Нормативы'!$C$9/SUM(L$2:L$429)),0)</f>
        <v/>
      </c>
      <c r="V358" s="10">
        <f>IFERROR(M358*MIN(1,'01_Нормативы'!$C$10/SUM(M$2:M$429)),0)</f>
        <v/>
      </c>
      <c r="W358" s="10">
        <f>IFERROR(N358*MIN(1,'01_Нормативы'!$C$11/SUM(N$2:N$429)),0)</f>
        <v/>
      </c>
      <c r="X358" s="10">
        <f>SUM(P358:W358)</f>
        <v/>
      </c>
      <c r="Y358" s="10">
        <f>MAX(0,C358-X358)</f>
        <v/>
      </c>
      <c r="Z358" s="10">
        <f>IF(D358=0,100,X358/D358*100)</f>
        <v/>
      </c>
      <c r="AA358" s="10">
        <f>'02_Данные'!F358+'02_Данные'!G358</f>
        <v/>
      </c>
      <c r="AB358" s="10">
        <f>MIN('02_Данные'!L358,AA358)</f>
        <v/>
      </c>
      <c r="AC358" s="10">
        <f>AA358-AB358</f>
        <v/>
      </c>
      <c r="AD358" s="10">
        <f>MIN('02_Данные'!M358,AC358)</f>
        <v/>
      </c>
      <c r="AE358" s="10">
        <f>AC358-AD358</f>
        <v/>
      </c>
      <c r="AF358" s="10">
        <f>MIN('02_Данные'!N358,AE358)</f>
        <v/>
      </c>
      <c r="AG358" s="10">
        <f>AE358-AF358</f>
        <v/>
      </c>
      <c r="AH358" s="10">
        <f>MIN('02_Данные'!S358,AG358)</f>
        <v/>
      </c>
      <c r="AI358" s="10">
        <f>AG358-AH358</f>
        <v/>
      </c>
      <c r="AJ358" s="10">
        <f>MIN('02_Данные'!P358,AI358)</f>
        <v/>
      </c>
      <c r="AK358" s="10">
        <f>AI358-AJ358</f>
        <v/>
      </c>
      <c r="AL358" s="10">
        <f>MIN('02_Данные'!O358,AK358)</f>
        <v/>
      </c>
      <c r="AM358" s="10">
        <f>AK358-AL358</f>
        <v/>
      </c>
      <c r="AN358" s="10">
        <f>MIN('02_Данные'!Q358,AM358)</f>
        <v/>
      </c>
      <c r="AO358" s="10">
        <f>AM358-AN358</f>
        <v/>
      </c>
      <c r="AP358" s="10">
        <f>MIN('02_Данные'!R358,AO358)</f>
        <v/>
      </c>
      <c r="AQ358" s="10">
        <f>AO358-AP358</f>
        <v/>
      </c>
      <c r="AR358" s="10">
        <f>AQ358+'02_Данные'!H358</f>
        <v/>
      </c>
      <c r="AS358" s="10">
        <f>MIN('02_Данные'!T358,AR358)</f>
        <v/>
      </c>
      <c r="AT358" s="10">
        <f>AR358-AS358</f>
        <v/>
      </c>
      <c r="AU358" s="10">
        <f>MIN('02_Данные'!U358,AT358)</f>
        <v/>
      </c>
      <c r="AV358" s="10">
        <f>AT358-AU358</f>
        <v/>
      </c>
      <c r="AW358" s="10">
        <f>MIN('02_Данные'!V358,AV358)</f>
        <v/>
      </c>
      <c r="AX358" s="10">
        <f>AV358-AW358</f>
        <v/>
      </c>
      <c r="AY358" s="10">
        <f>MIN('02_Данные'!AA358,AX358)</f>
        <v/>
      </c>
      <c r="AZ358" s="10">
        <f>AX358-AY358</f>
        <v/>
      </c>
      <c r="BA358" s="10">
        <f>MIN('02_Данные'!X358,AZ358)</f>
        <v/>
      </c>
      <c r="BB358" s="10">
        <f>AZ358-BA358</f>
        <v/>
      </c>
      <c r="BC358" s="10">
        <f>MIN('02_Данные'!W358,BB358)</f>
        <v/>
      </c>
      <c r="BD358" s="10">
        <f>BB358-BC358</f>
        <v/>
      </c>
      <c r="BE358" s="10">
        <f>MIN('02_Данные'!Y358,BD358)</f>
        <v/>
      </c>
      <c r="BF358" s="10">
        <f>BD358-BE358</f>
        <v/>
      </c>
      <c r="BG358" s="10">
        <f>MIN('02_Данные'!Z358,BF358)</f>
        <v/>
      </c>
      <c r="BH358" s="10">
        <f>BF358-BG358</f>
        <v/>
      </c>
      <c r="BI358" s="10">
        <f>BH358+'02_Данные'!I358</f>
        <v/>
      </c>
      <c r="BJ358" s="10">
        <f>MIN('02_Данные'!AB358,BI358)</f>
        <v/>
      </c>
      <c r="BK358" s="10">
        <f>BI358-BJ358</f>
        <v/>
      </c>
      <c r="BL358" s="10">
        <f>MIN('02_Данные'!AC358,BK358)</f>
        <v/>
      </c>
      <c r="BM358" s="10">
        <f>BK358-BL358</f>
        <v/>
      </c>
      <c r="BN358" s="10">
        <f>MIN('02_Данные'!AD358,BM358)</f>
        <v/>
      </c>
      <c r="BO358" s="10">
        <f>BM358-BN358</f>
        <v/>
      </c>
      <c r="BP358" s="10">
        <f>MIN('02_Данные'!AI358,BO358)</f>
        <v/>
      </c>
      <c r="BQ358" s="10">
        <f>BO358-BP358</f>
        <v/>
      </c>
      <c r="BR358" s="10">
        <f>MIN('02_Данные'!AF358,BQ358)</f>
        <v/>
      </c>
      <c r="BS358" s="10">
        <f>BQ358-BR358</f>
        <v/>
      </c>
      <c r="BT358" s="10">
        <f>MIN('02_Данные'!AE358,BS358)</f>
        <v/>
      </c>
      <c r="BU358" s="10">
        <f>BS358-BT358</f>
        <v/>
      </c>
      <c r="BV358" s="10">
        <f>MIN('02_Данные'!AG358,BU358)</f>
        <v/>
      </c>
      <c r="BW358" s="10">
        <f>BU358-BV358</f>
        <v/>
      </c>
      <c r="BX358" s="10">
        <f>MIN('02_Данные'!AH358,BW358)</f>
        <v/>
      </c>
      <c r="BY358" s="10">
        <f>BW358-BX358</f>
        <v/>
      </c>
      <c r="BZ358" s="10">
        <f>BY358+'02_Данные'!J358</f>
        <v/>
      </c>
      <c r="CA358" s="10">
        <f>MIN('02_Данные'!AJ358,BZ358)</f>
        <v/>
      </c>
      <c r="CB358" s="10">
        <f>BZ358-CA358</f>
        <v/>
      </c>
      <c r="CC358" s="10">
        <f>MIN('02_Данные'!AK358,CB358)</f>
        <v/>
      </c>
      <c r="CD358" s="10">
        <f>CB358-CC358</f>
        <v/>
      </c>
      <c r="CE358" s="10">
        <f>MIN('02_Данные'!AL358,CD358)</f>
        <v/>
      </c>
      <c r="CF358" s="10">
        <f>CD358-CE358</f>
        <v/>
      </c>
      <c r="CG358" s="10">
        <f>MIN('02_Данные'!AQ358,CF358)</f>
        <v/>
      </c>
      <c r="CH358" s="10">
        <f>CF358-CG358</f>
        <v/>
      </c>
      <c r="CI358" s="10">
        <f>MIN('02_Данные'!AN358,CH358)</f>
        <v/>
      </c>
      <c r="CJ358" s="10">
        <f>CH358-CI358</f>
        <v/>
      </c>
      <c r="CK358" s="10">
        <f>MIN('02_Данные'!AM358,CJ358)</f>
        <v/>
      </c>
      <c r="CL358" s="10">
        <f>CJ358-CK358</f>
        <v/>
      </c>
      <c r="CM358" s="10">
        <f>MIN('02_Данные'!AO358,CL358)</f>
        <v/>
      </c>
      <c r="CN358" s="10">
        <f>CL358-CM358</f>
        <v/>
      </c>
      <c r="CO358" s="10">
        <f>MIN('02_Данные'!AP358,CN358)</f>
        <v/>
      </c>
      <c r="CP358" s="10">
        <f>CN358-CO358</f>
        <v/>
      </c>
      <c r="CQ358" s="10">
        <f>CP358+'02_Данные'!K358</f>
        <v/>
      </c>
      <c r="CR358" s="10">
        <f>MIN('02_Данные'!AR358,CQ358)</f>
        <v/>
      </c>
      <c r="CS358" s="10">
        <f>CQ358-CR358</f>
        <v/>
      </c>
      <c r="CT358" s="10">
        <f>MIN('02_Данные'!AS358,CS358)</f>
        <v/>
      </c>
      <c r="CU358" s="10">
        <f>CS358-CT358</f>
        <v/>
      </c>
      <c r="CV358" s="10">
        <f>MIN('02_Данные'!AT358,CU358)</f>
        <v/>
      </c>
      <c r="CW358" s="10">
        <f>CU358-CV358</f>
        <v/>
      </c>
      <c r="CX358" s="10">
        <f>MIN('02_Данные'!AY358,CW358)</f>
        <v/>
      </c>
      <c r="CY358" s="10">
        <f>CW358-CX358</f>
        <v/>
      </c>
      <c r="CZ358" s="10">
        <f>MIN('02_Данные'!AV358,CY358)</f>
        <v/>
      </c>
      <c r="DA358" s="10">
        <f>CY358-CZ358</f>
        <v/>
      </c>
      <c r="DB358" s="10">
        <f>MIN('02_Данные'!AU358,DA358)</f>
        <v/>
      </c>
      <c r="DC358" s="10">
        <f>DA358-DB358</f>
        <v/>
      </c>
      <c r="DD358" s="10">
        <f>MIN('02_Данные'!AW358,DC358)</f>
        <v/>
      </c>
      <c r="DE358" s="10">
        <f>DC358-DD358</f>
        <v/>
      </c>
      <c r="DF358" s="10">
        <f>MIN('02_Данные'!AX358,DE358)</f>
        <v/>
      </c>
      <c r="DG358" s="10">
        <f>DE358-DF358</f>
        <v/>
      </c>
    </row>
    <row r="359">
      <c r="A359" s="9">
        <f>'02_Данные'!B359</f>
        <v/>
      </c>
      <c r="B359" s="9">
        <f>'02_Данные'!E359</f>
        <v/>
      </c>
      <c r="C359" s="10">
        <f>'02_Данные'!F359+'02_Данные'!G359+'02_Данные'!H359+'02_Данные'!I359+'02_Данные'!J359+'02_Данные'!K359</f>
        <v/>
      </c>
      <c r="D359" s="10">
        <f>SUM('02_Данные'!L359:'02_Данные'!AY359)</f>
        <v/>
      </c>
      <c r="E359" s="10">
        <f>MAX(0,D359-C359)</f>
        <v/>
      </c>
      <c r="F359" s="15">
        <f>IF(E359&gt;0.0001,"ДЕФИЦИТ",IF(Y359&gt;0.0001,"ПРОФИЦИТ","БАЛАНС"))</f>
        <v/>
      </c>
      <c r="G359" s="10">
        <f>AB359+AS359+BJ359+CA359+CR359</f>
        <v/>
      </c>
      <c r="H359" s="10">
        <f>AD359+AU359+BL359+CC359+CT359</f>
        <v/>
      </c>
      <c r="I359" s="10">
        <f>AF359+AW359+BN359+CE359+CV359</f>
        <v/>
      </c>
      <c r="J359" s="10">
        <f>AL359+BC359+BT359+CK359+DB359</f>
        <v/>
      </c>
      <c r="K359" s="10">
        <f>AJ359+BA359+BR359+CI359+CZ359</f>
        <v/>
      </c>
      <c r="L359" s="10">
        <f>AN359+BE359+BV359+CM359+DD359</f>
        <v/>
      </c>
      <c r="M359" s="10">
        <f>AP359+BG359+BX359+CO359+DF359</f>
        <v/>
      </c>
      <c r="N359" s="10">
        <f>AH359+AY359+BP359+CG359+CX359</f>
        <v/>
      </c>
      <c r="O359" s="10">
        <f>SUM(G359:N359)</f>
        <v/>
      </c>
      <c r="P359" s="10">
        <f>IFERROR(G359*MIN(1,'01_Нормативы'!$C$4/SUM(G$2:G$429)),0)</f>
        <v/>
      </c>
      <c r="Q359" s="10">
        <f>IFERROR(H359*MIN(1,'01_Нормативы'!$C$5/SUM(H$2:H$429)),0)</f>
        <v/>
      </c>
      <c r="R359" s="10">
        <f>IFERROR(I359*MIN(1,'01_Нормативы'!$C$6/SUM(I$2:I$429)),0)</f>
        <v/>
      </c>
      <c r="S359" s="10">
        <f>IFERROR(J359*MIN(1,'01_Нормативы'!$C$7/SUM(J$2:J$429)),0)</f>
        <v/>
      </c>
      <c r="T359" s="10">
        <f>IFERROR(K359*MIN(1,'01_Нормативы'!$C$8/SUM(K$2:K$429)),0)</f>
        <v/>
      </c>
      <c r="U359" s="10">
        <f>IFERROR(L359*MIN(1,'01_Нормативы'!$C$9/SUM(L$2:L$429)),0)</f>
        <v/>
      </c>
      <c r="V359" s="10">
        <f>IFERROR(M359*MIN(1,'01_Нормативы'!$C$10/SUM(M$2:M$429)),0)</f>
        <v/>
      </c>
      <c r="W359" s="10">
        <f>IFERROR(N359*MIN(1,'01_Нормативы'!$C$11/SUM(N$2:N$429)),0)</f>
        <v/>
      </c>
      <c r="X359" s="10">
        <f>SUM(P359:W359)</f>
        <v/>
      </c>
      <c r="Y359" s="10">
        <f>MAX(0,C359-X359)</f>
        <v/>
      </c>
      <c r="Z359" s="10">
        <f>IF(D359=0,100,X359/D359*100)</f>
        <v/>
      </c>
      <c r="AA359" s="10">
        <f>'02_Данные'!F359+'02_Данные'!G359</f>
        <v/>
      </c>
      <c r="AB359" s="10">
        <f>MIN('02_Данные'!L359,AA359)</f>
        <v/>
      </c>
      <c r="AC359" s="10">
        <f>AA359-AB359</f>
        <v/>
      </c>
      <c r="AD359" s="10">
        <f>MIN('02_Данные'!M359,AC359)</f>
        <v/>
      </c>
      <c r="AE359" s="10">
        <f>AC359-AD359</f>
        <v/>
      </c>
      <c r="AF359" s="10">
        <f>MIN('02_Данные'!N359,AE359)</f>
        <v/>
      </c>
      <c r="AG359" s="10">
        <f>AE359-AF359</f>
        <v/>
      </c>
      <c r="AH359" s="10">
        <f>MIN('02_Данные'!S359,AG359)</f>
        <v/>
      </c>
      <c r="AI359" s="10">
        <f>AG359-AH359</f>
        <v/>
      </c>
      <c r="AJ359" s="10">
        <f>MIN('02_Данные'!P359,AI359)</f>
        <v/>
      </c>
      <c r="AK359" s="10">
        <f>AI359-AJ359</f>
        <v/>
      </c>
      <c r="AL359" s="10">
        <f>MIN('02_Данные'!O359,AK359)</f>
        <v/>
      </c>
      <c r="AM359" s="10">
        <f>AK359-AL359</f>
        <v/>
      </c>
      <c r="AN359" s="10">
        <f>MIN('02_Данные'!Q359,AM359)</f>
        <v/>
      </c>
      <c r="AO359" s="10">
        <f>AM359-AN359</f>
        <v/>
      </c>
      <c r="AP359" s="10">
        <f>MIN('02_Данные'!R359,AO359)</f>
        <v/>
      </c>
      <c r="AQ359" s="10">
        <f>AO359-AP359</f>
        <v/>
      </c>
      <c r="AR359" s="10">
        <f>AQ359+'02_Данные'!H359</f>
        <v/>
      </c>
      <c r="AS359" s="10">
        <f>MIN('02_Данные'!T359,AR359)</f>
        <v/>
      </c>
      <c r="AT359" s="10">
        <f>AR359-AS359</f>
        <v/>
      </c>
      <c r="AU359" s="10">
        <f>MIN('02_Данные'!U359,AT359)</f>
        <v/>
      </c>
      <c r="AV359" s="10">
        <f>AT359-AU359</f>
        <v/>
      </c>
      <c r="AW359" s="10">
        <f>MIN('02_Данные'!V359,AV359)</f>
        <v/>
      </c>
      <c r="AX359" s="10">
        <f>AV359-AW359</f>
        <v/>
      </c>
      <c r="AY359" s="10">
        <f>MIN('02_Данные'!AA359,AX359)</f>
        <v/>
      </c>
      <c r="AZ359" s="10">
        <f>AX359-AY359</f>
        <v/>
      </c>
      <c r="BA359" s="10">
        <f>MIN('02_Данные'!X359,AZ359)</f>
        <v/>
      </c>
      <c r="BB359" s="10">
        <f>AZ359-BA359</f>
        <v/>
      </c>
      <c r="BC359" s="10">
        <f>MIN('02_Данные'!W359,BB359)</f>
        <v/>
      </c>
      <c r="BD359" s="10">
        <f>BB359-BC359</f>
        <v/>
      </c>
      <c r="BE359" s="10">
        <f>MIN('02_Данные'!Y359,BD359)</f>
        <v/>
      </c>
      <c r="BF359" s="10">
        <f>BD359-BE359</f>
        <v/>
      </c>
      <c r="BG359" s="10">
        <f>MIN('02_Данные'!Z359,BF359)</f>
        <v/>
      </c>
      <c r="BH359" s="10">
        <f>BF359-BG359</f>
        <v/>
      </c>
      <c r="BI359" s="10">
        <f>BH359+'02_Данные'!I359</f>
        <v/>
      </c>
      <c r="BJ359" s="10">
        <f>MIN('02_Данные'!AB359,BI359)</f>
        <v/>
      </c>
      <c r="BK359" s="10">
        <f>BI359-BJ359</f>
        <v/>
      </c>
      <c r="BL359" s="10">
        <f>MIN('02_Данные'!AC359,BK359)</f>
        <v/>
      </c>
      <c r="BM359" s="10">
        <f>BK359-BL359</f>
        <v/>
      </c>
      <c r="BN359" s="10">
        <f>MIN('02_Данные'!AD359,BM359)</f>
        <v/>
      </c>
      <c r="BO359" s="10">
        <f>BM359-BN359</f>
        <v/>
      </c>
      <c r="BP359" s="10">
        <f>MIN('02_Данные'!AI359,BO359)</f>
        <v/>
      </c>
      <c r="BQ359" s="10">
        <f>BO359-BP359</f>
        <v/>
      </c>
      <c r="BR359" s="10">
        <f>MIN('02_Данные'!AF359,BQ359)</f>
        <v/>
      </c>
      <c r="BS359" s="10">
        <f>BQ359-BR359</f>
        <v/>
      </c>
      <c r="BT359" s="10">
        <f>MIN('02_Данные'!AE359,BS359)</f>
        <v/>
      </c>
      <c r="BU359" s="10">
        <f>BS359-BT359</f>
        <v/>
      </c>
      <c r="BV359" s="10">
        <f>MIN('02_Данные'!AG359,BU359)</f>
        <v/>
      </c>
      <c r="BW359" s="10">
        <f>BU359-BV359</f>
        <v/>
      </c>
      <c r="BX359" s="10">
        <f>MIN('02_Данные'!AH359,BW359)</f>
        <v/>
      </c>
      <c r="BY359" s="10">
        <f>BW359-BX359</f>
        <v/>
      </c>
      <c r="BZ359" s="10">
        <f>BY359+'02_Данные'!J359</f>
        <v/>
      </c>
      <c r="CA359" s="10">
        <f>MIN('02_Данные'!AJ359,BZ359)</f>
        <v/>
      </c>
      <c r="CB359" s="10">
        <f>BZ359-CA359</f>
        <v/>
      </c>
      <c r="CC359" s="10">
        <f>MIN('02_Данные'!AK359,CB359)</f>
        <v/>
      </c>
      <c r="CD359" s="10">
        <f>CB359-CC359</f>
        <v/>
      </c>
      <c r="CE359" s="10">
        <f>MIN('02_Данные'!AL359,CD359)</f>
        <v/>
      </c>
      <c r="CF359" s="10">
        <f>CD359-CE359</f>
        <v/>
      </c>
      <c r="CG359" s="10">
        <f>MIN('02_Данные'!AQ359,CF359)</f>
        <v/>
      </c>
      <c r="CH359" s="10">
        <f>CF359-CG359</f>
        <v/>
      </c>
      <c r="CI359" s="10">
        <f>MIN('02_Данные'!AN359,CH359)</f>
        <v/>
      </c>
      <c r="CJ359" s="10">
        <f>CH359-CI359</f>
        <v/>
      </c>
      <c r="CK359" s="10">
        <f>MIN('02_Данные'!AM359,CJ359)</f>
        <v/>
      </c>
      <c r="CL359" s="10">
        <f>CJ359-CK359</f>
        <v/>
      </c>
      <c r="CM359" s="10">
        <f>MIN('02_Данные'!AO359,CL359)</f>
        <v/>
      </c>
      <c r="CN359" s="10">
        <f>CL359-CM359</f>
        <v/>
      </c>
      <c r="CO359" s="10">
        <f>MIN('02_Данные'!AP359,CN359)</f>
        <v/>
      </c>
      <c r="CP359" s="10">
        <f>CN359-CO359</f>
        <v/>
      </c>
      <c r="CQ359" s="10">
        <f>CP359+'02_Данные'!K359</f>
        <v/>
      </c>
      <c r="CR359" s="10">
        <f>MIN('02_Данные'!AR359,CQ359)</f>
        <v/>
      </c>
      <c r="CS359" s="10">
        <f>CQ359-CR359</f>
        <v/>
      </c>
      <c r="CT359" s="10">
        <f>MIN('02_Данные'!AS359,CS359)</f>
        <v/>
      </c>
      <c r="CU359" s="10">
        <f>CS359-CT359</f>
        <v/>
      </c>
      <c r="CV359" s="10">
        <f>MIN('02_Данные'!AT359,CU359)</f>
        <v/>
      </c>
      <c r="CW359" s="10">
        <f>CU359-CV359</f>
        <v/>
      </c>
      <c r="CX359" s="10">
        <f>MIN('02_Данные'!AY359,CW359)</f>
        <v/>
      </c>
      <c r="CY359" s="10">
        <f>CW359-CX359</f>
        <v/>
      </c>
      <c r="CZ359" s="10">
        <f>MIN('02_Данные'!AV359,CY359)</f>
        <v/>
      </c>
      <c r="DA359" s="10">
        <f>CY359-CZ359</f>
        <v/>
      </c>
      <c r="DB359" s="10">
        <f>MIN('02_Данные'!AU359,DA359)</f>
        <v/>
      </c>
      <c r="DC359" s="10">
        <f>DA359-DB359</f>
        <v/>
      </c>
      <c r="DD359" s="10">
        <f>MIN('02_Данные'!AW359,DC359)</f>
        <v/>
      </c>
      <c r="DE359" s="10">
        <f>DC359-DD359</f>
        <v/>
      </c>
      <c r="DF359" s="10">
        <f>MIN('02_Данные'!AX359,DE359)</f>
        <v/>
      </c>
      <c r="DG359" s="10">
        <f>DE359-DF359</f>
        <v/>
      </c>
    </row>
    <row r="360">
      <c r="A360" s="9">
        <f>'02_Данные'!B360</f>
        <v/>
      </c>
      <c r="B360" s="9">
        <f>'02_Данные'!E360</f>
        <v/>
      </c>
      <c r="C360" s="10">
        <f>'02_Данные'!F360+'02_Данные'!G360+'02_Данные'!H360+'02_Данные'!I360+'02_Данные'!J360+'02_Данные'!K360</f>
        <v/>
      </c>
      <c r="D360" s="10">
        <f>SUM('02_Данные'!L360:'02_Данные'!AY360)</f>
        <v/>
      </c>
      <c r="E360" s="10">
        <f>MAX(0,D360-C360)</f>
        <v/>
      </c>
      <c r="F360" s="15">
        <f>IF(E360&gt;0.0001,"ДЕФИЦИТ",IF(Y360&gt;0.0001,"ПРОФИЦИТ","БАЛАНС"))</f>
        <v/>
      </c>
      <c r="G360" s="10">
        <f>AB360+AS360+BJ360+CA360+CR360</f>
        <v/>
      </c>
      <c r="H360" s="10">
        <f>AD360+AU360+BL360+CC360+CT360</f>
        <v/>
      </c>
      <c r="I360" s="10">
        <f>AF360+AW360+BN360+CE360+CV360</f>
        <v/>
      </c>
      <c r="J360" s="10">
        <f>AL360+BC360+BT360+CK360+DB360</f>
        <v/>
      </c>
      <c r="K360" s="10">
        <f>AJ360+BA360+BR360+CI360+CZ360</f>
        <v/>
      </c>
      <c r="L360" s="10">
        <f>AN360+BE360+BV360+CM360+DD360</f>
        <v/>
      </c>
      <c r="M360" s="10">
        <f>AP360+BG360+BX360+CO360+DF360</f>
        <v/>
      </c>
      <c r="N360" s="10">
        <f>AH360+AY360+BP360+CG360+CX360</f>
        <v/>
      </c>
      <c r="O360" s="10">
        <f>SUM(G360:N360)</f>
        <v/>
      </c>
      <c r="P360" s="10">
        <f>IFERROR(G360*MIN(1,'01_Нормативы'!$C$4/SUM(G$2:G$429)),0)</f>
        <v/>
      </c>
      <c r="Q360" s="10">
        <f>IFERROR(H360*MIN(1,'01_Нормативы'!$C$5/SUM(H$2:H$429)),0)</f>
        <v/>
      </c>
      <c r="R360" s="10">
        <f>IFERROR(I360*MIN(1,'01_Нормативы'!$C$6/SUM(I$2:I$429)),0)</f>
        <v/>
      </c>
      <c r="S360" s="10">
        <f>IFERROR(J360*MIN(1,'01_Нормативы'!$C$7/SUM(J$2:J$429)),0)</f>
        <v/>
      </c>
      <c r="T360" s="10">
        <f>IFERROR(K360*MIN(1,'01_Нормативы'!$C$8/SUM(K$2:K$429)),0)</f>
        <v/>
      </c>
      <c r="U360" s="10">
        <f>IFERROR(L360*MIN(1,'01_Нормативы'!$C$9/SUM(L$2:L$429)),0)</f>
        <v/>
      </c>
      <c r="V360" s="10">
        <f>IFERROR(M360*MIN(1,'01_Нормативы'!$C$10/SUM(M$2:M$429)),0)</f>
        <v/>
      </c>
      <c r="W360" s="10">
        <f>IFERROR(N360*MIN(1,'01_Нормативы'!$C$11/SUM(N$2:N$429)),0)</f>
        <v/>
      </c>
      <c r="X360" s="10">
        <f>SUM(P360:W360)</f>
        <v/>
      </c>
      <c r="Y360" s="10">
        <f>MAX(0,C360-X360)</f>
        <v/>
      </c>
      <c r="Z360" s="10">
        <f>IF(D360=0,100,X360/D360*100)</f>
        <v/>
      </c>
      <c r="AA360" s="10">
        <f>'02_Данные'!F360+'02_Данные'!G360</f>
        <v/>
      </c>
      <c r="AB360" s="10">
        <f>MIN('02_Данные'!L360,AA360)</f>
        <v/>
      </c>
      <c r="AC360" s="10">
        <f>AA360-AB360</f>
        <v/>
      </c>
      <c r="AD360" s="10">
        <f>MIN('02_Данные'!M360,AC360)</f>
        <v/>
      </c>
      <c r="AE360" s="10">
        <f>AC360-AD360</f>
        <v/>
      </c>
      <c r="AF360" s="10">
        <f>MIN('02_Данные'!N360,AE360)</f>
        <v/>
      </c>
      <c r="AG360" s="10">
        <f>AE360-AF360</f>
        <v/>
      </c>
      <c r="AH360" s="10">
        <f>MIN('02_Данные'!S360,AG360)</f>
        <v/>
      </c>
      <c r="AI360" s="10">
        <f>AG360-AH360</f>
        <v/>
      </c>
      <c r="AJ360" s="10">
        <f>MIN('02_Данные'!P360,AI360)</f>
        <v/>
      </c>
      <c r="AK360" s="10">
        <f>AI360-AJ360</f>
        <v/>
      </c>
      <c r="AL360" s="10">
        <f>MIN('02_Данные'!O360,AK360)</f>
        <v/>
      </c>
      <c r="AM360" s="10">
        <f>AK360-AL360</f>
        <v/>
      </c>
      <c r="AN360" s="10">
        <f>MIN('02_Данные'!Q360,AM360)</f>
        <v/>
      </c>
      <c r="AO360" s="10">
        <f>AM360-AN360</f>
        <v/>
      </c>
      <c r="AP360" s="10">
        <f>MIN('02_Данные'!R360,AO360)</f>
        <v/>
      </c>
      <c r="AQ360" s="10">
        <f>AO360-AP360</f>
        <v/>
      </c>
      <c r="AR360" s="10">
        <f>AQ360+'02_Данные'!H360</f>
        <v/>
      </c>
      <c r="AS360" s="10">
        <f>MIN('02_Данные'!T360,AR360)</f>
        <v/>
      </c>
      <c r="AT360" s="10">
        <f>AR360-AS360</f>
        <v/>
      </c>
      <c r="AU360" s="10">
        <f>MIN('02_Данные'!U360,AT360)</f>
        <v/>
      </c>
      <c r="AV360" s="10">
        <f>AT360-AU360</f>
        <v/>
      </c>
      <c r="AW360" s="10">
        <f>MIN('02_Данные'!V360,AV360)</f>
        <v/>
      </c>
      <c r="AX360" s="10">
        <f>AV360-AW360</f>
        <v/>
      </c>
      <c r="AY360" s="10">
        <f>MIN('02_Данные'!AA360,AX360)</f>
        <v/>
      </c>
      <c r="AZ360" s="10">
        <f>AX360-AY360</f>
        <v/>
      </c>
      <c r="BA360" s="10">
        <f>MIN('02_Данные'!X360,AZ360)</f>
        <v/>
      </c>
      <c r="BB360" s="10">
        <f>AZ360-BA360</f>
        <v/>
      </c>
      <c r="BC360" s="10">
        <f>MIN('02_Данные'!W360,BB360)</f>
        <v/>
      </c>
      <c r="BD360" s="10">
        <f>BB360-BC360</f>
        <v/>
      </c>
      <c r="BE360" s="10">
        <f>MIN('02_Данные'!Y360,BD360)</f>
        <v/>
      </c>
      <c r="BF360" s="10">
        <f>BD360-BE360</f>
        <v/>
      </c>
      <c r="BG360" s="10">
        <f>MIN('02_Данные'!Z360,BF360)</f>
        <v/>
      </c>
      <c r="BH360" s="10">
        <f>BF360-BG360</f>
        <v/>
      </c>
      <c r="BI360" s="10">
        <f>BH360+'02_Данные'!I360</f>
        <v/>
      </c>
      <c r="BJ360" s="10">
        <f>MIN('02_Данные'!AB360,BI360)</f>
        <v/>
      </c>
      <c r="BK360" s="10">
        <f>BI360-BJ360</f>
        <v/>
      </c>
      <c r="BL360" s="10">
        <f>MIN('02_Данные'!AC360,BK360)</f>
        <v/>
      </c>
      <c r="BM360" s="10">
        <f>BK360-BL360</f>
        <v/>
      </c>
      <c r="BN360" s="10">
        <f>MIN('02_Данные'!AD360,BM360)</f>
        <v/>
      </c>
      <c r="BO360" s="10">
        <f>BM360-BN360</f>
        <v/>
      </c>
      <c r="BP360" s="10">
        <f>MIN('02_Данные'!AI360,BO360)</f>
        <v/>
      </c>
      <c r="BQ360" s="10">
        <f>BO360-BP360</f>
        <v/>
      </c>
      <c r="BR360" s="10">
        <f>MIN('02_Данные'!AF360,BQ360)</f>
        <v/>
      </c>
      <c r="BS360" s="10">
        <f>BQ360-BR360</f>
        <v/>
      </c>
      <c r="BT360" s="10">
        <f>MIN('02_Данные'!AE360,BS360)</f>
        <v/>
      </c>
      <c r="BU360" s="10">
        <f>BS360-BT360</f>
        <v/>
      </c>
      <c r="BV360" s="10">
        <f>MIN('02_Данные'!AG360,BU360)</f>
        <v/>
      </c>
      <c r="BW360" s="10">
        <f>BU360-BV360</f>
        <v/>
      </c>
      <c r="BX360" s="10">
        <f>MIN('02_Данные'!AH360,BW360)</f>
        <v/>
      </c>
      <c r="BY360" s="10">
        <f>BW360-BX360</f>
        <v/>
      </c>
      <c r="BZ360" s="10">
        <f>BY360+'02_Данные'!J360</f>
        <v/>
      </c>
      <c r="CA360" s="10">
        <f>MIN('02_Данные'!AJ360,BZ360)</f>
        <v/>
      </c>
      <c r="CB360" s="10">
        <f>BZ360-CA360</f>
        <v/>
      </c>
      <c r="CC360" s="10">
        <f>MIN('02_Данные'!AK360,CB360)</f>
        <v/>
      </c>
      <c r="CD360" s="10">
        <f>CB360-CC360</f>
        <v/>
      </c>
      <c r="CE360" s="10">
        <f>MIN('02_Данные'!AL360,CD360)</f>
        <v/>
      </c>
      <c r="CF360" s="10">
        <f>CD360-CE360</f>
        <v/>
      </c>
      <c r="CG360" s="10">
        <f>MIN('02_Данные'!AQ360,CF360)</f>
        <v/>
      </c>
      <c r="CH360" s="10">
        <f>CF360-CG360</f>
        <v/>
      </c>
      <c r="CI360" s="10">
        <f>MIN('02_Данные'!AN360,CH360)</f>
        <v/>
      </c>
      <c r="CJ360" s="10">
        <f>CH360-CI360</f>
        <v/>
      </c>
      <c r="CK360" s="10">
        <f>MIN('02_Данные'!AM360,CJ360)</f>
        <v/>
      </c>
      <c r="CL360" s="10">
        <f>CJ360-CK360</f>
        <v/>
      </c>
      <c r="CM360" s="10">
        <f>MIN('02_Данные'!AO360,CL360)</f>
        <v/>
      </c>
      <c r="CN360" s="10">
        <f>CL360-CM360</f>
        <v/>
      </c>
      <c r="CO360" s="10">
        <f>MIN('02_Данные'!AP360,CN360)</f>
        <v/>
      </c>
      <c r="CP360" s="10">
        <f>CN360-CO360</f>
        <v/>
      </c>
      <c r="CQ360" s="10">
        <f>CP360+'02_Данные'!K360</f>
        <v/>
      </c>
      <c r="CR360" s="10">
        <f>MIN('02_Данные'!AR360,CQ360)</f>
        <v/>
      </c>
      <c r="CS360" s="10">
        <f>CQ360-CR360</f>
        <v/>
      </c>
      <c r="CT360" s="10">
        <f>MIN('02_Данные'!AS360,CS360)</f>
        <v/>
      </c>
      <c r="CU360" s="10">
        <f>CS360-CT360</f>
        <v/>
      </c>
      <c r="CV360" s="10">
        <f>MIN('02_Данные'!AT360,CU360)</f>
        <v/>
      </c>
      <c r="CW360" s="10">
        <f>CU360-CV360</f>
        <v/>
      </c>
      <c r="CX360" s="10">
        <f>MIN('02_Данные'!AY360,CW360)</f>
        <v/>
      </c>
      <c r="CY360" s="10">
        <f>CW360-CX360</f>
        <v/>
      </c>
      <c r="CZ360" s="10">
        <f>MIN('02_Данные'!AV360,CY360)</f>
        <v/>
      </c>
      <c r="DA360" s="10">
        <f>CY360-CZ360</f>
        <v/>
      </c>
      <c r="DB360" s="10">
        <f>MIN('02_Данные'!AU360,DA360)</f>
        <v/>
      </c>
      <c r="DC360" s="10">
        <f>DA360-DB360</f>
        <v/>
      </c>
      <c r="DD360" s="10">
        <f>MIN('02_Данные'!AW360,DC360)</f>
        <v/>
      </c>
      <c r="DE360" s="10">
        <f>DC360-DD360</f>
        <v/>
      </c>
      <c r="DF360" s="10">
        <f>MIN('02_Данные'!AX360,DE360)</f>
        <v/>
      </c>
      <c r="DG360" s="10">
        <f>DE360-DF360</f>
        <v/>
      </c>
    </row>
    <row r="361">
      <c r="A361" s="9">
        <f>'02_Данные'!B361</f>
        <v/>
      </c>
      <c r="B361" s="9">
        <f>'02_Данные'!E361</f>
        <v/>
      </c>
      <c r="C361" s="10">
        <f>'02_Данные'!F361+'02_Данные'!G361+'02_Данные'!H361+'02_Данные'!I361+'02_Данные'!J361+'02_Данные'!K361</f>
        <v/>
      </c>
      <c r="D361" s="10">
        <f>SUM('02_Данные'!L361:'02_Данные'!AY361)</f>
        <v/>
      </c>
      <c r="E361" s="10">
        <f>MAX(0,D361-C361)</f>
        <v/>
      </c>
      <c r="F361" s="15">
        <f>IF(E361&gt;0.0001,"ДЕФИЦИТ",IF(Y361&gt;0.0001,"ПРОФИЦИТ","БАЛАНС"))</f>
        <v/>
      </c>
      <c r="G361" s="10">
        <f>AB361+AS361+BJ361+CA361+CR361</f>
        <v/>
      </c>
      <c r="H361" s="10">
        <f>AD361+AU361+BL361+CC361+CT361</f>
        <v/>
      </c>
      <c r="I361" s="10">
        <f>AF361+AW361+BN361+CE361+CV361</f>
        <v/>
      </c>
      <c r="J361" s="10">
        <f>AL361+BC361+BT361+CK361+DB361</f>
        <v/>
      </c>
      <c r="K361" s="10">
        <f>AJ361+BA361+BR361+CI361+CZ361</f>
        <v/>
      </c>
      <c r="L361" s="10">
        <f>AN361+BE361+BV361+CM361+DD361</f>
        <v/>
      </c>
      <c r="M361" s="10">
        <f>AP361+BG361+BX361+CO361+DF361</f>
        <v/>
      </c>
      <c r="N361" s="10">
        <f>AH361+AY361+BP361+CG361+CX361</f>
        <v/>
      </c>
      <c r="O361" s="10">
        <f>SUM(G361:N361)</f>
        <v/>
      </c>
      <c r="P361" s="10">
        <f>IFERROR(G361*MIN(1,'01_Нормативы'!$C$4/SUM(G$2:G$429)),0)</f>
        <v/>
      </c>
      <c r="Q361" s="10">
        <f>IFERROR(H361*MIN(1,'01_Нормативы'!$C$5/SUM(H$2:H$429)),0)</f>
        <v/>
      </c>
      <c r="R361" s="10">
        <f>IFERROR(I361*MIN(1,'01_Нормативы'!$C$6/SUM(I$2:I$429)),0)</f>
        <v/>
      </c>
      <c r="S361" s="10">
        <f>IFERROR(J361*MIN(1,'01_Нормативы'!$C$7/SUM(J$2:J$429)),0)</f>
        <v/>
      </c>
      <c r="T361" s="10">
        <f>IFERROR(K361*MIN(1,'01_Нормативы'!$C$8/SUM(K$2:K$429)),0)</f>
        <v/>
      </c>
      <c r="U361" s="10">
        <f>IFERROR(L361*MIN(1,'01_Нормативы'!$C$9/SUM(L$2:L$429)),0)</f>
        <v/>
      </c>
      <c r="V361" s="10">
        <f>IFERROR(M361*MIN(1,'01_Нормативы'!$C$10/SUM(M$2:M$429)),0)</f>
        <v/>
      </c>
      <c r="W361" s="10">
        <f>IFERROR(N361*MIN(1,'01_Нормативы'!$C$11/SUM(N$2:N$429)),0)</f>
        <v/>
      </c>
      <c r="X361" s="10">
        <f>SUM(P361:W361)</f>
        <v/>
      </c>
      <c r="Y361" s="10">
        <f>MAX(0,C361-X361)</f>
        <v/>
      </c>
      <c r="Z361" s="10">
        <f>IF(D361=0,100,X361/D361*100)</f>
        <v/>
      </c>
      <c r="AA361" s="10">
        <f>'02_Данные'!F361+'02_Данные'!G361</f>
        <v/>
      </c>
      <c r="AB361" s="10">
        <f>MIN('02_Данные'!L361,AA361)</f>
        <v/>
      </c>
      <c r="AC361" s="10">
        <f>AA361-AB361</f>
        <v/>
      </c>
      <c r="AD361" s="10">
        <f>MIN('02_Данные'!M361,AC361)</f>
        <v/>
      </c>
      <c r="AE361" s="10">
        <f>AC361-AD361</f>
        <v/>
      </c>
      <c r="AF361" s="10">
        <f>MIN('02_Данные'!N361,AE361)</f>
        <v/>
      </c>
      <c r="AG361" s="10">
        <f>AE361-AF361</f>
        <v/>
      </c>
      <c r="AH361" s="10">
        <f>MIN('02_Данные'!S361,AG361)</f>
        <v/>
      </c>
      <c r="AI361" s="10">
        <f>AG361-AH361</f>
        <v/>
      </c>
      <c r="AJ361" s="10">
        <f>MIN('02_Данные'!P361,AI361)</f>
        <v/>
      </c>
      <c r="AK361" s="10">
        <f>AI361-AJ361</f>
        <v/>
      </c>
      <c r="AL361" s="10">
        <f>MIN('02_Данные'!O361,AK361)</f>
        <v/>
      </c>
      <c r="AM361" s="10">
        <f>AK361-AL361</f>
        <v/>
      </c>
      <c r="AN361" s="10">
        <f>MIN('02_Данные'!Q361,AM361)</f>
        <v/>
      </c>
      <c r="AO361" s="10">
        <f>AM361-AN361</f>
        <v/>
      </c>
      <c r="AP361" s="10">
        <f>MIN('02_Данные'!R361,AO361)</f>
        <v/>
      </c>
      <c r="AQ361" s="10">
        <f>AO361-AP361</f>
        <v/>
      </c>
      <c r="AR361" s="10">
        <f>AQ361+'02_Данные'!H361</f>
        <v/>
      </c>
      <c r="AS361" s="10">
        <f>MIN('02_Данные'!T361,AR361)</f>
        <v/>
      </c>
      <c r="AT361" s="10">
        <f>AR361-AS361</f>
        <v/>
      </c>
      <c r="AU361" s="10">
        <f>MIN('02_Данные'!U361,AT361)</f>
        <v/>
      </c>
      <c r="AV361" s="10">
        <f>AT361-AU361</f>
        <v/>
      </c>
      <c r="AW361" s="10">
        <f>MIN('02_Данные'!V361,AV361)</f>
        <v/>
      </c>
      <c r="AX361" s="10">
        <f>AV361-AW361</f>
        <v/>
      </c>
      <c r="AY361" s="10">
        <f>MIN('02_Данные'!AA361,AX361)</f>
        <v/>
      </c>
      <c r="AZ361" s="10">
        <f>AX361-AY361</f>
        <v/>
      </c>
      <c r="BA361" s="10">
        <f>MIN('02_Данные'!X361,AZ361)</f>
        <v/>
      </c>
      <c r="BB361" s="10">
        <f>AZ361-BA361</f>
        <v/>
      </c>
      <c r="BC361" s="10">
        <f>MIN('02_Данные'!W361,BB361)</f>
        <v/>
      </c>
      <c r="BD361" s="10">
        <f>BB361-BC361</f>
        <v/>
      </c>
      <c r="BE361" s="10">
        <f>MIN('02_Данные'!Y361,BD361)</f>
        <v/>
      </c>
      <c r="BF361" s="10">
        <f>BD361-BE361</f>
        <v/>
      </c>
      <c r="BG361" s="10">
        <f>MIN('02_Данные'!Z361,BF361)</f>
        <v/>
      </c>
      <c r="BH361" s="10">
        <f>BF361-BG361</f>
        <v/>
      </c>
      <c r="BI361" s="10">
        <f>BH361+'02_Данные'!I361</f>
        <v/>
      </c>
      <c r="BJ361" s="10">
        <f>MIN('02_Данные'!AB361,BI361)</f>
        <v/>
      </c>
      <c r="BK361" s="10">
        <f>BI361-BJ361</f>
        <v/>
      </c>
      <c r="BL361" s="10">
        <f>MIN('02_Данные'!AC361,BK361)</f>
        <v/>
      </c>
      <c r="BM361" s="10">
        <f>BK361-BL361</f>
        <v/>
      </c>
      <c r="BN361" s="10">
        <f>MIN('02_Данные'!AD361,BM361)</f>
        <v/>
      </c>
      <c r="BO361" s="10">
        <f>BM361-BN361</f>
        <v/>
      </c>
      <c r="BP361" s="10">
        <f>MIN('02_Данные'!AI361,BO361)</f>
        <v/>
      </c>
      <c r="BQ361" s="10">
        <f>BO361-BP361</f>
        <v/>
      </c>
      <c r="BR361" s="10">
        <f>MIN('02_Данные'!AF361,BQ361)</f>
        <v/>
      </c>
      <c r="BS361" s="10">
        <f>BQ361-BR361</f>
        <v/>
      </c>
      <c r="BT361" s="10">
        <f>MIN('02_Данные'!AE361,BS361)</f>
        <v/>
      </c>
      <c r="BU361" s="10">
        <f>BS361-BT361</f>
        <v/>
      </c>
      <c r="BV361" s="10">
        <f>MIN('02_Данные'!AG361,BU361)</f>
        <v/>
      </c>
      <c r="BW361" s="10">
        <f>BU361-BV361</f>
        <v/>
      </c>
      <c r="BX361" s="10">
        <f>MIN('02_Данные'!AH361,BW361)</f>
        <v/>
      </c>
      <c r="BY361" s="10">
        <f>BW361-BX361</f>
        <v/>
      </c>
      <c r="BZ361" s="10">
        <f>BY361+'02_Данные'!J361</f>
        <v/>
      </c>
      <c r="CA361" s="10">
        <f>MIN('02_Данные'!AJ361,BZ361)</f>
        <v/>
      </c>
      <c r="CB361" s="10">
        <f>BZ361-CA361</f>
        <v/>
      </c>
      <c r="CC361" s="10">
        <f>MIN('02_Данные'!AK361,CB361)</f>
        <v/>
      </c>
      <c r="CD361" s="10">
        <f>CB361-CC361</f>
        <v/>
      </c>
      <c r="CE361" s="10">
        <f>MIN('02_Данные'!AL361,CD361)</f>
        <v/>
      </c>
      <c r="CF361" s="10">
        <f>CD361-CE361</f>
        <v/>
      </c>
      <c r="CG361" s="10">
        <f>MIN('02_Данные'!AQ361,CF361)</f>
        <v/>
      </c>
      <c r="CH361" s="10">
        <f>CF361-CG361</f>
        <v/>
      </c>
      <c r="CI361" s="10">
        <f>MIN('02_Данные'!AN361,CH361)</f>
        <v/>
      </c>
      <c r="CJ361" s="10">
        <f>CH361-CI361</f>
        <v/>
      </c>
      <c r="CK361" s="10">
        <f>MIN('02_Данные'!AM361,CJ361)</f>
        <v/>
      </c>
      <c r="CL361" s="10">
        <f>CJ361-CK361</f>
        <v/>
      </c>
      <c r="CM361" s="10">
        <f>MIN('02_Данные'!AO361,CL361)</f>
        <v/>
      </c>
      <c r="CN361" s="10">
        <f>CL361-CM361</f>
        <v/>
      </c>
      <c r="CO361" s="10">
        <f>MIN('02_Данные'!AP361,CN361)</f>
        <v/>
      </c>
      <c r="CP361" s="10">
        <f>CN361-CO361</f>
        <v/>
      </c>
      <c r="CQ361" s="10">
        <f>CP361+'02_Данные'!K361</f>
        <v/>
      </c>
      <c r="CR361" s="10">
        <f>MIN('02_Данные'!AR361,CQ361)</f>
        <v/>
      </c>
      <c r="CS361" s="10">
        <f>CQ361-CR361</f>
        <v/>
      </c>
      <c r="CT361" s="10">
        <f>MIN('02_Данные'!AS361,CS361)</f>
        <v/>
      </c>
      <c r="CU361" s="10">
        <f>CS361-CT361</f>
        <v/>
      </c>
      <c r="CV361" s="10">
        <f>MIN('02_Данные'!AT361,CU361)</f>
        <v/>
      </c>
      <c r="CW361" s="10">
        <f>CU361-CV361</f>
        <v/>
      </c>
      <c r="CX361" s="10">
        <f>MIN('02_Данные'!AY361,CW361)</f>
        <v/>
      </c>
      <c r="CY361" s="10">
        <f>CW361-CX361</f>
        <v/>
      </c>
      <c r="CZ361" s="10">
        <f>MIN('02_Данные'!AV361,CY361)</f>
        <v/>
      </c>
      <c r="DA361" s="10">
        <f>CY361-CZ361</f>
        <v/>
      </c>
      <c r="DB361" s="10">
        <f>MIN('02_Данные'!AU361,DA361)</f>
        <v/>
      </c>
      <c r="DC361" s="10">
        <f>DA361-DB361</f>
        <v/>
      </c>
      <c r="DD361" s="10">
        <f>MIN('02_Данные'!AW361,DC361)</f>
        <v/>
      </c>
      <c r="DE361" s="10">
        <f>DC361-DD361</f>
        <v/>
      </c>
      <c r="DF361" s="10">
        <f>MIN('02_Данные'!AX361,DE361)</f>
        <v/>
      </c>
      <c r="DG361" s="10">
        <f>DE361-DF361</f>
        <v/>
      </c>
    </row>
    <row r="362">
      <c r="A362" s="9">
        <f>'02_Данные'!B362</f>
        <v/>
      </c>
      <c r="B362" s="9">
        <f>'02_Данные'!E362</f>
        <v/>
      </c>
      <c r="C362" s="10">
        <f>'02_Данные'!F362+'02_Данные'!G362+'02_Данные'!H362+'02_Данные'!I362+'02_Данные'!J362+'02_Данные'!K362</f>
        <v/>
      </c>
      <c r="D362" s="10">
        <f>SUM('02_Данные'!L362:'02_Данные'!AY362)</f>
        <v/>
      </c>
      <c r="E362" s="10">
        <f>MAX(0,D362-C362)</f>
        <v/>
      </c>
      <c r="F362" s="15">
        <f>IF(E362&gt;0.0001,"ДЕФИЦИТ",IF(Y362&gt;0.0001,"ПРОФИЦИТ","БАЛАНС"))</f>
        <v/>
      </c>
      <c r="G362" s="10">
        <f>AB362+AS362+BJ362+CA362+CR362</f>
        <v/>
      </c>
      <c r="H362" s="10">
        <f>AD362+AU362+BL362+CC362+CT362</f>
        <v/>
      </c>
      <c r="I362" s="10">
        <f>AF362+AW362+BN362+CE362+CV362</f>
        <v/>
      </c>
      <c r="J362" s="10">
        <f>AL362+BC362+BT362+CK362+DB362</f>
        <v/>
      </c>
      <c r="K362" s="10">
        <f>AJ362+BA362+BR362+CI362+CZ362</f>
        <v/>
      </c>
      <c r="L362" s="10">
        <f>AN362+BE362+BV362+CM362+DD362</f>
        <v/>
      </c>
      <c r="M362" s="10">
        <f>AP362+BG362+BX362+CO362+DF362</f>
        <v/>
      </c>
      <c r="N362" s="10">
        <f>AH362+AY362+BP362+CG362+CX362</f>
        <v/>
      </c>
      <c r="O362" s="10">
        <f>SUM(G362:N362)</f>
        <v/>
      </c>
      <c r="P362" s="10">
        <f>IFERROR(G362*MIN(1,'01_Нормативы'!$C$4/SUM(G$2:G$429)),0)</f>
        <v/>
      </c>
      <c r="Q362" s="10">
        <f>IFERROR(H362*MIN(1,'01_Нормативы'!$C$5/SUM(H$2:H$429)),0)</f>
        <v/>
      </c>
      <c r="R362" s="10">
        <f>IFERROR(I362*MIN(1,'01_Нормативы'!$C$6/SUM(I$2:I$429)),0)</f>
        <v/>
      </c>
      <c r="S362" s="10">
        <f>IFERROR(J362*MIN(1,'01_Нормативы'!$C$7/SUM(J$2:J$429)),0)</f>
        <v/>
      </c>
      <c r="T362" s="10">
        <f>IFERROR(K362*MIN(1,'01_Нормативы'!$C$8/SUM(K$2:K$429)),0)</f>
        <v/>
      </c>
      <c r="U362" s="10">
        <f>IFERROR(L362*MIN(1,'01_Нормативы'!$C$9/SUM(L$2:L$429)),0)</f>
        <v/>
      </c>
      <c r="V362" s="10">
        <f>IFERROR(M362*MIN(1,'01_Нормативы'!$C$10/SUM(M$2:M$429)),0)</f>
        <v/>
      </c>
      <c r="W362" s="10">
        <f>IFERROR(N362*MIN(1,'01_Нормативы'!$C$11/SUM(N$2:N$429)),0)</f>
        <v/>
      </c>
      <c r="X362" s="10">
        <f>SUM(P362:W362)</f>
        <v/>
      </c>
      <c r="Y362" s="10">
        <f>MAX(0,C362-X362)</f>
        <v/>
      </c>
      <c r="Z362" s="10">
        <f>IF(D362=0,100,X362/D362*100)</f>
        <v/>
      </c>
      <c r="AA362" s="10">
        <f>'02_Данные'!F362+'02_Данные'!G362</f>
        <v/>
      </c>
      <c r="AB362" s="10">
        <f>MIN('02_Данные'!L362,AA362)</f>
        <v/>
      </c>
      <c r="AC362" s="10">
        <f>AA362-AB362</f>
        <v/>
      </c>
      <c r="AD362" s="10">
        <f>MIN('02_Данные'!M362,AC362)</f>
        <v/>
      </c>
      <c r="AE362" s="10">
        <f>AC362-AD362</f>
        <v/>
      </c>
      <c r="AF362" s="10">
        <f>MIN('02_Данные'!N362,AE362)</f>
        <v/>
      </c>
      <c r="AG362" s="10">
        <f>AE362-AF362</f>
        <v/>
      </c>
      <c r="AH362" s="10">
        <f>MIN('02_Данные'!S362,AG362)</f>
        <v/>
      </c>
      <c r="AI362" s="10">
        <f>AG362-AH362</f>
        <v/>
      </c>
      <c r="AJ362" s="10">
        <f>MIN('02_Данные'!P362,AI362)</f>
        <v/>
      </c>
      <c r="AK362" s="10">
        <f>AI362-AJ362</f>
        <v/>
      </c>
      <c r="AL362" s="10">
        <f>MIN('02_Данные'!O362,AK362)</f>
        <v/>
      </c>
      <c r="AM362" s="10">
        <f>AK362-AL362</f>
        <v/>
      </c>
      <c r="AN362" s="10">
        <f>MIN('02_Данные'!Q362,AM362)</f>
        <v/>
      </c>
      <c r="AO362" s="10">
        <f>AM362-AN362</f>
        <v/>
      </c>
      <c r="AP362" s="10">
        <f>MIN('02_Данные'!R362,AO362)</f>
        <v/>
      </c>
      <c r="AQ362" s="10">
        <f>AO362-AP362</f>
        <v/>
      </c>
      <c r="AR362" s="10">
        <f>AQ362+'02_Данные'!H362</f>
        <v/>
      </c>
      <c r="AS362" s="10">
        <f>MIN('02_Данные'!T362,AR362)</f>
        <v/>
      </c>
      <c r="AT362" s="10">
        <f>AR362-AS362</f>
        <v/>
      </c>
      <c r="AU362" s="10">
        <f>MIN('02_Данные'!U362,AT362)</f>
        <v/>
      </c>
      <c r="AV362" s="10">
        <f>AT362-AU362</f>
        <v/>
      </c>
      <c r="AW362" s="10">
        <f>MIN('02_Данные'!V362,AV362)</f>
        <v/>
      </c>
      <c r="AX362" s="10">
        <f>AV362-AW362</f>
        <v/>
      </c>
      <c r="AY362" s="10">
        <f>MIN('02_Данные'!AA362,AX362)</f>
        <v/>
      </c>
      <c r="AZ362" s="10">
        <f>AX362-AY362</f>
        <v/>
      </c>
      <c r="BA362" s="10">
        <f>MIN('02_Данные'!X362,AZ362)</f>
        <v/>
      </c>
      <c r="BB362" s="10">
        <f>AZ362-BA362</f>
        <v/>
      </c>
      <c r="BC362" s="10">
        <f>MIN('02_Данные'!W362,BB362)</f>
        <v/>
      </c>
      <c r="BD362" s="10">
        <f>BB362-BC362</f>
        <v/>
      </c>
      <c r="BE362" s="10">
        <f>MIN('02_Данные'!Y362,BD362)</f>
        <v/>
      </c>
      <c r="BF362" s="10">
        <f>BD362-BE362</f>
        <v/>
      </c>
      <c r="BG362" s="10">
        <f>MIN('02_Данные'!Z362,BF362)</f>
        <v/>
      </c>
      <c r="BH362" s="10">
        <f>BF362-BG362</f>
        <v/>
      </c>
      <c r="BI362" s="10">
        <f>BH362+'02_Данные'!I362</f>
        <v/>
      </c>
      <c r="BJ362" s="10">
        <f>MIN('02_Данные'!AB362,BI362)</f>
        <v/>
      </c>
      <c r="BK362" s="10">
        <f>BI362-BJ362</f>
        <v/>
      </c>
      <c r="BL362" s="10">
        <f>MIN('02_Данные'!AC362,BK362)</f>
        <v/>
      </c>
      <c r="BM362" s="10">
        <f>BK362-BL362</f>
        <v/>
      </c>
      <c r="BN362" s="10">
        <f>MIN('02_Данные'!AD362,BM362)</f>
        <v/>
      </c>
      <c r="BO362" s="10">
        <f>BM362-BN362</f>
        <v/>
      </c>
      <c r="BP362" s="10">
        <f>MIN('02_Данные'!AI362,BO362)</f>
        <v/>
      </c>
      <c r="BQ362" s="10">
        <f>BO362-BP362</f>
        <v/>
      </c>
      <c r="BR362" s="10">
        <f>MIN('02_Данные'!AF362,BQ362)</f>
        <v/>
      </c>
      <c r="BS362" s="10">
        <f>BQ362-BR362</f>
        <v/>
      </c>
      <c r="BT362" s="10">
        <f>MIN('02_Данные'!AE362,BS362)</f>
        <v/>
      </c>
      <c r="BU362" s="10">
        <f>BS362-BT362</f>
        <v/>
      </c>
      <c r="BV362" s="10">
        <f>MIN('02_Данные'!AG362,BU362)</f>
        <v/>
      </c>
      <c r="BW362" s="10">
        <f>BU362-BV362</f>
        <v/>
      </c>
      <c r="BX362" s="10">
        <f>MIN('02_Данные'!AH362,BW362)</f>
        <v/>
      </c>
      <c r="BY362" s="10">
        <f>BW362-BX362</f>
        <v/>
      </c>
      <c r="BZ362" s="10">
        <f>BY362+'02_Данные'!J362</f>
        <v/>
      </c>
      <c r="CA362" s="10">
        <f>MIN('02_Данные'!AJ362,BZ362)</f>
        <v/>
      </c>
      <c r="CB362" s="10">
        <f>BZ362-CA362</f>
        <v/>
      </c>
      <c r="CC362" s="10">
        <f>MIN('02_Данные'!AK362,CB362)</f>
        <v/>
      </c>
      <c r="CD362" s="10">
        <f>CB362-CC362</f>
        <v/>
      </c>
      <c r="CE362" s="10">
        <f>MIN('02_Данные'!AL362,CD362)</f>
        <v/>
      </c>
      <c r="CF362" s="10">
        <f>CD362-CE362</f>
        <v/>
      </c>
      <c r="CG362" s="10">
        <f>MIN('02_Данные'!AQ362,CF362)</f>
        <v/>
      </c>
      <c r="CH362" s="10">
        <f>CF362-CG362</f>
        <v/>
      </c>
      <c r="CI362" s="10">
        <f>MIN('02_Данные'!AN362,CH362)</f>
        <v/>
      </c>
      <c r="CJ362" s="10">
        <f>CH362-CI362</f>
        <v/>
      </c>
      <c r="CK362" s="10">
        <f>MIN('02_Данные'!AM362,CJ362)</f>
        <v/>
      </c>
      <c r="CL362" s="10">
        <f>CJ362-CK362</f>
        <v/>
      </c>
      <c r="CM362" s="10">
        <f>MIN('02_Данные'!AO362,CL362)</f>
        <v/>
      </c>
      <c r="CN362" s="10">
        <f>CL362-CM362</f>
        <v/>
      </c>
      <c r="CO362" s="10">
        <f>MIN('02_Данные'!AP362,CN362)</f>
        <v/>
      </c>
      <c r="CP362" s="10">
        <f>CN362-CO362</f>
        <v/>
      </c>
      <c r="CQ362" s="10">
        <f>CP362+'02_Данные'!K362</f>
        <v/>
      </c>
      <c r="CR362" s="10">
        <f>MIN('02_Данные'!AR362,CQ362)</f>
        <v/>
      </c>
      <c r="CS362" s="10">
        <f>CQ362-CR362</f>
        <v/>
      </c>
      <c r="CT362" s="10">
        <f>MIN('02_Данные'!AS362,CS362)</f>
        <v/>
      </c>
      <c r="CU362" s="10">
        <f>CS362-CT362</f>
        <v/>
      </c>
      <c r="CV362" s="10">
        <f>MIN('02_Данные'!AT362,CU362)</f>
        <v/>
      </c>
      <c r="CW362" s="10">
        <f>CU362-CV362</f>
        <v/>
      </c>
      <c r="CX362" s="10">
        <f>MIN('02_Данные'!AY362,CW362)</f>
        <v/>
      </c>
      <c r="CY362" s="10">
        <f>CW362-CX362</f>
        <v/>
      </c>
      <c r="CZ362" s="10">
        <f>MIN('02_Данные'!AV362,CY362)</f>
        <v/>
      </c>
      <c r="DA362" s="10">
        <f>CY362-CZ362</f>
        <v/>
      </c>
      <c r="DB362" s="10">
        <f>MIN('02_Данные'!AU362,DA362)</f>
        <v/>
      </c>
      <c r="DC362" s="10">
        <f>DA362-DB362</f>
        <v/>
      </c>
      <c r="DD362" s="10">
        <f>MIN('02_Данные'!AW362,DC362)</f>
        <v/>
      </c>
      <c r="DE362" s="10">
        <f>DC362-DD362</f>
        <v/>
      </c>
      <c r="DF362" s="10">
        <f>MIN('02_Данные'!AX362,DE362)</f>
        <v/>
      </c>
      <c r="DG362" s="10">
        <f>DE362-DF362</f>
        <v/>
      </c>
    </row>
    <row r="363">
      <c r="A363" s="9">
        <f>'02_Данные'!B363</f>
        <v/>
      </c>
      <c r="B363" s="9">
        <f>'02_Данные'!E363</f>
        <v/>
      </c>
      <c r="C363" s="10">
        <f>'02_Данные'!F363+'02_Данные'!G363+'02_Данные'!H363+'02_Данные'!I363+'02_Данные'!J363+'02_Данные'!K363</f>
        <v/>
      </c>
      <c r="D363" s="10">
        <f>SUM('02_Данные'!L363:'02_Данные'!AY363)</f>
        <v/>
      </c>
      <c r="E363" s="10">
        <f>MAX(0,D363-C363)</f>
        <v/>
      </c>
      <c r="F363" s="15">
        <f>IF(E363&gt;0.0001,"ДЕФИЦИТ",IF(Y363&gt;0.0001,"ПРОФИЦИТ","БАЛАНС"))</f>
        <v/>
      </c>
      <c r="G363" s="10">
        <f>AB363+AS363+BJ363+CA363+CR363</f>
        <v/>
      </c>
      <c r="H363" s="10">
        <f>AD363+AU363+BL363+CC363+CT363</f>
        <v/>
      </c>
      <c r="I363" s="10">
        <f>AF363+AW363+BN363+CE363+CV363</f>
        <v/>
      </c>
      <c r="J363" s="10">
        <f>AL363+BC363+BT363+CK363+DB363</f>
        <v/>
      </c>
      <c r="K363" s="10">
        <f>AJ363+BA363+BR363+CI363+CZ363</f>
        <v/>
      </c>
      <c r="L363" s="10">
        <f>AN363+BE363+BV363+CM363+DD363</f>
        <v/>
      </c>
      <c r="M363" s="10">
        <f>AP363+BG363+BX363+CO363+DF363</f>
        <v/>
      </c>
      <c r="N363" s="10">
        <f>AH363+AY363+BP363+CG363+CX363</f>
        <v/>
      </c>
      <c r="O363" s="10">
        <f>SUM(G363:N363)</f>
        <v/>
      </c>
      <c r="P363" s="10">
        <f>IFERROR(G363*MIN(1,'01_Нормативы'!$C$4/SUM(G$2:G$429)),0)</f>
        <v/>
      </c>
      <c r="Q363" s="10">
        <f>IFERROR(H363*MIN(1,'01_Нормативы'!$C$5/SUM(H$2:H$429)),0)</f>
        <v/>
      </c>
      <c r="R363" s="10">
        <f>IFERROR(I363*MIN(1,'01_Нормативы'!$C$6/SUM(I$2:I$429)),0)</f>
        <v/>
      </c>
      <c r="S363" s="10">
        <f>IFERROR(J363*MIN(1,'01_Нормативы'!$C$7/SUM(J$2:J$429)),0)</f>
        <v/>
      </c>
      <c r="T363" s="10">
        <f>IFERROR(K363*MIN(1,'01_Нормативы'!$C$8/SUM(K$2:K$429)),0)</f>
        <v/>
      </c>
      <c r="U363" s="10">
        <f>IFERROR(L363*MIN(1,'01_Нормативы'!$C$9/SUM(L$2:L$429)),0)</f>
        <v/>
      </c>
      <c r="V363" s="10">
        <f>IFERROR(M363*MIN(1,'01_Нормативы'!$C$10/SUM(M$2:M$429)),0)</f>
        <v/>
      </c>
      <c r="W363" s="10">
        <f>IFERROR(N363*MIN(1,'01_Нормативы'!$C$11/SUM(N$2:N$429)),0)</f>
        <v/>
      </c>
      <c r="X363" s="10">
        <f>SUM(P363:W363)</f>
        <v/>
      </c>
      <c r="Y363" s="10">
        <f>MAX(0,C363-X363)</f>
        <v/>
      </c>
      <c r="Z363" s="10">
        <f>IF(D363=0,100,X363/D363*100)</f>
        <v/>
      </c>
      <c r="AA363" s="10">
        <f>'02_Данные'!F363+'02_Данные'!G363</f>
        <v/>
      </c>
      <c r="AB363" s="10">
        <f>MIN('02_Данные'!L363,AA363)</f>
        <v/>
      </c>
      <c r="AC363" s="10">
        <f>AA363-AB363</f>
        <v/>
      </c>
      <c r="AD363" s="10">
        <f>MIN('02_Данные'!M363,AC363)</f>
        <v/>
      </c>
      <c r="AE363" s="10">
        <f>AC363-AD363</f>
        <v/>
      </c>
      <c r="AF363" s="10">
        <f>MIN('02_Данные'!N363,AE363)</f>
        <v/>
      </c>
      <c r="AG363" s="10">
        <f>AE363-AF363</f>
        <v/>
      </c>
      <c r="AH363" s="10">
        <f>MIN('02_Данные'!S363,AG363)</f>
        <v/>
      </c>
      <c r="AI363" s="10">
        <f>AG363-AH363</f>
        <v/>
      </c>
      <c r="AJ363" s="10">
        <f>MIN('02_Данные'!P363,AI363)</f>
        <v/>
      </c>
      <c r="AK363" s="10">
        <f>AI363-AJ363</f>
        <v/>
      </c>
      <c r="AL363" s="10">
        <f>MIN('02_Данные'!O363,AK363)</f>
        <v/>
      </c>
      <c r="AM363" s="10">
        <f>AK363-AL363</f>
        <v/>
      </c>
      <c r="AN363" s="10">
        <f>MIN('02_Данные'!Q363,AM363)</f>
        <v/>
      </c>
      <c r="AO363" s="10">
        <f>AM363-AN363</f>
        <v/>
      </c>
      <c r="AP363" s="10">
        <f>MIN('02_Данные'!R363,AO363)</f>
        <v/>
      </c>
      <c r="AQ363" s="10">
        <f>AO363-AP363</f>
        <v/>
      </c>
      <c r="AR363" s="10">
        <f>AQ363+'02_Данные'!H363</f>
        <v/>
      </c>
      <c r="AS363" s="10">
        <f>MIN('02_Данные'!T363,AR363)</f>
        <v/>
      </c>
      <c r="AT363" s="10">
        <f>AR363-AS363</f>
        <v/>
      </c>
      <c r="AU363" s="10">
        <f>MIN('02_Данные'!U363,AT363)</f>
        <v/>
      </c>
      <c r="AV363" s="10">
        <f>AT363-AU363</f>
        <v/>
      </c>
      <c r="AW363" s="10">
        <f>MIN('02_Данные'!V363,AV363)</f>
        <v/>
      </c>
      <c r="AX363" s="10">
        <f>AV363-AW363</f>
        <v/>
      </c>
      <c r="AY363" s="10">
        <f>MIN('02_Данные'!AA363,AX363)</f>
        <v/>
      </c>
      <c r="AZ363" s="10">
        <f>AX363-AY363</f>
        <v/>
      </c>
      <c r="BA363" s="10">
        <f>MIN('02_Данные'!X363,AZ363)</f>
        <v/>
      </c>
      <c r="BB363" s="10">
        <f>AZ363-BA363</f>
        <v/>
      </c>
      <c r="BC363" s="10">
        <f>MIN('02_Данные'!W363,BB363)</f>
        <v/>
      </c>
      <c r="BD363" s="10">
        <f>BB363-BC363</f>
        <v/>
      </c>
      <c r="BE363" s="10">
        <f>MIN('02_Данные'!Y363,BD363)</f>
        <v/>
      </c>
      <c r="BF363" s="10">
        <f>BD363-BE363</f>
        <v/>
      </c>
      <c r="BG363" s="10">
        <f>MIN('02_Данные'!Z363,BF363)</f>
        <v/>
      </c>
      <c r="BH363" s="10">
        <f>BF363-BG363</f>
        <v/>
      </c>
      <c r="BI363" s="10">
        <f>BH363+'02_Данные'!I363</f>
        <v/>
      </c>
      <c r="BJ363" s="10">
        <f>MIN('02_Данные'!AB363,BI363)</f>
        <v/>
      </c>
      <c r="BK363" s="10">
        <f>BI363-BJ363</f>
        <v/>
      </c>
      <c r="BL363" s="10">
        <f>MIN('02_Данные'!AC363,BK363)</f>
        <v/>
      </c>
      <c r="BM363" s="10">
        <f>BK363-BL363</f>
        <v/>
      </c>
      <c r="BN363" s="10">
        <f>MIN('02_Данные'!AD363,BM363)</f>
        <v/>
      </c>
      <c r="BO363" s="10">
        <f>BM363-BN363</f>
        <v/>
      </c>
      <c r="BP363" s="10">
        <f>MIN('02_Данные'!AI363,BO363)</f>
        <v/>
      </c>
      <c r="BQ363" s="10">
        <f>BO363-BP363</f>
        <v/>
      </c>
      <c r="BR363" s="10">
        <f>MIN('02_Данные'!AF363,BQ363)</f>
        <v/>
      </c>
      <c r="BS363" s="10">
        <f>BQ363-BR363</f>
        <v/>
      </c>
      <c r="BT363" s="10">
        <f>MIN('02_Данные'!AE363,BS363)</f>
        <v/>
      </c>
      <c r="BU363" s="10">
        <f>BS363-BT363</f>
        <v/>
      </c>
      <c r="BV363" s="10">
        <f>MIN('02_Данные'!AG363,BU363)</f>
        <v/>
      </c>
      <c r="BW363" s="10">
        <f>BU363-BV363</f>
        <v/>
      </c>
      <c r="BX363" s="10">
        <f>MIN('02_Данные'!AH363,BW363)</f>
        <v/>
      </c>
      <c r="BY363" s="10">
        <f>BW363-BX363</f>
        <v/>
      </c>
      <c r="BZ363" s="10">
        <f>BY363+'02_Данные'!J363</f>
        <v/>
      </c>
      <c r="CA363" s="10">
        <f>MIN('02_Данные'!AJ363,BZ363)</f>
        <v/>
      </c>
      <c r="CB363" s="10">
        <f>BZ363-CA363</f>
        <v/>
      </c>
      <c r="CC363" s="10">
        <f>MIN('02_Данные'!AK363,CB363)</f>
        <v/>
      </c>
      <c r="CD363" s="10">
        <f>CB363-CC363</f>
        <v/>
      </c>
      <c r="CE363" s="10">
        <f>MIN('02_Данные'!AL363,CD363)</f>
        <v/>
      </c>
      <c r="CF363" s="10">
        <f>CD363-CE363</f>
        <v/>
      </c>
      <c r="CG363" s="10">
        <f>MIN('02_Данные'!AQ363,CF363)</f>
        <v/>
      </c>
      <c r="CH363" s="10">
        <f>CF363-CG363</f>
        <v/>
      </c>
      <c r="CI363" s="10">
        <f>MIN('02_Данные'!AN363,CH363)</f>
        <v/>
      </c>
      <c r="CJ363" s="10">
        <f>CH363-CI363</f>
        <v/>
      </c>
      <c r="CK363" s="10">
        <f>MIN('02_Данные'!AM363,CJ363)</f>
        <v/>
      </c>
      <c r="CL363" s="10">
        <f>CJ363-CK363</f>
        <v/>
      </c>
      <c r="CM363" s="10">
        <f>MIN('02_Данные'!AO363,CL363)</f>
        <v/>
      </c>
      <c r="CN363" s="10">
        <f>CL363-CM363</f>
        <v/>
      </c>
      <c r="CO363" s="10">
        <f>MIN('02_Данные'!AP363,CN363)</f>
        <v/>
      </c>
      <c r="CP363" s="10">
        <f>CN363-CO363</f>
        <v/>
      </c>
      <c r="CQ363" s="10">
        <f>CP363+'02_Данные'!K363</f>
        <v/>
      </c>
      <c r="CR363" s="10">
        <f>MIN('02_Данные'!AR363,CQ363)</f>
        <v/>
      </c>
      <c r="CS363" s="10">
        <f>CQ363-CR363</f>
        <v/>
      </c>
      <c r="CT363" s="10">
        <f>MIN('02_Данные'!AS363,CS363)</f>
        <v/>
      </c>
      <c r="CU363" s="10">
        <f>CS363-CT363</f>
        <v/>
      </c>
      <c r="CV363" s="10">
        <f>MIN('02_Данные'!AT363,CU363)</f>
        <v/>
      </c>
      <c r="CW363" s="10">
        <f>CU363-CV363</f>
        <v/>
      </c>
      <c r="CX363" s="10">
        <f>MIN('02_Данные'!AY363,CW363)</f>
        <v/>
      </c>
      <c r="CY363" s="10">
        <f>CW363-CX363</f>
        <v/>
      </c>
      <c r="CZ363" s="10">
        <f>MIN('02_Данные'!AV363,CY363)</f>
        <v/>
      </c>
      <c r="DA363" s="10">
        <f>CY363-CZ363</f>
        <v/>
      </c>
      <c r="DB363" s="10">
        <f>MIN('02_Данные'!AU363,DA363)</f>
        <v/>
      </c>
      <c r="DC363" s="10">
        <f>DA363-DB363</f>
        <v/>
      </c>
      <c r="DD363" s="10">
        <f>MIN('02_Данные'!AW363,DC363)</f>
        <v/>
      </c>
      <c r="DE363" s="10">
        <f>DC363-DD363</f>
        <v/>
      </c>
      <c r="DF363" s="10">
        <f>MIN('02_Данные'!AX363,DE363)</f>
        <v/>
      </c>
      <c r="DG363" s="10">
        <f>DE363-DF363</f>
        <v/>
      </c>
    </row>
    <row r="364">
      <c r="A364" s="9">
        <f>'02_Данные'!B364</f>
        <v/>
      </c>
      <c r="B364" s="9">
        <f>'02_Данные'!E364</f>
        <v/>
      </c>
      <c r="C364" s="10">
        <f>'02_Данные'!F364+'02_Данные'!G364+'02_Данные'!H364+'02_Данные'!I364+'02_Данные'!J364+'02_Данные'!K364</f>
        <v/>
      </c>
      <c r="D364" s="10">
        <f>SUM('02_Данные'!L364:'02_Данные'!AY364)</f>
        <v/>
      </c>
      <c r="E364" s="10">
        <f>MAX(0,D364-C364)</f>
        <v/>
      </c>
      <c r="F364" s="15">
        <f>IF(E364&gt;0.0001,"ДЕФИЦИТ",IF(Y364&gt;0.0001,"ПРОФИЦИТ","БАЛАНС"))</f>
        <v/>
      </c>
      <c r="G364" s="10">
        <f>AB364+AS364+BJ364+CA364+CR364</f>
        <v/>
      </c>
      <c r="H364" s="10">
        <f>AD364+AU364+BL364+CC364+CT364</f>
        <v/>
      </c>
      <c r="I364" s="10">
        <f>AF364+AW364+BN364+CE364+CV364</f>
        <v/>
      </c>
      <c r="J364" s="10">
        <f>AL364+BC364+BT364+CK364+DB364</f>
        <v/>
      </c>
      <c r="K364" s="10">
        <f>AJ364+BA364+BR364+CI364+CZ364</f>
        <v/>
      </c>
      <c r="L364" s="10">
        <f>AN364+BE364+BV364+CM364+DD364</f>
        <v/>
      </c>
      <c r="M364" s="10">
        <f>AP364+BG364+BX364+CO364+DF364</f>
        <v/>
      </c>
      <c r="N364" s="10">
        <f>AH364+AY364+BP364+CG364+CX364</f>
        <v/>
      </c>
      <c r="O364" s="10">
        <f>SUM(G364:N364)</f>
        <v/>
      </c>
      <c r="P364" s="10">
        <f>IFERROR(G364*MIN(1,'01_Нормативы'!$C$4/SUM(G$2:G$429)),0)</f>
        <v/>
      </c>
      <c r="Q364" s="10">
        <f>IFERROR(H364*MIN(1,'01_Нормативы'!$C$5/SUM(H$2:H$429)),0)</f>
        <v/>
      </c>
      <c r="R364" s="10">
        <f>IFERROR(I364*MIN(1,'01_Нормативы'!$C$6/SUM(I$2:I$429)),0)</f>
        <v/>
      </c>
      <c r="S364" s="10">
        <f>IFERROR(J364*MIN(1,'01_Нормативы'!$C$7/SUM(J$2:J$429)),0)</f>
        <v/>
      </c>
      <c r="T364" s="10">
        <f>IFERROR(K364*MIN(1,'01_Нормативы'!$C$8/SUM(K$2:K$429)),0)</f>
        <v/>
      </c>
      <c r="U364" s="10">
        <f>IFERROR(L364*MIN(1,'01_Нормативы'!$C$9/SUM(L$2:L$429)),0)</f>
        <v/>
      </c>
      <c r="V364" s="10">
        <f>IFERROR(M364*MIN(1,'01_Нормативы'!$C$10/SUM(M$2:M$429)),0)</f>
        <v/>
      </c>
      <c r="W364" s="10">
        <f>IFERROR(N364*MIN(1,'01_Нормативы'!$C$11/SUM(N$2:N$429)),0)</f>
        <v/>
      </c>
      <c r="X364" s="10">
        <f>SUM(P364:W364)</f>
        <v/>
      </c>
      <c r="Y364" s="10">
        <f>MAX(0,C364-X364)</f>
        <v/>
      </c>
      <c r="Z364" s="10">
        <f>IF(D364=0,100,X364/D364*100)</f>
        <v/>
      </c>
      <c r="AA364" s="10">
        <f>'02_Данные'!F364+'02_Данные'!G364</f>
        <v/>
      </c>
      <c r="AB364" s="10">
        <f>MIN('02_Данные'!L364,AA364)</f>
        <v/>
      </c>
      <c r="AC364" s="10">
        <f>AA364-AB364</f>
        <v/>
      </c>
      <c r="AD364" s="10">
        <f>MIN('02_Данные'!M364,AC364)</f>
        <v/>
      </c>
      <c r="AE364" s="10">
        <f>AC364-AD364</f>
        <v/>
      </c>
      <c r="AF364" s="10">
        <f>MIN('02_Данные'!N364,AE364)</f>
        <v/>
      </c>
      <c r="AG364" s="10">
        <f>AE364-AF364</f>
        <v/>
      </c>
      <c r="AH364" s="10">
        <f>MIN('02_Данные'!S364,AG364)</f>
        <v/>
      </c>
      <c r="AI364" s="10">
        <f>AG364-AH364</f>
        <v/>
      </c>
      <c r="AJ364" s="10">
        <f>MIN('02_Данные'!P364,AI364)</f>
        <v/>
      </c>
      <c r="AK364" s="10">
        <f>AI364-AJ364</f>
        <v/>
      </c>
      <c r="AL364" s="10">
        <f>MIN('02_Данные'!O364,AK364)</f>
        <v/>
      </c>
      <c r="AM364" s="10">
        <f>AK364-AL364</f>
        <v/>
      </c>
      <c r="AN364" s="10">
        <f>MIN('02_Данные'!Q364,AM364)</f>
        <v/>
      </c>
      <c r="AO364" s="10">
        <f>AM364-AN364</f>
        <v/>
      </c>
      <c r="AP364" s="10">
        <f>MIN('02_Данные'!R364,AO364)</f>
        <v/>
      </c>
      <c r="AQ364" s="10">
        <f>AO364-AP364</f>
        <v/>
      </c>
      <c r="AR364" s="10">
        <f>AQ364+'02_Данные'!H364</f>
        <v/>
      </c>
      <c r="AS364" s="10">
        <f>MIN('02_Данные'!T364,AR364)</f>
        <v/>
      </c>
      <c r="AT364" s="10">
        <f>AR364-AS364</f>
        <v/>
      </c>
      <c r="AU364" s="10">
        <f>MIN('02_Данные'!U364,AT364)</f>
        <v/>
      </c>
      <c r="AV364" s="10">
        <f>AT364-AU364</f>
        <v/>
      </c>
      <c r="AW364" s="10">
        <f>MIN('02_Данные'!V364,AV364)</f>
        <v/>
      </c>
      <c r="AX364" s="10">
        <f>AV364-AW364</f>
        <v/>
      </c>
      <c r="AY364" s="10">
        <f>MIN('02_Данные'!AA364,AX364)</f>
        <v/>
      </c>
      <c r="AZ364" s="10">
        <f>AX364-AY364</f>
        <v/>
      </c>
      <c r="BA364" s="10">
        <f>MIN('02_Данные'!X364,AZ364)</f>
        <v/>
      </c>
      <c r="BB364" s="10">
        <f>AZ364-BA364</f>
        <v/>
      </c>
      <c r="BC364" s="10">
        <f>MIN('02_Данные'!W364,BB364)</f>
        <v/>
      </c>
      <c r="BD364" s="10">
        <f>BB364-BC364</f>
        <v/>
      </c>
      <c r="BE364" s="10">
        <f>MIN('02_Данные'!Y364,BD364)</f>
        <v/>
      </c>
      <c r="BF364" s="10">
        <f>BD364-BE364</f>
        <v/>
      </c>
      <c r="BG364" s="10">
        <f>MIN('02_Данные'!Z364,BF364)</f>
        <v/>
      </c>
      <c r="BH364" s="10">
        <f>BF364-BG364</f>
        <v/>
      </c>
      <c r="BI364" s="10">
        <f>BH364+'02_Данные'!I364</f>
        <v/>
      </c>
      <c r="BJ364" s="10">
        <f>MIN('02_Данные'!AB364,BI364)</f>
        <v/>
      </c>
      <c r="BK364" s="10">
        <f>BI364-BJ364</f>
        <v/>
      </c>
      <c r="BL364" s="10">
        <f>MIN('02_Данные'!AC364,BK364)</f>
        <v/>
      </c>
      <c r="BM364" s="10">
        <f>BK364-BL364</f>
        <v/>
      </c>
      <c r="BN364" s="10">
        <f>MIN('02_Данные'!AD364,BM364)</f>
        <v/>
      </c>
      <c r="BO364" s="10">
        <f>BM364-BN364</f>
        <v/>
      </c>
      <c r="BP364" s="10">
        <f>MIN('02_Данные'!AI364,BO364)</f>
        <v/>
      </c>
      <c r="BQ364" s="10">
        <f>BO364-BP364</f>
        <v/>
      </c>
      <c r="BR364" s="10">
        <f>MIN('02_Данные'!AF364,BQ364)</f>
        <v/>
      </c>
      <c r="BS364" s="10">
        <f>BQ364-BR364</f>
        <v/>
      </c>
      <c r="BT364" s="10">
        <f>MIN('02_Данные'!AE364,BS364)</f>
        <v/>
      </c>
      <c r="BU364" s="10">
        <f>BS364-BT364</f>
        <v/>
      </c>
      <c r="BV364" s="10">
        <f>MIN('02_Данные'!AG364,BU364)</f>
        <v/>
      </c>
      <c r="BW364" s="10">
        <f>BU364-BV364</f>
        <v/>
      </c>
      <c r="BX364" s="10">
        <f>MIN('02_Данные'!AH364,BW364)</f>
        <v/>
      </c>
      <c r="BY364" s="10">
        <f>BW364-BX364</f>
        <v/>
      </c>
      <c r="BZ364" s="10">
        <f>BY364+'02_Данные'!J364</f>
        <v/>
      </c>
      <c r="CA364" s="10">
        <f>MIN('02_Данные'!AJ364,BZ364)</f>
        <v/>
      </c>
      <c r="CB364" s="10">
        <f>BZ364-CA364</f>
        <v/>
      </c>
      <c r="CC364" s="10">
        <f>MIN('02_Данные'!AK364,CB364)</f>
        <v/>
      </c>
      <c r="CD364" s="10">
        <f>CB364-CC364</f>
        <v/>
      </c>
      <c r="CE364" s="10">
        <f>MIN('02_Данные'!AL364,CD364)</f>
        <v/>
      </c>
      <c r="CF364" s="10">
        <f>CD364-CE364</f>
        <v/>
      </c>
      <c r="CG364" s="10">
        <f>MIN('02_Данные'!AQ364,CF364)</f>
        <v/>
      </c>
      <c r="CH364" s="10">
        <f>CF364-CG364</f>
        <v/>
      </c>
      <c r="CI364" s="10">
        <f>MIN('02_Данные'!AN364,CH364)</f>
        <v/>
      </c>
      <c r="CJ364" s="10">
        <f>CH364-CI364</f>
        <v/>
      </c>
      <c r="CK364" s="10">
        <f>MIN('02_Данные'!AM364,CJ364)</f>
        <v/>
      </c>
      <c r="CL364" s="10">
        <f>CJ364-CK364</f>
        <v/>
      </c>
      <c r="CM364" s="10">
        <f>MIN('02_Данные'!AO364,CL364)</f>
        <v/>
      </c>
      <c r="CN364" s="10">
        <f>CL364-CM364</f>
        <v/>
      </c>
      <c r="CO364" s="10">
        <f>MIN('02_Данные'!AP364,CN364)</f>
        <v/>
      </c>
      <c r="CP364" s="10">
        <f>CN364-CO364</f>
        <v/>
      </c>
      <c r="CQ364" s="10">
        <f>CP364+'02_Данные'!K364</f>
        <v/>
      </c>
      <c r="CR364" s="10">
        <f>MIN('02_Данные'!AR364,CQ364)</f>
        <v/>
      </c>
      <c r="CS364" s="10">
        <f>CQ364-CR364</f>
        <v/>
      </c>
      <c r="CT364" s="10">
        <f>MIN('02_Данные'!AS364,CS364)</f>
        <v/>
      </c>
      <c r="CU364" s="10">
        <f>CS364-CT364</f>
        <v/>
      </c>
      <c r="CV364" s="10">
        <f>MIN('02_Данные'!AT364,CU364)</f>
        <v/>
      </c>
      <c r="CW364" s="10">
        <f>CU364-CV364</f>
        <v/>
      </c>
      <c r="CX364" s="10">
        <f>MIN('02_Данные'!AY364,CW364)</f>
        <v/>
      </c>
      <c r="CY364" s="10">
        <f>CW364-CX364</f>
        <v/>
      </c>
      <c r="CZ364" s="10">
        <f>MIN('02_Данные'!AV364,CY364)</f>
        <v/>
      </c>
      <c r="DA364" s="10">
        <f>CY364-CZ364</f>
        <v/>
      </c>
      <c r="DB364" s="10">
        <f>MIN('02_Данные'!AU364,DA364)</f>
        <v/>
      </c>
      <c r="DC364" s="10">
        <f>DA364-DB364</f>
        <v/>
      </c>
      <c r="DD364" s="10">
        <f>MIN('02_Данные'!AW364,DC364)</f>
        <v/>
      </c>
      <c r="DE364" s="10">
        <f>DC364-DD364</f>
        <v/>
      </c>
      <c r="DF364" s="10">
        <f>MIN('02_Данные'!AX364,DE364)</f>
        <v/>
      </c>
      <c r="DG364" s="10">
        <f>DE364-DF364</f>
        <v/>
      </c>
    </row>
    <row r="365">
      <c r="A365" s="9">
        <f>'02_Данные'!B365</f>
        <v/>
      </c>
      <c r="B365" s="9">
        <f>'02_Данные'!E365</f>
        <v/>
      </c>
      <c r="C365" s="10">
        <f>'02_Данные'!F365+'02_Данные'!G365+'02_Данные'!H365+'02_Данные'!I365+'02_Данные'!J365+'02_Данные'!K365</f>
        <v/>
      </c>
      <c r="D365" s="10">
        <f>SUM('02_Данные'!L365:'02_Данные'!AY365)</f>
        <v/>
      </c>
      <c r="E365" s="10">
        <f>MAX(0,D365-C365)</f>
        <v/>
      </c>
      <c r="F365" s="15">
        <f>IF(E365&gt;0.0001,"ДЕФИЦИТ",IF(Y365&gt;0.0001,"ПРОФИЦИТ","БАЛАНС"))</f>
        <v/>
      </c>
      <c r="G365" s="10">
        <f>AB365+AS365+BJ365+CA365+CR365</f>
        <v/>
      </c>
      <c r="H365" s="10">
        <f>AD365+AU365+BL365+CC365+CT365</f>
        <v/>
      </c>
      <c r="I365" s="10">
        <f>AF365+AW365+BN365+CE365+CV365</f>
        <v/>
      </c>
      <c r="J365" s="10">
        <f>AL365+BC365+BT365+CK365+DB365</f>
        <v/>
      </c>
      <c r="K365" s="10">
        <f>AJ365+BA365+BR365+CI365+CZ365</f>
        <v/>
      </c>
      <c r="L365" s="10">
        <f>AN365+BE365+BV365+CM365+DD365</f>
        <v/>
      </c>
      <c r="M365" s="10">
        <f>AP365+BG365+BX365+CO365+DF365</f>
        <v/>
      </c>
      <c r="N365" s="10">
        <f>AH365+AY365+BP365+CG365+CX365</f>
        <v/>
      </c>
      <c r="O365" s="10">
        <f>SUM(G365:N365)</f>
        <v/>
      </c>
      <c r="P365" s="10">
        <f>IFERROR(G365*MIN(1,'01_Нормативы'!$C$4/SUM(G$2:G$429)),0)</f>
        <v/>
      </c>
      <c r="Q365" s="10">
        <f>IFERROR(H365*MIN(1,'01_Нормативы'!$C$5/SUM(H$2:H$429)),0)</f>
        <v/>
      </c>
      <c r="R365" s="10">
        <f>IFERROR(I365*MIN(1,'01_Нормативы'!$C$6/SUM(I$2:I$429)),0)</f>
        <v/>
      </c>
      <c r="S365" s="10">
        <f>IFERROR(J365*MIN(1,'01_Нормативы'!$C$7/SUM(J$2:J$429)),0)</f>
        <v/>
      </c>
      <c r="T365" s="10">
        <f>IFERROR(K365*MIN(1,'01_Нормативы'!$C$8/SUM(K$2:K$429)),0)</f>
        <v/>
      </c>
      <c r="U365" s="10">
        <f>IFERROR(L365*MIN(1,'01_Нормативы'!$C$9/SUM(L$2:L$429)),0)</f>
        <v/>
      </c>
      <c r="V365" s="10">
        <f>IFERROR(M365*MIN(1,'01_Нормативы'!$C$10/SUM(M$2:M$429)),0)</f>
        <v/>
      </c>
      <c r="W365" s="10">
        <f>IFERROR(N365*MIN(1,'01_Нормативы'!$C$11/SUM(N$2:N$429)),0)</f>
        <v/>
      </c>
      <c r="X365" s="10">
        <f>SUM(P365:W365)</f>
        <v/>
      </c>
      <c r="Y365" s="10">
        <f>MAX(0,C365-X365)</f>
        <v/>
      </c>
      <c r="Z365" s="10">
        <f>IF(D365=0,100,X365/D365*100)</f>
        <v/>
      </c>
      <c r="AA365" s="10">
        <f>'02_Данные'!F365+'02_Данные'!G365</f>
        <v/>
      </c>
      <c r="AB365" s="10">
        <f>MIN('02_Данные'!L365,AA365)</f>
        <v/>
      </c>
      <c r="AC365" s="10">
        <f>AA365-AB365</f>
        <v/>
      </c>
      <c r="AD365" s="10">
        <f>MIN('02_Данные'!M365,AC365)</f>
        <v/>
      </c>
      <c r="AE365" s="10">
        <f>AC365-AD365</f>
        <v/>
      </c>
      <c r="AF365" s="10">
        <f>MIN('02_Данные'!N365,AE365)</f>
        <v/>
      </c>
      <c r="AG365" s="10">
        <f>AE365-AF365</f>
        <v/>
      </c>
      <c r="AH365" s="10">
        <f>MIN('02_Данные'!S365,AG365)</f>
        <v/>
      </c>
      <c r="AI365" s="10">
        <f>AG365-AH365</f>
        <v/>
      </c>
      <c r="AJ365" s="10">
        <f>MIN('02_Данные'!P365,AI365)</f>
        <v/>
      </c>
      <c r="AK365" s="10">
        <f>AI365-AJ365</f>
        <v/>
      </c>
      <c r="AL365" s="10">
        <f>MIN('02_Данные'!O365,AK365)</f>
        <v/>
      </c>
      <c r="AM365" s="10">
        <f>AK365-AL365</f>
        <v/>
      </c>
      <c r="AN365" s="10">
        <f>MIN('02_Данные'!Q365,AM365)</f>
        <v/>
      </c>
      <c r="AO365" s="10">
        <f>AM365-AN365</f>
        <v/>
      </c>
      <c r="AP365" s="10">
        <f>MIN('02_Данные'!R365,AO365)</f>
        <v/>
      </c>
      <c r="AQ365" s="10">
        <f>AO365-AP365</f>
        <v/>
      </c>
      <c r="AR365" s="10">
        <f>AQ365+'02_Данные'!H365</f>
        <v/>
      </c>
      <c r="AS365" s="10">
        <f>MIN('02_Данные'!T365,AR365)</f>
        <v/>
      </c>
      <c r="AT365" s="10">
        <f>AR365-AS365</f>
        <v/>
      </c>
      <c r="AU365" s="10">
        <f>MIN('02_Данные'!U365,AT365)</f>
        <v/>
      </c>
      <c r="AV365" s="10">
        <f>AT365-AU365</f>
        <v/>
      </c>
      <c r="AW365" s="10">
        <f>MIN('02_Данные'!V365,AV365)</f>
        <v/>
      </c>
      <c r="AX365" s="10">
        <f>AV365-AW365</f>
        <v/>
      </c>
      <c r="AY365" s="10">
        <f>MIN('02_Данные'!AA365,AX365)</f>
        <v/>
      </c>
      <c r="AZ365" s="10">
        <f>AX365-AY365</f>
        <v/>
      </c>
      <c r="BA365" s="10">
        <f>MIN('02_Данные'!X365,AZ365)</f>
        <v/>
      </c>
      <c r="BB365" s="10">
        <f>AZ365-BA365</f>
        <v/>
      </c>
      <c r="BC365" s="10">
        <f>MIN('02_Данные'!W365,BB365)</f>
        <v/>
      </c>
      <c r="BD365" s="10">
        <f>BB365-BC365</f>
        <v/>
      </c>
      <c r="BE365" s="10">
        <f>MIN('02_Данные'!Y365,BD365)</f>
        <v/>
      </c>
      <c r="BF365" s="10">
        <f>BD365-BE365</f>
        <v/>
      </c>
      <c r="BG365" s="10">
        <f>MIN('02_Данные'!Z365,BF365)</f>
        <v/>
      </c>
      <c r="BH365" s="10">
        <f>BF365-BG365</f>
        <v/>
      </c>
      <c r="BI365" s="10">
        <f>BH365+'02_Данные'!I365</f>
        <v/>
      </c>
      <c r="BJ365" s="10">
        <f>MIN('02_Данные'!AB365,BI365)</f>
        <v/>
      </c>
      <c r="BK365" s="10">
        <f>BI365-BJ365</f>
        <v/>
      </c>
      <c r="BL365" s="10">
        <f>MIN('02_Данные'!AC365,BK365)</f>
        <v/>
      </c>
      <c r="BM365" s="10">
        <f>BK365-BL365</f>
        <v/>
      </c>
      <c r="BN365" s="10">
        <f>MIN('02_Данные'!AD365,BM365)</f>
        <v/>
      </c>
      <c r="BO365" s="10">
        <f>BM365-BN365</f>
        <v/>
      </c>
      <c r="BP365" s="10">
        <f>MIN('02_Данные'!AI365,BO365)</f>
        <v/>
      </c>
      <c r="BQ365" s="10">
        <f>BO365-BP365</f>
        <v/>
      </c>
      <c r="BR365" s="10">
        <f>MIN('02_Данные'!AF365,BQ365)</f>
        <v/>
      </c>
      <c r="BS365" s="10">
        <f>BQ365-BR365</f>
        <v/>
      </c>
      <c r="BT365" s="10">
        <f>MIN('02_Данные'!AE365,BS365)</f>
        <v/>
      </c>
      <c r="BU365" s="10">
        <f>BS365-BT365</f>
        <v/>
      </c>
      <c r="BV365" s="10">
        <f>MIN('02_Данные'!AG365,BU365)</f>
        <v/>
      </c>
      <c r="BW365" s="10">
        <f>BU365-BV365</f>
        <v/>
      </c>
      <c r="BX365" s="10">
        <f>MIN('02_Данные'!AH365,BW365)</f>
        <v/>
      </c>
      <c r="BY365" s="10">
        <f>BW365-BX365</f>
        <v/>
      </c>
      <c r="BZ365" s="10">
        <f>BY365+'02_Данные'!J365</f>
        <v/>
      </c>
      <c r="CA365" s="10">
        <f>MIN('02_Данные'!AJ365,BZ365)</f>
        <v/>
      </c>
      <c r="CB365" s="10">
        <f>BZ365-CA365</f>
        <v/>
      </c>
      <c r="CC365" s="10">
        <f>MIN('02_Данные'!AK365,CB365)</f>
        <v/>
      </c>
      <c r="CD365" s="10">
        <f>CB365-CC365</f>
        <v/>
      </c>
      <c r="CE365" s="10">
        <f>MIN('02_Данные'!AL365,CD365)</f>
        <v/>
      </c>
      <c r="CF365" s="10">
        <f>CD365-CE365</f>
        <v/>
      </c>
      <c r="CG365" s="10">
        <f>MIN('02_Данные'!AQ365,CF365)</f>
        <v/>
      </c>
      <c r="CH365" s="10">
        <f>CF365-CG365</f>
        <v/>
      </c>
      <c r="CI365" s="10">
        <f>MIN('02_Данные'!AN365,CH365)</f>
        <v/>
      </c>
      <c r="CJ365" s="10">
        <f>CH365-CI365</f>
        <v/>
      </c>
      <c r="CK365" s="10">
        <f>MIN('02_Данные'!AM365,CJ365)</f>
        <v/>
      </c>
      <c r="CL365" s="10">
        <f>CJ365-CK365</f>
        <v/>
      </c>
      <c r="CM365" s="10">
        <f>MIN('02_Данные'!AO365,CL365)</f>
        <v/>
      </c>
      <c r="CN365" s="10">
        <f>CL365-CM365</f>
        <v/>
      </c>
      <c r="CO365" s="10">
        <f>MIN('02_Данные'!AP365,CN365)</f>
        <v/>
      </c>
      <c r="CP365" s="10">
        <f>CN365-CO365</f>
        <v/>
      </c>
      <c r="CQ365" s="10">
        <f>CP365+'02_Данные'!K365</f>
        <v/>
      </c>
      <c r="CR365" s="10">
        <f>MIN('02_Данные'!AR365,CQ365)</f>
        <v/>
      </c>
      <c r="CS365" s="10">
        <f>CQ365-CR365</f>
        <v/>
      </c>
      <c r="CT365" s="10">
        <f>MIN('02_Данные'!AS365,CS365)</f>
        <v/>
      </c>
      <c r="CU365" s="10">
        <f>CS365-CT365</f>
        <v/>
      </c>
      <c r="CV365" s="10">
        <f>MIN('02_Данные'!AT365,CU365)</f>
        <v/>
      </c>
      <c r="CW365" s="10">
        <f>CU365-CV365</f>
        <v/>
      </c>
      <c r="CX365" s="10">
        <f>MIN('02_Данные'!AY365,CW365)</f>
        <v/>
      </c>
      <c r="CY365" s="10">
        <f>CW365-CX365</f>
        <v/>
      </c>
      <c r="CZ365" s="10">
        <f>MIN('02_Данные'!AV365,CY365)</f>
        <v/>
      </c>
      <c r="DA365" s="10">
        <f>CY365-CZ365</f>
        <v/>
      </c>
      <c r="DB365" s="10">
        <f>MIN('02_Данные'!AU365,DA365)</f>
        <v/>
      </c>
      <c r="DC365" s="10">
        <f>DA365-DB365</f>
        <v/>
      </c>
      <c r="DD365" s="10">
        <f>MIN('02_Данные'!AW365,DC365)</f>
        <v/>
      </c>
      <c r="DE365" s="10">
        <f>DC365-DD365</f>
        <v/>
      </c>
      <c r="DF365" s="10">
        <f>MIN('02_Данные'!AX365,DE365)</f>
        <v/>
      </c>
      <c r="DG365" s="10">
        <f>DE365-DF365</f>
        <v/>
      </c>
    </row>
    <row r="366">
      <c r="A366" s="9">
        <f>'02_Данные'!B366</f>
        <v/>
      </c>
      <c r="B366" s="9">
        <f>'02_Данные'!E366</f>
        <v/>
      </c>
      <c r="C366" s="10">
        <f>'02_Данные'!F366+'02_Данные'!G366+'02_Данные'!H366+'02_Данные'!I366+'02_Данные'!J366+'02_Данные'!K366</f>
        <v/>
      </c>
      <c r="D366" s="10">
        <f>SUM('02_Данные'!L366:'02_Данные'!AY366)</f>
        <v/>
      </c>
      <c r="E366" s="10">
        <f>MAX(0,D366-C366)</f>
        <v/>
      </c>
      <c r="F366" s="15">
        <f>IF(E366&gt;0.0001,"ДЕФИЦИТ",IF(Y366&gt;0.0001,"ПРОФИЦИТ","БАЛАНС"))</f>
        <v/>
      </c>
      <c r="G366" s="10">
        <f>AB366+AS366+BJ366+CA366+CR366</f>
        <v/>
      </c>
      <c r="H366" s="10">
        <f>AD366+AU366+BL366+CC366+CT366</f>
        <v/>
      </c>
      <c r="I366" s="10">
        <f>AF366+AW366+BN366+CE366+CV366</f>
        <v/>
      </c>
      <c r="J366" s="10">
        <f>AL366+BC366+BT366+CK366+DB366</f>
        <v/>
      </c>
      <c r="K366" s="10">
        <f>AJ366+BA366+BR366+CI366+CZ366</f>
        <v/>
      </c>
      <c r="L366" s="10">
        <f>AN366+BE366+BV366+CM366+DD366</f>
        <v/>
      </c>
      <c r="M366" s="10">
        <f>AP366+BG366+BX366+CO366+DF366</f>
        <v/>
      </c>
      <c r="N366" s="10">
        <f>AH366+AY366+BP366+CG366+CX366</f>
        <v/>
      </c>
      <c r="O366" s="10">
        <f>SUM(G366:N366)</f>
        <v/>
      </c>
      <c r="P366" s="10">
        <f>IFERROR(G366*MIN(1,'01_Нормативы'!$C$4/SUM(G$2:G$429)),0)</f>
        <v/>
      </c>
      <c r="Q366" s="10">
        <f>IFERROR(H366*MIN(1,'01_Нормативы'!$C$5/SUM(H$2:H$429)),0)</f>
        <v/>
      </c>
      <c r="R366" s="10">
        <f>IFERROR(I366*MIN(1,'01_Нормативы'!$C$6/SUM(I$2:I$429)),0)</f>
        <v/>
      </c>
      <c r="S366" s="10">
        <f>IFERROR(J366*MIN(1,'01_Нормативы'!$C$7/SUM(J$2:J$429)),0)</f>
        <v/>
      </c>
      <c r="T366" s="10">
        <f>IFERROR(K366*MIN(1,'01_Нормативы'!$C$8/SUM(K$2:K$429)),0)</f>
        <v/>
      </c>
      <c r="U366" s="10">
        <f>IFERROR(L366*MIN(1,'01_Нормативы'!$C$9/SUM(L$2:L$429)),0)</f>
        <v/>
      </c>
      <c r="V366" s="10">
        <f>IFERROR(M366*MIN(1,'01_Нормативы'!$C$10/SUM(M$2:M$429)),0)</f>
        <v/>
      </c>
      <c r="W366" s="10">
        <f>IFERROR(N366*MIN(1,'01_Нормативы'!$C$11/SUM(N$2:N$429)),0)</f>
        <v/>
      </c>
      <c r="X366" s="10">
        <f>SUM(P366:W366)</f>
        <v/>
      </c>
      <c r="Y366" s="10">
        <f>MAX(0,C366-X366)</f>
        <v/>
      </c>
      <c r="Z366" s="10">
        <f>IF(D366=0,100,X366/D366*100)</f>
        <v/>
      </c>
      <c r="AA366" s="10">
        <f>'02_Данные'!F366+'02_Данные'!G366</f>
        <v/>
      </c>
      <c r="AB366" s="10">
        <f>MIN('02_Данные'!L366,AA366)</f>
        <v/>
      </c>
      <c r="AC366" s="10">
        <f>AA366-AB366</f>
        <v/>
      </c>
      <c r="AD366" s="10">
        <f>MIN('02_Данные'!M366,AC366)</f>
        <v/>
      </c>
      <c r="AE366" s="10">
        <f>AC366-AD366</f>
        <v/>
      </c>
      <c r="AF366" s="10">
        <f>MIN('02_Данные'!N366,AE366)</f>
        <v/>
      </c>
      <c r="AG366" s="10">
        <f>AE366-AF366</f>
        <v/>
      </c>
      <c r="AH366" s="10">
        <f>MIN('02_Данные'!S366,AG366)</f>
        <v/>
      </c>
      <c r="AI366" s="10">
        <f>AG366-AH366</f>
        <v/>
      </c>
      <c r="AJ366" s="10">
        <f>MIN('02_Данные'!P366,AI366)</f>
        <v/>
      </c>
      <c r="AK366" s="10">
        <f>AI366-AJ366</f>
        <v/>
      </c>
      <c r="AL366" s="10">
        <f>MIN('02_Данные'!O366,AK366)</f>
        <v/>
      </c>
      <c r="AM366" s="10">
        <f>AK366-AL366</f>
        <v/>
      </c>
      <c r="AN366" s="10">
        <f>MIN('02_Данные'!Q366,AM366)</f>
        <v/>
      </c>
      <c r="AO366" s="10">
        <f>AM366-AN366</f>
        <v/>
      </c>
      <c r="AP366" s="10">
        <f>MIN('02_Данные'!R366,AO366)</f>
        <v/>
      </c>
      <c r="AQ366" s="10">
        <f>AO366-AP366</f>
        <v/>
      </c>
      <c r="AR366" s="10">
        <f>AQ366+'02_Данные'!H366</f>
        <v/>
      </c>
      <c r="AS366" s="10">
        <f>MIN('02_Данные'!T366,AR366)</f>
        <v/>
      </c>
      <c r="AT366" s="10">
        <f>AR366-AS366</f>
        <v/>
      </c>
      <c r="AU366" s="10">
        <f>MIN('02_Данные'!U366,AT366)</f>
        <v/>
      </c>
      <c r="AV366" s="10">
        <f>AT366-AU366</f>
        <v/>
      </c>
      <c r="AW366" s="10">
        <f>MIN('02_Данные'!V366,AV366)</f>
        <v/>
      </c>
      <c r="AX366" s="10">
        <f>AV366-AW366</f>
        <v/>
      </c>
      <c r="AY366" s="10">
        <f>MIN('02_Данные'!AA366,AX366)</f>
        <v/>
      </c>
      <c r="AZ366" s="10">
        <f>AX366-AY366</f>
        <v/>
      </c>
      <c r="BA366" s="10">
        <f>MIN('02_Данные'!X366,AZ366)</f>
        <v/>
      </c>
      <c r="BB366" s="10">
        <f>AZ366-BA366</f>
        <v/>
      </c>
      <c r="BC366" s="10">
        <f>MIN('02_Данные'!W366,BB366)</f>
        <v/>
      </c>
      <c r="BD366" s="10">
        <f>BB366-BC366</f>
        <v/>
      </c>
      <c r="BE366" s="10">
        <f>MIN('02_Данные'!Y366,BD366)</f>
        <v/>
      </c>
      <c r="BF366" s="10">
        <f>BD366-BE366</f>
        <v/>
      </c>
      <c r="BG366" s="10">
        <f>MIN('02_Данные'!Z366,BF366)</f>
        <v/>
      </c>
      <c r="BH366" s="10">
        <f>BF366-BG366</f>
        <v/>
      </c>
      <c r="BI366" s="10">
        <f>BH366+'02_Данные'!I366</f>
        <v/>
      </c>
      <c r="BJ366" s="10">
        <f>MIN('02_Данные'!AB366,BI366)</f>
        <v/>
      </c>
      <c r="BK366" s="10">
        <f>BI366-BJ366</f>
        <v/>
      </c>
      <c r="BL366" s="10">
        <f>MIN('02_Данные'!AC366,BK366)</f>
        <v/>
      </c>
      <c r="BM366" s="10">
        <f>BK366-BL366</f>
        <v/>
      </c>
      <c r="BN366" s="10">
        <f>MIN('02_Данные'!AD366,BM366)</f>
        <v/>
      </c>
      <c r="BO366" s="10">
        <f>BM366-BN366</f>
        <v/>
      </c>
      <c r="BP366" s="10">
        <f>MIN('02_Данные'!AI366,BO366)</f>
        <v/>
      </c>
      <c r="BQ366" s="10">
        <f>BO366-BP366</f>
        <v/>
      </c>
      <c r="BR366" s="10">
        <f>MIN('02_Данные'!AF366,BQ366)</f>
        <v/>
      </c>
      <c r="BS366" s="10">
        <f>BQ366-BR366</f>
        <v/>
      </c>
      <c r="BT366" s="10">
        <f>MIN('02_Данные'!AE366,BS366)</f>
        <v/>
      </c>
      <c r="BU366" s="10">
        <f>BS366-BT366</f>
        <v/>
      </c>
      <c r="BV366" s="10">
        <f>MIN('02_Данные'!AG366,BU366)</f>
        <v/>
      </c>
      <c r="BW366" s="10">
        <f>BU366-BV366</f>
        <v/>
      </c>
      <c r="BX366" s="10">
        <f>MIN('02_Данные'!AH366,BW366)</f>
        <v/>
      </c>
      <c r="BY366" s="10">
        <f>BW366-BX366</f>
        <v/>
      </c>
      <c r="BZ366" s="10">
        <f>BY366+'02_Данные'!J366</f>
        <v/>
      </c>
      <c r="CA366" s="10">
        <f>MIN('02_Данные'!AJ366,BZ366)</f>
        <v/>
      </c>
      <c r="CB366" s="10">
        <f>BZ366-CA366</f>
        <v/>
      </c>
      <c r="CC366" s="10">
        <f>MIN('02_Данные'!AK366,CB366)</f>
        <v/>
      </c>
      <c r="CD366" s="10">
        <f>CB366-CC366</f>
        <v/>
      </c>
      <c r="CE366" s="10">
        <f>MIN('02_Данные'!AL366,CD366)</f>
        <v/>
      </c>
      <c r="CF366" s="10">
        <f>CD366-CE366</f>
        <v/>
      </c>
      <c r="CG366" s="10">
        <f>MIN('02_Данные'!AQ366,CF366)</f>
        <v/>
      </c>
      <c r="CH366" s="10">
        <f>CF366-CG366</f>
        <v/>
      </c>
      <c r="CI366" s="10">
        <f>MIN('02_Данные'!AN366,CH366)</f>
        <v/>
      </c>
      <c r="CJ366" s="10">
        <f>CH366-CI366</f>
        <v/>
      </c>
      <c r="CK366" s="10">
        <f>MIN('02_Данные'!AM366,CJ366)</f>
        <v/>
      </c>
      <c r="CL366" s="10">
        <f>CJ366-CK366</f>
        <v/>
      </c>
      <c r="CM366" s="10">
        <f>MIN('02_Данные'!AO366,CL366)</f>
        <v/>
      </c>
      <c r="CN366" s="10">
        <f>CL366-CM366</f>
        <v/>
      </c>
      <c r="CO366" s="10">
        <f>MIN('02_Данные'!AP366,CN366)</f>
        <v/>
      </c>
      <c r="CP366" s="10">
        <f>CN366-CO366</f>
        <v/>
      </c>
      <c r="CQ366" s="10">
        <f>CP366+'02_Данные'!K366</f>
        <v/>
      </c>
      <c r="CR366" s="10">
        <f>MIN('02_Данные'!AR366,CQ366)</f>
        <v/>
      </c>
      <c r="CS366" s="10">
        <f>CQ366-CR366</f>
        <v/>
      </c>
      <c r="CT366" s="10">
        <f>MIN('02_Данные'!AS366,CS366)</f>
        <v/>
      </c>
      <c r="CU366" s="10">
        <f>CS366-CT366</f>
        <v/>
      </c>
      <c r="CV366" s="10">
        <f>MIN('02_Данные'!AT366,CU366)</f>
        <v/>
      </c>
      <c r="CW366" s="10">
        <f>CU366-CV366</f>
        <v/>
      </c>
      <c r="CX366" s="10">
        <f>MIN('02_Данные'!AY366,CW366)</f>
        <v/>
      </c>
      <c r="CY366" s="10">
        <f>CW366-CX366</f>
        <v/>
      </c>
      <c r="CZ366" s="10">
        <f>MIN('02_Данные'!AV366,CY366)</f>
        <v/>
      </c>
      <c r="DA366" s="10">
        <f>CY366-CZ366</f>
        <v/>
      </c>
      <c r="DB366" s="10">
        <f>MIN('02_Данные'!AU366,DA366)</f>
        <v/>
      </c>
      <c r="DC366" s="10">
        <f>DA366-DB366</f>
        <v/>
      </c>
      <c r="DD366" s="10">
        <f>MIN('02_Данные'!AW366,DC366)</f>
        <v/>
      </c>
      <c r="DE366" s="10">
        <f>DC366-DD366</f>
        <v/>
      </c>
      <c r="DF366" s="10">
        <f>MIN('02_Данные'!AX366,DE366)</f>
        <v/>
      </c>
      <c r="DG366" s="10">
        <f>DE366-DF366</f>
        <v/>
      </c>
    </row>
    <row r="367">
      <c r="A367" s="9">
        <f>'02_Данные'!B367</f>
        <v/>
      </c>
      <c r="B367" s="9">
        <f>'02_Данные'!E367</f>
        <v/>
      </c>
      <c r="C367" s="10">
        <f>'02_Данные'!F367+'02_Данные'!G367+'02_Данные'!H367+'02_Данные'!I367+'02_Данные'!J367+'02_Данные'!K367</f>
        <v/>
      </c>
      <c r="D367" s="10">
        <f>SUM('02_Данные'!L367:'02_Данные'!AY367)</f>
        <v/>
      </c>
      <c r="E367" s="10">
        <f>MAX(0,D367-C367)</f>
        <v/>
      </c>
      <c r="F367" s="15">
        <f>IF(E367&gt;0.0001,"ДЕФИЦИТ",IF(Y367&gt;0.0001,"ПРОФИЦИТ","БАЛАНС"))</f>
        <v/>
      </c>
      <c r="G367" s="10">
        <f>AB367+AS367+BJ367+CA367+CR367</f>
        <v/>
      </c>
      <c r="H367" s="10">
        <f>AD367+AU367+BL367+CC367+CT367</f>
        <v/>
      </c>
      <c r="I367" s="10">
        <f>AF367+AW367+BN367+CE367+CV367</f>
        <v/>
      </c>
      <c r="J367" s="10">
        <f>AL367+BC367+BT367+CK367+DB367</f>
        <v/>
      </c>
      <c r="K367" s="10">
        <f>AJ367+BA367+BR367+CI367+CZ367</f>
        <v/>
      </c>
      <c r="L367" s="10">
        <f>AN367+BE367+BV367+CM367+DD367</f>
        <v/>
      </c>
      <c r="M367" s="10">
        <f>AP367+BG367+BX367+CO367+DF367</f>
        <v/>
      </c>
      <c r="N367" s="10">
        <f>AH367+AY367+BP367+CG367+CX367</f>
        <v/>
      </c>
      <c r="O367" s="10">
        <f>SUM(G367:N367)</f>
        <v/>
      </c>
      <c r="P367" s="10">
        <f>IFERROR(G367*MIN(1,'01_Нормативы'!$C$4/SUM(G$2:G$429)),0)</f>
        <v/>
      </c>
      <c r="Q367" s="10">
        <f>IFERROR(H367*MIN(1,'01_Нормативы'!$C$5/SUM(H$2:H$429)),0)</f>
        <v/>
      </c>
      <c r="R367" s="10">
        <f>IFERROR(I367*MIN(1,'01_Нормативы'!$C$6/SUM(I$2:I$429)),0)</f>
        <v/>
      </c>
      <c r="S367" s="10">
        <f>IFERROR(J367*MIN(1,'01_Нормативы'!$C$7/SUM(J$2:J$429)),0)</f>
        <v/>
      </c>
      <c r="T367" s="10">
        <f>IFERROR(K367*MIN(1,'01_Нормативы'!$C$8/SUM(K$2:K$429)),0)</f>
        <v/>
      </c>
      <c r="U367" s="10">
        <f>IFERROR(L367*MIN(1,'01_Нормативы'!$C$9/SUM(L$2:L$429)),0)</f>
        <v/>
      </c>
      <c r="V367" s="10">
        <f>IFERROR(M367*MIN(1,'01_Нормативы'!$C$10/SUM(M$2:M$429)),0)</f>
        <v/>
      </c>
      <c r="W367" s="10">
        <f>IFERROR(N367*MIN(1,'01_Нормативы'!$C$11/SUM(N$2:N$429)),0)</f>
        <v/>
      </c>
      <c r="X367" s="10">
        <f>SUM(P367:W367)</f>
        <v/>
      </c>
      <c r="Y367" s="10">
        <f>MAX(0,C367-X367)</f>
        <v/>
      </c>
      <c r="Z367" s="10">
        <f>IF(D367=0,100,X367/D367*100)</f>
        <v/>
      </c>
      <c r="AA367" s="10">
        <f>'02_Данные'!F367+'02_Данные'!G367</f>
        <v/>
      </c>
      <c r="AB367" s="10">
        <f>MIN('02_Данные'!L367,AA367)</f>
        <v/>
      </c>
      <c r="AC367" s="10">
        <f>AA367-AB367</f>
        <v/>
      </c>
      <c r="AD367" s="10">
        <f>MIN('02_Данные'!M367,AC367)</f>
        <v/>
      </c>
      <c r="AE367" s="10">
        <f>AC367-AD367</f>
        <v/>
      </c>
      <c r="AF367" s="10">
        <f>MIN('02_Данные'!N367,AE367)</f>
        <v/>
      </c>
      <c r="AG367" s="10">
        <f>AE367-AF367</f>
        <v/>
      </c>
      <c r="AH367" s="10">
        <f>MIN('02_Данные'!S367,AG367)</f>
        <v/>
      </c>
      <c r="AI367" s="10">
        <f>AG367-AH367</f>
        <v/>
      </c>
      <c r="AJ367" s="10">
        <f>MIN('02_Данные'!P367,AI367)</f>
        <v/>
      </c>
      <c r="AK367" s="10">
        <f>AI367-AJ367</f>
        <v/>
      </c>
      <c r="AL367" s="10">
        <f>MIN('02_Данные'!O367,AK367)</f>
        <v/>
      </c>
      <c r="AM367" s="10">
        <f>AK367-AL367</f>
        <v/>
      </c>
      <c r="AN367" s="10">
        <f>MIN('02_Данные'!Q367,AM367)</f>
        <v/>
      </c>
      <c r="AO367" s="10">
        <f>AM367-AN367</f>
        <v/>
      </c>
      <c r="AP367" s="10">
        <f>MIN('02_Данные'!R367,AO367)</f>
        <v/>
      </c>
      <c r="AQ367" s="10">
        <f>AO367-AP367</f>
        <v/>
      </c>
      <c r="AR367" s="10">
        <f>AQ367+'02_Данные'!H367</f>
        <v/>
      </c>
      <c r="AS367" s="10">
        <f>MIN('02_Данные'!T367,AR367)</f>
        <v/>
      </c>
      <c r="AT367" s="10">
        <f>AR367-AS367</f>
        <v/>
      </c>
      <c r="AU367" s="10">
        <f>MIN('02_Данные'!U367,AT367)</f>
        <v/>
      </c>
      <c r="AV367" s="10">
        <f>AT367-AU367</f>
        <v/>
      </c>
      <c r="AW367" s="10">
        <f>MIN('02_Данные'!V367,AV367)</f>
        <v/>
      </c>
      <c r="AX367" s="10">
        <f>AV367-AW367</f>
        <v/>
      </c>
      <c r="AY367" s="10">
        <f>MIN('02_Данные'!AA367,AX367)</f>
        <v/>
      </c>
      <c r="AZ367" s="10">
        <f>AX367-AY367</f>
        <v/>
      </c>
      <c r="BA367" s="10">
        <f>MIN('02_Данные'!X367,AZ367)</f>
        <v/>
      </c>
      <c r="BB367" s="10">
        <f>AZ367-BA367</f>
        <v/>
      </c>
      <c r="BC367" s="10">
        <f>MIN('02_Данные'!W367,BB367)</f>
        <v/>
      </c>
      <c r="BD367" s="10">
        <f>BB367-BC367</f>
        <v/>
      </c>
      <c r="BE367" s="10">
        <f>MIN('02_Данные'!Y367,BD367)</f>
        <v/>
      </c>
      <c r="BF367" s="10">
        <f>BD367-BE367</f>
        <v/>
      </c>
      <c r="BG367" s="10">
        <f>MIN('02_Данные'!Z367,BF367)</f>
        <v/>
      </c>
      <c r="BH367" s="10">
        <f>BF367-BG367</f>
        <v/>
      </c>
      <c r="BI367" s="10">
        <f>BH367+'02_Данные'!I367</f>
        <v/>
      </c>
      <c r="BJ367" s="10">
        <f>MIN('02_Данные'!AB367,BI367)</f>
        <v/>
      </c>
      <c r="BK367" s="10">
        <f>BI367-BJ367</f>
        <v/>
      </c>
      <c r="BL367" s="10">
        <f>MIN('02_Данные'!AC367,BK367)</f>
        <v/>
      </c>
      <c r="BM367" s="10">
        <f>BK367-BL367</f>
        <v/>
      </c>
      <c r="BN367" s="10">
        <f>MIN('02_Данные'!AD367,BM367)</f>
        <v/>
      </c>
      <c r="BO367" s="10">
        <f>BM367-BN367</f>
        <v/>
      </c>
      <c r="BP367" s="10">
        <f>MIN('02_Данные'!AI367,BO367)</f>
        <v/>
      </c>
      <c r="BQ367" s="10">
        <f>BO367-BP367</f>
        <v/>
      </c>
      <c r="BR367" s="10">
        <f>MIN('02_Данные'!AF367,BQ367)</f>
        <v/>
      </c>
      <c r="BS367" s="10">
        <f>BQ367-BR367</f>
        <v/>
      </c>
      <c r="BT367" s="10">
        <f>MIN('02_Данные'!AE367,BS367)</f>
        <v/>
      </c>
      <c r="BU367" s="10">
        <f>BS367-BT367</f>
        <v/>
      </c>
      <c r="BV367" s="10">
        <f>MIN('02_Данные'!AG367,BU367)</f>
        <v/>
      </c>
      <c r="BW367" s="10">
        <f>BU367-BV367</f>
        <v/>
      </c>
      <c r="BX367" s="10">
        <f>MIN('02_Данные'!AH367,BW367)</f>
        <v/>
      </c>
      <c r="BY367" s="10">
        <f>BW367-BX367</f>
        <v/>
      </c>
      <c r="BZ367" s="10">
        <f>BY367+'02_Данные'!J367</f>
        <v/>
      </c>
      <c r="CA367" s="10">
        <f>MIN('02_Данные'!AJ367,BZ367)</f>
        <v/>
      </c>
      <c r="CB367" s="10">
        <f>BZ367-CA367</f>
        <v/>
      </c>
      <c r="CC367" s="10">
        <f>MIN('02_Данные'!AK367,CB367)</f>
        <v/>
      </c>
      <c r="CD367" s="10">
        <f>CB367-CC367</f>
        <v/>
      </c>
      <c r="CE367" s="10">
        <f>MIN('02_Данные'!AL367,CD367)</f>
        <v/>
      </c>
      <c r="CF367" s="10">
        <f>CD367-CE367</f>
        <v/>
      </c>
      <c r="CG367" s="10">
        <f>MIN('02_Данные'!AQ367,CF367)</f>
        <v/>
      </c>
      <c r="CH367" s="10">
        <f>CF367-CG367</f>
        <v/>
      </c>
      <c r="CI367" s="10">
        <f>MIN('02_Данные'!AN367,CH367)</f>
        <v/>
      </c>
      <c r="CJ367" s="10">
        <f>CH367-CI367</f>
        <v/>
      </c>
      <c r="CK367" s="10">
        <f>MIN('02_Данные'!AM367,CJ367)</f>
        <v/>
      </c>
      <c r="CL367" s="10">
        <f>CJ367-CK367</f>
        <v/>
      </c>
      <c r="CM367" s="10">
        <f>MIN('02_Данные'!AO367,CL367)</f>
        <v/>
      </c>
      <c r="CN367" s="10">
        <f>CL367-CM367</f>
        <v/>
      </c>
      <c r="CO367" s="10">
        <f>MIN('02_Данные'!AP367,CN367)</f>
        <v/>
      </c>
      <c r="CP367" s="10">
        <f>CN367-CO367</f>
        <v/>
      </c>
      <c r="CQ367" s="10">
        <f>CP367+'02_Данные'!K367</f>
        <v/>
      </c>
      <c r="CR367" s="10">
        <f>MIN('02_Данные'!AR367,CQ367)</f>
        <v/>
      </c>
      <c r="CS367" s="10">
        <f>CQ367-CR367</f>
        <v/>
      </c>
      <c r="CT367" s="10">
        <f>MIN('02_Данные'!AS367,CS367)</f>
        <v/>
      </c>
      <c r="CU367" s="10">
        <f>CS367-CT367</f>
        <v/>
      </c>
      <c r="CV367" s="10">
        <f>MIN('02_Данные'!AT367,CU367)</f>
        <v/>
      </c>
      <c r="CW367" s="10">
        <f>CU367-CV367</f>
        <v/>
      </c>
      <c r="CX367" s="10">
        <f>MIN('02_Данные'!AY367,CW367)</f>
        <v/>
      </c>
      <c r="CY367" s="10">
        <f>CW367-CX367</f>
        <v/>
      </c>
      <c r="CZ367" s="10">
        <f>MIN('02_Данные'!AV367,CY367)</f>
        <v/>
      </c>
      <c r="DA367" s="10">
        <f>CY367-CZ367</f>
        <v/>
      </c>
      <c r="DB367" s="10">
        <f>MIN('02_Данные'!AU367,DA367)</f>
        <v/>
      </c>
      <c r="DC367" s="10">
        <f>DA367-DB367</f>
        <v/>
      </c>
      <c r="DD367" s="10">
        <f>MIN('02_Данные'!AW367,DC367)</f>
        <v/>
      </c>
      <c r="DE367" s="10">
        <f>DC367-DD367</f>
        <v/>
      </c>
      <c r="DF367" s="10">
        <f>MIN('02_Данные'!AX367,DE367)</f>
        <v/>
      </c>
      <c r="DG367" s="10">
        <f>DE367-DF367</f>
        <v/>
      </c>
    </row>
    <row r="368">
      <c r="A368" s="9">
        <f>'02_Данные'!B368</f>
        <v/>
      </c>
      <c r="B368" s="9">
        <f>'02_Данные'!E368</f>
        <v/>
      </c>
      <c r="C368" s="10">
        <f>'02_Данные'!F368+'02_Данные'!G368+'02_Данные'!H368+'02_Данные'!I368+'02_Данные'!J368+'02_Данные'!K368</f>
        <v/>
      </c>
      <c r="D368" s="10">
        <f>SUM('02_Данные'!L368:'02_Данные'!AY368)</f>
        <v/>
      </c>
      <c r="E368" s="10">
        <f>MAX(0,D368-C368)</f>
        <v/>
      </c>
      <c r="F368" s="15">
        <f>IF(E368&gt;0.0001,"ДЕФИЦИТ",IF(Y368&gt;0.0001,"ПРОФИЦИТ","БАЛАНС"))</f>
        <v/>
      </c>
      <c r="G368" s="10">
        <f>AB368+AS368+BJ368+CA368+CR368</f>
        <v/>
      </c>
      <c r="H368" s="10">
        <f>AD368+AU368+BL368+CC368+CT368</f>
        <v/>
      </c>
      <c r="I368" s="10">
        <f>AF368+AW368+BN368+CE368+CV368</f>
        <v/>
      </c>
      <c r="J368" s="10">
        <f>AL368+BC368+BT368+CK368+DB368</f>
        <v/>
      </c>
      <c r="K368" s="10">
        <f>AJ368+BA368+BR368+CI368+CZ368</f>
        <v/>
      </c>
      <c r="L368" s="10">
        <f>AN368+BE368+BV368+CM368+DD368</f>
        <v/>
      </c>
      <c r="M368" s="10">
        <f>AP368+BG368+BX368+CO368+DF368</f>
        <v/>
      </c>
      <c r="N368" s="10">
        <f>AH368+AY368+BP368+CG368+CX368</f>
        <v/>
      </c>
      <c r="O368" s="10">
        <f>SUM(G368:N368)</f>
        <v/>
      </c>
      <c r="P368" s="10">
        <f>IFERROR(G368*MIN(1,'01_Нормативы'!$C$4/SUM(G$2:G$429)),0)</f>
        <v/>
      </c>
      <c r="Q368" s="10">
        <f>IFERROR(H368*MIN(1,'01_Нормативы'!$C$5/SUM(H$2:H$429)),0)</f>
        <v/>
      </c>
      <c r="R368" s="10">
        <f>IFERROR(I368*MIN(1,'01_Нормативы'!$C$6/SUM(I$2:I$429)),0)</f>
        <v/>
      </c>
      <c r="S368" s="10">
        <f>IFERROR(J368*MIN(1,'01_Нормативы'!$C$7/SUM(J$2:J$429)),0)</f>
        <v/>
      </c>
      <c r="T368" s="10">
        <f>IFERROR(K368*MIN(1,'01_Нормативы'!$C$8/SUM(K$2:K$429)),0)</f>
        <v/>
      </c>
      <c r="U368" s="10">
        <f>IFERROR(L368*MIN(1,'01_Нормативы'!$C$9/SUM(L$2:L$429)),0)</f>
        <v/>
      </c>
      <c r="V368" s="10">
        <f>IFERROR(M368*MIN(1,'01_Нормативы'!$C$10/SUM(M$2:M$429)),0)</f>
        <v/>
      </c>
      <c r="W368" s="10">
        <f>IFERROR(N368*MIN(1,'01_Нормативы'!$C$11/SUM(N$2:N$429)),0)</f>
        <v/>
      </c>
      <c r="X368" s="10">
        <f>SUM(P368:W368)</f>
        <v/>
      </c>
      <c r="Y368" s="10">
        <f>MAX(0,C368-X368)</f>
        <v/>
      </c>
      <c r="Z368" s="10">
        <f>IF(D368=0,100,X368/D368*100)</f>
        <v/>
      </c>
      <c r="AA368" s="10">
        <f>'02_Данные'!F368+'02_Данные'!G368</f>
        <v/>
      </c>
      <c r="AB368" s="10">
        <f>MIN('02_Данные'!L368,AA368)</f>
        <v/>
      </c>
      <c r="AC368" s="10">
        <f>AA368-AB368</f>
        <v/>
      </c>
      <c r="AD368" s="10">
        <f>MIN('02_Данные'!M368,AC368)</f>
        <v/>
      </c>
      <c r="AE368" s="10">
        <f>AC368-AD368</f>
        <v/>
      </c>
      <c r="AF368" s="10">
        <f>MIN('02_Данные'!N368,AE368)</f>
        <v/>
      </c>
      <c r="AG368" s="10">
        <f>AE368-AF368</f>
        <v/>
      </c>
      <c r="AH368" s="10">
        <f>MIN('02_Данные'!S368,AG368)</f>
        <v/>
      </c>
      <c r="AI368" s="10">
        <f>AG368-AH368</f>
        <v/>
      </c>
      <c r="AJ368" s="10">
        <f>MIN('02_Данные'!P368,AI368)</f>
        <v/>
      </c>
      <c r="AK368" s="10">
        <f>AI368-AJ368</f>
        <v/>
      </c>
      <c r="AL368" s="10">
        <f>MIN('02_Данные'!O368,AK368)</f>
        <v/>
      </c>
      <c r="AM368" s="10">
        <f>AK368-AL368</f>
        <v/>
      </c>
      <c r="AN368" s="10">
        <f>MIN('02_Данные'!Q368,AM368)</f>
        <v/>
      </c>
      <c r="AO368" s="10">
        <f>AM368-AN368</f>
        <v/>
      </c>
      <c r="AP368" s="10">
        <f>MIN('02_Данные'!R368,AO368)</f>
        <v/>
      </c>
      <c r="AQ368" s="10">
        <f>AO368-AP368</f>
        <v/>
      </c>
      <c r="AR368" s="10">
        <f>AQ368+'02_Данные'!H368</f>
        <v/>
      </c>
      <c r="AS368" s="10">
        <f>MIN('02_Данные'!T368,AR368)</f>
        <v/>
      </c>
      <c r="AT368" s="10">
        <f>AR368-AS368</f>
        <v/>
      </c>
      <c r="AU368" s="10">
        <f>MIN('02_Данные'!U368,AT368)</f>
        <v/>
      </c>
      <c r="AV368" s="10">
        <f>AT368-AU368</f>
        <v/>
      </c>
      <c r="AW368" s="10">
        <f>MIN('02_Данные'!V368,AV368)</f>
        <v/>
      </c>
      <c r="AX368" s="10">
        <f>AV368-AW368</f>
        <v/>
      </c>
      <c r="AY368" s="10">
        <f>MIN('02_Данные'!AA368,AX368)</f>
        <v/>
      </c>
      <c r="AZ368" s="10">
        <f>AX368-AY368</f>
        <v/>
      </c>
      <c r="BA368" s="10">
        <f>MIN('02_Данные'!X368,AZ368)</f>
        <v/>
      </c>
      <c r="BB368" s="10">
        <f>AZ368-BA368</f>
        <v/>
      </c>
      <c r="BC368" s="10">
        <f>MIN('02_Данные'!W368,BB368)</f>
        <v/>
      </c>
      <c r="BD368" s="10">
        <f>BB368-BC368</f>
        <v/>
      </c>
      <c r="BE368" s="10">
        <f>MIN('02_Данные'!Y368,BD368)</f>
        <v/>
      </c>
      <c r="BF368" s="10">
        <f>BD368-BE368</f>
        <v/>
      </c>
      <c r="BG368" s="10">
        <f>MIN('02_Данные'!Z368,BF368)</f>
        <v/>
      </c>
      <c r="BH368" s="10">
        <f>BF368-BG368</f>
        <v/>
      </c>
      <c r="BI368" s="10">
        <f>BH368+'02_Данные'!I368</f>
        <v/>
      </c>
      <c r="BJ368" s="10">
        <f>MIN('02_Данные'!AB368,BI368)</f>
        <v/>
      </c>
      <c r="BK368" s="10">
        <f>BI368-BJ368</f>
        <v/>
      </c>
      <c r="BL368" s="10">
        <f>MIN('02_Данные'!AC368,BK368)</f>
        <v/>
      </c>
      <c r="BM368" s="10">
        <f>BK368-BL368</f>
        <v/>
      </c>
      <c r="BN368" s="10">
        <f>MIN('02_Данные'!AD368,BM368)</f>
        <v/>
      </c>
      <c r="BO368" s="10">
        <f>BM368-BN368</f>
        <v/>
      </c>
      <c r="BP368" s="10">
        <f>MIN('02_Данные'!AI368,BO368)</f>
        <v/>
      </c>
      <c r="BQ368" s="10">
        <f>BO368-BP368</f>
        <v/>
      </c>
      <c r="BR368" s="10">
        <f>MIN('02_Данные'!AF368,BQ368)</f>
        <v/>
      </c>
      <c r="BS368" s="10">
        <f>BQ368-BR368</f>
        <v/>
      </c>
      <c r="BT368" s="10">
        <f>MIN('02_Данные'!AE368,BS368)</f>
        <v/>
      </c>
      <c r="BU368" s="10">
        <f>BS368-BT368</f>
        <v/>
      </c>
      <c r="BV368" s="10">
        <f>MIN('02_Данные'!AG368,BU368)</f>
        <v/>
      </c>
      <c r="BW368" s="10">
        <f>BU368-BV368</f>
        <v/>
      </c>
      <c r="BX368" s="10">
        <f>MIN('02_Данные'!AH368,BW368)</f>
        <v/>
      </c>
      <c r="BY368" s="10">
        <f>BW368-BX368</f>
        <v/>
      </c>
      <c r="BZ368" s="10">
        <f>BY368+'02_Данные'!J368</f>
        <v/>
      </c>
      <c r="CA368" s="10">
        <f>MIN('02_Данные'!AJ368,BZ368)</f>
        <v/>
      </c>
      <c r="CB368" s="10">
        <f>BZ368-CA368</f>
        <v/>
      </c>
      <c r="CC368" s="10">
        <f>MIN('02_Данные'!AK368,CB368)</f>
        <v/>
      </c>
      <c r="CD368" s="10">
        <f>CB368-CC368</f>
        <v/>
      </c>
      <c r="CE368" s="10">
        <f>MIN('02_Данные'!AL368,CD368)</f>
        <v/>
      </c>
      <c r="CF368" s="10">
        <f>CD368-CE368</f>
        <v/>
      </c>
      <c r="CG368" s="10">
        <f>MIN('02_Данные'!AQ368,CF368)</f>
        <v/>
      </c>
      <c r="CH368" s="10">
        <f>CF368-CG368</f>
        <v/>
      </c>
      <c r="CI368" s="10">
        <f>MIN('02_Данные'!AN368,CH368)</f>
        <v/>
      </c>
      <c r="CJ368" s="10">
        <f>CH368-CI368</f>
        <v/>
      </c>
      <c r="CK368" s="10">
        <f>MIN('02_Данные'!AM368,CJ368)</f>
        <v/>
      </c>
      <c r="CL368" s="10">
        <f>CJ368-CK368</f>
        <v/>
      </c>
      <c r="CM368" s="10">
        <f>MIN('02_Данные'!AO368,CL368)</f>
        <v/>
      </c>
      <c r="CN368" s="10">
        <f>CL368-CM368</f>
        <v/>
      </c>
      <c r="CO368" s="10">
        <f>MIN('02_Данные'!AP368,CN368)</f>
        <v/>
      </c>
      <c r="CP368" s="10">
        <f>CN368-CO368</f>
        <v/>
      </c>
      <c r="CQ368" s="10">
        <f>CP368+'02_Данные'!K368</f>
        <v/>
      </c>
      <c r="CR368" s="10">
        <f>MIN('02_Данные'!AR368,CQ368)</f>
        <v/>
      </c>
      <c r="CS368" s="10">
        <f>CQ368-CR368</f>
        <v/>
      </c>
      <c r="CT368" s="10">
        <f>MIN('02_Данные'!AS368,CS368)</f>
        <v/>
      </c>
      <c r="CU368" s="10">
        <f>CS368-CT368</f>
        <v/>
      </c>
      <c r="CV368" s="10">
        <f>MIN('02_Данные'!AT368,CU368)</f>
        <v/>
      </c>
      <c r="CW368" s="10">
        <f>CU368-CV368</f>
        <v/>
      </c>
      <c r="CX368" s="10">
        <f>MIN('02_Данные'!AY368,CW368)</f>
        <v/>
      </c>
      <c r="CY368" s="10">
        <f>CW368-CX368</f>
        <v/>
      </c>
      <c r="CZ368" s="10">
        <f>MIN('02_Данные'!AV368,CY368)</f>
        <v/>
      </c>
      <c r="DA368" s="10">
        <f>CY368-CZ368</f>
        <v/>
      </c>
      <c r="DB368" s="10">
        <f>MIN('02_Данные'!AU368,DA368)</f>
        <v/>
      </c>
      <c r="DC368" s="10">
        <f>DA368-DB368</f>
        <v/>
      </c>
      <c r="DD368" s="10">
        <f>MIN('02_Данные'!AW368,DC368)</f>
        <v/>
      </c>
      <c r="DE368" s="10">
        <f>DC368-DD368</f>
        <v/>
      </c>
      <c r="DF368" s="10">
        <f>MIN('02_Данные'!AX368,DE368)</f>
        <v/>
      </c>
      <c r="DG368" s="10">
        <f>DE368-DF368</f>
        <v/>
      </c>
    </row>
    <row r="369">
      <c r="A369" s="9">
        <f>'02_Данные'!B369</f>
        <v/>
      </c>
      <c r="B369" s="9">
        <f>'02_Данные'!E369</f>
        <v/>
      </c>
      <c r="C369" s="10">
        <f>'02_Данные'!F369+'02_Данные'!G369+'02_Данные'!H369+'02_Данные'!I369+'02_Данные'!J369+'02_Данные'!K369</f>
        <v/>
      </c>
      <c r="D369" s="10">
        <f>SUM('02_Данные'!L369:'02_Данные'!AY369)</f>
        <v/>
      </c>
      <c r="E369" s="10">
        <f>MAX(0,D369-C369)</f>
        <v/>
      </c>
      <c r="F369" s="15">
        <f>IF(E369&gt;0.0001,"ДЕФИЦИТ",IF(Y369&gt;0.0001,"ПРОФИЦИТ","БАЛАНС"))</f>
        <v/>
      </c>
      <c r="G369" s="10">
        <f>AB369+AS369+BJ369+CA369+CR369</f>
        <v/>
      </c>
      <c r="H369" s="10">
        <f>AD369+AU369+BL369+CC369+CT369</f>
        <v/>
      </c>
      <c r="I369" s="10">
        <f>AF369+AW369+BN369+CE369+CV369</f>
        <v/>
      </c>
      <c r="J369" s="10">
        <f>AL369+BC369+BT369+CK369+DB369</f>
        <v/>
      </c>
      <c r="K369" s="10">
        <f>AJ369+BA369+BR369+CI369+CZ369</f>
        <v/>
      </c>
      <c r="L369" s="10">
        <f>AN369+BE369+BV369+CM369+DD369</f>
        <v/>
      </c>
      <c r="M369" s="10">
        <f>AP369+BG369+BX369+CO369+DF369</f>
        <v/>
      </c>
      <c r="N369" s="10">
        <f>AH369+AY369+BP369+CG369+CX369</f>
        <v/>
      </c>
      <c r="O369" s="10">
        <f>SUM(G369:N369)</f>
        <v/>
      </c>
      <c r="P369" s="10">
        <f>IFERROR(G369*MIN(1,'01_Нормативы'!$C$4/SUM(G$2:G$429)),0)</f>
        <v/>
      </c>
      <c r="Q369" s="10">
        <f>IFERROR(H369*MIN(1,'01_Нормативы'!$C$5/SUM(H$2:H$429)),0)</f>
        <v/>
      </c>
      <c r="R369" s="10">
        <f>IFERROR(I369*MIN(1,'01_Нормативы'!$C$6/SUM(I$2:I$429)),0)</f>
        <v/>
      </c>
      <c r="S369" s="10">
        <f>IFERROR(J369*MIN(1,'01_Нормативы'!$C$7/SUM(J$2:J$429)),0)</f>
        <v/>
      </c>
      <c r="T369" s="10">
        <f>IFERROR(K369*MIN(1,'01_Нормативы'!$C$8/SUM(K$2:K$429)),0)</f>
        <v/>
      </c>
      <c r="U369" s="10">
        <f>IFERROR(L369*MIN(1,'01_Нормативы'!$C$9/SUM(L$2:L$429)),0)</f>
        <v/>
      </c>
      <c r="V369" s="10">
        <f>IFERROR(M369*MIN(1,'01_Нормативы'!$C$10/SUM(M$2:M$429)),0)</f>
        <v/>
      </c>
      <c r="W369" s="10">
        <f>IFERROR(N369*MIN(1,'01_Нормативы'!$C$11/SUM(N$2:N$429)),0)</f>
        <v/>
      </c>
      <c r="X369" s="10">
        <f>SUM(P369:W369)</f>
        <v/>
      </c>
      <c r="Y369" s="10">
        <f>MAX(0,C369-X369)</f>
        <v/>
      </c>
      <c r="Z369" s="10">
        <f>IF(D369=0,100,X369/D369*100)</f>
        <v/>
      </c>
      <c r="AA369" s="10">
        <f>'02_Данные'!F369+'02_Данные'!G369</f>
        <v/>
      </c>
      <c r="AB369" s="10">
        <f>MIN('02_Данные'!L369,AA369)</f>
        <v/>
      </c>
      <c r="AC369" s="10">
        <f>AA369-AB369</f>
        <v/>
      </c>
      <c r="AD369" s="10">
        <f>MIN('02_Данные'!M369,AC369)</f>
        <v/>
      </c>
      <c r="AE369" s="10">
        <f>AC369-AD369</f>
        <v/>
      </c>
      <c r="AF369" s="10">
        <f>MIN('02_Данные'!N369,AE369)</f>
        <v/>
      </c>
      <c r="AG369" s="10">
        <f>AE369-AF369</f>
        <v/>
      </c>
      <c r="AH369" s="10">
        <f>MIN('02_Данные'!S369,AG369)</f>
        <v/>
      </c>
      <c r="AI369" s="10">
        <f>AG369-AH369</f>
        <v/>
      </c>
      <c r="AJ369" s="10">
        <f>MIN('02_Данные'!P369,AI369)</f>
        <v/>
      </c>
      <c r="AK369" s="10">
        <f>AI369-AJ369</f>
        <v/>
      </c>
      <c r="AL369" s="10">
        <f>MIN('02_Данные'!O369,AK369)</f>
        <v/>
      </c>
      <c r="AM369" s="10">
        <f>AK369-AL369</f>
        <v/>
      </c>
      <c r="AN369" s="10">
        <f>MIN('02_Данные'!Q369,AM369)</f>
        <v/>
      </c>
      <c r="AO369" s="10">
        <f>AM369-AN369</f>
        <v/>
      </c>
      <c r="AP369" s="10">
        <f>MIN('02_Данные'!R369,AO369)</f>
        <v/>
      </c>
      <c r="AQ369" s="10">
        <f>AO369-AP369</f>
        <v/>
      </c>
      <c r="AR369" s="10">
        <f>AQ369+'02_Данные'!H369</f>
        <v/>
      </c>
      <c r="AS369" s="10">
        <f>MIN('02_Данные'!T369,AR369)</f>
        <v/>
      </c>
      <c r="AT369" s="10">
        <f>AR369-AS369</f>
        <v/>
      </c>
      <c r="AU369" s="10">
        <f>MIN('02_Данные'!U369,AT369)</f>
        <v/>
      </c>
      <c r="AV369" s="10">
        <f>AT369-AU369</f>
        <v/>
      </c>
      <c r="AW369" s="10">
        <f>MIN('02_Данные'!V369,AV369)</f>
        <v/>
      </c>
      <c r="AX369" s="10">
        <f>AV369-AW369</f>
        <v/>
      </c>
      <c r="AY369" s="10">
        <f>MIN('02_Данные'!AA369,AX369)</f>
        <v/>
      </c>
      <c r="AZ369" s="10">
        <f>AX369-AY369</f>
        <v/>
      </c>
      <c r="BA369" s="10">
        <f>MIN('02_Данные'!X369,AZ369)</f>
        <v/>
      </c>
      <c r="BB369" s="10">
        <f>AZ369-BA369</f>
        <v/>
      </c>
      <c r="BC369" s="10">
        <f>MIN('02_Данные'!W369,BB369)</f>
        <v/>
      </c>
      <c r="BD369" s="10">
        <f>BB369-BC369</f>
        <v/>
      </c>
      <c r="BE369" s="10">
        <f>MIN('02_Данные'!Y369,BD369)</f>
        <v/>
      </c>
      <c r="BF369" s="10">
        <f>BD369-BE369</f>
        <v/>
      </c>
      <c r="BG369" s="10">
        <f>MIN('02_Данные'!Z369,BF369)</f>
        <v/>
      </c>
      <c r="BH369" s="10">
        <f>BF369-BG369</f>
        <v/>
      </c>
      <c r="BI369" s="10">
        <f>BH369+'02_Данные'!I369</f>
        <v/>
      </c>
      <c r="BJ369" s="10">
        <f>MIN('02_Данные'!AB369,BI369)</f>
        <v/>
      </c>
      <c r="BK369" s="10">
        <f>BI369-BJ369</f>
        <v/>
      </c>
      <c r="BL369" s="10">
        <f>MIN('02_Данные'!AC369,BK369)</f>
        <v/>
      </c>
      <c r="BM369" s="10">
        <f>BK369-BL369</f>
        <v/>
      </c>
      <c r="BN369" s="10">
        <f>MIN('02_Данные'!AD369,BM369)</f>
        <v/>
      </c>
      <c r="BO369" s="10">
        <f>BM369-BN369</f>
        <v/>
      </c>
      <c r="BP369" s="10">
        <f>MIN('02_Данные'!AI369,BO369)</f>
        <v/>
      </c>
      <c r="BQ369" s="10">
        <f>BO369-BP369</f>
        <v/>
      </c>
      <c r="BR369" s="10">
        <f>MIN('02_Данные'!AF369,BQ369)</f>
        <v/>
      </c>
      <c r="BS369" s="10">
        <f>BQ369-BR369</f>
        <v/>
      </c>
      <c r="BT369" s="10">
        <f>MIN('02_Данные'!AE369,BS369)</f>
        <v/>
      </c>
      <c r="BU369" s="10">
        <f>BS369-BT369</f>
        <v/>
      </c>
      <c r="BV369" s="10">
        <f>MIN('02_Данные'!AG369,BU369)</f>
        <v/>
      </c>
      <c r="BW369" s="10">
        <f>BU369-BV369</f>
        <v/>
      </c>
      <c r="BX369" s="10">
        <f>MIN('02_Данные'!AH369,BW369)</f>
        <v/>
      </c>
      <c r="BY369" s="10">
        <f>BW369-BX369</f>
        <v/>
      </c>
      <c r="BZ369" s="10">
        <f>BY369+'02_Данные'!J369</f>
        <v/>
      </c>
      <c r="CA369" s="10">
        <f>MIN('02_Данные'!AJ369,BZ369)</f>
        <v/>
      </c>
      <c r="CB369" s="10">
        <f>BZ369-CA369</f>
        <v/>
      </c>
      <c r="CC369" s="10">
        <f>MIN('02_Данные'!AK369,CB369)</f>
        <v/>
      </c>
      <c r="CD369" s="10">
        <f>CB369-CC369</f>
        <v/>
      </c>
      <c r="CE369" s="10">
        <f>MIN('02_Данные'!AL369,CD369)</f>
        <v/>
      </c>
      <c r="CF369" s="10">
        <f>CD369-CE369</f>
        <v/>
      </c>
      <c r="CG369" s="10">
        <f>MIN('02_Данные'!AQ369,CF369)</f>
        <v/>
      </c>
      <c r="CH369" s="10">
        <f>CF369-CG369</f>
        <v/>
      </c>
      <c r="CI369" s="10">
        <f>MIN('02_Данные'!AN369,CH369)</f>
        <v/>
      </c>
      <c r="CJ369" s="10">
        <f>CH369-CI369</f>
        <v/>
      </c>
      <c r="CK369" s="10">
        <f>MIN('02_Данные'!AM369,CJ369)</f>
        <v/>
      </c>
      <c r="CL369" s="10">
        <f>CJ369-CK369</f>
        <v/>
      </c>
      <c r="CM369" s="10">
        <f>MIN('02_Данные'!AO369,CL369)</f>
        <v/>
      </c>
      <c r="CN369" s="10">
        <f>CL369-CM369</f>
        <v/>
      </c>
      <c r="CO369" s="10">
        <f>MIN('02_Данные'!AP369,CN369)</f>
        <v/>
      </c>
      <c r="CP369" s="10">
        <f>CN369-CO369</f>
        <v/>
      </c>
      <c r="CQ369" s="10">
        <f>CP369+'02_Данные'!K369</f>
        <v/>
      </c>
      <c r="CR369" s="10">
        <f>MIN('02_Данные'!AR369,CQ369)</f>
        <v/>
      </c>
      <c r="CS369" s="10">
        <f>CQ369-CR369</f>
        <v/>
      </c>
      <c r="CT369" s="10">
        <f>MIN('02_Данные'!AS369,CS369)</f>
        <v/>
      </c>
      <c r="CU369" s="10">
        <f>CS369-CT369</f>
        <v/>
      </c>
      <c r="CV369" s="10">
        <f>MIN('02_Данные'!AT369,CU369)</f>
        <v/>
      </c>
      <c r="CW369" s="10">
        <f>CU369-CV369</f>
        <v/>
      </c>
      <c r="CX369" s="10">
        <f>MIN('02_Данные'!AY369,CW369)</f>
        <v/>
      </c>
      <c r="CY369" s="10">
        <f>CW369-CX369</f>
        <v/>
      </c>
      <c r="CZ369" s="10">
        <f>MIN('02_Данные'!AV369,CY369)</f>
        <v/>
      </c>
      <c r="DA369" s="10">
        <f>CY369-CZ369</f>
        <v/>
      </c>
      <c r="DB369" s="10">
        <f>MIN('02_Данные'!AU369,DA369)</f>
        <v/>
      </c>
      <c r="DC369" s="10">
        <f>DA369-DB369</f>
        <v/>
      </c>
      <c r="DD369" s="10">
        <f>MIN('02_Данные'!AW369,DC369)</f>
        <v/>
      </c>
      <c r="DE369" s="10">
        <f>DC369-DD369</f>
        <v/>
      </c>
      <c r="DF369" s="10">
        <f>MIN('02_Данные'!AX369,DE369)</f>
        <v/>
      </c>
      <c r="DG369" s="10">
        <f>DE369-DF369</f>
        <v/>
      </c>
    </row>
    <row r="370">
      <c r="A370" s="9">
        <f>'02_Данные'!B370</f>
        <v/>
      </c>
      <c r="B370" s="9">
        <f>'02_Данные'!E370</f>
        <v/>
      </c>
      <c r="C370" s="10">
        <f>'02_Данные'!F370+'02_Данные'!G370+'02_Данные'!H370+'02_Данные'!I370+'02_Данные'!J370+'02_Данные'!K370</f>
        <v/>
      </c>
      <c r="D370" s="10">
        <f>SUM('02_Данные'!L370:'02_Данные'!AY370)</f>
        <v/>
      </c>
      <c r="E370" s="10">
        <f>MAX(0,D370-C370)</f>
        <v/>
      </c>
      <c r="F370" s="15">
        <f>IF(E370&gt;0.0001,"ДЕФИЦИТ",IF(Y370&gt;0.0001,"ПРОФИЦИТ","БАЛАНС"))</f>
        <v/>
      </c>
      <c r="G370" s="10">
        <f>AB370+AS370+BJ370+CA370+CR370</f>
        <v/>
      </c>
      <c r="H370" s="10">
        <f>AD370+AU370+BL370+CC370+CT370</f>
        <v/>
      </c>
      <c r="I370" s="10">
        <f>AF370+AW370+BN370+CE370+CV370</f>
        <v/>
      </c>
      <c r="J370" s="10">
        <f>AL370+BC370+BT370+CK370+DB370</f>
        <v/>
      </c>
      <c r="K370" s="10">
        <f>AJ370+BA370+BR370+CI370+CZ370</f>
        <v/>
      </c>
      <c r="L370" s="10">
        <f>AN370+BE370+BV370+CM370+DD370</f>
        <v/>
      </c>
      <c r="M370" s="10">
        <f>AP370+BG370+BX370+CO370+DF370</f>
        <v/>
      </c>
      <c r="N370" s="10">
        <f>AH370+AY370+BP370+CG370+CX370</f>
        <v/>
      </c>
      <c r="O370" s="10">
        <f>SUM(G370:N370)</f>
        <v/>
      </c>
      <c r="P370" s="10">
        <f>IFERROR(G370*MIN(1,'01_Нормативы'!$C$4/SUM(G$2:G$429)),0)</f>
        <v/>
      </c>
      <c r="Q370" s="10">
        <f>IFERROR(H370*MIN(1,'01_Нормативы'!$C$5/SUM(H$2:H$429)),0)</f>
        <v/>
      </c>
      <c r="R370" s="10">
        <f>IFERROR(I370*MIN(1,'01_Нормативы'!$C$6/SUM(I$2:I$429)),0)</f>
        <v/>
      </c>
      <c r="S370" s="10">
        <f>IFERROR(J370*MIN(1,'01_Нормативы'!$C$7/SUM(J$2:J$429)),0)</f>
        <v/>
      </c>
      <c r="T370" s="10">
        <f>IFERROR(K370*MIN(1,'01_Нормативы'!$C$8/SUM(K$2:K$429)),0)</f>
        <v/>
      </c>
      <c r="U370" s="10">
        <f>IFERROR(L370*MIN(1,'01_Нормативы'!$C$9/SUM(L$2:L$429)),0)</f>
        <v/>
      </c>
      <c r="V370" s="10">
        <f>IFERROR(M370*MIN(1,'01_Нормативы'!$C$10/SUM(M$2:M$429)),0)</f>
        <v/>
      </c>
      <c r="W370" s="10">
        <f>IFERROR(N370*MIN(1,'01_Нормативы'!$C$11/SUM(N$2:N$429)),0)</f>
        <v/>
      </c>
      <c r="X370" s="10">
        <f>SUM(P370:W370)</f>
        <v/>
      </c>
      <c r="Y370" s="10">
        <f>MAX(0,C370-X370)</f>
        <v/>
      </c>
      <c r="Z370" s="10">
        <f>IF(D370=0,100,X370/D370*100)</f>
        <v/>
      </c>
      <c r="AA370" s="10">
        <f>'02_Данные'!F370+'02_Данные'!G370</f>
        <v/>
      </c>
      <c r="AB370" s="10">
        <f>MIN('02_Данные'!L370,AA370)</f>
        <v/>
      </c>
      <c r="AC370" s="10">
        <f>AA370-AB370</f>
        <v/>
      </c>
      <c r="AD370" s="10">
        <f>MIN('02_Данные'!M370,AC370)</f>
        <v/>
      </c>
      <c r="AE370" s="10">
        <f>AC370-AD370</f>
        <v/>
      </c>
      <c r="AF370" s="10">
        <f>MIN('02_Данные'!N370,AE370)</f>
        <v/>
      </c>
      <c r="AG370" s="10">
        <f>AE370-AF370</f>
        <v/>
      </c>
      <c r="AH370" s="10">
        <f>MIN('02_Данные'!S370,AG370)</f>
        <v/>
      </c>
      <c r="AI370" s="10">
        <f>AG370-AH370</f>
        <v/>
      </c>
      <c r="AJ370" s="10">
        <f>MIN('02_Данные'!P370,AI370)</f>
        <v/>
      </c>
      <c r="AK370" s="10">
        <f>AI370-AJ370</f>
        <v/>
      </c>
      <c r="AL370" s="10">
        <f>MIN('02_Данные'!O370,AK370)</f>
        <v/>
      </c>
      <c r="AM370" s="10">
        <f>AK370-AL370</f>
        <v/>
      </c>
      <c r="AN370" s="10">
        <f>MIN('02_Данные'!Q370,AM370)</f>
        <v/>
      </c>
      <c r="AO370" s="10">
        <f>AM370-AN370</f>
        <v/>
      </c>
      <c r="AP370" s="10">
        <f>MIN('02_Данные'!R370,AO370)</f>
        <v/>
      </c>
      <c r="AQ370" s="10">
        <f>AO370-AP370</f>
        <v/>
      </c>
      <c r="AR370" s="10">
        <f>AQ370+'02_Данные'!H370</f>
        <v/>
      </c>
      <c r="AS370" s="10">
        <f>MIN('02_Данные'!T370,AR370)</f>
        <v/>
      </c>
      <c r="AT370" s="10">
        <f>AR370-AS370</f>
        <v/>
      </c>
      <c r="AU370" s="10">
        <f>MIN('02_Данные'!U370,AT370)</f>
        <v/>
      </c>
      <c r="AV370" s="10">
        <f>AT370-AU370</f>
        <v/>
      </c>
      <c r="AW370" s="10">
        <f>MIN('02_Данные'!V370,AV370)</f>
        <v/>
      </c>
      <c r="AX370" s="10">
        <f>AV370-AW370</f>
        <v/>
      </c>
      <c r="AY370" s="10">
        <f>MIN('02_Данные'!AA370,AX370)</f>
        <v/>
      </c>
      <c r="AZ370" s="10">
        <f>AX370-AY370</f>
        <v/>
      </c>
      <c r="BA370" s="10">
        <f>MIN('02_Данные'!X370,AZ370)</f>
        <v/>
      </c>
      <c r="BB370" s="10">
        <f>AZ370-BA370</f>
        <v/>
      </c>
      <c r="BC370" s="10">
        <f>MIN('02_Данные'!W370,BB370)</f>
        <v/>
      </c>
      <c r="BD370" s="10">
        <f>BB370-BC370</f>
        <v/>
      </c>
      <c r="BE370" s="10">
        <f>MIN('02_Данные'!Y370,BD370)</f>
        <v/>
      </c>
      <c r="BF370" s="10">
        <f>BD370-BE370</f>
        <v/>
      </c>
      <c r="BG370" s="10">
        <f>MIN('02_Данные'!Z370,BF370)</f>
        <v/>
      </c>
      <c r="BH370" s="10">
        <f>BF370-BG370</f>
        <v/>
      </c>
      <c r="BI370" s="10">
        <f>BH370+'02_Данные'!I370</f>
        <v/>
      </c>
      <c r="BJ370" s="10">
        <f>MIN('02_Данные'!AB370,BI370)</f>
        <v/>
      </c>
      <c r="BK370" s="10">
        <f>BI370-BJ370</f>
        <v/>
      </c>
      <c r="BL370" s="10">
        <f>MIN('02_Данные'!AC370,BK370)</f>
        <v/>
      </c>
      <c r="BM370" s="10">
        <f>BK370-BL370</f>
        <v/>
      </c>
      <c r="BN370" s="10">
        <f>MIN('02_Данные'!AD370,BM370)</f>
        <v/>
      </c>
      <c r="BO370" s="10">
        <f>BM370-BN370</f>
        <v/>
      </c>
      <c r="BP370" s="10">
        <f>MIN('02_Данные'!AI370,BO370)</f>
        <v/>
      </c>
      <c r="BQ370" s="10">
        <f>BO370-BP370</f>
        <v/>
      </c>
      <c r="BR370" s="10">
        <f>MIN('02_Данные'!AF370,BQ370)</f>
        <v/>
      </c>
      <c r="BS370" s="10">
        <f>BQ370-BR370</f>
        <v/>
      </c>
      <c r="BT370" s="10">
        <f>MIN('02_Данные'!AE370,BS370)</f>
        <v/>
      </c>
      <c r="BU370" s="10">
        <f>BS370-BT370</f>
        <v/>
      </c>
      <c r="BV370" s="10">
        <f>MIN('02_Данные'!AG370,BU370)</f>
        <v/>
      </c>
      <c r="BW370" s="10">
        <f>BU370-BV370</f>
        <v/>
      </c>
      <c r="BX370" s="10">
        <f>MIN('02_Данные'!AH370,BW370)</f>
        <v/>
      </c>
      <c r="BY370" s="10">
        <f>BW370-BX370</f>
        <v/>
      </c>
      <c r="BZ370" s="10">
        <f>BY370+'02_Данные'!J370</f>
        <v/>
      </c>
      <c r="CA370" s="10">
        <f>MIN('02_Данные'!AJ370,BZ370)</f>
        <v/>
      </c>
      <c r="CB370" s="10">
        <f>BZ370-CA370</f>
        <v/>
      </c>
      <c r="CC370" s="10">
        <f>MIN('02_Данные'!AK370,CB370)</f>
        <v/>
      </c>
      <c r="CD370" s="10">
        <f>CB370-CC370</f>
        <v/>
      </c>
      <c r="CE370" s="10">
        <f>MIN('02_Данные'!AL370,CD370)</f>
        <v/>
      </c>
      <c r="CF370" s="10">
        <f>CD370-CE370</f>
        <v/>
      </c>
      <c r="CG370" s="10">
        <f>MIN('02_Данные'!AQ370,CF370)</f>
        <v/>
      </c>
      <c r="CH370" s="10">
        <f>CF370-CG370</f>
        <v/>
      </c>
      <c r="CI370" s="10">
        <f>MIN('02_Данные'!AN370,CH370)</f>
        <v/>
      </c>
      <c r="CJ370" s="10">
        <f>CH370-CI370</f>
        <v/>
      </c>
      <c r="CK370" s="10">
        <f>MIN('02_Данные'!AM370,CJ370)</f>
        <v/>
      </c>
      <c r="CL370" s="10">
        <f>CJ370-CK370</f>
        <v/>
      </c>
      <c r="CM370" s="10">
        <f>MIN('02_Данные'!AO370,CL370)</f>
        <v/>
      </c>
      <c r="CN370" s="10">
        <f>CL370-CM370</f>
        <v/>
      </c>
      <c r="CO370" s="10">
        <f>MIN('02_Данные'!AP370,CN370)</f>
        <v/>
      </c>
      <c r="CP370" s="10">
        <f>CN370-CO370</f>
        <v/>
      </c>
      <c r="CQ370" s="10">
        <f>CP370+'02_Данные'!K370</f>
        <v/>
      </c>
      <c r="CR370" s="10">
        <f>MIN('02_Данные'!AR370,CQ370)</f>
        <v/>
      </c>
      <c r="CS370" s="10">
        <f>CQ370-CR370</f>
        <v/>
      </c>
      <c r="CT370" s="10">
        <f>MIN('02_Данные'!AS370,CS370)</f>
        <v/>
      </c>
      <c r="CU370" s="10">
        <f>CS370-CT370</f>
        <v/>
      </c>
      <c r="CV370" s="10">
        <f>MIN('02_Данные'!AT370,CU370)</f>
        <v/>
      </c>
      <c r="CW370" s="10">
        <f>CU370-CV370</f>
        <v/>
      </c>
      <c r="CX370" s="10">
        <f>MIN('02_Данные'!AY370,CW370)</f>
        <v/>
      </c>
      <c r="CY370" s="10">
        <f>CW370-CX370</f>
        <v/>
      </c>
      <c r="CZ370" s="10">
        <f>MIN('02_Данные'!AV370,CY370)</f>
        <v/>
      </c>
      <c r="DA370" s="10">
        <f>CY370-CZ370</f>
        <v/>
      </c>
      <c r="DB370" s="10">
        <f>MIN('02_Данные'!AU370,DA370)</f>
        <v/>
      </c>
      <c r="DC370" s="10">
        <f>DA370-DB370</f>
        <v/>
      </c>
      <c r="DD370" s="10">
        <f>MIN('02_Данные'!AW370,DC370)</f>
        <v/>
      </c>
      <c r="DE370" s="10">
        <f>DC370-DD370</f>
        <v/>
      </c>
      <c r="DF370" s="10">
        <f>MIN('02_Данные'!AX370,DE370)</f>
        <v/>
      </c>
      <c r="DG370" s="10">
        <f>DE370-DF370</f>
        <v/>
      </c>
    </row>
    <row r="371">
      <c r="A371" s="9">
        <f>'02_Данные'!B371</f>
        <v/>
      </c>
      <c r="B371" s="9">
        <f>'02_Данные'!E371</f>
        <v/>
      </c>
      <c r="C371" s="10">
        <f>'02_Данные'!F371+'02_Данные'!G371+'02_Данные'!H371+'02_Данные'!I371+'02_Данные'!J371+'02_Данные'!K371</f>
        <v/>
      </c>
      <c r="D371" s="10">
        <f>SUM('02_Данные'!L371:'02_Данные'!AY371)</f>
        <v/>
      </c>
      <c r="E371" s="10">
        <f>MAX(0,D371-C371)</f>
        <v/>
      </c>
      <c r="F371" s="15">
        <f>IF(E371&gt;0.0001,"ДЕФИЦИТ",IF(Y371&gt;0.0001,"ПРОФИЦИТ","БАЛАНС"))</f>
        <v/>
      </c>
      <c r="G371" s="10">
        <f>AB371+AS371+BJ371+CA371+CR371</f>
        <v/>
      </c>
      <c r="H371" s="10">
        <f>AD371+AU371+BL371+CC371+CT371</f>
        <v/>
      </c>
      <c r="I371" s="10">
        <f>AF371+AW371+BN371+CE371+CV371</f>
        <v/>
      </c>
      <c r="J371" s="10">
        <f>AL371+BC371+BT371+CK371+DB371</f>
        <v/>
      </c>
      <c r="K371" s="10">
        <f>AJ371+BA371+BR371+CI371+CZ371</f>
        <v/>
      </c>
      <c r="L371" s="10">
        <f>AN371+BE371+BV371+CM371+DD371</f>
        <v/>
      </c>
      <c r="M371" s="10">
        <f>AP371+BG371+BX371+CO371+DF371</f>
        <v/>
      </c>
      <c r="N371" s="10">
        <f>AH371+AY371+BP371+CG371+CX371</f>
        <v/>
      </c>
      <c r="O371" s="10">
        <f>SUM(G371:N371)</f>
        <v/>
      </c>
      <c r="P371" s="10">
        <f>IFERROR(G371*MIN(1,'01_Нормативы'!$C$4/SUM(G$2:G$429)),0)</f>
        <v/>
      </c>
      <c r="Q371" s="10">
        <f>IFERROR(H371*MIN(1,'01_Нормативы'!$C$5/SUM(H$2:H$429)),0)</f>
        <v/>
      </c>
      <c r="R371" s="10">
        <f>IFERROR(I371*MIN(1,'01_Нормативы'!$C$6/SUM(I$2:I$429)),0)</f>
        <v/>
      </c>
      <c r="S371" s="10">
        <f>IFERROR(J371*MIN(1,'01_Нормативы'!$C$7/SUM(J$2:J$429)),0)</f>
        <v/>
      </c>
      <c r="T371" s="10">
        <f>IFERROR(K371*MIN(1,'01_Нормативы'!$C$8/SUM(K$2:K$429)),0)</f>
        <v/>
      </c>
      <c r="U371" s="10">
        <f>IFERROR(L371*MIN(1,'01_Нормативы'!$C$9/SUM(L$2:L$429)),0)</f>
        <v/>
      </c>
      <c r="V371" s="10">
        <f>IFERROR(M371*MIN(1,'01_Нормативы'!$C$10/SUM(M$2:M$429)),0)</f>
        <v/>
      </c>
      <c r="W371" s="10">
        <f>IFERROR(N371*MIN(1,'01_Нормативы'!$C$11/SUM(N$2:N$429)),0)</f>
        <v/>
      </c>
      <c r="X371" s="10">
        <f>SUM(P371:W371)</f>
        <v/>
      </c>
      <c r="Y371" s="10">
        <f>MAX(0,C371-X371)</f>
        <v/>
      </c>
      <c r="Z371" s="10">
        <f>IF(D371=0,100,X371/D371*100)</f>
        <v/>
      </c>
      <c r="AA371" s="10">
        <f>'02_Данные'!F371+'02_Данные'!G371</f>
        <v/>
      </c>
      <c r="AB371" s="10">
        <f>MIN('02_Данные'!L371,AA371)</f>
        <v/>
      </c>
      <c r="AC371" s="10">
        <f>AA371-AB371</f>
        <v/>
      </c>
      <c r="AD371" s="10">
        <f>MIN('02_Данные'!M371,AC371)</f>
        <v/>
      </c>
      <c r="AE371" s="10">
        <f>AC371-AD371</f>
        <v/>
      </c>
      <c r="AF371" s="10">
        <f>MIN('02_Данные'!N371,AE371)</f>
        <v/>
      </c>
      <c r="AG371" s="10">
        <f>AE371-AF371</f>
        <v/>
      </c>
      <c r="AH371" s="10">
        <f>MIN('02_Данные'!S371,AG371)</f>
        <v/>
      </c>
      <c r="AI371" s="10">
        <f>AG371-AH371</f>
        <v/>
      </c>
      <c r="AJ371" s="10">
        <f>MIN('02_Данные'!P371,AI371)</f>
        <v/>
      </c>
      <c r="AK371" s="10">
        <f>AI371-AJ371</f>
        <v/>
      </c>
      <c r="AL371" s="10">
        <f>MIN('02_Данные'!O371,AK371)</f>
        <v/>
      </c>
      <c r="AM371" s="10">
        <f>AK371-AL371</f>
        <v/>
      </c>
      <c r="AN371" s="10">
        <f>MIN('02_Данные'!Q371,AM371)</f>
        <v/>
      </c>
      <c r="AO371" s="10">
        <f>AM371-AN371</f>
        <v/>
      </c>
      <c r="AP371" s="10">
        <f>MIN('02_Данные'!R371,AO371)</f>
        <v/>
      </c>
      <c r="AQ371" s="10">
        <f>AO371-AP371</f>
        <v/>
      </c>
      <c r="AR371" s="10">
        <f>AQ371+'02_Данные'!H371</f>
        <v/>
      </c>
      <c r="AS371" s="10">
        <f>MIN('02_Данные'!T371,AR371)</f>
        <v/>
      </c>
      <c r="AT371" s="10">
        <f>AR371-AS371</f>
        <v/>
      </c>
      <c r="AU371" s="10">
        <f>MIN('02_Данные'!U371,AT371)</f>
        <v/>
      </c>
      <c r="AV371" s="10">
        <f>AT371-AU371</f>
        <v/>
      </c>
      <c r="AW371" s="10">
        <f>MIN('02_Данные'!V371,AV371)</f>
        <v/>
      </c>
      <c r="AX371" s="10">
        <f>AV371-AW371</f>
        <v/>
      </c>
      <c r="AY371" s="10">
        <f>MIN('02_Данные'!AA371,AX371)</f>
        <v/>
      </c>
      <c r="AZ371" s="10">
        <f>AX371-AY371</f>
        <v/>
      </c>
      <c r="BA371" s="10">
        <f>MIN('02_Данные'!X371,AZ371)</f>
        <v/>
      </c>
      <c r="BB371" s="10">
        <f>AZ371-BA371</f>
        <v/>
      </c>
      <c r="BC371" s="10">
        <f>MIN('02_Данные'!W371,BB371)</f>
        <v/>
      </c>
      <c r="BD371" s="10">
        <f>BB371-BC371</f>
        <v/>
      </c>
      <c r="BE371" s="10">
        <f>MIN('02_Данные'!Y371,BD371)</f>
        <v/>
      </c>
      <c r="BF371" s="10">
        <f>BD371-BE371</f>
        <v/>
      </c>
      <c r="BG371" s="10">
        <f>MIN('02_Данные'!Z371,BF371)</f>
        <v/>
      </c>
      <c r="BH371" s="10">
        <f>BF371-BG371</f>
        <v/>
      </c>
      <c r="BI371" s="10">
        <f>BH371+'02_Данные'!I371</f>
        <v/>
      </c>
      <c r="BJ371" s="10">
        <f>MIN('02_Данные'!AB371,BI371)</f>
        <v/>
      </c>
      <c r="BK371" s="10">
        <f>BI371-BJ371</f>
        <v/>
      </c>
      <c r="BL371" s="10">
        <f>MIN('02_Данные'!AC371,BK371)</f>
        <v/>
      </c>
      <c r="BM371" s="10">
        <f>BK371-BL371</f>
        <v/>
      </c>
      <c r="BN371" s="10">
        <f>MIN('02_Данные'!AD371,BM371)</f>
        <v/>
      </c>
      <c r="BO371" s="10">
        <f>BM371-BN371</f>
        <v/>
      </c>
      <c r="BP371" s="10">
        <f>MIN('02_Данные'!AI371,BO371)</f>
        <v/>
      </c>
      <c r="BQ371" s="10">
        <f>BO371-BP371</f>
        <v/>
      </c>
      <c r="BR371" s="10">
        <f>MIN('02_Данные'!AF371,BQ371)</f>
        <v/>
      </c>
      <c r="BS371" s="10">
        <f>BQ371-BR371</f>
        <v/>
      </c>
      <c r="BT371" s="10">
        <f>MIN('02_Данные'!AE371,BS371)</f>
        <v/>
      </c>
      <c r="BU371" s="10">
        <f>BS371-BT371</f>
        <v/>
      </c>
      <c r="BV371" s="10">
        <f>MIN('02_Данные'!AG371,BU371)</f>
        <v/>
      </c>
      <c r="BW371" s="10">
        <f>BU371-BV371</f>
        <v/>
      </c>
      <c r="BX371" s="10">
        <f>MIN('02_Данные'!AH371,BW371)</f>
        <v/>
      </c>
      <c r="BY371" s="10">
        <f>BW371-BX371</f>
        <v/>
      </c>
      <c r="BZ371" s="10">
        <f>BY371+'02_Данные'!J371</f>
        <v/>
      </c>
      <c r="CA371" s="10">
        <f>MIN('02_Данные'!AJ371,BZ371)</f>
        <v/>
      </c>
      <c r="CB371" s="10">
        <f>BZ371-CA371</f>
        <v/>
      </c>
      <c r="CC371" s="10">
        <f>MIN('02_Данные'!AK371,CB371)</f>
        <v/>
      </c>
      <c r="CD371" s="10">
        <f>CB371-CC371</f>
        <v/>
      </c>
      <c r="CE371" s="10">
        <f>MIN('02_Данные'!AL371,CD371)</f>
        <v/>
      </c>
      <c r="CF371" s="10">
        <f>CD371-CE371</f>
        <v/>
      </c>
      <c r="CG371" s="10">
        <f>MIN('02_Данные'!AQ371,CF371)</f>
        <v/>
      </c>
      <c r="CH371" s="10">
        <f>CF371-CG371</f>
        <v/>
      </c>
      <c r="CI371" s="10">
        <f>MIN('02_Данные'!AN371,CH371)</f>
        <v/>
      </c>
      <c r="CJ371" s="10">
        <f>CH371-CI371</f>
        <v/>
      </c>
      <c r="CK371" s="10">
        <f>MIN('02_Данные'!AM371,CJ371)</f>
        <v/>
      </c>
      <c r="CL371" s="10">
        <f>CJ371-CK371</f>
        <v/>
      </c>
      <c r="CM371" s="10">
        <f>MIN('02_Данные'!AO371,CL371)</f>
        <v/>
      </c>
      <c r="CN371" s="10">
        <f>CL371-CM371</f>
        <v/>
      </c>
      <c r="CO371" s="10">
        <f>MIN('02_Данные'!AP371,CN371)</f>
        <v/>
      </c>
      <c r="CP371" s="10">
        <f>CN371-CO371</f>
        <v/>
      </c>
      <c r="CQ371" s="10">
        <f>CP371+'02_Данные'!K371</f>
        <v/>
      </c>
      <c r="CR371" s="10">
        <f>MIN('02_Данные'!AR371,CQ371)</f>
        <v/>
      </c>
      <c r="CS371" s="10">
        <f>CQ371-CR371</f>
        <v/>
      </c>
      <c r="CT371" s="10">
        <f>MIN('02_Данные'!AS371,CS371)</f>
        <v/>
      </c>
      <c r="CU371" s="10">
        <f>CS371-CT371</f>
        <v/>
      </c>
      <c r="CV371" s="10">
        <f>MIN('02_Данные'!AT371,CU371)</f>
        <v/>
      </c>
      <c r="CW371" s="10">
        <f>CU371-CV371</f>
        <v/>
      </c>
      <c r="CX371" s="10">
        <f>MIN('02_Данные'!AY371,CW371)</f>
        <v/>
      </c>
      <c r="CY371" s="10">
        <f>CW371-CX371</f>
        <v/>
      </c>
      <c r="CZ371" s="10">
        <f>MIN('02_Данные'!AV371,CY371)</f>
        <v/>
      </c>
      <c r="DA371" s="10">
        <f>CY371-CZ371</f>
        <v/>
      </c>
      <c r="DB371" s="10">
        <f>MIN('02_Данные'!AU371,DA371)</f>
        <v/>
      </c>
      <c r="DC371" s="10">
        <f>DA371-DB371</f>
        <v/>
      </c>
      <c r="DD371" s="10">
        <f>MIN('02_Данные'!AW371,DC371)</f>
        <v/>
      </c>
      <c r="DE371" s="10">
        <f>DC371-DD371</f>
        <v/>
      </c>
      <c r="DF371" s="10">
        <f>MIN('02_Данные'!AX371,DE371)</f>
        <v/>
      </c>
      <c r="DG371" s="10">
        <f>DE371-DF371</f>
        <v/>
      </c>
    </row>
    <row r="372">
      <c r="A372" s="9">
        <f>'02_Данные'!B372</f>
        <v/>
      </c>
      <c r="B372" s="9">
        <f>'02_Данные'!E372</f>
        <v/>
      </c>
      <c r="C372" s="10">
        <f>'02_Данные'!F372+'02_Данные'!G372+'02_Данные'!H372+'02_Данные'!I372+'02_Данные'!J372+'02_Данные'!K372</f>
        <v/>
      </c>
      <c r="D372" s="10">
        <f>SUM('02_Данные'!L372:'02_Данные'!AY372)</f>
        <v/>
      </c>
      <c r="E372" s="10">
        <f>MAX(0,D372-C372)</f>
        <v/>
      </c>
      <c r="F372" s="15">
        <f>IF(E372&gt;0.0001,"ДЕФИЦИТ",IF(Y372&gt;0.0001,"ПРОФИЦИТ","БАЛАНС"))</f>
        <v/>
      </c>
      <c r="G372" s="10">
        <f>AB372+AS372+BJ372+CA372+CR372</f>
        <v/>
      </c>
      <c r="H372" s="10">
        <f>AD372+AU372+BL372+CC372+CT372</f>
        <v/>
      </c>
      <c r="I372" s="10">
        <f>AF372+AW372+BN372+CE372+CV372</f>
        <v/>
      </c>
      <c r="J372" s="10">
        <f>AL372+BC372+BT372+CK372+DB372</f>
        <v/>
      </c>
      <c r="K372" s="10">
        <f>AJ372+BA372+BR372+CI372+CZ372</f>
        <v/>
      </c>
      <c r="L372" s="10">
        <f>AN372+BE372+BV372+CM372+DD372</f>
        <v/>
      </c>
      <c r="M372" s="10">
        <f>AP372+BG372+BX372+CO372+DF372</f>
        <v/>
      </c>
      <c r="N372" s="10">
        <f>AH372+AY372+BP372+CG372+CX372</f>
        <v/>
      </c>
      <c r="O372" s="10">
        <f>SUM(G372:N372)</f>
        <v/>
      </c>
      <c r="P372" s="10">
        <f>IFERROR(G372*MIN(1,'01_Нормативы'!$C$4/SUM(G$2:G$429)),0)</f>
        <v/>
      </c>
      <c r="Q372" s="10">
        <f>IFERROR(H372*MIN(1,'01_Нормативы'!$C$5/SUM(H$2:H$429)),0)</f>
        <v/>
      </c>
      <c r="R372" s="10">
        <f>IFERROR(I372*MIN(1,'01_Нормативы'!$C$6/SUM(I$2:I$429)),0)</f>
        <v/>
      </c>
      <c r="S372" s="10">
        <f>IFERROR(J372*MIN(1,'01_Нормативы'!$C$7/SUM(J$2:J$429)),0)</f>
        <v/>
      </c>
      <c r="T372" s="10">
        <f>IFERROR(K372*MIN(1,'01_Нормативы'!$C$8/SUM(K$2:K$429)),0)</f>
        <v/>
      </c>
      <c r="U372" s="10">
        <f>IFERROR(L372*MIN(1,'01_Нормативы'!$C$9/SUM(L$2:L$429)),0)</f>
        <v/>
      </c>
      <c r="V372" s="10">
        <f>IFERROR(M372*MIN(1,'01_Нормативы'!$C$10/SUM(M$2:M$429)),0)</f>
        <v/>
      </c>
      <c r="W372" s="10">
        <f>IFERROR(N372*MIN(1,'01_Нормативы'!$C$11/SUM(N$2:N$429)),0)</f>
        <v/>
      </c>
      <c r="X372" s="10">
        <f>SUM(P372:W372)</f>
        <v/>
      </c>
      <c r="Y372" s="10">
        <f>MAX(0,C372-X372)</f>
        <v/>
      </c>
      <c r="Z372" s="10">
        <f>IF(D372=0,100,X372/D372*100)</f>
        <v/>
      </c>
      <c r="AA372" s="10">
        <f>'02_Данные'!F372+'02_Данные'!G372</f>
        <v/>
      </c>
      <c r="AB372" s="10">
        <f>MIN('02_Данные'!L372,AA372)</f>
        <v/>
      </c>
      <c r="AC372" s="10">
        <f>AA372-AB372</f>
        <v/>
      </c>
      <c r="AD372" s="10">
        <f>MIN('02_Данные'!M372,AC372)</f>
        <v/>
      </c>
      <c r="AE372" s="10">
        <f>AC372-AD372</f>
        <v/>
      </c>
      <c r="AF372" s="10">
        <f>MIN('02_Данные'!N372,AE372)</f>
        <v/>
      </c>
      <c r="AG372" s="10">
        <f>AE372-AF372</f>
        <v/>
      </c>
      <c r="AH372" s="10">
        <f>MIN('02_Данные'!S372,AG372)</f>
        <v/>
      </c>
      <c r="AI372" s="10">
        <f>AG372-AH372</f>
        <v/>
      </c>
      <c r="AJ372" s="10">
        <f>MIN('02_Данные'!P372,AI372)</f>
        <v/>
      </c>
      <c r="AK372" s="10">
        <f>AI372-AJ372</f>
        <v/>
      </c>
      <c r="AL372" s="10">
        <f>MIN('02_Данные'!O372,AK372)</f>
        <v/>
      </c>
      <c r="AM372" s="10">
        <f>AK372-AL372</f>
        <v/>
      </c>
      <c r="AN372" s="10">
        <f>MIN('02_Данные'!Q372,AM372)</f>
        <v/>
      </c>
      <c r="AO372" s="10">
        <f>AM372-AN372</f>
        <v/>
      </c>
      <c r="AP372" s="10">
        <f>MIN('02_Данные'!R372,AO372)</f>
        <v/>
      </c>
      <c r="AQ372" s="10">
        <f>AO372-AP372</f>
        <v/>
      </c>
      <c r="AR372" s="10">
        <f>AQ372+'02_Данные'!H372</f>
        <v/>
      </c>
      <c r="AS372" s="10">
        <f>MIN('02_Данные'!T372,AR372)</f>
        <v/>
      </c>
      <c r="AT372" s="10">
        <f>AR372-AS372</f>
        <v/>
      </c>
      <c r="AU372" s="10">
        <f>MIN('02_Данные'!U372,AT372)</f>
        <v/>
      </c>
      <c r="AV372" s="10">
        <f>AT372-AU372</f>
        <v/>
      </c>
      <c r="AW372" s="10">
        <f>MIN('02_Данные'!V372,AV372)</f>
        <v/>
      </c>
      <c r="AX372" s="10">
        <f>AV372-AW372</f>
        <v/>
      </c>
      <c r="AY372" s="10">
        <f>MIN('02_Данные'!AA372,AX372)</f>
        <v/>
      </c>
      <c r="AZ372" s="10">
        <f>AX372-AY372</f>
        <v/>
      </c>
      <c r="BA372" s="10">
        <f>MIN('02_Данные'!X372,AZ372)</f>
        <v/>
      </c>
      <c r="BB372" s="10">
        <f>AZ372-BA372</f>
        <v/>
      </c>
      <c r="BC372" s="10">
        <f>MIN('02_Данные'!W372,BB372)</f>
        <v/>
      </c>
      <c r="BD372" s="10">
        <f>BB372-BC372</f>
        <v/>
      </c>
      <c r="BE372" s="10">
        <f>MIN('02_Данные'!Y372,BD372)</f>
        <v/>
      </c>
      <c r="BF372" s="10">
        <f>BD372-BE372</f>
        <v/>
      </c>
      <c r="BG372" s="10">
        <f>MIN('02_Данные'!Z372,BF372)</f>
        <v/>
      </c>
      <c r="BH372" s="10">
        <f>BF372-BG372</f>
        <v/>
      </c>
      <c r="BI372" s="10">
        <f>BH372+'02_Данные'!I372</f>
        <v/>
      </c>
      <c r="BJ372" s="10">
        <f>MIN('02_Данные'!AB372,BI372)</f>
        <v/>
      </c>
      <c r="BK372" s="10">
        <f>BI372-BJ372</f>
        <v/>
      </c>
      <c r="BL372" s="10">
        <f>MIN('02_Данные'!AC372,BK372)</f>
        <v/>
      </c>
      <c r="BM372" s="10">
        <f>BK372-BL372</f>
        <v/>
      </c>
      <c r="BN372" s="10">
        <f>MIN('02_Данные'!AD372,BM372)</f>
        <v/>
      </c>
      <c r="BO372" s="10">
        <f>BM372-BN372</f>
        <v/>
      </c>
      <c r="BP372" s="10">
        <f>MIN('02_Данные'!AI372,BO372)</f>
        <v/>
      </c>
      <c r="BQ372" s="10">
        <f>BO372-BP372</f>
        <v/>
      </c>
      <c r="BR372" s="10">
        <f>MIN('02_Данные'!AF372,BQ372)</f>
        <v/>
      </c>
      <c r="BS372" s="10">
        <f>BQ372-BR372</f>
        <v/>
      </c>
      <c r="BT372" s="10">
        <f>MIN('02_Данные'!AE372,BS372)</f>
        <v/>
      </c>
      <c r="BU372" s="10">
        <f>BS372-BT372</f>
        <v/>
      </c>
      <c r="BV372" s="10">
        <f>MIN('02_Данные'!AG372,BU372)</f>
        <v/>
      </c>
      <c r="BW372" s="10">
        <f>BU372-BV372</f>
        <v/>
      </c>
      <c r="BX372" s="10">
        <f>MIN('02_Данные'!AH372,BW372)</f>
        <v/>
      </c>
      <c r="BY372" s="10">
        <f>BW372-BX372</f>
        <v/>
      </c>
      <c r="BZ372" s="10">
        <f>BY372+'02_Данные'!J372</f>
        <v/>
      </c>
      <c r="CA372" s="10">
        <f>MIN('02_Данные'!AJ372,BZ372)</f>
        <v/>
      </c>
      <c r="CB372" s="10">
        <f>BZ372-CA372</f>
        <v/>
      </c>
      <c r="CC372" s="10">
        <f>MIN('02_Данные'!AK372,CB372)</f>
        <v/>
      </c>
      <c r="CD372" s="10">
        <f>CB372-CC372</f>
        <v/>
      </c>
      <c r="CE372" s="10">
        <f>MIN('02_Данные'!AL372,CD372)</f>
        <v/>
      </c>
      <c r="CF372" s="10">
        <f>CD372-CE372</f>
        <v/>
      </c>
      <c r="CG372" s="10">
        <f>MIN('02_Данные'!AQ372,CF372)</f>
        <v/>
      </c>
      <c r="CH372" s="10">
        <f>CF372-CG372</f>
        <v/>
      </c>
      <c r="CI372" s="10">
        <f>MIN('02_Данные'!AN372,CH372)</f>
        <v/>
      </c>
      <c r="CJ372" s="10">
        <f>CH372-CI372</f>
        <v/>
      </c>
      <c r="CK372" s="10">
        <f>MIN('02_Данные'!AM372,CJ372)</f>
        <v/>
      </c>
      <c r="CL372" s="10">
        <f>CJ372-CK372</f>
        <v/>
      </c>
      <c r="CM372" s="10">
        <f>MIN('02_Данные'!AO372,CL372)</f>
        <v/>
      </c>
      <c r="CN372" s="10">
        <f>CL372-CM372</f>
        <v/>
      </c>
      <c r="CO372" s="10">
        <f>MIN('02_Данные'!AP372,CN372)</f>
        <v/>
      </c>
      <c r="CP372" s="10">
        <f>CN372-CO372</f>
        <v/>
      </c>
      <c r="CQ372" s="10">
        <f>CP372+'02_Данные'!K372</f>
        <v/>
      </c>
      <c r="CR372" s="10">
        <f>MIN('02_Данные'!AR372,CQ372)</f>
        <v/>
      </c>
      <c r="CS372" s="10">
        <f>CQ372-CR372</f>
        <v/>
      </c>
      <c r="CT372" s="10">
        <f>MIN('02_Данные'!AS372,CS372)</f>
        <v/>
      </c>
      <c r="CU372" s="10">
        <f>CS372-CT372</f>
        <v/>
      </c>
      <c r="CV372" s="10">
        <f>MIN('02_Данные'!AT372,CU372)</f>
        <v/>
      </c>
      <c r="CW372" s="10">
        <f>CU372-CV372</f>
        <v/>
      </c>
      <c r="CX372" s="10">
        <f>MIN('02_Данные'!AY372,CW372)</f>
        <v/>
      </c>
      <c r="CY372" s="10">
        <f>CW372-CX372</f>
        <v/>
      </c>
      <c r="CZ372" s="10">
        <f>MIN('02_Данные'!AV372,CY372)</f>
        <v/>
      </c>
      <c r="DA372" s="10">
        <f>CY372-CZ372</f>
        <v/>
      </c>
      <c r="DB372" s="10">
        <f>MIN('02_Данные'!AU372,DA372)</f>
        <v/>
      </c>
      <c r="DC372" s="10">
        <f>DA372-DB372</f>
        <v/>
      </c>
      <c r="DD372" s="10">
        <f>MIN('02_Данные'!AW372,DC372)</f>
        <v/>
      </c>
      <c r="DE372" s="10">
        <f>DC372-DD372</f>
        <v/>
      </c>
      <c r="DF372" s="10">
        <f>MIN('02_Данные'!AX372,DE372)</f>
        <v/>
      </c>
      <c r="DG372" s="10">
        <f>DE372-DF372</f>
        <v/>
      </c>
    </row>
    <row r="373">
      <c r="A373" s="9">
        <f>'02_Данные'!B373</f>
        <v/>
      </c>
      <c r="B373" s="9">
        <f>'02_Данные'!E373</f>
        <v/>
      </c>
      <c r="C373" s="10">
        <f>'02_Данные'!F373+'02_Данные'!G373+'02_Данные'!H373+'02_Данные'!I373+'02_Данные'!J373+'02_Данные'!K373</f>
        <v/>
      </c>
      <c r="D373" s="10">
        <f>SUM('02_Данные'!L373:'02_Данные'!AY373)</f>
        <v/>
      </c>
      <c r="E373" s="10">
        <f>MAX(0,D373-C373)</f>
        <v/>
      </c>
      <c r="F373" s="15">
        <f>IF(E373&gt;0.0001,"ДЕФИЦИТ",IF(Y373&gt;0.0001,"ПРОФИЦИТ","БАЛАНС"))</f>
        <v/>
      </c>
      <c r="G373" s="10">
        <f>AB373+AS373+BJ373+CA373+CR373</f>
        <v/>
      </c>
      <c r="H373" s="10">
        <f>AD373+AU373+BL373+CC373+CT373</f>
        <v/>
      </c>
      <c r="I373" s="10">
        <f>AF373+AW373+BN373+CE373+CV373</f>
        <v/>
      </c>
      <c r="J373" s="10">
        <f>AL373+BC373+BT373+CK373+DB373</f>
        <v/>
      </c>
      <c r="K373" s="10">
        <f>AJ373+BA373+BR373+CI373+CZ373</f>
        <v/>
      </c>
      <c r="L373" s="10">
        <f>AN373+BE373+BV373+CM373+DD373</f>
        <v/>
      </c>
      <c r="M373" s="10">
        <f>AP373+BG373+BX373+CO373+DF373</f>
        <v/>
      </c>
      <c r="N373" s="10">
        <f>AH373+AY373+BP373+CG373+CX373</f>
        <v/>
      </c>
      <c r="O373" s="10">
        <f>SUM(G373:N373)</f>
        <v/>
      </c>
      <c r="P373" s="10">
        <f>IFERROR(G373*MIN(1,'01_Нормативы'!$C$4/SUM(G$2:G$429)),0)</f>
        <v/>
      </c>
      <c r="Q373" s="10">
        <f>IFERROR(H373*MIN(1,'01_Нормативы'!$C$5/SUM(H$2:H$429)),0)</f>
        <v/>
      </c>
      <c r="R373" s="10">
        <f>IFERROR(I373*MIN(1,'01_Нормативы'!$C$6/SUM(I$2:I$429)),0)</f>
        <v/>
      </c>
      <c r="S373" s="10">
        <f>IFERROR(J373*MIN(1,'01_Нормативы'!$C$7/SUM(J$2:J$429)),0)</f>
        <v/>
      </c>
      <c r="T373" s="10">
        <f>IFERROR(K373*MIN(1,'01_Нормативы'!$C$8/SUM(K$2:K$429)),0)</f>
        <v/>
      </c>
      <c r="U373" s="10">
        <f>IFERROR(L373*MIN(1,'01_Нормативы'!$C$9/SUM(L$2:L$429)),0)</f>
        <v/>
      </c>
      <c r="V373" s="10">
        <f>IFERROR(M373*MIN(1,'01_Нормативы'!$C$10/SUM(M$2:M$429)),0)</f>
        <v/>
      </c>
      <c r="W373" s="10">
        <f>IFERROR(N373*MIN(1,'01_Нормативы'!$C$11/SUM(N$2:N$429)),0)</f>
        <v/>
      </c>
      <c r="X373" s="10">
        <f>SUM(P373:W373)</f>
        <v/>
      </c>
      <c r="Y373" s="10">
        <f>MAX(0,C373-X373)</f>
        <v/>
      </c>
      <c r="Z373" s="10">
        <f>IF(D373=0,100,X373/D373*100)</f>
        <v/>
      </c>
      <c r="AA373" s="10">
        <f>'02_Данные'!F373+'02_Данные'!G373</f>
        <v/>
      </c>
      <c r="AB373" s="10">
        <f>MIN('02_Данные'!L373,AA373)</f>
        <v/>
      </c>
      <c r="AC373" s="10">
        <f>AA373-AB373</f>
        <v/>
      </c>
      <c r="AD373" s="10">
        <f>MIN('02_Данные'!M373,AC373)</f>
        <v/>
      </c>
      <c r="AE373" s="10">
        <f>AC373-AD373</f>
        <v/>
      </c>
      <c r="AF373" s="10">
        <f>MIN('02_Данные'!N373,AE373)</f>
        <v/>
      </c>
      <c r="AG373" s="10">
        <f>AE373-AF373</f>
        <v/>
      </c>
      <c r="AH373" s="10">
        <f>MIN('02_Данные'!S373,AG373)</f>
        <v/>
      </c>
      <c r="AI373" s="10">
        <f>AG373-AH373</f>
        <v/>
      </c>
      <c r="AJ373" s="10">
        <f>MIN('02_Данные'!P373,AI373)</f>
        <v/>
      </c>
      <c r="AK373" s="10">
        <f>AI373-AJ373</f>
        <v/>
      </c>
      <c r="AL373" s="10">
        <f>MIN('02_Данные'!O373,AK373)</f>
        <v/>
      </c>
      <c r="AM373" s="10">
        <f>AK373-AL373</f>
        <v/>
      </c>
      <c r="AN373" s="10">
        <f>MIN('02_Данные'!Q373,AM373)</f>
        <v/>
      </c>
      <c r="AO373" s="10">
        <f>AM373-AN373</f>
        <v/>
      </c>
      <c r="AP373" s="10">
        <f>MIN('02_Данные'!R373,AO373)</f>
        <v/>
      </c>
      <c r="AQ373" s="10">
        <f>AO373-AP373</f>
        <v/>
      </c>
      <c r="AR373" s="10">
        <f>AQ373+'02_Данные'!H373</f>
        <v/>
      </c>
      <c r="AS373" s="10">
        <f>MIN('02_Данные'!T373,AR373)</f>
        <v/>
      </c>
      <c r="AT373" s="10">
        <f>AR373-AS373</f>
        <v/>
      </c>
      <c r="AU373" s="10">
        <f>MIN('02_Данные'!U373,AT373)</f>
        <v/>
      </c>
      <c r="AV373" s="10">
        <f>AT373-AU373</f>
        <v/>
      </c>
      <c r="AW373" s="10">
        <f>MIN('02_Данные'!V373,AV373)</f>
        <v/>
      </c>
      <c r="AX373" s="10">
        <f>AV373-AW373</f>
        <v/>
      </c>
      <c r="AY373" s="10">
        <f>MIN('02_Данные'!AA373,AX373)</f>
        <v/>
      </c>
      <c r="AZ373" s="10">
        <f>AX373-AY373</f>
        <v/>
      </c>
      <c r="BA373" s="10">
        <f>MIN('02_Данные'!X373,AZ373)</f>
        <v/>
      </c>
      <c r="BB373" s="10">
        <f>AZ373-BA373</f>
        <v/>
      </c>
      <c r="BC373" s="10">
        <f>MIN('02_Данные'!W373,BB373)</f>
        <v/>
      </c>
      <c r="BD373" s="10">
        <f>BB373-BC373</f>
        <v/>
      </c>
      <c r="BE373" s="10">
        <f>MIN('02_Данные'!Y373,BD373)</f>
        <v/>
      </c>
      <c r="BF373" s="10">
        <f>BD373-BE373</f>
        <v/>
      </c>
      <c r="BG373" s="10">
        <f>MIN('02_Данные'!Z373,BF373)</f>
        <v/>
      </c>
      <c r="BH373" s="10">
        <f>BF373-BG373</f>
        <v/>
      </c>
      <c r="BI373" s="10">
        <f>BH373+'02_Данные'!I373</f>
        <v/>
      </c>
      <c r="BJ373" s="10">
        <f>MIN('02_Данные'!AB373,BI373)</f>
        <v/>
      </c>
      <c r="BK373" s="10">
        <f>BI373-BJ373</f>
        <v/>
      </c>
      <c r="BL373" s="10">
        <f>MIN('02_Данные'!AC373,BK373)</f>
        <v/>
      </c>
      <c r="BM373" s="10">
        <f>BK373-BL373</f>
        <v/>
      </c>
      <c r="BN373" s="10">
        <f>MIN('02_Данные'!AD373,BM373)</f>
        <v/>
      </c>
      <c r="BO373" s="10">
        <f>BM373-BN373</f>
        <v/>
      </c>
      <c r="BP373" s="10">
        <f>MIN('02_Данные'!AI373,BO373)</f>
        <v/>
      </c>
      <c r="BQ373" s="10">
        <f>BO373-BP373</f>
        <v/>
      </c>
      <c r="BR373" s="10">
        <f>MIN('02_Данные'!AF373,BQ373)</f>
        <v/>
      </c>
      <c r="BS373" s="10">
        <f>BQ373-BR373</f>
        <v/>
      </c>
      <c r="BT373" s="10">
        <f>MIN('02_Данные'!AE373,BS373)</f>
        <v/>
      </c>
      <c r="BU373" s="10">
        <f>BS373-BT373</f>
        <v/>
      </c>
      <c r="BV373" s="10">
        <f>MIN('02_Данные'!AG373,BU373)</f>
        <v/>
      </c>
      <c r="BW373" s="10">
        <f>BU373-BV373</f>
        <v/>
      </c>
      <c r="BX373" s="10">
        <f>MIN('02_Данные'!AH373,BW373)</f>
        <v/>
      </c>
      <c r="BY373" s="10">
        <f>BW373-BX373</f>
        <v/>
      </c>
      <c r="BZ373" s="10">
        <f>BY373+'02_Данные'!J373</f>
        <v/>
      </c>
      <c r="CA373" s="10">
        <f>MIN('02_Данные'!AJ373,BZ373)</f>
        <v/>
      </c>
      <c r="CB373" s="10">
        <f>BZ373-CA373</f>
        <v/>
      </c>
      <c r="CC373" s="10">
        <f>MIN('02_Данные'!AK373,CB373)</f>
        <v/>
      </c>
      <c r="CD373" s="10">
        <f>CB373-CC373</f>
        <v/>
      </c>
      <c r="CE373" s="10">
        <f>MIN('02_Данные'!AL373,CD373)</f>
        <v/>
      </c>
      <c r="CF373" s="10">
        <f>CD373-CE373</f>
        <v/>
      </c>
      <c r="CG373" s="10">
        <f>MIN('02_Данные'!AQ373,CF373)</f>
        <v/>
      </c>
      <c r="CH373" s="10">
        <f>CF373-CG373</f>
        <v/>
      </c>
      <c r="CI373" s="10">
        <f>MIN('02_Данные'!AN373,CH373)</f>
        <v/>
      </c>
      <c r="CJ373" s="10">
        <f>CH373-CI373</f>
        <v/>
      </c>
      <c r="CK373" s="10">
        <f>MIN('02_Данные'!AM373,CJ373)</f>
        <v/>
      </c>
      <c r="CL373" s="10">
        <f>CJ373-CK373</f>
        <v/>
      </c>
      <c r="CM373" s="10">
        <f>MIN('02_Данные'!AO373,CL373)</f>
        <v/>
      </c>
      <c r="CN373" s="10">
        <f>CL373-CM373</f>
        <v/>
      </c>
      <c r="CO373" s="10">
        <f>MIN('02_Данные'!AP373,CN373)</f>
        <v/>
      </c>
      <c r="CP373" s="10">
        <f>CN373-CO373</f>
        <v/>
      </c>
      <c r="CQ373" s="10">
        <f>CP373+'02_Данные'!K373</f>
        <v/>
      </c>
      <c r="CR373" s="10">
        <f>MIN('02_Данные'!AR373,CQ373)</f>
        <v/>
      </c>
      <c r="CS373" s="10">
        <f>CQ373-CR373</f>
        <v/>
      </c>
      <c r="CT373" s="10">
        <f>MIN('02_Данные'!AS373,CS373)</f>
        <v/>
      </c>
      <c r="CU373" s="10">
        <f>CS373-CT373</f>
        <v/>
      </c>
      <c r="CV373" s="10">
        <f>MIN('02_Данные'!AT373,CU373)</f>
        <v/>
      </c>
      <c r="CW373" s="10">
        <f>CU373-CV373</f>
        <v/>
      </c>
      <c r="CX373" s="10">
        <f>MIN('02_Данные'!AY373,CW373)</f>
        <v/>
      </c>
      <c r="CY373" s="10">
        <f>CW373-CX373</f>
        <v/>
      </c>
      <c r="CZ373" s="10">
        <f>MIN('02_Данные'!AV373,CY373)</f>
        <v/>
      </c>
      <c r="DA373" s="10">
        <f>CY373-CZ373</f>
        <v/>
      </c>
      <c r="DB373" s="10">
        <f>MIN('02_Данные'!AU373,DA373)</f>
        <v/>
      </c>
      <c r="DC373" s="10">
        <f>DA373-DB373</f>
        <v/>
      </c>
      <c r="DD373" s="10">
        <f>MIN('02_Данные'!AW373,DC373)</f>
        <v/>
      </c>
      <c r="DE373" s="10">
        <f>DC373-DD373</f>
        <v/>
      </c>
      <c r="DF373" s="10">
        <f>MIN('02_Данные'!AX373,DE373)</f>
        <v/>
      </c>
      <c r="DG373" s="10">
        <f>DE373-DF373</f>
        <v/>
      </c>
    </row>
    <row r="374">
      <c r="A374" s="9">
        <f>'02_Данные'!B374</f>
        <v/>
      </c>
      <c r="B374" s="9">
        <f>'02_Данные'!E374</f>
        <v/>
      </c>
      <c r="C374" s="10">
        <f>'02_Данные'!F374+'02_Данные'!G374+'02_Данные'!H374+'02_Данные'!I374+'02_Данные'!J374+'02_Данные'!K374</f>
        <v/>
      </c>
      <c r="D374" s="10">
        <f>SUM('02_Данные'!L374:'02_Данные'!AY374)</f>
        <v/>
      </c>
      <c r="E374" s="10">
        <f>MAX(0,D374-C374)</f>
        <v/>
      </c>
      <c r="F374" s="15">
        <f>IF(E374&gt;0.0001,"ДЕФИЦИТ",IF(Y374&gt;0.0001,"ПРОФИЦИТ","БАЛАНС"))</f>
        <v/>
      </c>
      <c r="G374" s="10">
        <f>AB374+AS374+BJ374+CA374+CR374</f>
        <v/>
      </c>
      <c r="H374" s="10">
        <f>AD374+AU374+BL374+CC374+CT374</f>
        <v/>
      </c>
      <c r="I374" s="10">
        <f>AF374+AW374+BN374+CE374+CV374</f>
        <v/>
      </c>
      <c r="J374" s="10">
        <f>AL374+BC374+BT374+CK374+DB374</f>
        <v/>
      </c>
      <c r="K374" s="10">
        <f>AJ374+BA374+BR374+CI374+CZ374</f>
        <v/>
      </c>
      <c r="L374" s="10">
        <f>AN374+BE374+BV374+CM374+DD374</f>
        <v/>
      </c>
      <c r="M374" s="10">
        <f>AP374+BG374+BX374+CO374+DF374</f>
        <v/>
      </c>
      <c r="N374" s="10">
        <f>AH374+AY374+BP374+CG374+CX374</f>
        <v/>
      </c>
      <c r="O374" s="10">
        <f>SUM(G374:N374)</f>
        <v/>
      </c>
      <c r="P374" s="10">
        <f>IFERROR(G374*MIN(1,'01_Нормативы'!$C$4/SUM(G$2:G$429)),0)</f>
        <v/>
      </c>
      <c r="Q374" s="10">
        <f>IFERROR(H374*MIN(1,'01_Нормативы'!$C$5/SUM(H$2:H$429)),0)</f>
        <v/>
      </c>
      <c r="R374" s="10">
        <f>IFERROR(I374*MIN(1,'01_Нормативы'!$C$6/SUM(I$2:I$429)),0)</f>
        <v/>
      </c>
      <c r="S374" s="10">
        <f>IFERROR(J374*MIN(1,'01_Нормативы'!$C$7/SUM(J$2:J$429)),0)</f>
        <v/>
      </c>
      <c r="T374" s="10">
        <f>IFERROR(K374*MIN(1,'01_Нормативы'!$C$8/SUM(K$2:K$429)),0)</f>
        <v/>
      </c>
      <c r="U374" s="10">
        <f>IFERROR(L374*MIN(1,'01_Нормативы'!$C$9/SUM(L$2:L$429)),0)</f>
        <v/>
      </c>
      <c r="V374" s="10">
        <f>IFERROR(M374*MIN(1,'01_Нормативы'!$C$10/SUM(M$2:M$429)),0)</f>
        <v/>
      </c>
      <c r="W374" s="10">
        <f>IFERROR(N374*MIN(1,'01_Нормативы'!$C$11/SUM(N$2:N$429)),0)</f>
        <v/>
      </c>
      <c r="X374" s="10">
        <f>SUM(P374:W374)</f>
        <v/>
      </c>
      <c r="Y374" s="10">
        <f>MAX(0,C374-X374)</f>
        <v/>
      </c>
      <c r="Z374" s="10">
        <f>IF(D374=0,100,X374/D374*100)</f>
        <v/>
      </c>
      <c r="AA374" s="10">
        <f>'02_Данные'!F374+'02_Данные'!G374</f>
        <v/>
      </c>
      <c r="AB374" s="10">
        <f>MIN('02_Данные'!L374,AA374)</f>
        <v/>
      </c>
      <c r="AC374" s="10">
        <f>AA374-AB374</f>
        <v/>
      </c>
      <c r="AD374" s="10">
        <f>MIN('02_Данные'!M374,AC374)</f>
        <v/>
      </c>
      <c r="AE374" s="10">
        <f>AC374-AD374</f>
        <v/>
      </c>
      <c r="AF374" s="10">
        <f>MIN('02_Данные'!N374,AE374)</f>
        <v/>
      </c>
      <c r="AG374" s="10">
        <f>AE374-AF374</f>
        <v/>
      </c>
      <c r="AH374" s="10">
        <f>MIN('02_Данные'!S374,AG374)</f>
        <v/>
      </c>
      <c r="AI374" s="10">
        <f>AG374-AH374</f>
        <v/>
      </c>
      <c r="AJ374" s="10">
        <f>MIN('02_Данные'!P374,AI374)</f>
        <v/>
      </c>
      <c r="AK374" s="10">
        <f>AI374-AJ374</f>
        <v/>
      </c>
      <c r="AL374" s="10">
        <f>MIN('02_Данные'!O374,AK374)</f>
        <v/>
      </c>
      <c r="AM374" s="10">
        <f>AK374-AL374</f>
        <v/>
      </c>
      <c r="AN374" s="10">
        <f>MIN('02_Данные'!Q374,AM374)</f>
        <v/>
      </c>
      <c r="AO374" s="10">
        <f>AM374-AN374</f>
        <v/>
      </c>
      <c r="AP374" s="10">
        <f>MIN('02_Данные'!R374,AO374)</f>
        <v/>
      </c>
      <c r="AQ374" s="10">
        <f>AO374-AP374</f>
        <v/>
      </c>
      <c r="AR374" s="10">
        <f>AQ374+'02_Данные'!H374</f>
        <v/>
      </c>
      <c r="AS374" s="10">
        <f>MIN('02_Данные'!T374,AR374)</f>
        <v/>
      </c>
      <c r="AT374" s="10">
        <f>AR374-AS374</f>
        <v/>
      </c>
      <c r="AU374" s="10">
        <f>MIN('02_Данные'!U374,AT374)</f>
        <v/>
      </c>
      <c r="AV374" s="10">
        <f>AT374-AU374</f>
        <v/>
      </c>
      <c r="AW374" s="10">
        <f>MIN('02_Данные'!V374,AV374)</f>
        <v/>
      </c>
      <c r="AX374" s="10">
        <f>AV374-AW374</f>
        <v/>
      </c>
      <c r="AY374" s="10">
        <f>MIN('02_Данные'!AA374,AX374)</f>
        <v/>
      </c>
      <c r="AZ374" s="10">
        <f>AX374-AY374</f>
        <v/>
      </c>
      <c r="BA374" s="10">
        <f>MIN('02_Данные'!X374,AZ374)</f>
        <v/>
      </c>
      <c r="BB374" s="10">
        <f>AZ374-BA374</f>
        <v/>
      </c>
      <c r="BC374" s="10">
        <f>MIN('02_Данные'!W374,BB374)</f>
        <v/>
      </c>
      <c r="BD374" s="10">
        <f>BB374-BC374</f>
        <v/>
      </c>
      <c r="BE374" s="10">
        <f>MIN('02_Данные'!Y374,BD374)</f>
        <v/>
      </c>
      <c r="BF374" s="10">
        <f>BD374-BE374</f>
        <v/>
      </c>
      <c r="BG374" s="10">
        <f>MIN('02_Данные'!Z374,BF374)</f>
        <v/>
      </c>
      <c r="BH374" s="10">
        <f>BF374-BG374</f>
        <v/>
      </c>
      <c r="BI374" s="10">
        <f>BH374+'02_Данные'!I374</f>
        <v/>
      </c>
      <c r="BJ374" s="10">
        <f>MIN('02_Данные'!AB374,BI374)</f>
        <v/>
      </c>
      <c r="BK374" s="10">
        <f>BI374-BJ374</f>
        <v/>
      </c>
      <c r="BL374" s="10">
        <f>MIN('02_Данные'!AC374,BK374)</f>
        <v/>
      </c>
      <c r="BM374" s="10">
        <f>BK374-BL374</f>
        <v/>
      </c>
      <c r="BN374" s="10">
        <f>MIN('02_Данные'!AD374,BM374)</f>
        <v/>
      </c>
      <c r="BO374" s="10">
        <f>BM374-BN374</f>
        <v/>
      </c>
      <c r="BP374" s="10">
        <f>MIN('02_Данные'!AI374,BO374)</f>
        <v/>
      </c>
      <c r="BQ374" s="10">
        <f>BO374-BP374</f>
        <v/>
      </c>
      <c r="BR374" s="10">
        <f>MIN('02_Данные'!AF374,BQ374)</f>
        <v/>
      </c>
      <c r="BS374" s="10">
        <f>BQ374-BR374</f>
        <v/>
      </c>
      <c r="BT374" s="10">
        <f>MIN('02_Данные'!AE374,BS374)</f>
        <v/>
      </c>
      <c r="BU374" s="10">
        <f>BS374-BT374</f>
        <v/>
      </c>
      <c r="BV374" s="10">
        <f>MIN('02_Данные'!AG374,BU374)</f>
        <v/>
      </c>
      <c r="BW374" s="10">
        <f>BU374-BV374</f>
        <v/>
      </c>
      <c r="BX374" s="10">
        <f>MIN('02_Данные'!AH374,BW374)</f>
        <v/>
      </c>
      <c r="BY374" s="10">
        <f>BW374-BX374</f>
        <v/>
      </c>
      <c r="BZ374" s="10">
        <f>BY374+'02_Данные'!J374</f>
        <v/>
      </c>
      <c r="CA374" s="10">
        <f>MIN('02_Данные'!AJ374,BZ374)</f>
        <v/>
      </c>
      <c r="CB374" s="10">
        <f>BZ374-CA374</f>
        <v/>
      </c>
      <c r="CC374" s="10">
        <f>MIN('02_Данные'!AK374,CB374)</f>
        <v/>
      </c>
      <c r="CD374" s="10">
        <f>CB374-CC374</f>
        <v/>
      </c>
      <c r="CE374" s="10">
        <f>MIN('02_Данные'!AL374,CD374)</f>
        <v/>
      </c>
      <c r="CF374" s="10">
        <f>CD374-CE374</f>
        <v/>
      </c>
      <c r="CG374" s="10">
        <f>MIN('02_Данные'!AQ374,CF374)</f>
        <v/>
      </c>
      <c r="CH374" s="10">
        <f>CF374-CG374</f>
        <v/>
      </c>
      <c r="CI374" s="10">
        <f>MIN('02_Данные'!AN374,CH374)</f>
        <v/>
      </c>
      <c r="CJ374" s="10">
        <f>CH374-CI374</f>
        <v/>
      </c>
      <c r="CK374" s="10">
        <f>MIN('02_Данные'!AM374,CJ374)</f>
        <v/>
      </c>
      <c r="CL374" s="10">
        <f>CJ374-CK374</f>
        <v/>
      </c>
      <c r="CM374" s="10">
        <f>MIN('02_Данные'!AO374,CL374)</f>
        <v/>
      </c>
      <c r="CN374" s="10">
        <f>CL374-CM374</f>
        <v/>
      </c>
      <c r="CO374" s="10">
        <f>MIN('02_Данные'!AP374,CN374)</f>
        <v/>
      </c>
      <c r="CP374" s="10">
        <f>CN374-CO374</f>
        <v/>
      </c>
      <c r="CQ374" s="10">
        <f>CP374+'02_Данные'!K374</f>
        <v/>
      </c>
      <c r="CR374" s="10">
        <f>MIN('02_Данные'!AR374,CQ374)</f>
        <v/>
      </c>
      <c r="CS374" s="10">
        <f>CQ374-CR374</f>
        <v/>
      </c>
      <c r="CT374" s="10">
        <f>MIN('02_Данные'!AS374,CS374)</f>
        <v/>
      </c>
      <c r="CU374" s="10">
        <f>CS374-CT374</f>
        <v/>
      </c>
      <c r="CV374" s="10">
        <f>MIN('02_Данные'!AT374,CU374)</f>
        <v/>
      </c>
      <c r="CW374" s="10">
        <f>CU374-CV374</f>
        <v/>
      </c>
      <c r="CX374" s="10">
        <f>MIN('02_Данные'!AY374,CW374)</f>
        <v/>
      </c>
      <c r="CY374" s="10">
        <f>CW374-CX374</f>
        <v/>
      </c>
      <c r="CZ374" s="10">
        <f>MIN('02_Данные'!AV374,CY374)</f>
        <v/>
      </c>
      <c r="DA374" s="10">
        <f>CY374-CZ374</f>
        <v/>
      </c>
      <c r="DB374" s="10">
        <f>MIN('02_Данные'!AU374,DA374)</f>
        <v/>
      </c>
      <c r="DC374" s="10">
        <f>DA374-DB374</f>
        <v/>
      </c>
      <c r="DD374" s="10">
        <f>MIN('02_Данные'!AW374,DC374)</f>
        <v/>
      </c>
      <c r="DE374" s="10">
        <f>DC374-DD374</f>
        <v/>
      </c>
      <c r="DF374" s="10">
        <f>MIN('02_Данные'!AX374,DE374)</f>
        <v/>
      </c>
      <c r="DG374" s="10">
        <f>DE374-DF374</f>
        <v/>
      </c>
    </row>
    <row r="375">
      <c r="A375" s="9">
        <f>'02_Данные'!B375</f>
        <v/>
      </c>
      <c r="B375" s="9">
        <f>'02_Данные'!E375</f>
        <v/>
      </c>
      <c r="C375" s="10">
        <f>'02_Данные'!F375+'02_Данные'!G375+'02_Данные'!H375+'02_Данные'!I375+'02_Данные'!J375+'02_Данные'!K375</f>
        <v/>
      </c>
      <c r="D375" s="10">
        <f>SUM('02_Данные'!L375:'02_Данные'!AY375)</f>
        <v/>
      </c>
      <c r="E375" s="10">
        <f>MAX(0,D375-C375)</f>
        <v/>
      </c>
      <c r="F375" s="15">
        <f>IF(E375&gt;0.0001,"ДЕФИЦИТ",IF(Y375&gt;0.0001,"ПРОФИЦИТ","БАЛАНС"))</f>
        <v/>
      </c>
      <c r="G375" s="10">
        <f>AB375+AS375+BJ375+CA375+CR375</f>
        <v/>
      </c>
      <c r="H375" s="10">
        <f>AD375+AU375+BL375+CC375+CT375</f>
        <v/>
      </c>
      <c r="I375" s="10">
        <f>AF375+AW375+BN375+CE375+CV375</f>
        <v/>
      </c>
      <c r="J375" s="10">
        <f>AL375+BC375+BT375+CK375+DB375</f>
        <v/>
      </c>
      <c r="K375" s="10">
        <f>AJ375+BA375+BR375+CI375+CZ375</f>
        <v/>
      </c>
      <c r="L375" s="10">
        <f>AN375+BE375+BV375+CM375+DD375</f>
        <v/>
      </c>
      <c r="M375" s="10">
        <f>AP375+BG375+BX375+CO375+DF375</f>
        <v/>
      </c>
      <c r="N375" s="10">
        <f>AH375+AY375+BP375+CG375+CX375</f>
        <v/>
      </c>
      <c r="O375" s="10">
        <f>SUM(G375:N375)</f>
        <v/>
      </c>
      <c r="P375" s="10">
        <f>IFERROR(G375*MIN(1,'01_Нормативы'!$C$4/SUM(G$2:G$429)),0)</f>
        <v/>
      </c>
      <c r="Q375" s="10">
        <f>IFERROR(H375*MIN(1,'01_Нормативы'!$C$5/SUM(H$2:H$429)),0)</f>
        <v/>
      </c>
      <c r="R375" s="10">
        <f>IFERROR(I375*MIN(1,'01_Нормативы'!$C$6/SUM(I$2:I$429)),0)</f>
        <v/>
      </c>
      <c r="S375" s="10">
        <f>IFERROR(J375*MIN(1,'01_Нормативы'!$C$7/SUM(J$2:J$429)),0)</f>
        <v/>
      </c>
      <c r="T375" s="10">
        <f>IFERROR(K375*MIN(1,'01_Нормативы'!$C$8/SUM(K$2:K$429)),0)</f>
        <v/>
      </c>
      <c r="U375" s="10">
        <f>IFERROR(L375*MIN(1,'01_Нормативы'!$C$9/SUM(L$2:L$429)),0)</f>
        <v/>
      </c>
      <c r="V375" s="10">
        <f>IFERROR(M375*MIN(1,'01_Нормативы'!$C$10/SUM(M$2:M$429)),0)</f>
        <v/>
      </c>
      <c r="W375" s="10">
        <f>IFERROR(N375*MIN(1,'01_Нормативы'!$C$11/SUM(N$2:N$429)),0)</f>
        <v/>
      </c>
      <c r="X375" s="10">
        <f>SUM(P375:W375)</f>
        <v/>
      </c>
      <c r="Y375" s="10">
        <f>MAX(0,C375-X375)</f>
        <v/>
      </c>
      <c r="Z375" s="10">
        <f>IF(D375=0,100,X375/D375*100)</f>
        <v/>
      </c>
      <c r="AA375" s="10">
        <f>'02_Данные'!F375+'02_Данные'!G375</f>
        <v/>
      </c>
      <c r="AB375" s="10">
        <f>MIN('02_Данные'!L375,AA375)</f>
        <v/>
      </c>
      <c r="AC375" s="10">
        <f>AA375-AB375</f>
        <v/>
      </c>
      <c r="AD375" s="10">
        <f>MIN('02_Данные'!M375,AC375)</f>
        <v/>
      </c>
      <c r="AE375" s="10">
        <f>AC375-AD375</f>
        <v/>
      </c>
      <c r="AF375" s="10">
        <f>MIN('02_Данные'!N375,AE375)</f>
        <v/>
      </c>
      <c r="AG375" s="10">
        <f>AE375-AF375</f>
        <v/>
      </c>
      <c r="AH375" s="10">
        <f>MIN('02_Данные'!S375,AG375)</f>
        <v/>
      </c>
      <c r="AI375" s="10">
        <f>AG375-AH375</f>
        <v/>
      </c>
      <c r="AJ375" s="10">
        <f>MIN('02_Данные'!P375,AI375)</f>
        <v/>
      </c>
      <c r="AK375" s="10">
        <f>AI375-AJ375</f>
        <v/>
      </c>
      <c r="AL375" s="10">
        <f>MIN('02_Данные'!O375,AK375)</f>
        <v/>
      </c>
      <c r="AM375" s="10">
        <f>AK375-AL375</f>
        <v/>
      </c>
      <c r="AN375" s="10">
        <f>MIN('02_Данные'!Q375,AM375)</f>
        <v/>
      </c>
      <c r="AO375" s="10">
        <f>AM375-AN375</f>
        <v/>
      </c>
      <c r="AP375" s="10">
        <f>MIN('02_Данные'!R375,AO375)</f>
        <v/>
      </c>
      <c r="AQ375" s="10">
        <f>AO375-AP375</f>
        <v/>
      </c>
      <c r="AR375" s="10">
        <f>AQ375+'02_Данные'!H375</f>
        <v/>
      </c>
      <c r="AS375" s="10">
        <f>MIN('02_Данные'!T375,AR375)</f>
        <v/>
      </c>
      <c r="AT375" s="10">
        <f>AR375-AS375</f>
        <v/>
      </c>
      <c r="AU375" s="10">
        <f>MIN('02_Данные'!U375,AT375)</f>
        <v/>
      </c>
      <c r="AV375" s="10">
        <f>AT375-AU375</f>
        <v/>
      </c>
      <c r="AW375" s="10">
        <f>MIN('02_Данные'!V375,AV375)</f>
        <v/>
      </c>
      <c r="AX375" s="10">
        <f>AV375-AW375</f>
        <v/>
      </c>
      <c r="AY375" s="10">
        <f>MIN('02_Данные'!AA375,AX375)</f>
        <v/>
      </c>
      <c r="AZ375" s="10">
        <f>AX375-AY375</f>
        <v/>
      </c>
      <c r="BA375" s="10">
        <f>MIN('02_Данные'!X375,AZ375)</f>
        <v/>
      </c>
      <c r="BB375" s="10">
        <f>AZ375-BA375</f>
        <v/>
      </c>
      <c r="BC375" s="10">
        <f>MIN('02_Данные'!W375,BB375)</f>
        <v/>
      </c>
      <c r="BD375" s="10">
        <f>BB375-BC375</f>
        <v/>
      </c>
      <c r="BE375" s="10">
        <f>MIN('02_Данные'!Y375,BD375)</f>
        <v/>
      </c>
      <c r="BF375" s="10">
        <f>BD375-BE375</f>
        <v/>
      </c>
      <c r="BG375" s="10">
        <f>MIN('02_Данные'!Z375,BF375)</f>
        <v/>
      </c>
      <c r="BH375" s="10">
        <f>BF375-BG375</f>
        <v/>
      </c>
      <c r="BI375" s="10">
        <f>BH375+'02_Данные'!I375</f>
        <v/>
      </c>
      <c r="BJ375" s="10">
        <f>MIN('02_Данные'!AB375,BI375)</f>
        <v/>
      </c>
      <c r="BK375" s="10">
        <f>BI375-BJ375</f>
        <v/>
      </c>
      <c r="BL375" s="10">
        <f>MIN('02_Данные'!AC375,BK375)</f>
        <v/>
      </c>
      <c r="BM375" s="10">
        <f>BK375-BL375</f>
        <v/>
      </c>
      <c r="BN375" s="10">
        <f>MIN('02_Данные'!AD375,BM375)</f>
        <v/>
      </c>
      <c r="BO375" s="10">
        <f>BM375-BN375</f>
        <v/>
      </c>
      <c r="BP375" s="10">
        <f>MIN('02_Данные'!AI375,BO375)</f>
        <v/>
      </c>
      <c r="BQ375" s="10">
        <f>BO375-BP375</f>
        <v/>
      </c>
      <c r="BR375" s="10">
        <f>MIN('02_Данные'!AF375,BQ375)</f>
        <v/>
      </c>
      <c r="BS375" s="10">
        <f>BQ375-BR375</f>
        <v/>
      </c>
      <c r="BT375" s="10">
        <f>MIN('02_Данные'!AE375,BS375)</f>
        <v/>
      </c>
      <c r="BU375" s="10">
        <f>BS375-BT375</f>
        <v/>
      </c>
      <c r="BV375" s="10">
        <f>MIN('02_Данные'!AG375,BU375)</f>
        <v/>
      </c>
      <c r="BW375" s="10">
        <f>BU375-BV375</f>
        <v/>
      </c>
      <c r="BX375" s="10">
        <f>MIN('02_Данные'!AH375,BW375)</f>
        <v/>
      </c>
      <c r="BY375" s="10">
        <f>BW375-BX375</f>
        <v/>
      </c>
      <c r="BZ375" s="10">
        <f>BY375+'02_Данные'!J375</f>
        <v/>
      </c>
      <c r="CA375" s="10">
        <f>MIN('02_Данные'!AJ375,BZ375)</f>
        <v/>
      </c>
      <c r="CB375" s="10">
        <f>BZ375-CA375</f>
        <v/>
      </c>
      <c r="CC375" s="10">
        <f>MIN('02_Данные'!AK375,CB375)</f>
        <v/>
      </c>
      <c r="CD375" s="10">
        <f>CB375-CC375</f>
        <v/>
      </c>
      <c r="CE375" s="10">
        <f>MIN('02_Данные'!AL375,CD375)</f>
        <v/>
      </c>
      <c r="CF375" s="10">
        <f>CD375-CE375</f>
        <v/>
      </c>
      <c r="CG375" s="10">
        <f>MIN('02_Данные'!AQ375,CF375)</f>
        <v/>
      </c>
      <c r="CH375" s="10">
        <f>CF375-CG375</f>
        <v/>
      </c>
      <c r="CI375" s="10">
        <f>MIN('02_Данные'!AN375,CH375)</f>
        <v/>
      </c>
      <c r="CJ375" s="10">
        <f>CH375-CI375</f>
        <v/>
      </c>
      <c r="CK375" s="10">
        <f>MIN('02_Данные'!AM375,CJ375)</f>
        <v/>
      </c>
      <c r="CL375" s="10">
        <f>CJ375-CK375</f>
        <v/>
      </c>
      <c r="CM375" s="10">
        <f>MIN('02_Данные'!AO375,CL375)</f>
        <v/>
      </c>
      <c r="CN375" s="10">
        <f>CL375-CM375</f>
        <v/>
      </c>
      <c r="CO375" s="10">
        <f>MIN('02_Данные'!AP375,CN375)</f>
        <v/>
      </c>
      <c r="CP375" s="10">
        <f>CN375-CO375</f>
        <v/>
      </c>
      <c r="CQ375" s="10">
        <f>CP375+'02_Данные'!K375</f>
        <v/>
      </c>
      <c r="CR375" s="10">
        <f>MIN('02_Данные'!AR375,CQ375)</f>
        <v/>
      </c>
      <c r="CS375" s="10">
        <f>CQ375-CR375</f>
        <v/>
      </c>
      <c r="CT375" s="10">
        <f>MIN('02_Данные'!AS375,CS375)</f>
        <v/>
      </c>
      <c r="CU375" s="10">
        <f>CS375-CT375</f>
        <v/>
      </c>
      <c r="CV375" s="10">
        <f>MIN('02_Данные'!AT375,CU375)</f>
        <v/>
      </c>
      <c r="CW375" s="10">
        <f>CU375-CV375</f>
        <v/>
      </c>
      <c r="CX375" s="10">
        <f>MIN('02_Данные'!AY375,CW375)</f>
        <v/>
      </c>
      <c r="CY375" s="10">
        <f>CW375-CX375</f>
        <v/>
      </c>
      <c r="CZ375" s="10">
        <f>MIN('02_Данные'!AV375,CY375)</f>
        <v/>
      </c>
      <c r="DA375" s="10">
        <f>CY375-CZ375</f>
        <v/>
      </c>
      <c r="DB375" s="10">
        <f>MIN('02_Данные'!AU375,DA375)</f>
        <v/>
      </c>
      <c r="DC375" s="10">
        <f>DA375-DB375</f>
        <v/>
      </c>
      <c r="DD375" s="10">
        <f>MIN('02_Данные'!AW375,DC375)</f>
        <v/>
      </c>
      <c r="DE375" s="10">
        <f>DC375-DD375</f>
        <v/>
      </c>
      <c r="DF375" s="10">
        <f>MIN('02_Данные'!AX375,DE375)</f>
        <v/>
      </c>
      <c r="DG375" s="10">
        <f>DE375-DF375</f>
        <v/>
      </c>
    </row>
    <row r="376">
      <c r="A376" s="9">
        <f>'02_Данные'!B376</f>
        <v/>
      </c>
      <c r="B376" s="9">
        <f>'02_Данные'!E376</f>
        <v/>
      </c>
      <c r="C376" s="10">
        <f>'02_Данные'!F376+'02_Данные'!G376+'02_Данные'!H376+'02_Данные'!I376+'02_Данные'!J376+'02_Данные'!K376</f>
        <v/>
      </c>
      <c r="D376" s="10">
        <f>SUM('02_Данные'!L376:'02_Данные'!AY376)</f>
        <v/>
      </c>
      <c r="E376" s="10">
        <f>MAX(0,D376-C376)</f>
        <v/>
      </c>
      <c r="F376" s="15">
        <f>IF(E376&gt;0.0001,"ДЕФИЦИТ",IF(Y376&gt;0.0001,"ПРОФИЦИТ","БАЛАНС"))</f>
        <v/>
      </c>
      <c r="G376" s="10">
        <f>AB376+AS376+BJ376+CA376+CR376</f>
        <v/>
      </c>
      <c r="H376" s="10">
        <f>AD376+AU376+BL376+CC376+CT376</f>
        <v/>
      </c>
      <c r="I376" s="10">
        <f>AF376+AW376+BN376+CE376+CV376</f>
        <v/>
      </c>
      <c r="J376" s="10">
        <f>AL376+BC376+BT376+CK376+DB376</f>
        <v/>
      </c>
      <c r="K376" s="10">
        <f>AJ376+BA376+BR376+CI376+CZ376</f>
        <v/>
      </c>
      <c r="L376" s="10">
        <f>AN376+BE376+BV376+CM376+DD376</f>
        <v/>
      </c>
      <c r="M376" s="10">
        <f>AP376+BG376+BX376+CO376+DF376</f>
        <v/>
      </c>
      <c r="N376" s="10">
        <f>AH376+AY376+BP376+CG376+CX376</f>
        <v/>
      </c>
      <c r="O376" s="10">
        <f>SUM(G376:N376)</f>
        <v/>
      </c>
      <c r="P376" s="10">
        <f>IFERROR(G376*MIN(1,'01_Нормативы'!$C$4/SUM(G$2:G$429)),0)</f>
        <v/>
      </c>
      <c r="Q376" s="10">
        <f>IFERROR(H376*MIN(1,'01_Нормативы'!$C$5/SUM(H$2:H$429)),0)</f>
        <v/>
      </c>
      <c r="R376" s="10">
        <f>IFERROR(I376*MIN(1,'01_Нормативы'!$C$6/SUM(I$2:I$429)),0)</f>
        <v/>
      </c>
      <c r="S376" s="10">
        <f>IFERROR(J376*MIN(1,'01_Нормативы'!$C$7/SUM(J$2:J$429)),0)</f>
        <v/>
      </c>
      <c r="T376" s="10">
        <f>IFERROR(K376*MIN(1,'01_Нормативы'!$C$8/SUM(K$2:K$429)),0)</f>
        <v/>
      </c>
      <c r="U376" s="10">
        <f>IFERROR(L376*MIN(1,'01_Нормативы'!$C$9/SUM(L$2:L$429)),0)</f>
        <v/>
      </c>
      <c r="V376" s="10">
        <f>IFERROR(M376*MIN(1,'01_Нормативы'!$C$10/SUM(M$2:M$429)),0)</f>
        <v/>
      </c>
      <c r="W376" s="10">
        <f>IFERROR(N376*MIN(1,'01_Нормативы'!$C$11/SUM(N$2:N$429)),0)</f>
        <v/>
      </c>
      <c r="X376" s="10">
        <f>SUM(P376:W376)</f>
        <v/>
      </c>
      <c r="Y376" s="10">
        <f>MAX(0,C376-X376)</f>
        <v/>
      </c>
      <c r="Z376" s="10">
        <f>IF(D376=0,100,X376/D376*100)</f>
        <v/>
      </c>
      <c r="AA376" s="10">
        <f>'02_Данные'!F376+'02_Данные'!G376</f>
        <v/>
      </c>
      <c r="AB376" s="10">
        <f>MIN('02_Данные'!L376,AA376)</f>
        <v/>
      </c>
      <c r="AC376" s="10">
        <f>AA376-AB376</f>
        <v/>
      </c>
      <c r="AD376" s="10">
        <f>MIN('02_Данные'!M376,AC376)</f>
        <v/>
      </c>
      <c r="AE376" s="10">
        <f>AC376-AD376</f>
        <v/>
      </c>
      <c r="AF376" s="10">
        <f>MIN('02_Данные'!N376,AE376)</f>
        <v/>
      </c>
      <c r="AG376" s="10">
        <f>AE376-AF376</f>
        <v/>
      </c>
      <c r="AH376" s="10">
        <f>MIN('02_Данные'!S376,AG376)</f>
        <v/>
      </c>
      <c r="AI376" s="10">
        <f>AG376-AH376</f>
        <v/>
      </c>
      <c r="AJ376" s="10">
        <f>MIN('02_Данные'!P376,AI376)</f>
        <v/>
      </c>
      <c r="AK376" s="10">
        <f>AI376-AJ376</f>
        <v/>
      </c>
      <c r="AL376" s="10">
        <f>MIN('02_Данные'!O376,AK376)</f>
        <v/>
      </c>
      <c r="AM376" s="10">
        <f>AK376-AL376</f>
        <v/>
      </c>
      <c r="AN376" s="10">
        <f>MIN('02_Данные'!Q376,AM376)</f>
        <v/>
      </c>
      <c r="AO376" s="10">
        <f>AM376-AN376</f>
        <v/>
      </c>
      <c r="AP376" s="10">
        <f>MIN('02_Данные'!R376,AO376)</f>
        <v/>
      </c>
      <c r="AQ376" s="10">
        <f>AO376-AP376</f>
        <v/>
      </c>
      <c r="AR376" s="10">
        <f>AQ376+'02_Данные'!H376</f>
        <v/>
      </c>
      <c r="AS376" s="10">
        <f>MIN('02_Данные'!T376,AR376)</f>
        <v/>
      </c>
      <c r="AT376" s="10">
        <f>AR376-AS376</f>
        <v/>
      </c>
      <c r="AU376" s="10">
        <f>MIN('02_Данные'!U376,AT376)</f>
        <v/>
      </c>
      <c r="AV376" s="10">
        <f>AT376-AU376</f>
        <v/>
      </c>
      <c r="AW376" s="10">
        <f>MIN('02_Данные'!V376,AV376)</f>
        <v/>
      </c>
      <c r="AX376" s="10">
        <f>AV376-AW376</f>
        <v/>
      </c>
      <c r="AY376" s="10">
        <f>MIN('02_Данные'!AA376,AX376)</f>
        <v/>
      </c>
      <c r="AZ376" s="10">
        <f>AX376-AY376</f>
        <v/>
      </c>
      <c r="BA376" s="10">
        <f>MIN('02_Данные'!X376,AZ376)</f>
        <v/>
      </c>
      <c r="BB376" s="10">
        <f>AZ376-BA376</f>
        <v/>
      </c>
      <c r="BC376" s="10">
        <f>MIN('02_Данные'!W376,BB376)</f>
        <v/>
      </c>
      <c r="BD376" s="10">
        <f>BB376-BC376</f>
        <v/>
      </c>
      <c r="BE376" s="10">
        <f>MIN('02_Данные'!Y376,BD376)</f>
        <v/>
      </c>
      <c r="BF376" s="10">
        <f>BD376-BE376</f>
        <v/>
      </c>
      <c r="BG376" s="10">
        <f>MIN('02_Данные'!Z376,BF376)</f>
        <v/>
      </c>
      <c r="BH376" s="10">
        <f>BF376-BG376</f>
        <v/>
      </c>
      <c r="BI376" s="10">
        <f>BH376+'02_Данные'!I376</f>
        <v/>
      </c>
      <c r="BJ376" s="10">
        <f>MIN('02_Данные'!AB376,BI376)</f>
        <v/>
      </c>
      <c r="BK376" s="10">
        <f>BI376-BJ376</f>
        <v/>
      </c>
      <c r="BL376" s="10">
        <f>MIN('02_Данные'!AC376,BK376)</f>
        <v/>
      </c>
      <c r="BM376" s="10">
        <f>BK376-BL376</f>
        <v/>
      </c>
      <c r="BN376" s="10">
        <f>MIN('02_Данные'!AD376,BM376)</f>
        <v/>
      </c>
      <c r="BO376" s="10">
        <f>BM376-BN376</f>
        <v/>
      </c>
      <c r="BP376" s="10">
        <f>MIN('02_Данные'!AI376,BO376)</f>
        <v/>
      </c>
      <c r="BQ376" s="10">
        <f>BO376-BP376</f>
        <v/>
      </c>
      <c r="BR376" s="10">
        <f>MIN('02_Данные'!AF376,BQ376)</f>
        <v/>
      </c>
      <c r="BS376" s="10">
        <f>BQ376-BR376</f>
        <v/>
      </c>
      <c r="BT376" s="10">
        <f>MIN('02_Данные'!AE376,BS376)</f>
        <v/>
      </c>
      <c r="BU376" s="10">
        <f>BS376-BT376</f>
        <v/>
      </c>
      <c r="BV376" s="10">
        <f>MIN('02_Данные'!AG376,BU376)</f>
        <v/>
      </c>
      <c r="BW376" s="10">
        <f>BU376-BV376</f>
        <v/>
      </c>
      <c r="BX376" s="10">
        <f>MIN('02_Данные'!AH376,BW376)</f>
        <v/>
      </c>
      <c r="BY376" s="10">
        <f>BW376-BX376</f>
        <v/>
      </c>
      <c r="BZ376" s="10">
        <f>BY376+'02_Данные'!J376</f>
        <v/>
      </c>
      <c r="CA376" s="10">
        <f>MIN('02_Данные'!AJ376,BZ376)</f>
        <v/>
      </c>
      <c r="CB376" s="10">
        <f>BZ376-CA376</f>
        <v/>
      </c>
      <c r="CC376" s="10">
        <f>MIN('02_Данные'!AK376,CB376)</f>
        <v/>
      </c>
      <c r="CD376" s="10">
        <f>CB376-CC376</f>
        <v/>
      </c>
      <c r="CE376" s="10">
        <f>MIN('02_Данные'!AL376,CD376)</f>
        <v/>
      </c>
      <c r="CF376" s="10">
        <f>CD376-CE376</f>
        <v/>
      </c>
      <c r="CG376" s="10">
        <f>MIN('02_Данные'!AQ376,CF376)</f>
        <v/>
      </c>
      <c r="CH376" s="10">
        <f>CF376-CG376</f>
        <v/>
      </c>
      <c r="CI376" s="10">
        <f>MIN('02_Данные'!AN376,CH376)</f>
        <v/>
      </c>
      <c r="CJ376" s="10">
        <f>CH376-CI376</f>
        <v/>
      </c>
      <c r="CK376" s="10">
        <f>MIN('02_Данные'!AM376,CJ376)</f>
        <v/>
      </c>
      <c r="CL376" s="10">
        <f>CJ376-CK376</f>
        <v/>
      </c>
      <c r="CM376" s="10">
        <f>MIN('02_Данные'!AO376,CL376)</f>
        <v/>
      </c>
      <c r="CN376" s="10">
        <f>CL376-CM376</f>
        <v/>
      </c>
      <c r="CO376" s="10">
        <f>MIN('02_Данные'!AP376,CN376)</f>
        <v/>
      </c>
      <c r="CP376" s="10">
        <f>CN376-CO376</f>
        <v/>
      </c>
      <c r="CQ376" s="10">
        <f>CP376+'02_Данные'!K376</f>
        <v/>
      </c>
      <c r="CR376" s="10">
        <f>MIN('02_Данные'!AR376,CQ376)</f>
        <v/>
      </c>
      <c r="CS376" s="10">
        <f>CQ376-CR376</f>
        <v/>
      </c>
      <c r="CT376" s="10">
        <f>MIN('02_Данные'!AS376,CS376)</f>
        <v/>
      </c>
      <c r="CU376" s="10">
        <f>CS376-CT376</f>
        <v/>
      </c>
      <c r="CV376" s="10">
        <f>MIN('02_Данные'!AT376,CU376)</f>
        <v/>
      </c>
      <c r="CW376" s="10">
        <f>CU376-CV376</f>
        <v/>
      </c>
      <c r="CX376" s="10">
        <f>MIN('02_Данные'!AY376,CW376)</f>
        <v/>
      </c>
      <c r="CY376" s="10">
        <f>CW376-CX376</f>
        <v/>
      </c>
      <c r="CZ376" s="10">
        <f>MIN('02_Данные'!AV376,CY376)</f>
        <v/>
      </c>
      <c r="DA376" s="10">
        <f>CY376-CZ376</f>
        <v/>
      </c>
      <c r="DB376" s="10">
        <f>MIN('02_Данные'!AU376,DA376)</f>
        <v/>
      </c>
      <c r="DC376" s="10">
        <f>DA376-DB376</f>
        <v/>
      </c>
      <c r="DD376" s="10">
        <f>MIN('02_Данные'!AW376,DC376)</f>
        <v/>
      </c>
      <c r="DE376" s="10">
        <f>DC376-DD376</f>
        <v/>
      </c>
      <c r="DF376" s="10">
        <f>MIN('02_Данные'!AX376,DE376)</f>
        <v/>
      </c>
      <c r="DG376" s="10">
        <f>DE376-DF376</f>
        <v/>
      </c>
    </row>
    <row r="377">
      <c r="A377" s="9">
        <f>'02_Данные'!B377</f>
        <v/>
      </c>
      <c r="B377" s="9">
        <f>'02_Данные'!E377</f>
        <v/>
      </c>
      <c r="C377" s="10">
        <f>'02_Данные'!F377+'02_Данные'!G377+'02_Данные'!H377+'02_Данные'!I377+'02_Данные'!J377+'02_Данные'!K377</f>
        <v/>
      </c>
      <c r="D377" s="10">
        <f>SUM('02_Данные'!L377:'02_Данные'!AY377)</f>
        <v/>
      </c>
      <c r="E377" s="10">
        <f>MAX(0,D377-C377)</f>
        <v/>
      </c>
      <c r="F377" s="15">
        <f>IF(E377&gt;0.0001,"ДЕФИЦИТ",IF(Y377&gt;0.0001,"ПРОФИЦИТ","БАЛАНС"))</f>
        <v/>
      </c>
      <c r="G377" s="10">
        <f>AB377+AS377+BJ377+CA377+CR377</f>
        <v/>
      </c>
      <c r="H377" s="10">
        <f>AD377+AU377+BL377+CC377+CT377</f>
        <v/>
      </c>
      <c r="I377" s="10">
        <f>AF377+AW377+BN377+CE377+CV377</f>
        <v/>
      </c>
      <c r="J377" s="10">
        <f>AL377+BC377+BT377+CK377+DB377</f>
        <v/>
      </c>
      <c r="K377" s="10">
        <f>AJ377+BA377+BR377+CI377+CZ377</f>
        <v/>
      </c>
      <c r="L377" s="10">
        <f>AN377+BE377+BV377+CM377+DD377</f>
        <v/>
      </c>
      <c r="M377" s="10">
        <f>AP377+BG377+BX377+CO377+DF377</f>
        <v/>
      </c>
      <c r="N377" s="10">
        <f>AH377+AY377+BP377+CG377+CX377</f>
        <v/>
      </c>
      <c r="O377" s="10">
        <f>SUM(G377:N377)</f>
        <v/>
      </c>
      <c r="P377" s="10">
        <f>IFERROR(G377*MIN(1,'01_Нормативы'!$C$4/SUM(G$2:G$429)),0)</f>
        <v/>
      </c>
      <c r="Q377" s="10">
        <f>IFERROR(H377*MIN(1,'01_Нормативы'!$C$5/SUM(H$2:H$429)),0)</f>
        <v/>
      </c>
      <c r="R377" s="10">
        <f>IFERROR(I377*MIN(1,'01_Нормативы'!$C$6/SUM(I$2:I$429)),0)</f>
        <v/>
      </c>
      <c r="S377" s="10">
        <f>IFERROR(J377*MIN(1,'01_Нормативы'!$C$7/SUM(J$2:J$429)),0)</f>
        <v/>
      </c>
      <c r="T377" s="10">
        <f>IFERROR(K377*MIN(1,'01_Нормативы'!$C$8/SUM(K$2:K$429)),0)</f>
        <v/>
      </c>
      <c r="U377" s="10">
        <f>IFERROR(L377*MIN(1,'01_Нормативы'!$C$9/SUM(L$2:L$429)),0)</f>
        <v/>
      </c>
      <c r="V377" s="10">
        <f>IFERROR(M377*MIN(1,'01_Нормативы'!$C$10/SUM(M$2:M$429)),0)</f>
        <v/>
      </c>
      <c r="W377" s="10">
        <f>IFERROR(N377*MIN(1,'01_Нормативы'!$C$11/SUM(N$2:N$429)),0)</f>
        <v/>
      </c>
      <c r="X377" s="10">
        <f>SUM(P377:W377)</f>
        <v/>
      </c>
      <c r="Y377" s="10">
        <f>MAX(0,C377-X377)</f>
        <v/>
      </c>
      <c r="Z377" s="10">
        <f>IF(D377=0,100,X377/D377*100)</f>
        <v/>
      </c>
      <c r="AA377" s="10">
        <f>'02_Данные'!F377+'02_Данные'!G377</f>
        <v/>
      </c>
      <c r="AB377" s="10">
        <f>MIN('02_Данные'!L377,AA377)</f>
        <v/>
      </c>
      <c r="AC377" s="10">
        <f>AA377-AB377</f>
        <v/>
      </c>
      <c r="AD377" s="10">
        <f>MIN('02_Данные'!M377,AC377)</f>
        <v/>
      </c>
      <c r="AE377" s="10">
        <f>AC377-AD377</f>
        <v/>
      </c>
      <c r="AF377" s="10">
        <f>MIN('02_Данные'!N377,AE377)</f>
        <v/>
      </c>
      <c r="AG377" s="10">
        <f>AE377-AF377</f>
        <v/>
      </c>
      <c r="AH377" s="10">
        <f>MIN('02_Данные'!S377,AG377)</f>
        <v/>
      </c>
      <c r="AI377" s="10">
        <f>AG377-AH377</f>
        <v/>
      </c>
      <c r="AJ377" s="10">
        <f>MIN('02_Данные'!P377,AI377)</f>
        <v/>
      </c>
      <c r="AK377" s="10">
        <f>AI377-AJ377</f>
        <v/>
      </c>
      <c r="AL377" s="10">
        <f>MIN('02_Данные'!O377,AK377)</f>
        <v/>
      </c>
      <c r="AM377" s="10">
        <f>AK377-AL377</f>
        <v/>
      </c>
      <c r="AN377" s="10">
        <f>MIN('02_Данные'!Q377,AM377)</f>
        <v/>
      </c>
      <c r="AO377" s="10">
        <f>AM377-AN377</f>
        <v/>
      </c>
      <c r="AP377" s="10">
        <f>MIN('02_Данные'!R377,AO377)</f>
        <v/>
      </c>
      <c r="AQ377" s="10">
        <f>AO377-AP377</f>
        <v/>
      </c>
      <c r="AR377" s="10">
        <f>AQ377+'02_Данные'!H377</f>
        <v/>
      </c>
      <c r="AS377" s="10">
        <f>MIN('02_Данные'!T377,AR377)</f>
        <v/>
      </c>
      <c r="AT377" s="10">
        <f>AR377-AS377</f>
        <v/>
      </c>
      <c r="AU377" s="10">
        <f>MIN('02_Данные'!U377,AT377)</f>
        <v/>
      </c>
      <c r="AV377" s="10">
        <f>AT377-AU377</f>
        <v/>
      </c>
      <c r="AW377" s="10">
        <f>MIN('02_Данные'!V377,AV377)</f>
        <v/>
      </c>
      <c r="AX377" s="10">
        <f>AV377-AW377</f>
        <v/>
      </c>
      <c r="AY377" s="10">
        <f>MIN('02_Данные'!AA377,AX377)</f>
        <v/>
      </c>
      <c r="AZ377" s="10">
        <f>AX377-AY377</f>
        <v/>
      </c>
      <c r="BA377" s="10">
        <f>MIN('02_Данные'!X377,AZ377)</f>
        <v/>
      </c>
      <c r="BB377" s="10">
        <f>AZ377-BA377</f>
        <v/>
      </c>
      <c r="BC377" s="10">
        <f>MIN('02_Данные'!W377,BB377)</f>
        <v/>
      </c>
      <c r="BD377" s="10">
        <f>BB377-BC377</f>
        <v/>
      </c>
      <c r="BE377" s="10">
        <f>MIN('02_Данные'!Y377,BD377)</f>
        <v/>
      </c>
      <c r="BF377" s="10">
        <f>BD377-BE377</f>
        <v/>
      </c>
      <c r="BG377" s="10">
        <f>MIN('02_Данные'!Z377,BF377)</f>
        <v/>
      </c>
      <c r="BH377" s="10">
        <f>BF377-BG377</f>
        <v/>
      </c>
      <c r="BI377" s="10">
        <f>BH377+'02_Данные'!I377</f>
        <v/>
      </c>
      <c r="BJ377" s="10">
        <f>MIN('02_Данные'!AB377,BI377)</f>
        <v/>
      </c>
      <c r="BK377" s="10">
        <f>BI377-BJ377</f>
        <v/>
      </c>
      <c r="BL377" s="10">
        <f>MIN('02_Данные'!AC377,BK377)</f>
        <v/>
      </c>
      <c r="BM377" s="10">
        <f>BK377-BL377</f>
        <v/>
      </c>
      <c r="BN377" s="10">
        <f>MIN('02_Данные'!AD377,BM377)</f>
        <v/>
      </c>
      <c r="BO377" s="10">
        <f>BM377-BN377</f>
        <v/>
      </c>
      <c r="BP377" s="10">
        <f>MIN('02_Данные'!AI377,BO377)</f>
        <v/>
      </c>
      <c r="BQ377" s="10">
        <f>BO377-BP377</f>
        <v/>
      </c>
      <c r="BR377" s="10">
        <f>MIN('02_Данные'!AF377,BQ377)</f>
        <v/>
      </c>
      <c r="BS377" s="10">
        <f>BQ377-BR377</f>
        <v/>
      </c>
      <c r="BT377" s="10">
        <f>MIN('02_Данные'!AE377,BS377)</f>
        <v/>
      </c>
      <c r="BU377" s="10">
        <f>BS377-BT377</f>
        <v/>
      </c>
      <c r="BV377" s="10">
        <f>MIN('02_Данные'!AG377,BU377)</f>
        <v/>
      </c>
      <c r="BW377" s="10">
        <f>BU377-BV377</f>
        <v/>
      </c>
      <c r="BX377" s="10">
        <f>MIN('02_Данные'!AH377,BW377)</f>
        <v/>
      </c>
      <c r="BY377" s="10">
        <f>BW377-BX377</f>
        <v/>
      </c>
      <c r="BZ377" s="10">
        <f>BY377+'02_Данные'!J377</f>
        <v/>
      </c>
      <c r="CA377" s="10">
        <f>MIN('02_Данные'!AJ377,BZ377)</f>
        <v/>
      </c>
      <c r="CB377" s="10">
        <f>BZ377-CA377</f>
        <v/>
      </c>
      <c r="CC377" s="10">
        <f>MIN('02_Данные'!AK377,CB377)</f>
        <v/>
      </c>
      <c r="CD377" s="10">
        <f>CB377-CC377</f>
        <v/>
      </c>
      <c r="CE377" s="10">
        <f>MIN('02_Данные'!AL377,CD377)</f>
        <v/>
      </c>
      <c r="CF377" s="10">
        <f>CD377-CE377</f>
        <v/>
      </c>
      <c r="CG377" s="10">
        <f>MIN('02_Данные'!AQ377,CF377)</f>
        <v/>
      </c>
      <c r="CH377" s="10">
        <f>CF377-CG377</f>
        <v/>
      </c>
      <c r="CI377" s="10">
        <f>MIN('02_Данные'!AN377,CH377)</f>
        <v/>
      </c>
      <c r="CJ377" s="10">
        <f>CH377-CI377</f>
        <v/>
      </c>
      <c r="CK377" s="10">
        <f>MIN('02_Данные'!AM377,CJ377)</f>
        <v/>
      </c>
      <c r="CL377" s="10">
        <f>CJ377-CK377</f>
        <v/>
      </c>
      <c r="CM377" s="10">
        <f>MIN('02_Данные'!AO377,CL377)</f>
        <v/>
      </c>
      <c r="CN377" s="10">
        <f>CL377-CM377</f>
        <v/>
      </c>
      <c r="CO377" s="10">
        <f>MIN('02_Данные'!AP377,CN377)</f>
        <v/>
      </c>
      <c r="CP377" s="10">
        <f>CN377-CO377</f>
        <v/>
      </c>
      <c r="CQ377" s="10">
        <f>CP377+'02_Данные'!K377</f>
        <v/>
      </c>
      <c r="CR377" s="10">
        <f>MIN('02_Данные'!AR377,CQ377)</f>
        <v/>
      </c>
      <c r="CS377" s="10">
        <f>CQ377-CR377</f>
        <v/>
      </c>
      <c r="CT377" s="10">
        <f>MIN('02_Данные'!AS377,CS377)</f>
        <v/>
      </c>
      <c r="CU377" s="10">
        <f>CS377-CT377</f>
        <v/>
      </c>
      <c r="CV377" s="10">
        <f>MIN('02_Данные'!AT377,CU377)</f>
        <v/>
      </c>
      <c r="CW377" s="10">
        <f>CU377-CV377</f>
        <v/>
      </c>
      <c r="CX377" s="10">
        <f>MIN('02_Данные'!AY377,CW377)</f>
        <v/>
      </c>
      <c r="CY377" s="10">
        <f>CW377-CX377</f>
        <v/>
      </c>
      <c r="CZ377" s="10">
        <f>MIN('02_Данные'!AV377,CY377)</f>
        <v/>
      </c>
      <c r="DA377" s="10">
        <f>CY377-CZ377</f>
        <v/>
      </c>
      <c r="DB377" s="10">
        <f>MIN('02_Данные'!AU377,DA377)</f>
        <v/>
      </c>
      <c r="DC377" s="10">
        <f>DA377-DB377</f>
        <v/>
      </c>
      <c r="DD377" s="10">
        <f>MIN('02_Данные'!AW377,DC377)</f>
        <v/>
      </c>
      <c r="DE377" s="10">
        <f>DC377-DD377</f>
        <v/>
      </c>
      <c r="DF377" s="10">
        <f>MIN('02_Данные'!AX377,DE377)</f>
        <v/>
      </c>
      <c r="DG377" s="10">
        <f>DE377-DF377</f>
        <v/>
      </c>
    </row>
    <row r="378">
      <c r="A378" s="9">
        <f>'02_Данные'!B378</f>
        <v/>
      </c>
      <c r="B378" s="9">
        <f>'02_Данные'!E378</f>
        <v/>
      </c>
      <c r="C378" s="10">
        <f>'02_Данные'!F378+'02_Данные'!G378+'02_Данные'!H378+'02_Данные'!I378+'02_Данные'!J378+'02_Данные'!K378</f>
        <v/>
      </c>
      <c r="D378" s="10">
        <f>SUM('02_Данные'!L378:'02_Данные'!AY378)</f>
        <v/>
      </c>
      <c r="E378" s="10">
        <f>MAX(0,D378-C378)</f>
        <v/>
      </c>
      <c r="F378" s="15">
        <f>IF(E378&gt;0.0001,"ДЕФИЦИТ",IF(Y378&gt;0.0001,"ПРОФИЦИТ","БАЛАНС"))</f>
        <v/>
      </c>
      <c r="G378" s="10">
        <f>AB378+AS378+BJ378+CA378+CR378</f>
        <v/>
      </c>
      <c r="H378" s="10">
        <f>AD378+AU378+BL378+CC378+CT378</f>
        <v/>
      </c>
      <c r="I378" s="10">
        <f>AF378+AW378+BN378+CE378+CV378</f>
        <v/>
      </c>
      <c r="J378" s="10">
        <f>AL378+BC378+BT378+CK378+DB378</f>
        <v/>
      </c>
      <c r="K378" s="10">
        <f>AJ378+BA378+BR378+CI378+CZ378</f>
        <v/>
      </c>
      <c r="L378" s="10">
        <f>AN378+BE378+BV378+CM378+DD378</f>
        <v/>
      </c>
      <c r="M378" s="10">
        <f>AP378+BG378+BX378+CO378+DF378</f>
        <v/>
      </c>
      <c r="N378" s="10">
        <f>AH378+AY378+BP378+CG378+CX378</f>
        <v/>
      </c>
      <c r="O378" s="10">
        <f>SUM(G378:N378)</f>
        <v/>
      </c>
      <c r="P378" s="10">
        <f>IFERROR(G378*MIN(1,'01_Нормативы'!$C$4/SUM(G$2:G$429)),0)</f>
        <v/>
      </c>
      <c r="Q378" s="10">
        <f>IFERROR(H378*MIN(1,'01_Нормативы'!$C$5/SUM(H$2:H$429)),0)</f>
        <v/>
      </c>
      <c r="R378" s="10">
        <f>IFERROR(I378*MIN(1,'01_Нормативы'!$C$6/SUM(I$2:I$429)),0)</f>
        <v/>
      </c>
      <c r="S378" s="10">
        <f>IFERROR(J378*MIN(1,'01_Нормативы'!$C$7/SUM(J$2:J$429)),0)</f>
        <v/>
      </c>
      <c r="T378" s="10">
        <f>IFERROR(K378*MIN(1,'01_Нормативы'!$C$8/SUM(K$2:K$429)),0)</f>
        <v/>
      </c>
      <c r="U378" s="10">
        <f>IFERROR(L378*MIN(1,'01_Нормативы'!$C$9/SUM(L$2:L$429)),0)</f>
        <v/>
      </c>
      <c r="V378" s="10">
        <f>IFERROR(M378*MIN(1,'01_Нормативы'!$C$10/SUM(M$2:M$429)),0)</f>
        <v/>
      </c>
      <c r="W378" s="10">
        <f>IFERROR(N378*MIN(1,'01_Нормативы'!$C$11/SUM(N$2:N$429)),0)</f>
        <v/>
      </c>
      <c r="X378" s="10">
        <f>SUM(P378:W378)</f>
        <v/>
      </c>
      <c r="Y378" s="10">
        <f>MAX(0,C378-X378)</f>
        <v/>
      </c>
      <c r="Z378" s="10">
        <f>IF(D378=0,100,X378/D378*100)</f>
        <v/>
      </c>
      <c r="AA378" s="10">
        <f>'02_Данные'!F378+'02_Данные'!G378</f>
        <v/>
      </c>
      <c r="AB378" s="10">
        <f>MIN('02_Данные'!L378,AA378)</f>
        <v/>
      </c>
      <c r="AC378" s="10">
        <f>AA378-AB378</f>
        <v/>
      </c>
      <c r="AD378" s="10">
        <f>MIN('02_Данные'!M378,AC378)</f>
        <v/>
      </c>
      <c r="AE378" s="10">
        <f>AC378-AD378</f>
        <v/>
      </c>
      <c r="AF378" s="10">
        <f>MIN('02_Данные'!N378,AE378)</f>
        <v/>
      </c>
      <c r="AG378" s="10">
        <f>AE378-AF378</f>
        <v/>
      </c>
      <c r="AH378" s="10">
        <f>MIN('02_Данные'!S378,AG378)</f>
        <v/>
      </c>
      <c r="AI378" s="10">
        <f>AG378-AH378</f>
        <v/>
      </c>
      <c r="AJ378" s="10">
        <f>MIN('02_Данные'!P378,AI378)</f>
        <v/>
      </c>
      <c r="AK378" s="10">
        <f>AI378-AJ378</f>
        <v/>
      </c>
      <c r="AL378" s="10">
        <f>MIN('02_Данные'!O378,AK378)</f>
        <v/>
      </c>
      <c r="AM378" s="10">
        <f>AK378-AL378</f>
        <v/>
      </c>
      <c r="AN378" s="10">
        <f>MIN('02_Данные'!Q378,AM378)</f>
        <v/>
      </c>
      <c r="AO378" s="10">
        <f>AM378-AN378</f>
        <v/>
      </c>
      <c r="AP378" s="10">
        <f>MIN('02_Данные'!R378,AO378)</f>
        <v/>
      </c>
      <c r="AQ378" s="10">
        <f>AO378-AP378</f>
        <v/>
      </c>
      <c r="AR378" s="10">
        <f>AQ378+'02_Данные'!H378</f>
        <v/>
      </c>
      <c r="AS378" s="10">
        <f>MIN('02_Данные'!T378,AR378)</f>
        <v/>
      </c>
      <c r="AT378" s="10">
        <f>AR378-AS378</f>
        <v/>
      </c>
      <c r="AU378" s="10">
        <f>MIN('02_Данные'!U378,AT378)</f>
        <v/>
      </c>
      <c r="AV378" s="10">
        <f>AT378-AU378</f>
        <v/>
      </c>
      <c r="AW378" s="10">
        <f>MIN('02_Данные'!V378,AV378)</f>
        <v/>
      </c>
      <c r="AX378" s="10">
        <f>AV378-AW378</f>
        <v/>
      </c>
      <c r="AY378" s="10">
        <f>MIN('02_Данные'!AA378,AX378)</f>
        <v/>
      </c>
      <c r="AZ378" s="10">
        <f>AX378-AY378</f>
        <v/>
      </c>
      <c r="BA378" s="10">
        <f>MIN('02_Данные'!X378,AZ378)</f>
        <v/>
      </c>
      <c r="BB378" s="10">
        <f>AZ378-BA378</f>
        <v/>
      </c>
      <c r="BC378" s="10">
        <f>MIN('02_Данные'!W378,BB378)</f>
        <v/>
      </c>
      <c r="BD378" s="10">
        <f>BB378-BC378</f>
        <v/>
      </c>
      <c r="BE378" s="10">
        <f>MIN('02_Данные'!Y378,BD378)</f>
        <v/>
      </c>
      <c r="BF378" s="10">
        <f>BD378-BE378</f>
        <v/>
      </c>
      <c r="BG378" s="10">
        <f>MIN('02_Данные'!Z378,BF378)</f>
        <v/>
      </c>
      <c r="BH378" s="10">
        <f>BF378-BG378</f>
        <v/>
      </c>
      <c r="BI378" s="10">
        <f>BH378+'02_Данные'!I378</f>
        <v/>
      </c>
      <c r="BJ378" s="10">
        <f>MIN('02_Данные'!AB378,BI378)</f>
        <v/>
      </c>
      <c r="BK378" s="10">
        <f>BI378-BJ378</f>
        <v/>
      </c>
      <c r="BL378" s="10">
        <f>MIN('02_Данные'!AC378,BK378)</f>
        <v/>
      </c>
      <c r="BM378" s="10">
        <f>BK378-BL378</f>
        <v/>
      </c>
      <c r="BN378" s="10">
        <f>MIN('02_Данные'!AD378,BM378)</f>
        <v/>
      </c>
      <c r="BO378" s="10">
        <f>BM378-BN378</f>
        <v/>
      </c>
      <c r="BP378" s="10">
        <f>MIN('02_Данные'!AI378,BO378)</f>
        <v/>
      </c>
      <c r="BQ378" s="10">
        <f>BO378-BP378</f>
        <v/>
      </c>
      <c r="BR378" s="10">
        <f>MIN('02_Данные'!AF378,BQ378)</f>
        <v/>
      </c>
      <c r="BS378" s="10">
        <f>BQ378-BR378</f>
        <v/>
      </c>
      <c r="BT378" s="10">
        <f>MIN('02_Данные'!AE378,BS378)</f>
        <v/>
      </c>
      <c r="BU378" s="10">
        <f>BS378-BT378</f>
        <v/>
      </c>
      <c r="BV378" s="10">
        <f>MIN('02_Данные'!AG378,BU378)</f>
        <v/>
      </c>
      <c r="BW378" s="10">
        <f>BU378-BV378</f>
        <v/>
      </c>
      <c r="BX378" s="10">
        <f>MIN('02_Данные'!AH378,BW378)</f>
        <v/>
      </c>
      <c r="BY378" s="10">
        <f>BW378-BX378</f>
        <v/>
      </c>
      <c r="BZ378" s="10">
        <f>BY378+'02_Данные'!J378</f>
        <v/>
      </c>
      <c r="CA378" s="10">
        <f>MIN('02_Данные'!AJ378,BZ378)</f>
        <v/>
      </c>
      <c r="CB378" s="10">
        <f>BZ378-CA378</f>
        <v/>
      </c>
      <c r="CC378" s="10">
        <f>MIN('02_Данные'!AK378,CB378)</f>
        <v/>
      </c>
      <c r="CD378" s="10">
        <f>CB378-CC378</f>
        <v/>
      </c>
      <c r="CE378" s="10">
        <f>MIN('02_Данные'!AL378,CD378)</f>
        <v/>
      </c>
      <c r="CF378" s="10">
        <f>CD378-CE378</f>
        <v/>
      </c>
      <c r="CG378" s="10">
        <f>MIN('02_Данные'!AQ378,CF378)</f>
        <v/>
      </c>
      <c r="CH378" s="10">
        <f>CF378-CG378</f>
        <v/>
      </c>
      <c r="CI378" s="10">
        <f>MIN('02_Данные'!AN378,CH378)</f>
        <v/>
      </c>
      <c r="CJ378" s="10">
        <f>CH378-CI378</f>
        <v/>
      </c>
      <c r="CK378" s="10">
        <f>MIN('02_Данные'!AM378,CJ378)</f>
        <v/>
      </c>
      <c r="CL378" s="10">
        <f>CJ378-CK378</f>
        <v/>
      </c>
      <c r="CM378" s="10">
        <f>MIN('02_Данные'!AO378,CL378)</f>
        <v/>
      </c>
      <c r="CN378" s="10">
        <f>CL378-CM378</f>
        <v/>
      </c>
      <c r="CO378" s="10">
        <f>MIN('02_Данные'!AP378,CN378)</f>
        <v/>
      </c>
      <c r="CP378" s="10">
        <f>CN378-CO378</f>
        <v/>
      </c>
      <c r="CQ378" s="10">
        <f>CP378+'02_Данные'!K378</f>
        <v/>
      </c>
      <c r="CR378" s="10">
        <f>MIN('02_Данные'!AR378,CQ378)</f>
        <v/>
      </c>
      <c r="CS378" s="10">
        <f>CQ378-CR378</f>
        <v/>
      </c>
      <c r="CT378" s="10">
        <f>MIN('02_Данные'!AS378,CS378)</f>
        <v/>
      </c>
      <c r="CU378" s="10">
        <f>CS378-CT378</f>
        <v/>
      </c>
      <c r="CV378" s="10">
        <f>MIN('02_Данные'!AT378,CU378)</f>
        <v/>
      </c>
      <c r="CW378" s="10">
        <f>CU378-CV378</f>
        <v/>
      </c>
      <c r="CX378" s="10">
        <f>MIN('02_Данные'!AY378,CW378)</f>
        <v/>
      </c>
      <c r="CY378" s="10">
        <f>CW378-CX378</f>
        <v/>
      </c>
      <c r="CZ378" s="10">
        <f>MIN('02_Данные'!AV378,CY378)</f>
        <v/>
      </c>
      <c r="DA378" s="10">
        <f>CY378-CZ378</f>
        <v/>
      </c>
      <c r="DB378" s="10">
        <f>MIN('02_Данные'!AU378,DA378)</f>
        <v/>
      </c>
      <c r="DC378" s="10">
        <f>DA378-DB378</f>
        <v/>
      </c>
      <c r="DD378" s="10">
        <f>MIN('02_Данные'!AW378,DC378)</f>
        <v/>
      </c>
      <c r="DE378" s="10">
        <f>DC378-DD378</f>
        <v/>
      </c>
      <c r="DF378" s="10">
        <f>MIN('02_Данные'!AX378,DE378)</f>
        <v/>
      </c>
      <c r="DG378" s="10">
        <f>DE378-DF378</f>
        <v/>
      </c>
    </row>
    <row r="379">
      <c r="A379" s="9">
        <f>'02_Данные'!B379</f>
        <v/>
      </c>
      <c r="B379" s="9">
        <f>'02_Данные'!E379</f>
        <v/>
      </c>
      <c r="C379" s="10">
        <f>'02_Данные'!F379+'02_Данные'!G379+'02_Данные'!H379+'02_Данные'!I379+'02_Данные'!J379+'02_Данные'!K379</f>
        <v/>
      </c>
      <c r="D379" s="10">
        <f>SUM('02_Данные'!L379:'02_Данные'!AY379)</f>
        <v/>
      </c>
      <c r="E379" s="10">
        <f>MAX(0,D379-C379)</f>
        <v/>
      </c>
      <c r="F379" s="15">
        <f>IF(E379&gt;0.0001,"ДЕФИЦИТ",IF(Y379&gt;0.0001,"ПРОФИЦИТ","БАЛАНС"))</f>
        <v/>
      </c>
      <c r="G379" s="10">
        <f>AB379+AS379+BJ379+CA379+CR379</f>
        <v/>
      </c>
      <c r="H379" s="10">
        <f>AD379+AU379+BL379+CC379+CT379</f>
        <v/>
      </c>
      <c r="I379" s="10">
        <f>AF379+AW379+BN379+CE379+CV379</f>
        <v/>
      </c>
      <c r="J379" s="10">
        <f>AL379+BC379+BT379+CK379+DB379</f>
        <v/>
      </c>
      <c r="K379" s="10">
        <f>AJ379+BA379+BR379+CI379+CZ379</f>
        <v/>
      </c>
      <c r="L379" s="10">
        <f>AN379+BE379+BV379+CM379+DD379</f>
        <v/>
      </c>
      <c r="M379" s="10">
        <f>AP379+BG379+BX379+CO379+DF379</f>
        <v/>
      </c>
      <c r="N379" s="10">
        <f>AH379+AY379+BP379+CG379+CX379</f>
        <v/>
      </c>
      <c r="O379" s="10">
        <f>SUM(G379:N379)</f>
        <v/>
      </c>
      <c r="P379" s="10">
        <f>IFERROR(G379*MIN(1,'01_Нормативы'!$C$4/SUM(G$2:G$429)),0)</f>
        <v/>
      </c>
      <c r="Q379" s="10">
        <f>IFERROR(H379*MIN(1,'01_Нормативы'!$C$5/SUM(H$2:H$429)),0)</f>
        <v/>
      </c>
      <c r="R379" s="10">
        <f>IFERROR(I379*MIN(1,'01_Нормативы'!$C$6/SUM(I$2:I$429)),0)</f>
        <v/>
      </c>
      <c r="S379" s="10">
        <f>IFERROR(J379*MIN(1,'01_Нормативы'!$C$7/SUM(J$2:J$429)),0)</f>
        <v/>
      </c>
      <c r="T379" s="10">
        <f>IFERROR(K379*MIN(1,'01_Нормативы'!$C$8/SUM(K$2:K$429)),0)</f>
        <v/>
      </c>
      <c r="U379" s="10">
        <f>IFERROR(L379*MIN(1,'01_Нормативы'!$C$9/SUM(L$2:L$429)),0)</f>
        <v/>
      </c>
      <c r="V379" s="10">
        <f>IFERROR(M379*MIN(1,'01_Нормативы'!$C$10/SUM(M$2:M$429)),0)</f>
        <v/>
      </c>
      <c r="W379" s="10">
        <f>IFERROR(N379*MIN(1,'01_Нормативы'!$C$11/SUM(N$2:N$429)),0)</f>
        <v/>
      </c>
      <c r="X379" s="10">
        <f>SUM(P379:W379)</f>
        <v/>
      </c>
      <c r="Y379" s="10">
        <f>MAX(0,C379-X379)</f>
        <v/>
      </c>
      <c r="Z379" s="10">
        <f>IF(D379=0,100,X379/D379*100)</f>
        <v/>
      </c>
      <c r="AA379" s="10">
        <f>'02_Данные'!F379+'02_Данные'!G379</f>
        <v/>
      </c>
      <c r="AB379" s="10">
        <f>MIN('02_Данные'!L379,AA379)</f>
        <v/>
      </c>
      <c r="AC379" s="10">
        <f>AA379-AB379</f>
        <v/>
      </c>
      <c r="AD379" s="10">
        <f>MIN('02_Данные'!M379,AC379)</f>
        <v/>
      </c>
      <c r="AE379" s="10">
        <f>AC379-AD379</f>
        <v/>
      </c>
      <c r="AF379" s="10">
        <f>MIN('02_Данные'!N379,AE379)</f>
        <v/>
      </c>
      <c r="AG379" s="10">
        <f>AE379-AF379</f>
        <v/>
      </c>
      <c r="AH379" s="10">
        <f>MIN('02_Данные'!S379,AG379)</f>
        <v/>
      </c>
      <c r="AI379" s="10">
        <f>AG379-AH379</f>
        <v/>
      </c>
      <c r="AJ379" s="10">
        <f>MIN('02_Данные'!P379,AI379)</f>
        <v/>
      </c>
      <c r="AK379" s="10">
        <f>AI379-AJ379</f>
        <v/>
      </c>
      <c r="AL379" s="10">
        <f>MIN('02_Данные'!O379,AK379)</f>
        <v/>
      </c>
      <c r="AM379" s="10">
        <f>AK379-AL379</f>
        <v/>
      </c>
      <c r="AN379" s="10">
        <f>MIN('02_Данные'!Q379,AM379)</f>
        <v/>
      </c>
      <c r="AO379" s="10">
        <f>AM379-AN379</f>
        <v/>
      </c>
      <c r="AP379" s="10">
        <f>MIN('02_Данные'!R379,AO379)</f>
        <v/>
      </c>
      <c r="AQ379" s="10">
        <f>AO379-AP379</f>
        <v/>
      </c>
      <c r="AR379" s="10">
        <f>AQ379+'02_Данные'!H379</f>
        <v/>
      </c>
      <c r="AS379" s="10">
        <f>MIN('02_Данные'!T379,AR379)</f>
        <v/>
      </c>
      <c r="AT379" s="10">
        <f>AR379-AS379</f>
        <v/>
      </c>
      <c r="AU379" s="10">
        <f>MIN('02_Данные'!U379,AT379)</f>
        <v/>
      </c>
      <c r="AV379" s="10">
        <f>AT379-AU379</f>
        <v/>
      </c>
      <c r="AW379" s="10">
        <f>MIN('02_Данные'!V379,AV379)</f>
        <v/>
      </c>
      <c r="AX379" s="10">
        <f>AV379-AW379</f>
        <v/>
      </c>
      <c r="AY379" s="10">
        <f>MIN('02_Данные'!AA379,AX379)</f>
        <v/>
      </c>
      <c r="AZ379" s="10">
        <f>AX379-AY379</f>
        <v/>
      </c>
      <c r="BA379" s="10">
        <f>MIN('02_Данные'!X379,AZ379)</f>
        <v/>
      </c>
      <c r="BB379" s="10">
        <f>AZ379-BA379</f>
        <v/>
      </c>
      <c r="BC379" s="10">
        <f>MIN('02_Данные'!W379,BB379)</f>
        <v/>
      </c>
      <c r="BD379" s="10">
        <f>BB379-BC379</f>
        <v/>
      </c>
      <c r="BE379" s="10">
        <f>MIN('02_Данные'!Y379,BD379)</f>
        <v/>
      </c>
      <c r="BF379" s="10">
        <f>BD379-BE379</f>
        <v/>
      </c>
      <c r="BG379" s="10">
        <f>MIN('02_Данные'!Z379,BF379)</f>
        <v/>
      </c>
      <c r="BH379" s="10">
        <f>BF379-BG379</f>
        <v/>
      </c>
      <c r="BI379" s="10">
        <f>BH379+'02_Данные'!I379</f>
        <v/>
      </c>
      <c r="BJ379" s="10">
        <f>MIN('02_Данные'!AB379,BI379)</f>
        <v/>
      </c>
      <c r="BK379" s="10">
        <f>BI379-BJ379</f>
        <v/>
      </c>
      <c r="BL379" s="10">
        <f>MIN('02_Данные'!AC379,BK379)</f>
        <v/>
      </c>
      <c r="BM379" s="10">
        <f>BK379-BL379</f>
        <v/>
      </c>
      <c r="BN379" s="10">
        <f>MIN('02_Данные'!AD379,BM379)</f>
        <v/>
      </c>
      <c r="BO379" s="10">
        <f>BM379-BN379</f>
        <v/>
      </c>
      <c r="BP379" s="10">
        <f>MIN('02_Данные'!AI379,BO379)</f>
        <v/>
      </c>
      <c r="BQ379" s="10">
        <f>BO379-BP379</f>
        <v/>
      </c>
      <c r="BR379" s="10">
        <f>MIN('02_Данные'!AF379,BQ379)</f>
        <v/>
      </c>
      <c r="BS379" s="10">
        <f>BQ379-BR379</f>
        <v/>
      </c>
      <c r="BT379" s="10">
        <f>MIN('02_Данные'!AE379,BS379)</f>
        <v/>
      </c>
      <c r="BU379" s="10">
        <f>BS379-BT379</f>
        <v/>
      </c>
      <c r="BV379" s="10">
        <f>MIN('02_Данные'!AG379,BU379)</f>
        <v/>
      </c>
      <c r="BW379" s="10">
        <f>BU379-BV379</f>
        <v/>
      </c>
      <c r="BX379" s="10">
        <f>MIN('02_Данные'!AH379,BW379)</f>
        <v/>
      </c>
      <c r="BY379" s="10">
        <f>BW379-BX379</f>
        <v/>
      </c>
      <c r="BZ379" s="10">
        <f>BY379+'02_Данные'!J379</f>
        <v/>
      </c>
      <c r="CA379" s="10">
        <f>MIN('02_Данные'!AJ379,BZ379)</f>
        <v/>
      </c>
      <c r="CB379" s="10">
        <f>BZ379-CA379</f>
        <v/>
      </c>
      <c r="CC379" s="10">
        <f>MIN('02_Данные'!AK379,CB379)</f>
        <v/>
      </c>
      <c r="CD379" s="10">
        <f>CB379-CC379</f>
        <v/>
      </c>
      <c r="CE379" s="10">
        <f>MIN('02_Данные'!AL379,CD379)</f>
        <v/>
      </c>
      <c r="CF379" s="10">
        <f>CD379-CE379</f>
        <v/>
      </c>
      <c r="CG379" s="10">
        <f>MIN('02_Данные'!AQ379,CF379)</f>
        <v/>
      </c>
      <c r="CH379" s="10">
        <f>CF379-CG379</f>
        <v/>
      </c>
      <c r="CI379" s="10">
        <f>MIN('02_Данные'!AN379,CH379)</f>
        <v/>
      </c>
      <c r="CJ379" s="10">
        <f>CH379-CI379</f>
        <v/>
      </c>
      <c r="CK379" s="10">
        <f>MIN('02_Данные'!AM379,CJ379)</f>
        <v/>
      </c>
      <c r="CL379" s="10">
        <f>CJ379-CK379</f>
        <v/>
      </c>
      <c r="CM379" s="10">
        <f>MIN('02_Данные'!AO379,CL379)</f>
        <v/>
      </c>
      <c r="CN379" s="10">
        <f>CL379-CM379</f>
        <v/>
      </c>
      <c r="CO379" s="10">
        <f>MIN('02_Данные'!AP379,CN379)</f>
        <v/>
      </c>
      <c r="CP379" s="10">
        <f>CN379-CO379</f>
        <v/>
      </c>
      <c r="CQ379" s="10">
        <f>CP379+'02_Данные'!K379</f>
        <v/>
      </c>
      <c r="CR379" s="10">
        <f>MIN('02_Данные'!AR379,CQ379)</f>
        <v/>
      </c>
      <c r="CS379" s="10">
        <f>CQ379-CR379</f>
        <v/>
      </c>
      <c r="CT379" s="10">
        <f>MIN('02_Данные'!AS379,CS379)</f>
        <v/>
      </c>
      <c r="CU379" s="10">
        <f>CS379-CT379</f>
        <v/>
      </c>
      <c r="CV379" s="10">
        <f>MIN('02_Данные'!AT379,CU379)</f>
        <v/>
      </c>
      <c r="CW379" s="10">
        <f>CU379-CV379</f>
        <v/>
      </c>
      <c r="CX379" s="10">
        <f>MIN('02_Данные'!AY379,CW379)</f>
        <v/>
      </c>
      <c r="CY379" s="10">
        <f>CW379-CX379</f>
        <v/>
      </c>
      <c r="CZ379" s="10">
        <f>MIN('02_Данные'!AV379,CY379)</f>
        <v/>
      </c>
      <c r="DA379" s="10">
        <f>CY379-CZ379</f>
        <v/>
      </c>
      <c r="DB379" s="10">
        <f>MIN('02_Данные'!AU379,DA379)</f>
        <v/>
      </c>
      <c r="DC379" s="10">
        <f>DA379-DB379</f>
        <v/>
      </c>
      <c r="DD379" s="10">
        <f>MIN('02_Данные'!AW379,DC379)</f>
        <v/>
      </c>
      <c r="DE379" s="10">
        <f>DC379-DD379</f>
        <v/>
      </c>
      <c r="DF379" s="10">
        <f>MIN('02_Данные'!AX379,DE379)</f>
        <v/>
      </c>
      <c r="DG379" s="10">
        <f>DE379-DF379</f>
        <v/>
      </c>
    </row>
    <row r="380">
      <c r="A380" s="9">
        <f>'02_Данные'!B380</f>
        <v/>
      </c>
      <c r="B380" s="9">
        <f>'02_Данные'!E380</f>
        <v/>
      </c>
      <c r="C380" s="10">
        <f>'02_Данные'!F380+'02_Данные'!G380+'02_Данные'!H380+'02_Данные'!I380+'02_Данные'!J380+'02_Данные'!K380</f>
        <v/>
      </c>
      <c r="D380" s="10">
        <f>SUM('02_Данные'!L380:'02_Данные'!AY380)</f>
        <v/>
      </c>
      <c r="E380" s="10">
        <f>MAX(0,D380-C380)</f>
        <v/>
      </c>
      <c r="F380" s="15">
        <f>IF(E380&gt;0.0001,"ДЕФИЦИТ",IF(Y380&gt;0.0001,"ПРОФИЦИТ","БАЛАНС"))</f>
        <v/>
      </c>
      <c r="G380" s="10">
        <f>AB380+AS380+BJ380+CA380+CR380</f>
        <v/>
      </c>
      <c r="H380" s="10">
        <f>AD380+AU380+BL380+CC380+CT380</f>
        <v/>
      </c>
      <c r="I380" s="10">
        <f>AF380+AW380+BN380+CE380+CV380</f>
        <v/>
      </c>
      <c r="J380" s="10">
        <f>AL380+BC380+BT380+CK380+DB380</f>
        <v/>
      </c>
      <c r="K380" s="10">
        <f>AJ380+BA380+BR380+CI380+CZ380</f>
        <v/>
      </c>
      <c r="L380" s="10">
        <f>AN380+BE380+BV380+CM380+DD380</f>
        <v/>
      </c>
      <c r="M380" s="10">
        <f>AP380+BG380+BX380+CO380+DF380</f>
        <v/>
      </c>
      <c r="N380" s="10">
        <f>AH380+AY380+BP380+CG380+CX380</f>
        <v/>
      </c>
      <c r="O380" s="10">
        <f>SUM(G380:N380)</f>
        <v/>
      </c>
      <c r="P380" s="10">
        <f>IFERROR(G380*MIN(1,'01_Нормативы'!$C$4/SUM(G$2:G$429)),0)</f>
        <v/>
      </c>
      <c r="Q380" s="10">
        <f>IFERROR(H380*MIN(1,'01_Нормативы'!$C$5/SUM(H$2:H$429)),0)</f>
        <v/>
      </c>
      <c r="R380" s="10">
        <f>IFERROR(I380*MIN(1,'01_Нормативы'!$C$6/SUM(I$2:I$429)),0)</f>
        <v/>
      </c>
      <c r="S380" s="10">
        <f>IFERROR(J380*MIN(1,'01_Нормативы'!$C$7/SUM(J$2:J$429)),0)</f>
        <v/>
      </c>
      <c r="T380" s="10">
        <f>IFERROR(K380*MIN(1,'01_Нормативы'!$C$8/SUM(K$2:K$429)),0)</f>
        <v/>
      </c>
      <c r="U380" s="10">
        <f>IFERROR(L380*MIN(1,'01_Нормативы'!$C$9/SUM(L$2:L$429)),0)</f>
        <v/>
      </c>
      <c r="V380" s="10">
        <f>IFERROR(M380*MIN(1,'01_Нормативы'!$C$10/SUM(M$2:M$429)),0)</f>
        <v/>
      </c>
      <c r="W380" s="10">
        <f>IFERROR(N380*MIN(1,'01_Нормативы'!$C$11/SUM(N$2:N$429)),0)</f>
        <v/>
      </c>
      <c r="X380" s="10">
        <f>SUM(P380:W380)</f>
        <v/>
      </c>
      <c r="Y380" s="10">
        <f>MAX(0,C380-X380)</f>
        <v/>
      </c>
      <c r="Z380" s="10">
        <f>IF(D380=0,100,X380/D380*100)</f>
        <v/>
      </c>
      <c r="AA380" s="10">
        <f>'02_Данные'!F380+'02_Данные'!G380</f>
        <v/>
      </c>
      <c r="AB380" s="10">
        <f>MIN('02_Данные'!L380,AA380)</f>
        <v/>
      </c>
      <c r="AC380" s="10">
        <f>AA380-AB380</f>
        <v/>
      </c>
      <c r="AD380" s="10">
        <f>MIN('02_Данные'!M380,AC380)</f>
        <v/>
      </c>
      <c r="AE380" s="10">
        <f>AC380-AD380</f>
        <v/>
      </c>
      <c r="AF380" s="10">
        <f>MIN('02_Данные'!N380,AE380)</f>
        <v/>
      </c>
      <c r="AG380" s="10">
        <f>AE380-AF380</f>
        <v/>
      </c>
      <c r="AH380" s="10">
        <f>MIN('02_Данные'!S380,AG380)</f>
        <v/>
      </c>
      <c r="AI380" s="10">
        <f>AG380-AH380</f>
        <v/>
      </c>
      <c r="AJ380" s="10">
        <f>MIN('02_Данные'!P380,AI380)</f>
        <v/>
      </c>
      <c r="AK380" s="10">
        <f>AI380-AJ380</f>
        <v/>
      </c>
      <c r="AL380" s="10">
        <f>MIN('02_Данные'!O380,AK380)</f>
        <v/>
      </c>
      <c r="AM380" s="10">
        <f>AK380-AL380</f>
        <v/>
      </c>
      <c r="AN380" s="10">
        <f>MIN('02_Данные'!Q380,AM380)</f>
        <v/>
      </c>
      <c r="AO380" s="10">
        <f>AM380-AN380</f>
        <v/>
      </c>
      <c r="AP380" s="10">
        <f>MIN('02_Данные'!R380,AO380)</f>
        <v/>
      </c>
      <c r="AQ380" s="10">
        <f>AO380-AP380</f>
        <v/>
      </c>
      <c r="AR380" s="10">
        <f>AQ380+'02_Данные'!H380</f>
        <v/>
      </c>
      <c r="AS380" s="10">
        <f>MIN('02_Данные'!T380,AR380)</f>
        <v/>
      </c>
      <c r="AT380" s="10">
        <f>AR380-AS380</f>
        <v/>
      </c>
      <c r="AU380" s="10">
        <f>MIN('02_Данные'!U380,AT380)</f>
        <v/>
      </c>
      <c r="AV380" s="10">
        <f>AT380-AU380</f>
        <v/>
      </c>
      <c r="AW380" s="10">
        <f>MIN('02_Данные'!V380,AV380)</f>
        <v/>
      </c>
      <c r="AX380" s="10">
        <f>AV380-AW380</f>
        <v/>
      </c>
      <c r="AY380" s="10">
        <f>MIN('02_Данные'!AA380,AX380)</f>
        <v/>
      </c>
      <c r="AZ380" s="10">
        <f>AX380-AY380</f>
        <v/>
      </c>
      <c r="BA380" s="10">
        <f>MIN('02_Данные'!X380,AZ380)</f>
        <v/>
      </c>
      <c r="BB380" s="10">
        <f>AZ380-BA380</f>
        <v/>
      </c>
      <c r="BC380" s="10">
        <f>MIN('02_Данные'!W380,BB380)</f>
        <v/>
      </c>
      <c r="BD380" s="10">
        <f>BB380-BC380</f>
        <v/>
      </c>
      <c r="BE380" s="10">
        <f>MIN('02_Данные'!Y380,BD380)</f>
        <v/>
      </c>
      <c r="BF380" s="10">
        <f>BD380-BE380</f>
        <v/>
      </c>
      <c r="BG380" s="10">
        <f>MIN('02_Данные'!Z380,BF380)</f>
        <v/>
      </c>
      <c r="BH380" s="10">
        <f>BF380-BG380</f>
        <v/>
      </c>
      <c r="BI380" s="10">
        <f>BH380+'02_Данные'!I380</f>
        <v/>
      </c>
      <c r="BJ380" s="10">
        <f>MIN('02_Данные'!AB380,BI380)</f>
        <v/>
      </c>
      <c r="BK380" s="10">
        <f>BI380-BJ380</f>
        <v/>
      </c>
      <c r="BL380" s="10">
        <f>MIN('02_Данные'!AC380,BK380)</f>
        <v/>
      </c>
      <c r="BM380" s="10">
        <f>BK380-BL380</f>
        <v/>
      </c>
      <c r="BN380" s="10">
        <f>MIN('02_Данные'!AD380,BM380)</f>
        <v/>
      </c>
      <c r="BO380" s="10">
        <f>BM380-BN380</f>
        <v/>
      </c>
      <c r="BP380" s="10">
        <f>MIN('02_Данные'!AI380,BO380)</f>
        <v/>
      </c>
      <c r="BQ380" s="10">
        <f>BO380-BP380</f>
        <v/>
      </c>
      <c r="BR380" s="10">
        <f>MIN('02_Данные'!AF380,BQ380)</f>
        <v/>
      </c>
      <c r="BS380" s="10">
        <f>BQ380-BR380</f>
        <v/>
      </c>
      <c r="BT380" s="10">
        <f>MIN('02_Данные'!AE380,BS380)</f>
        <v/>
      </c>
      <c r="BU380" s="10">
        <f>BS380-BT380</f>
        <v/>
      </c>
      <c r="BV380" s="10">
        <f>MIN('02_Данные'!AG380,BU380)</f>
        <v/>
      </c>
      <c r="BW380" s="10">
        <f>BU380-BV380</f>
        <v/>
      </c>
      <c r="BX380" s="10">
        <f>MIN('02_Данные'!AH380,BW380)</f>
        <v/>
      </c>
      <c r="BY380" s="10">
        <f>BW380-BX380</f>
        <v/>
      </c>
      <c r="BZ380" s="10">
        <f>BY380+'02_Данные'!J380</f>
        <v/>
      </c>
      <c r="CA380" s="10">
        <f>MIN('02_Данные'!AJ380,BZ380)</f>
        <v/>
      </c>
      <c r="CB380" s="10">
        <f>BZ380-CA380</f>
        <v/>
      </c>
      <c r="CC380" s="10">
        <f>MIN('02_Данные'!AK380,CB380)</f>
        <v/>
      </c>
      <c r="CD380" s="10">
        <f>CB380-CC380</f>
        <v/>
      </c>
      <c r="CE380" s="10">
        <f>MIN('02_Данные'!AL380,CD380)</f>
        <v/>
      </c>
      <c r="CF380" s="10">
        <f>CD380-CE380</f>
        <v/>
      </c>
      <c r="CG380" s="10">
        <f>MIN('02_Данные'!AQ380,CF380)</f>
        <v/>
      </c>
      <c r="CH380" s="10">
        <f>CF380-CG380</f>
        <v/>
      </c>
      <c r="CI380" s="10">
        <f>MIN('02_Данные'!AN380,CH380)</f>
        <v/>
      </c>
      <c r="CJ380" s="10">
        <f>CH380-CI380</f>
        <v/>
      </c>
      <c r="CK380" s="10">
        <f>MIN('02_Данные'!AM380,CJ380)</f>
        <v/>
      </c>
      <c r="CL380" s="10">
        <f>CJ380-CK380</f>
        <v/>
      </c>
      <c r="CM380" s="10">
        <f>MIN('02_Данные'!AO380,CL380)</f>
        <v/>
      </c>
      <c r="CN380" s="10">
        <f>CL380-CM380</f>
        <v/>
      </c>
      <c r="CO380" s="10">
        <f>MIN('02_Данные'!AP380,CN380)</f>
        <v/>
      </c>
      <c r="CP380" s="10">
        <f>CN380-CO380</f>
        <v/>
      </c>
      <c r="CQ380" s="10">
        <f>CP380+'02_Данные'!K380</f>
        <v/>
      </c>
      <c r="CR380" s="10">
        <f>MIN('02_Данные'!AR380,CQ380)</f>
        <v/>
      </c>
      <c r="CS380" s="10">
        <f>CQ380-CR380</f>
        <v/>
      </c>
      <c r="CT380" s="10">
        <f>MIN('02_Данные'!AS380,CS380)</f>
        <v/>
      </c>
      <c r="CU380" s="10">
        <f>CS380-CT380</f>
        <v/>
      </c>
      <c r="CV380" s="10">
        <f>MIN('02_Данные'!AT380,CU380)</f>
        <v/>
      </c>
      <c r="CW380" s="10">
        <f>CU380-CV380</f>
        <v/>
      </c>
      <c r="CX380" s="10">
        <f>MIN('02_Данные'!AY380,CW380)</f>
        <v/>
      </c>
      <c r="CY380" s="10">
        <f>CW380-CX380</f>
        <v/>
      </c>
      <c r="CZ380" s="10">
        <f>MIN('02_Данные'!AV380,CY380)</f>
        <v/>
      </c>
      <c r="DA380" s="10">
        <f>CY380-CZ380</f>
        <v/>
      </c>
      <c r="DB380" s="10">
        <f>MIN('02_Данные'!AU380,DA380)</f>
        <v/>
      </c>
      <c r="DC380" s="10">
        <f>DA380-DB380</f>
        <v/>
      </c>
      <c r="DD380" s="10">
        <f>MIN('02_Данные'!AW380,DC380)</f>
        <v/>
      </c>
      <c r="DE380" s="10">
        <f>DC380-DD380</f>
        <v/>
      </c>
      <c r="DF380" s="10">
        <f>MIN('02_Данные'!AX380,DE380)</f>
        <v/>
      </c>
      <c r="DG380" s="10">
        <f>DE380-DF380</f>
        <v/>
      </c>
    </row>
    <row r="381">
      <c r="A381" s="9">
        <f>'02_Данные'!B381</f>
        <v/>
      </c>
      <c r="B381" s="9">
        <f>'02_Данные'!E381</f>
        <v/>
      </c>
      <c r="C381" s="10">
        <f>'02_Данные'!F381+'02_Данные'!G381+'02_Данные'!H381+'02_Данные'!I381+'02_Данные'!J381+'02_Данные'!K381</f>
        <v/>
      </c>
      <c r="D381" s="10">
        <f>SUM('02_Данные'!L381:'02_Данные'!AY381)</f>
        <v/>
      </c>
      <c r="E381" s="10">
        <f>MAX(0,D381-C381)</f>
        <v/>
      </c>
      <c r="F381" s="15">
        <f>IF(E381&gt;0.0001,"ДЕФИЦИТ",IF(Y381&gt;0.0001,"ПРОФИЦИТ","БАЛАНС"))</f>
        <v/>
      </c>
      <c r="G381" s="10">
        <f>AB381+AS381+BJ381+CA381+CR381</f>
        <v/>
      </c>
      <c r="H381" s="10">
        <f>AD381+AU381+BL381+CC381+CT381</f>
        <v/>
      </c>
      <c r="I381" s="10">
        <f>AF381+AW381+BN381+CE381+CV381</f>
        <v/>
      </c>
      <c r="J381" s="10">
        <f>AL381+BC381+BT381+CK381+DB381</f>
        <v/>
      </c>
      <c r="K381" s="10">
        <f>AJ381+BA381+BR381+CI381+CZ381</f>
        <v/>
      </c>
      <c r="L381" s="10">
        <f>AN381+BE381+BV381+CM381+DD381</f>
        <v/>
      </c>
      <c r="M381" s="10">
        <f>AP381+BG381+BX381+CO381+DF381</f>
        <v/>
      </c>
      <c r="N381" s="10">
        <f>AH381+AY381+BP381+CG381+CX381</f>
        <v/>
      </c>
      <c r="O381" s="10">
        <f>SUM(G381:N381)</f>
        <v/>
      </c>
      <c r="P381" s="10">
        <f>IFERROR(G381*MIN(1,'01_Нормативы'!$C$4/SUM(G$2:G$429)),0)</f>
        <v/>
      </c>
      <c r="Q381" s="10">
        <f>IFERROR(H381*MIN(1,'01_Нормативы'!$C$5/SUM(H$2:H$429)),0)</f>
        <v/>
      </c>
      <c r="R381" s="10">
        <f>IFERROR(I381*MIN(1,'01_Нормативы'!$C$6/SUM(I$2:I$429)),0)</f>
        <v/>
      </c>
      <c r="S381" s="10">
        <f>IFERROR(J381*MIN(1,'01_Нормативы'!$C$7/SUM(J$2:J$429)),0)</f>
        <v/>
      </c>
      <c r="T381" s="10">
        <f>IFERROR(K381*MIN(1,'01_Нормативы'!$C$8/SUM(K$2:K$429)),0)</f>
        <v/>
      </c>
      <c r="U381" s="10">
        <f>IFERROR(L381*MIN(1,'01_Нормативы'!$C$9/SUM(L$2:L$429)),0)</f>
        <v/>
      </c>
      <c r="V381" s="10">
        <f>IFERROR(M381*MIN(1,'01_Нормативы'!$C$10/SUM(M$2:M$429)),0)</f>
        <v/>
      </c>
      <c r="W381" s="10">
        <f>IFERROR(N381*MIN(1,'01_Нормативы'!$C$11/SUM(N$2:N$429)),0)</f>
        <v/>
      </c>
      <c r="X381" s="10">
        <f>SUM(P381:W381)</f>
        <v/>
      </c>
      <c r="Y381" s="10">
        <f>MAX(0,C381-X381)</f>
        <v/>
      </c>
      <c r="Z381" s="10">
        <f>IF(D381=0,100,X381/D381*100)</f>
        <v/>
      </c>
      <c r="AA381" s="10">
        <f>'02_Данные'!F381+'02_Данные'!G381</f>
        <v/>
      </c>
      <c r="AB381" s="10">
        <f>MIN('02_Данные'!L381,AA381)</f>
        <v/>
      </c>
      <c r="AC381" s="10">
        <f>AA381-AB381</f>
        <v/>
      </c>
      <c r="AD381" s="10">
        <f>MIN('02_Данные'!M381,AC381)</f>
        <v/>
      </c>
      <c r="AE381" s="10">
        <f>AC381-AD381</f>
        <v/>
      </c>
      <c r="AF381" s="10">
        <f>MIN('02_Данные'!N381,AE381)</f>
        <v/>
      </c>
      <c r="AG381" s="10">
        <f>AE381-AF381</f>
        <v/>
      </c>
      <c r="AH381" s="10">
        <f>MIN('02_Данные'!S381,AG381)</f>
        <v/>
      </c>
      <c r="AI381" s="10">
        <f>AG381-AH381</f>
        <v/>
      </c>
      <c r="AJ381" s="10">
        <f>MIN('02_Данные'!P381,AI381)</f>
        <v/>
      </c>
      <c r="AK381" s="10">
        <f>AI381-AJ381</f>
        <v/>
      </c>
      <c r="AL381" s="10">
        <f>MIN('02_Данные'!O381,AK381)</f>
        <v/>
      </c>
      <c r="AM381" s="10">
        <f>AK381-AL381</f>
        <v/>
      </c>
      <c r="AN381" s="10">
        <f>MIN('02_Данные'!Q381,AM381)</f>
        <v/>
      </c>
      <c r="AO381" s="10">
        <f>AM381-AN381</f>
        <v/>
      </c>
      <c r="AP381" s="10">
        <f>MIN('02_Данные'!R381,AO381)</f>
        <v/>
      </c>
      <c r="AQ381" s="10">
        <f>AO381-AP381</f>
        <v/>
      </c>
      <c r="AR381" s="10">
        <f>AQ381+'02_Данные'!H381</f>
        <v/>
      </c>
      <c r="AS381" s="10">
        <f>MIN('02_Данные'!T381,AR381)</f>
        <v/>
      </c>
      <c r="AT381" s="10">
        <f>AR381-AS381</f>
        <v/>
      </c>
      <c r="AU381" s="10">
        <f>MIN('02_Данные'!U381,AT381)</f>
        <v/>
      </c>
      <c r="AV381" s="10">
        <f>AT381-AU381</f>
        <v/>
      </c>
      <c r="AW381" s="10">
        <f>MIN('02_Данные'!V381,AV381)</f>
        <v/>
      </c>
      <c r="AX381" s="10">
        <f>AV381-AW381</f>
        <v/>
      </c>
      <c r="AY381" s="10">
        <f>MIN('02_Данные'!AA381,AX381)</f>
        <v/>
      </c>
      <c r="AZ381" s="10">
        <f>AX381-AY381</f>
        <v/>
      </c>
      <c r="BA381" s="10">
        <f>MIN('02_Данные'!X381,AZ381)</f>
        <v/>
      </c>
      <c r="BB381" s="10">
        <f>AZ381-BA381</f>
        <v/>
      </c>
      <c r="BC381" s="10">
        <f>MIN('02_Данные'!W381,BB381)</f>
        <v/>
      </c>
      <c r="BD381" s="10">
        <f>BB381-BC381</f>
        <v/>
      </c>
      <c r="BE381" s="10">
        <f>MIN('02_Данные'!Y381,BD381)</f>
        <v/>
      </c>
      <c r="BF381" s="10">
        <f>BD381-BE381</f>
        <v/>
      </c>
      <c r="BG381" s="10">
        <f>MIN('02_Данные'!Z381,BF381)</f>
        <v/>
      </c>
      <c r="BH381" s="10">
        <f>BF381-BG381</f>
        <v/>
      </c>
      <c r="BI381" s="10">
        <f>BH381+'02_Данные'!I381</f>
        <v/>
      </c>
      <c r="BJ381" s="10">
        <f>MIN('02_Данные'!AB381,BI381)</f>
        <v/>
      </c>
      <c r="BK381" s="10">
        <f>BI381-BJ381</f>
        <v/>
      </c>
      <c r="BL381" s="10">
        <f>MIN('02_Данные'!AC381,BK381)</f>
        <v/>
      </c>
      <c r="BM381" s="10">
        <f>BK381-BL381</f>
        <v/>
      </c>
      <c r="BN381" s="10">
        <f>MIN('02_Данные'!AD381,BM381)</f>
        <v/>
      </c>
      <c r="BO381" s="10">
        <f>BM381-BN381</f>
        <v/>
      </c>
      <c r="BP381" s="10">
        <f>MIN('02_Данные'!AI381,BO381)</f>
        <v/>
      </c>
      <c r="BQ381" s="10">
        <f>BO381-BP381</f>
        <v/>
      </c>
      <c r="BR381" s="10">
        <f>MIN('02_Данные'!AF381,BQ381)</f>
        <v/>
      </c>
      <c r="BS381" s="10">
        <f>BQ381-BR381</f>
        <v/>
      </c>
      <c r="BT381" s="10">
        <f>MIN('02_Данные'!AE381,BS381)</f>
        <v/>
      </c>
      <c r="BU381" s="10">
        <f>BS381-BT381</f>
        <v/>
      </c>
      <c r="BV381" s="10">
        <f>MIN('02_Данные'!AG381,BU381)</f>
        <v/>
      </c>
      <c r="BW381" s="10">
        <f>BU381-BV381</f>
        <v/>
      </c>
      <c r="BX381" s="10">
        <f>MIN('02_Данные'!AH381,BW381)</f>
        <v/>
      </c>
      <c r="BY381" s="10">
        <f>BW381-BX381</f>
        <v/>
      </c>
      <c r="BZ381" s="10">
        <f>BY381+'02_Данные'!J381</f>
        <v/>
      </c>
      <c r="CA381" s="10">
        <f>MIN('02_Данные'!AJ381,BZ381)</f>
        <v/>
      </c>
      <c r="CB381" s="10">
        <f>BZ381-CA381</f>
        <v/>
      </c>
      <c r="CC381" s="10">
        <f>MIN('02_Данные'!AK381,CB381)</f>
        <v/>
      </c>
      <c r="CD381" s="10">
        <f>CB381-CC381</f>
        <v/>
      </c>
      <c r="CE381" s="10">
        <f>MIN('02_Данные'!AL381,CD381)</f>
        <v/>
      </c>
      <c r="CF381" s="10">
        <f>CD381-CE381</f>
        <v/>
      </c>
      <c r="CG381" s="10">
        <f>MIN('02_Данные'!AQ381,CF381)</f>
        <v/>
      </c>
      <c r="CH381" s="10">
        <f>CF381-CG381</f>
        <v/>
      </c>
      <c r="CI381" s="10">
        <f>MIN('02_Данные'!AN381,CH381)</f>
        <v/>
      </c>
      <c r="CJ381" s="10">
        <f>CH381-CI381</f>
        <v/>
      </c>
      <c r="CK381" s="10">
        <f>MIN('02_Данные'!AM381,CJ381)</f>
        <v/>
      </c>
      <c r="CL381" s="10">
        <f>CJ381-CK381</f>
        <v/>
      </c>
      <c r="CM381" s="10">
        <f>MIN('02_Данные'!AO381,CL381)</f>
        <v/>
      </c>
      <c r="CN381" s="10">
        <f>CL381-CM381</f>
        <v/>
      </c>
      <c r="CO381" s="10">
        <f>MIN('02_Данные'!AP381,CN381)</f>
        <v/>
      </c>
      <c r="CP381" s="10">
        <f>CN381-CO381</f>
        <v/>
      </c>
      <c r="CQ381" s="10">
        <f>CP381+'02_Данные'!K381</f>
        <v/>
      </c>
      <c r="CR381" s="10">
        <f>MIN('02_Данные'!AR381,CQ381)</f>
        <v/>
      </c>
      <c r="CS381" s="10">
        <f>CQ381-CR381</f>
        <v/>
      </c>
      <c r="CT381" s="10">
        <f>MIN('02_Данные'!AS381,CS381)</f>
        <v/>
      </c>
      <c r="CU381" s="10">
        <f>CS381-CT381</f>
        <v/>
      </c>
      <c r="CV381" s="10">
        <f>MIN('02_Данные'!AT381,CU381)</f>
        <v/>
      </c>
      <c r="CW381" s="10">
        <f>CU381-CV381</f>
        <v/>
      </c>
      <c r="CX381" s="10">
        <f>MIN('02_Данные'!AY381,CW381)</f>
        <v/>
      </c>
      <c r="CY381" s="10">
        <f>CW381-CX381</f>
        <v/>
      </c>
      <c r="CZ381" s="10">
        <f>MIN('02_Данные'!AV381,CY381)</f>
        <v/>
      </c>
      <c r="DA381" s="10">
        <f>CY381-CZ381</f>
        <v/>
      </c>
      <c r="DB381" s="10">
        <f>MIN('02_Данные'!AU381,DA381)</f>
        <v/>
      </c>
      <c r="DC381" s="10">
        <f>DA381-DB381</f>
        <v/>
      </c>
      <c r="DD381" s="10">
        <f>MIN('02_Данные'!AW381,DC381)</f>
        <v/>
      </c>
      <c r="DE381" s="10">
        <f>DC381-DD381</f>
        <v/>
      </c>
      <c r="DF381" s="10">
        <f>MIN('02_Данные'!AX381,DE381)</f>
        <v/>
      </c>
      <c r="DG381" s="10">
        <f>DE381-DF381</f>
        <v/>
      </c>
    </row>
    <row r="382">
      <c r="A382" s="9">
        <f>'02_Данные'!B382</f>
        <v/>
      </c>
      <c r="B382" s="9">
        <f>'02_Данные'!E382</f>
        <v/>
      </c>
      <c r="C382" s="10">
        <f>'02_Данные'!F382+'02_Данные'!G382+'02_Данные'!H382+'02_Данные'!I382+'02_Данные'!J382+'02_Данные'!K382</f>
        <v/>
      </c>
      <c r="D382" s="10">
        <f>SUM('02_Данные'!L382:'02_Данные'!AY382)</f>
        <v/>
      </c>
      <c r="E382" s="10">
        <f>MAX(0,D382-C382)</f>
        <v/>
      </c>
      <c r="F382" s="15">
        <f>IF(E382&gt;0.0001,"ДЕФИЦИТ",IF(Y382&gt;0.0001,"ПРОФИЦИТ","БАЛАНС"))</f>
        <v/>
      </c>
      <c r="G382" s="10">
        <f>AB382+AS382+BJ382+CA382+CR382</f>
        <v/>
      </c>
      <c r="H382" s="10">
        <f>AD382+AU382+BL382+CC382+CT382</f>
        <v/>
      </c>
      <c r="I382" s="10">
        <f>AF382+AW382+BN382+CE382+CV382</f>
        <v/>
      </c>
      <c r="J382" s="10">
        <f>AL382+BC382+BT382+CK382+DB382</f>
        <v/>
      </c>
      <c r="K382" s="10">
        <f>AJ382+BA382+BR382+CI382+CZ382</f>
        <v/>
      </c>
      <c r="L382" s="10">
        <f>AN382+BE382+BV382+CM382+DD382</f>
        <v/>
      </c>
      <c r="M382" s="10">
        <f>AP382+BG382+BX382+CO382+DF382</f>
        <v/>
      </c>
      <c r="N382" s="10">
        <f>AH382+AY382+BP382+CG382+CX382</f>
        <v/>
      </c>
      <c r="O382" s="10">
        <f>SUM(G382:N382)</f>
        <v/>
      </c>
      <c r="P382" s="10">
        <f>IFERROR(G382*MIN(1,'01_Нормативы'!$C$4/SUM(G$2:G$429)),0)</f>
        <v/>
      </c>
      <c r="Q382" s="10">
        <f>IFERROR(H382*MIN(1,'01_Нормативы'!$C$5/SUM(H$2:H$429)),0)</f>
        <v/>
      </c>
      <c r="R382" s="10">
        <f>IFERROR(I382*MIN(1,'01_Нормативы'!$C$6/SUM(I$2:I$429)),0)</f>
        <v/>
      </c>
      <c r="S382" s="10">
        <f>IFERROR(J382*MIN(1,'01_Нормативы'!$C$7/SUM(J$2:J$429)),0)</f>
        <v/>
      </c>
      <c r="T382" s="10">
        <f>IFERROR(K382*MIN(1,'01_Нормативы'!$C$8/SUM(K$2:K$429)),0)</f>
        <v/>
      </c>
      <c r="U382" s="10">
        <f>IFERROR(L382*MIN(1,'01_Нормативы'!$C$9/SUM(L$2:L$429)),0)</f>
        <v/>
      </c>
      <c r="V382" s="10">
        <f>IFERROR(M382*MIN(1,'01_Нормативы'!$C$10/SUM(M$2:M$429)),0)</f>
        <v/>
      </c>
      <c r="W382" s="10">
        <f>IFERROR(N382*MIN(1,'01_Нормативы'!$C$11/SUM(N$2:N$429)),0)</f>
        <v/>
      </c>
      <c r="X382" s="10">
        <f>SUM(P382:W382)</f>
        <v/>
      </c>
      <c r="Y382" s="10">
        <f>MAX(0,C382-X382)</f>
        <v/>
      </c>
      <c r="Z382" s="10">
        <f>IF(D382=0,100,X382/D382*100)</f>
        <v/>
      </c>
      <c r="AA382" s="10">
        <f>'02_Данные'!F382+'02_Данные'!G382</f>
        <v/>
      </c>
      <c r="AB382" s="10">
        <f>MIN('02_Данные'!L382,AA382)</f>
        <v/>
      </c>
      <c r="AC382" s="10">
        <f>AA382-AB382</f>
        <v/>
      </c>
      <c r="AD382" s="10">
        <f>MIN('02_Данные'!M382,AC382)</f>
        <v/>
      </c>
      <c r="AE382" s="10">
        <f>AC382-AD382</f>
        <v/>
      </c>
      <c r="AF382" s="10">
        <f>MIN('02_Данные'!N382,AE382)</f>
        <v/>
      </c>
      <c r="AG382" s="10">
        <f>AE382-AF382</f>
        <v/>
      </c>
      <c r="AH382" s="10">
        <f>MIN('02_Данные'!S382,AG382)</f>
        <v/>
      </c>
      <c r="AI382" s="10">
        <f>AG382-AH382</f>
        <v/>
      </c>
      <c r="AJ382" s="10">
        <f>MIN('02_Данные'!P382,AI382)</f>
        <v/>
      </c>
      <c r="AK382" s="10">
        <f>AI382-AJ382</f>
        <v/>
      </c>
      <c r="AL382" s="10">
        <f>MIN('02_Данные'!O382,AK382)</f>
        <v/>
      </c>
      <c r="AM382" s="10">
        <f>AK382-AL382</f>
        <v/>
      </c>
      <c r="AN382" s="10">
        <f>MIN('02_Данные'!Q382,AM382)</f>
        <v/>
      </c>
      <c r="AO382" s="10">
        <f>AM382-AN382</f>
        <v/>
      </c>
      <c r="AP382" s="10">
        <f>MIN('02_Данные'!R382,AO382)</f>
        <v/>
      </c>
      <c r="AQ382" s="10">
        <f>AO382-AP382</f>
        <v/>
      </c>
      <c r="AR382" s="10">
        <f>AQ382+'02_Данные'!H382</f>
        <v/>
      </c>
      <c r="AS382" s="10">
        <f>MIN('02_Данные'!T382,AR382)</f>
        <v/>
      </c>
      <c r="AT382" s="10">
        <f>AR382-AS382</f>
        <v/>
      </c>
      <c r="AU382" s="10">
        <f>MIN('02_Данные'!U382,AT382)</f>
        <v/>
      </c>
      <c r="AV382" s="10">
        <f>AT382-AU382</f>
        <v/>
      </c>
      <c r="AW382" s="10">
        <f>MIN('02_Данные'!V382,AV382)</f>
        <v/>
      </c>
      <c r="AX382" s="10">
        <f>AV382-AW382</f>
        <v/>
      </c>
      <c r="AY382" s="10">
        <f>MIN('02_Данные'!AA382,AX382)</f>
        <v/>
      </c>
      <c r="AZ382" s="10">
        <f>AX382-AY382</f>
        <v/>
      </c>
      <c r="BA382" s="10">
        <f>MIN('02_Данные'!X382,AZ382)</f>
        <v/>
      </c>
      <c r="BB382" s="10">
        <f>AZ382-BA382</f>
        <v/>
      </c>
      <c r="BC382" s="10">
        <f>MIN('02_Данные'!W382,BB382)</f>
        <v/>
      </c>
      <c r="BD382" s="10">
        <f>BB382-BC382</f>
        <v/>
      </c>
      <c r="BE382" s="10">
        <f>MIN('02_Данные'!Y382,BD382)</f>
        <v/>
      </c>
      <c r="BF382" s="10">
        <f>BD382-BE382</f>
        <v/>
      </c>
      <c r="BG382" s="10">
        <f>MIN('02_Данные'!Z382,BF382)</f>
        <v/>
      </c>
      <c r="BH382" s="10">
        <f>BF382-BG382</f>
        <v/>
      </c>
      <c r="BI382" s="10">
        <f>BH382+'02_Данные'!I382</f>
        <v/>
      </c>
      <c r="BJ382" s="10">
        <f>MIN('02_Данные'!AB382,BI382)</f>
        <v/>
      </c>
      <c r="BK382" s="10">
        <f>BI382-BJ382</f>
        <v/>
      </c>
      <c r="BL382" s="10">
        <f>MIN('02_Данные'!AC382,BK382)</f>
        <v/>
      </c>
      <c r="BM382" s="10">
        <f>BK382-BL382</f>
        <v/>
      </c>
      <c r="BN382" s="10">
        <f>MIN('02_Данные'!AD382,BM382)</f>
        <v/>
      </c>
      <c r="BO382" s="10">
        <f>BM382-BN382</f>
        <v/>
      </c>
      <c r="BP382" s="10">
        <f>MIN('02_Данные'!AI382,BO382)</f>
        <v/>
      </c>
      <c r="BQ382" s="10">
        <f>BO382-BP382</f>
        <v/>
      </c>
      <c r="BR382" s="10">
        <f>MIN('02_Данные'!AF382,BQ382)</f>
        <v/>
      </c>
      <c r="BS382" s="10">
        <f>BQ382-BR382</f>
        <v/>
      </c>
      <c r="BT382" s="10">
        <f>MIN('02_Данные'!AE382,BS382)</f>
        <v/>
      </c>
      <c r="BU382" s="10">
        <f>BS382-BT382</f>
        <v/>
      </c>
      <c r="BV382" s="10">
        <f>MIN('02_Данные'!AG382,BU382)</f>
        <v/>
      </c>
      <c r="BW382" s="10">
        <f>BU382-BV382</f>
        <v/>
      </c>
      <c r="BX382" s="10">
        <f>MIN('02_Данные'!AH382,BW382)</f>
        <v/>
      </c>
      <c r="BY382" s="10">
        <f>BW382-BX382</f>
        <v/>
      </c>
      <c r="BZ382" s="10">
        <f>BY382+'02_Данные'!J382</f>
        <v/>
      </c>
      <c r="CA382" s="10">
        <f>MIN('02_Данные'!AJ382,BZ382)</f>
        <v/>
      </c>
      <c r="CB382" s="10">
        <f>BZ382-CA382</f>
        <v/>
      </c>
      <c r="CC382" s="10">
        <f>MIN('02_Данные'!AK382,CB382)</f>
        <v/>
      </c>
      <c r="CD382" s="10">
        <f>CB382-CC382</f>
        <v/>
      </c>
      <c r="CE382" s="10">
        <f>MIN('02_Данные'!AL382,CD382)</f>
        <v/>
      </c>
      <c r="CF382" s="10">
        <f>CD382-CE382</f>
        <v/>
      </c>
      <c r="CG382" s="10">
        <f>MIN('02_Данные'!AQ382,CF382)</f>
        <v/>
      </c>
      <c r="CH382" s="10">
        <f>CF382-CG382</f>
        <v/>
      </c>
      <c r="CI382" s="10">
        <f>MIN('02_Данные'!AN382,CH382)</f>
        <v/>
      </c>
      <c r="CJ382" s="10">
        <f>CH382-CI382</f>
        <v/>
      </c>
      <c r="CK382" s="10">
        <f>MIN('02_Данные'!AM382,CJ382)</f>
        <v/>
      </c>
      <c r="CL382" s="10">
        <f>CJ382-CK382</f>
        <v/>
      </c>
      <c r="CM382" s="10">
        <f>MIN('02_Данные'!AO382,CL382)</f>
        <v/>
      </c>
      <c r="CN382" s="10">
        <f>CL382-CM382</f>
        <v/>
      </c>
      <c r="CO382" s="10">
        <f>MIN('02_Данные'!AP382,CN382)</f>
        <v/>
      </c>
      <c r="CP382" s="10">
        <f>CN382-CO382</f>
        <v/>
      </c>
      <c r="CQ382" s="10">
        <f>CP382+'02_Данные'!K382</f>
        <v/>
      </c>
      <c r="CR382" s="10">
        <f>MIN('02_Данные'!AR382,CQ382)</f>
        <v/>
      </c>
      <c r="CS382" s="10">
        <f>CQ382-CR382</f>
        <v/>
      </c>
      <c r="CT382" s="10">
        <f>MIN('02_Данные'!AS382,CS382)</f>
        <v/>
      </c>
      <c r="CU382" s="10">
        <f>CS382-CT382</f>
        <v/>
      </c>
      <c r="CV382" s="10">
        <f>MIN('02_Данные'!AT382,CU382)</f>
        <v/>
      </c>
      <c r="CW382" s="10">
        <f>CU382-CV382</f>
        <v/>
      </c>
      <c r="CX382" s="10">
        <f>MIN('02_Данные'!AY382,CW382)</f>
        <v/>
      </c>
      <c r="CY382" s="10">
        <f>CW382-CX382</f>
        <v/>
      </c>
      <c r="CZ382" s="10">
        <f>MIN('02_Данные'!AV382,CY382)</f>
        <v/>
      </c>
      <c r="DA382" s="10">
        <f>CY382-CZ382</f>
        <v/>
      </c>
      <c r="DB382" s="10">
        <f>MIN('02_Данные'!AU382,DA382)</f>
        <v/>
      </c>
      <c r="DC382" s="10">
        <f>DA382-DB382</f>
        <v/>
      </c>
      <c r="DD382" s="10">
        <f>MIN('02_Данные'!AW382,DC382)</f>
        <v/>
      </c>
      <c r="DE382" s="10">
        <f>DC382-DD382</f>
        <v/>
      </c>
      <c r="DF382" s="10">
        <f>MIN('02_Данные'!AX382,DE382)</f>
        <v/>
      </c>
      <c r="DG382" s="10">
        <f>DE382-DF382</f>
        <v/>
      </c>
    </row>
    <row r="383">
      <c r="A383" s="9">
        <f>'02_Данные'!B383</f>
        <v/>
      </c>
      <c r="B383" s="9">
        <f>'02_Данные'!E383</f>
        <v/>
      </c>
      <c r="C383" s="10">
        <f>'02_Данные'!F383+'02_Данные'!G383+'02_Данные'!H383+'02_Данные'!I383+'02_Данные'!J383+'02_Данные'!K383</f>
        <v/>
      </c>
      <c r="D383" s="10">
        <f>SUM('02_Данные'!L383:'02_Данные'!AY383)</f>
        <v/>
      </c>
      <c r="E383" s="10">
        <f>MAX(0,D383-C383)</f>
        <v/>
      </c>
      <c r="F383" s="15">
        <f>IF(E383&gt;0.0001,"ДЕФИЦИТ",IF(Y383&gt;0.0001,"ПРОФИЦИТ","БАЛАНС"))</f>
        <v/>
      </c>
      <c r="G383" s="10">
        <f>AB383+AS383+BJ383+CA383+CR383</f>
        <v/>
      </c>
      <c r="H383" s="10">
        <f>AD383+AU383+BL383+CC383+CT383</f>
        <v/>
      </c>
      <c r="I383" s="10">
        <f>AF383+AW383+BN383+CE383+CV383</f>
        <v/>
      </c>
      <c r="J383" s="10">
        <f>AL383+BC383+BT383+CK383+DB383</f>
        <v/>
      </c>
      <c r="K383" s="10">
        <f>AJ383+BA383+BR383+CI383+CZ383</f>
        <v/>
      </c>
      <c r="L383" s="10">
        <f>AN383+BE383+BV383+CM383+DD383</f>
        <v/>
      </c>
      <c r="M383" s="10">
        <f>AP383+BG383+BX383+CO383+DF383</f>
        <v/>
      </c>
      <c r="N383" s="10">
        <f>AH383+AY383+BP383+CG383+CX383</f>
        <v/>
      </c>
      <c r="O383" s="10">
        <f>SUM(G383:N383)</f>
        <v/>
      </c>
      <c r="P383" s="10">
        <f>IFERROR(G383*MIN(1,'01_Нормативы'!$C$4/SUM(G$2:G$429)),0)</f>
        <v/>
      </c>
      <c r="Q383" s="10">
        <f>IFERROR(H383*MIN(1,'01_Нормативы'!$C$5/SUM(H$2:H$429)),0)</f>
        <v/>
      </c>
      <c r="R383" s="10">
        <f>IFERROR(I383*MIN(1,'01_Нормативы'!$C$6/SUM(I$2:I$429)),0)</f>
        <v/>
      </c>
      <c r="S383" s="10">
        <f>IFERROR(J383*MIN(1,'01_Нормативы'!$C$7/SUM(J$2:J$429)),0)</f>
        <v/>
      </c>
      <c r="T383" s="10">
        <f>IFERROR(K383*MIN(1,'01_Нормативы'!$C$8/SUM(K$2:K$429)),0)</f>
        <v/>
      </c>
      <c r="U383" s="10">
        <f>IFERROR(L383*MIN(1,'01_Нормативы'!$C$9/SUM(L$2:L$429)),0)</f>
        <v/>
      </c>
      <c r="V383" s="10">
        <f>IFERROR(M383*MIN(1,'01_Нормативы'!$C$10/SUM(M$2:M$429)),0)</f>
        <v/>
      </c>
      <c r="W383" s="10">
        <f>IFERROR(N383*MIN(1,'01_Нормативы'!$C$11/SUM(N$2:N$429)),0)</f>
        <v/>
      </c>
      <c r="X383" s="10">
        <f>SUM(P383:W383)</f>
        <v/>
      </c>
      <c r="Y383" s="10">
        <f>MAX(0,C383-X383)</f>
        <v/>
      </c>
      <c r="Z383" s="10">
        <f>IF(D383=0,100,X383/D383*100)</f>
        <v/>
      </c>
      <c r="AA383" s="10">
        <f>'02_Данные'!F383+'02_Данные'!G383</f>
        <v/>
      </c>
      <c r="AB383" s="10">
        <f>MIN('02_Данные'!L383,AA383)</f>
        <v/>
      </c>
      <c r="AC383" s="10">
        <f>AA383-AB383</f>
        <v/>
      </c>
      <c r="AD383" s="10">
        <f>MIN('02_Данные'!M383,AC383)</f>
        <v/>
      </c>
      <c r="AE383" s="10">
        <f>AC383-AD383</f>
        <v/>
      </c>
      <c r="AF383" s="10">
        <f>MIN('02_Данные'!N383,AE383)</f>
        <v/>
      </c>
      <c r="AG383" s="10">
        <f>AE383-AF383</f>
        <v/>
      </c>
      <c r="AH383" s="10">
        <f>MIN('02_Данные'!S383,AG383)</f>
        <v/>
      </c>
      <c r="AI383" s="10">
        <f>AG383-AH383</f>
        <v/>
      </c>
      <c r="AJ383" s="10">
        <f>MIN('02_Данные'!P383,AI383)</f>
        <v/>
      </c>
      <c r="AK383" s="10">
        <f>AI383-AJ383</f>
        <v/>
      </c>
      <c r="AL383" s="10">
        <f>MIN('02_Данные'!O383,AK383)</f>
        <v/>
      </c>
      <c r="AM383" s="10">
        <f>AK383-AL383</f>
        <v/>
      </c>
      <c r="AN383" s="10">
        <f>MIN('02_Данные'!Q383,AM383)</f>
        <v/>
      </c>
      <c r="AO383" s="10">
        <f>AM383-AN383</f>
        <v/>
      </c>
      <c r="AP383" s="10">
        <f>MIN('02_Данные'!R383,AO383)</f>
        <v/>
      </c>
      <c r="AQ383" s="10">
        <f>AO383-AP383</f>
        <v/>
      </c>
      <c r="AR383" s="10">
        <f>AQ383+'02_Данные'!H383</f>
        <v/>
      </c>
      <c r="AS383" s="10">
        <f>MIN('02_Данные'!T383,AR383)</f>
        <v/>
      </c>
      <c r="AT383" s="10">
        <f>AR383-AS383</f>
        <v/>
      </c>
      <c r="AU383" s="10">
        <f>MIN('02_Данные'!U383,AT383)</f>
        <v/>
      </c>
      <c r="AV383" s="10">
        <f>AT383-AU383</f>
        <v/>
      </c>
      <c r="AW383" s="10">
        <f>MIN('02_Данные'!V383,AV383)</f>
        <v/>
      </c>
      <c r="AX383" s="10">
        <f>AV383-AW383</f>
        <v/>
      </c>
      <c r="AY383" s="10">
        <f>MIN('02_Данные'!AA383,AX383)</f>
        <v/>
      </c>
      <c r="AZ383" s="10">
        <f>AX383-AY383</f>
        <v/>
      </c>
      <c r="BA383" s="10">
        <f>MIN('02_Данные'!X383,AZ383)</f>
        <v/>
      </c>
      <c r="BB383" s="10">
        <f>AZ383-BA383</f>
        <v/>
      </c>
      <c r="BC383" s="10">
        <f>MIN('02_Данные'!W383,BB383)</f>
        <v/>
      </c>
      <c r="BD383" s="10">
        <f>BB383-BC383</f>
        <v/>
      </c>
      <c r="BE383" s="10">
        <f>MIN('02_Данные'!Y383,BD383)</f>
        <v/>
      </c>
      <c r="BF383" s="10">
        <f>BD383-BE383</f>
        <v/>
      </c>
      <c r="BG383" s="10">
        <f>MIN('02_Данные'!Z383,BF383)</f>
        <v/>
      </c>
      <c r="BH383" s="10">
        <f>BF383-BG383</f>
        <v/>
      </c>
      <c r="BI383" s="10">
        <f>BH383+'02_Данные'!I383</f>
        <v/>
      </c>
      <c r="BJ383" s="10">
        <f>MIN('02_Данные'!AB383,BI383)</f>
        <v/>
      </c>
      <c r="BK383" s="10">
        <f>BI383-BJ383</f>
        <v/>
      </c>
      <c r="BL383" s="10">
        <f>MIN('02_Данные'!AC383,BK383)</f>
        <v/>
      </c>
      <c r="BM383" s="10">
        <f>BK383-BL383</f>
        <v/>
      </c>
      <c r="BN383" s="10">
        <f>MIN('02_Данные'!AD383,BM383)</f>
        <v/>
      </c>
      <c r="BO383" s="10">
        <f>BM383-BN383</f>
        <v/>
      </c>
      <c r="BP383" s="10">
        <f>MIN('02_Данные'!AI383,BO383)</f>
        <v/>
      </c>
      <c r="BQ383" s="10">
        <f>BO383-BP383</f>
        <v/>
      </c>
      <c r="BR383" s="10">
        <f>MIN('02_Данные'!AF383,BQ383)</f>
        <v/>
      </c>
      <c r="BS383" s="10">
        <f>BQ383-BR383</f>
        <v/>
      </c>
      <c r="BT383" s="10">
        <f>MIN('02_Данные'!AE383,BS383)</f>
        <v/>
      </c>
      <c r="BU383" s="10">
        <f>BS383-BT383</f>
        <v/>
      </c>
      <c r="BV383" s="10">
        <f>MIN('02_Данные'!AG383,BU383)</f>
        <v/>
      </c>
      <c r="BW383" s="10">
        <f>BU383-BV383</f>
        <v/>
      </c>
      <c r="BX383" s="10">
        <f>MIN('02_Данные'!AH383,BW383)</f>
        <v/>
      </c>
      <c r="BY383" s="10">
        <f>BW383-BX383</f>
        <v/>
      </c>
      <c r="BZ383" s="10">
        <f>BY383+'02_Данные'!J383</f>
        <v/>
      </c>
      <c r="CA383" s="10">
        <f>MIN('02_Данные'!AJ383,BZ383)</f>
        <v/>
      </c>
      <c r="CB383" s="10">
        <f>BZ383-CA383</f>
        <v/>
      </c>
      <c r="CC383" s="10">
        <f>MIN('02_Данные'!AK383,CB383)</f>
        <v/>
      </c>
      <c r="CD383" s="10">
        <f>CB383-CC383</f>
        <v/>
      </c>
      <c r="CE383" s="10">
        <f>MIN('02_Данные'!AL383,CD383)</f>
        <v/>
      </c>
      <c r="CF383" s="10">
        <f>CD383-CE383</f>
        <v/>
      </c>
      <c r="CG383" s="10">
        <f>MIN('02_Данные'!AQ383,CF383)</f>
        <v/>
      </c>
      <c r="CH383" s="10">
        <f>CF383-CG383</f>
        <v/>
      </c>
      <c r="CI383" s="10">
        <f>MIN('02_Данные'!AN383,CH383)</f>
        <v/>
      </c>
      <c r="CJ383" s="10">
        <f>CH383-CI383</f>
        <v/>
      </c>
      <c r="CK383" s="10">
        <f>MIN('02_Данные'!AM383,CJ383)</f>
        <v/>
      </c>
      <c r="CL383" s="10">
        <f>CJ383-CK383</f>
        <v/>
      </c>
      <c r="CM383" s="10">
        <f>MIN('02_Данные'!AO383,CL383)</f>
        <v/>
      </c>
      <c r="CN383" s="10">
        <f>CL383-CM383</f>
        <v/>
      </c>
      <c r="CO383" s="10">
        <f>MIN('02_Данные'!AP383,CN383)</f>
        <v/>
      </c>
      <c r="CP383" s="10">
        <f>CN383-CO383</f>
        <v/>
      </c>
      <c r="CQ383" s="10">
        <f>CP383+'02_Данные'!K383</f>
        <v/>
      </c>
      <c r="CR383" s="10">
        <f>MIN('02_Данные'!AR383,CQ383)</f>
        <v/>
      </c>
      <c r="CS383" s="10">
        <f>CQ383-CR383</f>
        <v/>
      </c>
      <c r="CT383" s="10">
        <f>MIN('02_Данные'!AS383,CS383)</f>
        <v/>
      </c>
      <c r="CU383" s="10">
        <f>CS383-CT383</f>
        <v/>
      </c>
      <c r="CV383" s="10">
        <f>MIN('02_Данные'!AT383,CU383)</f>
        <v/>
      </c>
      <c r="CW383" s="10">
        <f>CU383-CV383</f>
        <v/>
      </c>
      <c r="CX383" s="10">
        <f>MIN('02_Данные'!AY383,CW383)</f>
        <v/>
      </c>
      <c r="CY383" s="10">
        <f>CW383-CX383</f>
        <v/>
      </c>
      <c r="CZ383" s="10">
        <f>MIN('02_Данные'!AV383,CY383)</f>
        <v/>
      </c>
      <c r="DA383" s="10">
        <f>CY383-CZ383</f>
        <v/>
      </c>
      <c r="DB383" s="10">
        <f>MIN('02_Данные'!AU383,DA383)</f>
        <v/>
      </c>
      <c r="DC383" s="10">
        <f>DA383-DB383</f>
        <v/>
      </c>
      <c r="DD383" s="10">
        <f>MIN('02_Данные'!AW383,DC383)</f>
        <v/>
      </c>
      <c r="DE383" s="10">
        <f>DC383-DD383</f>
        <v/>
      </c>
      <c r="DF383" s="10">
        <f>MIN('02_Данные'!AX383,DE383)</f>
        <v/>
      </c>
      <c r="DG383" s="10">
        <f>DE383-DF383</f>
        <v/>
      </c>
    </row>
    <row r="384">
      <c r="A384" s="9">
        <f>'02_Данные'!B384</f>
        <v/>
      </c>
      <c r="B384" s="9">
        <f>'02_Данные'!E384</f>
        <v/>
      </c>
      <c r="C384" s="10">
        <f>'02_Данные'!F384+'02_Данные'!G384+'02_Данные'!H384+'02_Данные'!I384+'02_Данные'!J384+'02_Данные'!K384</f>
        <v/>
      </c>
      <c r="D384" s="10">
        <f>SUM('02_Данные'!L384:'02_Данные'!AY384)</f>
        <v/>
      </c>
      <c r="E384" s="10">
        <f>MAX(0,D384-C384)</f>
        <v/>
      </c>
      <c r="F384" s="15">
        <f>IF(E384&gt;0.0001,"ДЕФИЦИТ",IF(Y384&gt;0.0001,"ПРОФИЦИТ","БАЛАНС"))</f>
        <v/>
      </c>
      <c r="G384" s="10">
        <f>AB384+AS384+BJ384+CA384+CR384</f>
        <v/>
      </c>
      <c r="H384" s="10">
        <f>AD384+AU384+BL384+CC384+CT384</f>
        <v/>
      </c>
      <c r="I384" s="10">
        <f>AF384+AW384+BN384+CE384+CV384</f>
        <v/>
      </c>
      <c r="J384" s="10">
        <f>AL384+BC384+BT384+CK384+DB384</f>
        <v/>
      </c>
      <c r="K384" s="10">
        <f>AJ384+BA384+BR384+CI384+CZ384</f>
        <v/>
      </c>
      <c r="L384" s="10">
        <f>AN384+BE384+BV384+CM384+DD384</f>
        <v/>
      </c>
      <c r="M384" s="10">
        <f>AP384+BG384+BX384+CO384+DF384</f>
        <v/>
      </c>
      <c r="N384" s="10">
        <f>AH384+AY384+BP384+CG384+CX384</f>
        <v/>
      </c>
      <c r="O384" s="10">
        <f>SUM(G384:N384)</f>
        <v/>
      </c>
      <c r="P384" s="10">
        <f>IFERROR(G384*MIN(1,'01_Нормативы'!$C$4/SUM(G$2:G$429)),0)</f>
        <v/>
      </c>
      <c r="Q384" s="10">
        <f>IFERROR(H384*MIN(1,'01_Нормативы'!$C$5/SUM(H$2:H$429)),0)</f>
        <v/>
      </c>
      <c r="R384" s="10">
        <f>IFERROR(I384*MIN(1,'01_Нормативы'!$C$6/SUM(I$2:I$429)),0)</f>
        <v/>
      </c>
      <c r="S384" s="10">
        <f>IFERROR(J384*MIN(1,'01_Нормативы'!$C$7/SUM(J$2:J$429)),0)</f>
        <v/>
      </c>
      <c r="T384" s="10">
        <f>IFERROR(K384*MIN(1,'01_Нормативы'!$C$8/SUM(K$2:K$429)),0)</f>
        <v/>
      </c>
      <c r="U384" s="10">
        <f>IFERROR(L384*MIN(1,'01_Нормативы'!$C$9/SUM(L$2:L$429)),0)</f>
        <v/>
      </c>
      <c r="V384" s="10">
        <f>IFERROR(M384*MIN(1,'01_Нормативы'!$C$10/SUM(M$2:M$429)),0)</f>
        <v/>
      </c>
      <c r="W384" s="10">
        <f>IFERROR(N384*MIN(1,'01_Нормативы'!$C$11/SUM(N$2:N$429)),0)</f>
        <v/>
      </c>
      <c r="X384" s="10">
        <f>SUM(P384:W384)</f>
        <v/>
      </c>
      <c r="Y384" s="10">
        <f>MAX(0,C384-X384)</f>
        <v/>
      </c>
      <c r="Z384" s="10">
        <f>IF(D384=0,100,X384/D384*100)</f>
        <v/>
      </c>
      <c r="AA384" s="10">
        <f>'02_Данные'!F384+'02_Данные'!G384</f>
        <v/>
      </c>
      <c r="AB384" s="10">
        <f>MIN('02_Данные'!L384,AA384)</f>
        <v/>
      </c>
      <c r="AC384" s="10">
        <f>AA384-AB384</f>
        <v/>
      </c>
      <c r="AD384" s="10">
        <f>MIN('02_Данные'!M384,AC384)</f>
        <v/>
      </c>
      <c r="AE384" s="10">
        <f>AC384-AD384</f>
        <v/>
      </c>
      <c r="AF384" s="10">
        <f>MIN('02_Данные'!N384,AE384)</f>
        <v/>
      </c>
      <c r="AG384" s="10">
        <f>AE384-AF384</f>
        <v/>
      </c>
      <c r="AH384" s="10">
        <f>MIN('02_Данные'!S384,AG384)</f>
        <v/>
      </c>
      <c r="AI384" s="10">
        <f>AG384-AH384</f>
        <v/>
      </c>
      <c r="AJ384" s="10">
        <f>MIN('02_Данные'!P384,AI384)</f>
        <v/>
      </c>
      <c r="AK384" s="10">
        <f>AI384-AJ384</f>
        <v/>
      </c>
      <c r="AL384" s="10">
        <f>MIN('02_Данные'!O384,AK384)</f>
        <v/>
      </c>
      <c r="AM384" s="10">
        <f>AK384-AL384</f>
        <v/>
      </c>
      <c r="AN384" s="10">
        <f>MIN('02_Данные'!Q384,AM384)</f>
        <v/>
      </c>
      <c r="AO384" s="10">
        <f>AM384-AN384</f>
        <v/>
      </c>
      <c r="AP384" s="10">
        <f>MIN('02_Данные'!R384,AO384)</f>
        <v/>
      </c>
      <c r="AQ384" s="10">
        <f>AO384-AP384</f>
        <v/>
      </c>
      <c r="AR384" s="10">
        <f>AQ384+'02_Данные'!H384</f>
        <v/>
      </c>
      <c r="AS384" s="10">
        <f>MIN('02_Данные'!T384,AR384)</f>
        <v/>
      </c>
      <c r="AT384" s="10">
        <f>AR384-AS384</f>
        <v/>
      </c>
      <c r="AU384" s="10">
        <f>MIN('02_Данные'!U384,AT384)</f>
        <v/>
      </c>
      <c r="AV384" s="10">
        <f>AT384-AU384</f>
        <v/>
      </c>
      <c r="AW384" s="10">
        <f>MIN('02_Данные'!V384,AV384)</f>
        <v/>
      </c>
      <c r="AX384" s="10">
        <f>AV384-AW384</f>
        <v/>
      </c>
      <c r="AY384" s="10">
        <f>MIN('02_Данные'!AA384,AX384)</f>
        <v/>
      </c>
      <c r="AZ384" s="10">
        <f>AX384-AY384</f>
        <v/>
      </c>
      <c r="BA384" s="10">
        <f>MIN('02_Данные'!X384,AZ384)</f>
        <v/>
      </c>
      <c r="BB384" s="10">
        <f>AZ384-BA384</f>
        <v/>
      </c>
      <c r="BC384" s="10">
        <f>MIN('02_Данные'!W384,BB384)</f>
        <v/>
      </c>
      <c r="BD384" s="10">
        <f>BB384-BC384</f>
        <v/>
      </c>
      <c r="BE384" s="10">
        <f>MIN('02_Данные'!Y384,BD384)</f>
        <v/>
      </c>
      <c r="BF384" s="10">
        <f>BD384-BE384</f>
        <v/>
      </c>
      <c r="BG384" s="10">
        <f>MIN('02_Данные'!Z384,BF384)</f>
        <v/>
      </c>
      <c r="BH384" s="10">
        <f>BF384-BG384</f>
        <v/>
      </c>
      <c r="BI384" s="10">
        <f>BH384+'02_Данные'!I384</f>
        <v/>
      </c>
      <c r="BJ384" s="10">
        <f>MIN('02_Данные'!AB384,BI384)</f>
        <v/>
      </c>
      <c r="BK384" s="10">
        <f>BI384-BJ384</f>
        <v/>
      </c>
      <c r="BL384" s="10">
        <f>MIN('02_Данные'!AC384,BK384)</f>
        <v/>
      </c>
      <c r="BM384" s="10">
        <f>BK384-BL384</f>
        <v/>
      </c>
      <c r="BN384" s="10">
        <f>MIN('02_Данные'!AD384,BM384)</f>
        <v/>
      </c>
      <c r="BO384" s="10">
        <f>BM384-BN384</f>
        <v/>
      </c>
      <c r="BP384" s="10">
        <f>MIN('02_Данные'!AI384,BO384)</f>
        <v/>
      </c>
      <c r="BQ384" s="10">
        <f>BO384-BP384</f>
        <v/>
      </c>
      <c r="BR384" s="10">
        <f>MIN('02_Данные'!AF384,BQ384)</f>
        <v/>
      </c>
      <c r="BS384" s="10">
        <f>BQ384-BR384</f>
        <v/>
      </c>
      <c r="BT384" s="10">
        <f>MIN('02_Данные'!AE384,BS384)</f>
        <v/>
      </c>
      <c r="BU384" s="10">
        <f>BS384-BT384</f>
        <v/>
      </c>
      <c r="BV384" s="10">
        <f>MIN('02_Данные'!AG384,BU384)</f>
        <v/>
      </c>
      <c r="BW384" s="10">
        <f>BU384-BV384</f>
        <v/>
      </c>
      <c r="BX384" s="10">
        <f>MIN('02_Данные'!AH384,BW384)</f>
        <v/>
      </c>
      <c r="BY384" s="10">
        <f>BW384-BX384</f>
        <v/>
      </c>
      <c r="BZ384" s="10">
        <f>BY384+'02_Данные'!J384</f>
        <v/>
      </c>
      <c r="CA384" s="10">
        <f>MIN('02_Данные'!AJ384,BZ384)</f>
        <v/>
      </c>
      <c r="CB384" s="10">
        <f>BZ384-CA384</f>
        <v/>
      </c>
      <c r="CC384" s="10">
        <f>MIN('02_Данные'!AK384,CB384)</f>
        <v/>
      </c>
      <c r="CD384" s="10">
        <f>CB384-CC384</f>
        <v/>
      </c>
      <c r="CE384" s="10">
        <f>MIN('02_Данные'!AL384,CD384)</f>
        <v/>
      </c>
      <c r="CF384" s="10">
        <f>CD384-CE384</f>
        <v/>
      </c>
      <c r="CG384" s="10">
        <f>MIN('02_Данные'!AQ384,CF384)</f>
        <v/>
      </c>
      <c r="CH384" s="10">
        <f>CF384-CG384</f>
        <v/>
      </c>
      <c r="CI384" s="10">
        <f>MIN('02_Данные'!AN384,CH384)</f>
        <v/>
      </c>
      <c r="CJ384" s="10">
        <f>CH384-CI384</f>
        <v/>
      </c>
      <c r="CK384" s="10">
        <f>MIN('02_Данные'!AM384,CJ384)</f>
        <v/>
      </c>
      <c r="CL384" s="10">
        <f>CJ384-CK384</f>
        <v/>
      </c>
      <c r="CM384" s="10">
        <f>MIN('02_Данные'!AO384,CL384)</f>
        <v/>
      </c>
      <c r="CN384" s="10">
        <f>CL384-CM384</f>
        <v/>
      </c>
      <c r="CO384" s="10">
        <f>MIN('02_Данные'!AP384,CN384)</f>
        <v/>
      </c>
      <c r="CP384" s="10">
        <f>CN384-CO384</f>
        <v/>
      </c>
      <c r="CQ384" s="10">
        <f>CP384+'02_Данные'!K384</f>
        <v/>
      </c>
      <c r="CR384" s="10">
        <f>MIN('02_Данные'!AR384,CQ384)</f>
        <v/>
      </c>
      <c r="CS384" s="10">
        <f>CQ384-CR384</f>
        <v/>
      </c>
      <c r="CT384" s="10">
        <f>MIN('02_Данные'!AS384,CS384)</f>
        <v/>
      </c>
      <c r="CU384" s="10">
        <f>CS384-CT384</f>
        <v/>
      </c>
      <c r="CV384" s="10">
        <f>MIN('02_Данные'!AT384,CU384)</f>
        <v/>
      </c>
      <c r="CW384" s="10">
        <f>CU384-CV384</f>
        <v/>
      </c>
      <c r="CX384" s="10">
        <f>MIN('02_Данные'!AY384,CW384)</f>
        <v/>
      </c>
      <c r="CY384" s="10">
        <f>CW384-CX384</f>
        <v/>
      </c>
      <c r="CZ384" s="10">
        <f>MIN('02_Данные'!AV384,CY384)</f>
        <v/>
      </c>
      <c r="DA384" s="10">
        <f>CY384-CZ384</f>
        <v/>
      </c>
      <c r="DB384" s="10">
        <f>MIN('02_Данные'!AU384,DA384)</f>
        <v/>
      </c>
      <c r="DC384" s="10">
        <f>DA384-DB384</f>
        <v/>
      </c>
      <c r="DD384" s="10">
        <f>MIN('02_Данные'!AW384,DC384)</f>
        <v/>
      </c>
      <c r="DE384" s="10">
        <f>DC384-DD384</f>
        <v/>
      </c>
      <c r="DF384" s="10">
        <f>MIN('02_Данные'!AX384,DE384)</f>
        <v/>
      </c>
      <c r="DG384" s="10">
        <f>DE384-DF384</f>
        <v/>
      </c>
    </row>
    <row r="385">
      <c r="A385" s="9">
        <f>'02_Данные'!B385</f>
        <v/>
      </c>
      <c r="B385" s="9">
        <f>'02_Данные'!E385</f>
        <v/>
      </c>
      <c r="C385" s="10">
        <f>'02_Данные'!F385+'02_Данные'!G385+'02_Данные'!H385+'02_Данные'!I385+'02_Данные'!J385+'02_Данные'!K385</f>
        <v/>
      </c>
      <c r="D385" s="10">
        <f>SUM('02_Данные'!L385:'02_Данные'!AY385)</f>
        <v/>
      </c>
      <c r="E385" s="10">
        <f>MAX(0,D385-C385)</f>
        <v/>
      </c>
      <c r="F385" s="15">
        <f>IF(E385&gt;0.0001,"ДЕФИЦИТ",IF(Y385&gt;0.0001,"ПРОФИЦИТ","БАЛАНС"))</f>
        <v/>
      </c>
      <c r="G385" s="10">
        <f>AB385+AS385+BJ385+CA385+CR385</f>
        <v/>
      </c>
      <c r="H385" s="10">
        <f>AD385+AU385+BL385+CC385+CT385</f>
        <v/>
      </c>
      <c r="I385" s="10">
        <f>AF385+AW385+BN385+CE385+CV385</f>
        <v/>
      </c>
      <c r="J385" s="10">
        <f>AL385+BC385+BT385+CK385+DB385</f>
        <v/>
      </c>
      <c r="K385" s="10">
        <f>AJ385+BA385+BR385+CI385+CZ385</f>
        <v/>
      </c>
      <c r="L385" s="10">
        <f>AN385+BE385+BV385+CM385+DD385</f>
        <v/>
      </c>
      <c r="M385" s="10">
        <f>AP385+BG385+BX385+CO385+DF385</f>
        <v/>
      </c>
      <c r="N385" s="10">
        <f>AH385+AY385+BP385+CG385+CX385</f>
        <v/>
      </c>
      <c r="O385" s="10">
        <f>SUM(G385:N385)</f>
        <v/>
      </c>
      <c r="P385" s="10">
        <f>IFERROR(G385*MIN(1,'01_Нормативы'!$C$4/SUM(G$2:G$429)),0)</f>
        <v/>
      </c>
      <c r="Q385" s="10">
        <f>IFERROR(H385*MIN(1,'01_Нормативы'!$C$5/SUM(H$2:H$429)),0)</f>
        <v/>
      </c>
      <c r="R385" s="10">
        <f>IFERROR(I385*MIN(1,'01_Нормативы'!$C$6/SUM(I$2:I$429)),0)</f>
        <v/>
      </c>
      <c r="S385" s="10">
        <f>IFERROR(J385*MIN(1,'01_Нормативы'!$C$7/SUM(J$2:J$429)),0)</f>
        <v/>
      </c>
      <c r="T385" s="10">
        <f>IFERROR(K385*MIN(1,'01_Нормативы'!$C$8/SUM(K$2:K$429)),0)</f>
        <v/>
      </c>
      <c r="U385" s="10">
        <f>IFERROR(L385*MIN(1,'01_Нормативы'!$C$9/SUM(L$2:L$429)),0)</f>
        <v/>
      </c>
      <c r="V385" s="10">
        <f>IFERROR(M385*MIN(1,'01_Нормативы'!$C$10/SUM(M$2:M$429)),0)</f>
        <v/>
      </c>
      <c r="W385" s="10">
        <f>IFERROR(N385*MIN(1,'01_Нормативы'!$C$11/SUM(N$2:N$429)),0)</f>
        <v/>
      </c>
      <c r="X385" s="10">
        <f>SUM(P385:W385)</f>
        <v/>
      </c>
      <c r="Y385" s="10">
        <f>MAX(0,C385-X385)</f>
        <v/>
      </c>
      <c r="Z385" s="10">
        <f>IF(D385=0,100,X385/D385*100)</f>
        <v/>
      </c>
      <c r="AA385" s="10">
        <f>'02_Данные'!F385+'02_Данные'!G385</f>
        <v/>
      </c>
      <c r="AB385" s="10">
        <f>MIN('02_Данные'!L385,AA385)</f>
        <v/>
      </c>
      <c r="AC385" s="10">
        <f>AA385-AB385</f>
        <v/>
      </c>
      <c r="AD385" s="10">
        <f>MIN('02_Данные'!M385,AC385)</f>
        <v/>
      </c>
      <c r="AE385" s="10">
        <f>AC385-AD385</f>
        <v/>
      </c>
      <c r="AF385" s="10">
        <f>MIN('02_Данные'!N385,AE385)</f>
        <v/>
      </c>
      <c r="AG385" s="10">
        <f>AE385-AF385</f>
        <v/>
      </c>
      <c r="AH385" s="10">
        <f>MIN('02_Данные'!S385,AG385)</f>
        <v/>
      </c>
      <c r="AI385" s="10">
        <f>AG385-AH385</f>
        <v/>
      </c>
      <c r="AJ385" s="10">
        <f>MIN('02_Данные'!P385,AI385)</f>
        <v/>
      </c>
      <c r="AK385" s="10">
        <f>AI385-AJ385</f>
        <v/>
      </c>
      <c r="AL385" s="10">
        <f>MIN('02_Данные'!O385,AK385)</f>
        <v/>
      </c>
      <c r="AM385" s="10">
        <f>AK385-AL385</f>
        <v/>
      </c>
      <c r="AN385" s="10">
        <f>MIN('02_Данные'!Q385,AM385)</f>
        <v/>
      </c>
      <c r="AO385" s="10">
        <f>AM385-AN385</f>
        <v/>
      </c>
      <c r="AP385" s="10">
        <f>MIN('02_Данные'!R385,AO385)</f>
        <v/>
      </c>
      <c r="AQ385" s="10">
        <f>AO385-AP385</f>
        <v/>
      </c>
      <c r="AR385" s="10">
        <f>AQ385+'02_Данные'!H385</f>
        <v/>
      </c>
      <c r="AS385" s="10">
        <f>MIN('02_Данные'!T385,AR385)</f>
        <v/>
      </c>
      <c r="AT385" s="10">
        <f>AR385-AS385</f>
        <v/>
      </c>
      <c r="AU385" s="10">
        <f>MIN('02_Данные'!U385,AT385)</f>
        <v/>
      </c>
      <c r="AV385" s="10">
        <f>AT385-AU385</f>
        <v/>
      </c>
      <c r="AW385" s="10">
        <f>MIN('02_Данные'!V385,AV385)</f>
        <v/>
      </c>
      <c r="AX385" s="10">
        <f>AV385-AW385</f>
        <v/>
      </c>
      <c r="AY385" s="10">
        <f>MIN('02_Данные'!AA385,AX385)</f>
        <v/>
      </c>
      <c r="AZ385" s="10">
        <f>AX385-AY385</f>
        <v/>
      </c>
      <c r="BA385" s="10">
        <f>MIN('02_Данные'!X385,AZ385)</f>
        <v/>
      </c>
      <c r="BB385" s="10">
        <f>AZ385-BA385</f>
        <v/>
      </c>
      <c r="BC385" s="10">
        <f>MIN('02_Данные'!W385,BB385)</f>
        <v/>
      </c>
      <c r="BD385" s="10">
        <f>BB385-BC385</f>
        <v/>
      </c>
      <c r="BE385" s="10">
        <f>MIN('02_Данные'!Y385,BD385)</f>
        <v/>
      </c>
      <c r="BF385" s="10">
        <f>BD385-BE385</f>
        <v/>
      </c>
      <c r="BG385" s="10">
        <f>MIN('02_Данные'!Z385,BF385)</f>
        <v/>
      </c>
      <c r="BH385" s="10">
        <f>BF385-BG385</f>
        <v/>
      </c>
      <c r="BI385" s="10">
        <f>BH385+'02_Данные'!I385</f>
        <v/>
      </c>
      <c r="BJ385" s="10">
        <f>MIN('02_Данные'!AB385,BI385)</f>
        <v/>
      </c>
      <c r="BK385" s="10">
        <f>BI385-BJ385</f>
        <v/>
      </c>
      <c r="BL385" s="10">
        <f>MIN('02_Данные'!AC385,BK385)</f>
        <v/>
      </c>
      <c r="BM385" s="10">
        <f>BK385-BL385</f>
        <v/>
      </c>
      <c r="BN385" s="10">
        <f>MIN('02_Данные'!AD385,BM385)</f>
        <v/>
      </c>
      <c r="BO385" s="10">
        <f>BM385-BN385</f>
        <v/>
      </c>
      <c r="BP385" s="10">
        <f>MIN('02_Данные'!AI385,BO385)</f>
        <v/>
      </c>
      <c r="BQ385" s="10">
        <f>BO385-BP385</f>
        <v/>
      </c>
      <c r="BR385" s="10">
        <f>MIN('02_Данные'!AF385,BQ385)</f>
        <v/>
      </c>
      <c r="BS385" s="10">
        <f>BQ385-BR385</f>
        <v/>
      </c>
      <c r="BT385" s="10">
        <f>MIN('02_Данные'!AE385,BS385)</f>
        <v/>
      </c>
      <c r="BU385" s="10">
        <f>BS385-BT385</f>
        <v/>
      </c>
      <c r="BV385" s="10">
        <f>MIN('02_Данные'!AG385,BU385)</f>
        <v/>
      </c>
      <c r="BW385" s="10">
        <f>BU385-BV385</f>
        <v/>
      </c>
      <c r="BX385" s="10">
        <f>MIN('02_Данные'!AH385,BW385)</f>
        <v/>
      </c>
      <c r="BY385" s="10">
        <f>BW385-BX385</f>
        <v/>
      </c>
      <c r="BZ385" s="10">
        <f>BY385+'02_Данные'!J385</f>
        <v/>
      </c>
      <c r="CA385" s="10">
        <f>MIN('02_Данные'!AJ385,BZ385)</f>
        <v/>
      </c>
      <c r="CB385" s="10">
        <f>BZ385-CA385</f>
        <v/>
      </c>
      <c r="CC385" s="10">
        <f>MIN('02_Данные'!AK385,CB385)</f>
        <v/>
      </c>
      <c r="CD385" s="10">
        <f>CB385-CC385</f>
        <v/>
      </c>
      <c r="CE385" s="10">
        <f>MIN('02_Данные'!AL385,CD385)</f>
        <v/>
      </c>
      <c r="CF385" s="10">
        <f>CD385-CE385</f>
        <v/>
      </c>
      <c r="CG385" s="10">
        <f>MIN('02_Данные'!AQ385,CF385)</f>
        <v/>
      </c>
      <c r="CH385" s="10">
        <f>CF385-CG385</f>
        <v/>
      </c>
      <c r="CI385" s="10">
        <f>MIN('02_Данные'!AN385,CH385)</f>
        <v/>
      </c>
      <c r="CJ385" s="10">
        <f>CH385-CI385</f>
        <v/>
      </c>
      <c r="CK385" s="10">
        <f>MIN('02_Данные'!AM385,CJ385)</f>
        <v/>
      </c>
      <c r="CL385" s="10">
        <f>CJ385-CK385</f>
        <v/>
      </c>
      <c r="CM385" s="10">
        <f>MIN('02_Данные'!AO385,CL385)</f>
        <v/>
      </c>
      <c r="CN385" s="10">
        <f>CL385-CM385</f>
        <v/>
      </c>
      <c r="CO385" s="10">
        <f>MIN('02_Данные'!AP385,CN385)</f>
        <v/>
      </c>
      <c r="CP385" s="10">
        <f>CN385-CO385</f>
        <v/>
      </c>
      <c r="CQ385" s="10">
        <f>CP385+'02_Данные'!K385</f>
        <v/>
      </c>
      <c r="CR385" s="10">
        <f>MIN('02_Данные'!AR385,CQ385)</f>
        <v/>
      </c>
      <c r="CS385" s="10">
        <f>CQ385-CR385</f>
        <v/>
      </c>
      <c r="CT385" s="10">
        <f>MIN('02_Данные'!AS385,CS385)</f>
        <v/>
      </c>
      <c r="CU385" s="10">
        <f>CS385-CT385</f>
        <v/>
      </c>
      <c r="CV385" s="10">
        <f>MIN('02_Данные'!AT385,CU385)</f>
        <v/>
      </c>
      <c r="CW385" s="10">
        <f>CU385-CV385</f>
        <v/>
      </c>
      <c r="CX385" s="10">
        <f>MIN('02_Данные'!AY385,CW385)</f>
        <v/>
      </c>
      <c r="CY385" s="10">
        <f>CW385-CX385</f>
        <v/>
      </c>
      <c r="CZ385" s="10">
        <f>MIN('02_Данные'!AV385,CY385)</f>
        <v/>
      </c>
      <c r="DA385" s="10">
        <f>CY385-CZ385</f>
        <v/>
      </c>
      <c r="DB385" s="10">
        <f>MIN('02_Данные'!AU385,DA385)</f>
        <v/>
      </c>
      <c r="DC385" s="10">
        <f>DA385-DB385</f>
        <v/>
      </c>
      <c r="DD385" s="10">
        <f>MIN('02_Данные'!AW385,DC385)</f>
        <v/>
      </c>
      <c r="DE385" s="10">
        <f>DC385-DD385</f>
        <v/>
      </c>
      <c r="DF385" s="10">
        <f>MIN('02_Данные'!AX385,DE385)</f>
        <v/>
      </c>
      <c r="DG385" s="10">
        <f>DE385-DF385</f>
        <v/>
      </c>
    </row>
    <row r="386">
      <c r="A386" s="9">
        <f>'02_Данные'!B386</f>
        <v/>
      </c>
      <c r="B386" s="9">
        <f>'02_Данные'!E386</f>
        <v/>
      </c>
      <c r="C386" s="10">
        <f>'02_Данные'!F386+'02_Данные'!G386+'02_Данные'!H386+'02_Данные'!I386+'02_Данные'!J386+'02_Данные'!K386</f>
        <v/>
      </c>
      <c r="D386" s="10">
        <f>SUM('02_Данные'!L386:'02_Данные'!AY386)</f>
        <v/>
      </c>
      <c r="E386" s="10">
        <f>MAX(0,D386-C386)</f>
        <v/>
      </c>
      <c r="F386" s="15">
        <f>IF(E386&gt;0.0001,"ДЕФИЦИТ",IF(Y386&gt;0.0001,"ПРОФИЦИТ","БАЛАНС"))</f>
        <v/>
      </c>
      <c r="G386" s="10">
        <f>AB386+AS386+BJ386+CA386+CR386</f>
        <v/>
      </c>
      <c r="H386" s="10">
        <f>AD386+AU386+BL386+CC386+CT386</f>
        <v/>
      </c>
      <c r="I386" s="10">
        <f>AF386+AW386+BN386+CE386+CV386</f>
        <v/>
      </c>
      <c r="J386" s="10">
        <f>AL386+BC386+BT386+CK386+DB386</f>
        <v/>
      </c>
      <c r="K386" s="10">
        <f>AJ386+BA386+BR386+CI386+CZ386</f>
        <v/>
      </c>
      <c r="L386" s="10">
        <f>AN386+BE386+BV386+CM386+DD386</f>
        <v/>
      </c>
      <c r="M386" s="10">
        <f>AP386+BG386+BX386+CO386+DF386</f>
        <v/>
      </c>
      <c r="N386" s="10">
        <f>AH386+AY386+BP386+CG386+CX386</f>
        <v/>
      </c>
      <c r="O386" s="10">
        <f>SUM(G386:N386)</f>
        <v/>
      </c>
      <c r="P386" s="10">
        <f>IFERROR(G386*MIN(1,'01_Нормативы'!$C$4/SUM(G$2:G$429)),0)</f>
        <v/>
      </c>
      <c r="Q386" s="10">
        <f>IFERROR(H386*MIN(1,'01_Нормативы'!$C$5/SUM(H$2:H$429)),0)</f>
        <v/>
      </c>
      <c r="R386" s="10">
        <f>IFERROR(I386*MIN(1,'01_Нормативы'!$C$6/SUM(I$2:I$429)),0)</f>
        <v/>
      </c>
      <c r="S386" s="10">
        <f>IFERROR(J386*MIN(1,'01_Нормативы'!$C$7/SUM(J$2:J$429)),0)</f>
        <v/>
      </c>
      <c r="T386" s="10">
        <f>IFERROR(K386*MIN(1,'01_Нормативы'!$C$8/SUM(K$2:K$429)),0)</f>
        <v/>
      </c>
      <c r="U386" s="10">
        <f>IFERROR(L386*MIN(1,'01_Нормативы'!$C$9/SUM(L$2:L$429)),0)</f>
        <v/>
      </c>
      <c r="V386" s="10">
        <f>IFERROR(M386*MIN(1,'01_Нормативы'!$C$10/SUM(M$2:M$429)),0)</f>
        <v/>
      </c>
      <c r="W386" s="10">
        <f>IFERROR(N386*MIN(1,'01_Нормативы'!$C$11/SUM(N$2:N$429)),0)</f>
        <v/>
      </c>
      <c r="X386" s="10">
        <f>SUM(P386:W386)</f>
        <v/>
      </c>
      <c r="Y386" s="10">
        <f>MAX(0,C386-X386)</f>
        <v/>
      </c>
      <c r="Z386" s="10">
        <f>IF(D386=0,100,X386/D386*100)</f>
        <v/>
      </c>
      <c r="AA386" s="10">
        <f>'02_Данные'!F386+'02_Данные'!G386</f>
        <v/>
      </c>
      <c r="AB386" s="10">
        <f>MIN('02_Данные'!L386,AA386)</f>
        <v/>
      </c>
      <c r="AC386" s="10">
        <f>AA386-AB386</f>
        <v/>
      </c>
      <c r="AD386" s="10">
        <f>MIN('02_Данные'!M386,AC386)</f>
        <v/>
      </c>
      <c r="AE386" s="10">
        <f>AC386-AD386</f>
        <v/>
      </c>
      <c r="AF386" s="10">
        <f>MIN('02_Данные'!N386,AE386)</f>
        <v/>
      </c>
      <c r="AG386" s="10">
        <f>AE386-AF386</f>
        <v/>
      </c>
      <c r="AH386" s="10">
        <f>MIN('02_Данные'!S386,AG386)</f>
        <v/>
      </c>
      <c r="AI386" s="10">
        <f>AG386-AH386</f>
        <v/>
      </c>
      <c r="AJ386" s="10">
        <f>MIN('02_Данные'!P386,AI386)</f>
        <v/>
      </c>
      <c r="AK386" s="10">
        <f>AI386-AJ386</f>
        <v/>
      </c>
      <c r="AL386" s="10">
        <f>MIN('02_Данные'!O386,AK386)</f>
        <v/>
      </c>
      <c r="AM386" s="10">
        <f>AK386-AL386</f>
        <v/>
      </c>
      <c r="AN386" s="10">
        <f>MIN('02_Данные'!Q386,AM386)</f>
        <v/>
      </c>
      <c r="AO386" s="10">
        <f>AM386-AN386</f>
        <v/>
      </c>
      <c r="AP386" s="10">
        <f>MIN('02_Данные'!R386,AO386)</f>
        <v/>
      </c>
      <c r="AQ386" s="10">
        <f>AO386-AP386</f>
        <v/>
      </c>
      <c r="AR386" s="10">
        <f>AQ386+'02_Данные'!H386</f>
        <v/>
      </c>
      <c r="AS386" s="10">
        <f>MIN('02_Данные'!T386,AR386)</f>
        <v/>
      </c>
      <c r="AT386" s="10">
        <f>AR386-AS386</f>
        <v/>
      </c>
      <c r="AU386" s="10">
        <f>MIN('02_Данные'!U386,AT386)</f>
        <v/>
      </c>
      <c r="AV386" s="10">
        <f>AT386-AU386</f>
        <v/>
      </c>
      <c r="AW386" s="10">
        <f>MIN('02_Данные'!V386,AV386)</f>
        <v/>
      </c>
      <c r="AX386" s="10">
        <f>AV386-AW386</f>
        <v/>
      </c>
      <c r="AY386" s="10">
        <f>MIN('02_Данные'!AA386,AX386)</f>
        <v/>
      </c>
      <c r="AZ386" s="10">
        <f>AX386-AY386</f>
        <v/>
      </c>
      <c r="BA386" s="10">
        <f>MIN('02_Данные'!X386,AZ386)</f>
        <v/>
      </c>
      <c r="BB386" s="10">
        <f>AZ386-BA386</f>
        <v/>
      </c>
      <c r="BC386" s="10">
        <f>MIN('02_Данные'!W386,BB386)</f>
        <v/>
      </c>
      <c r="BD386" s="10">
        <f>BB386-BC386</f>
        <v/>
      </c>
      <c r="BE386" s="10">
        <f>MIN('02_Данные'!Y386,BD386)</f>
        <v/>
      </c>
      <c r="BF386" s="10">
        <f>BD386-BE386</f>
        <v/>
      </c>
      <c r="BG386" s="10">
        <f>MIN('02_Данные'!Z386,BF386)</f>
        <v/>
      </c>
      <c r="BH386" s="10">
        <f>BF386-BG386</f>
        <v/>
      </c>
      <c r="BI386" s="10">
        <f>BH386+'02_Данные'!I386</f>
        <v/>
      </c>
      <c r="BJ386" s="10">
        <f>MIN('02_Данные'!AB386,BI386)</f>
        <v/>
      </c>
      <c r="BK386" s="10">
        <f>BI386-BJ386</f>
        <v/>
      </c>
      <c r="BL386" s="10">
        <f>MIN('02_Данные'!AC386,BK386)</f>
        <v/>
      </c>
      <c r="BM386" s="10">
        <f>BK386-BL386</f>
        <v/>
      </c>
      <c r="BN386" s="10">
        <f>MIN('02_Данные'!AD386,BM386)</f>
        <v/>
      </c>
      <c r="BO386" s="10">
        <f>BM386-BN386</f>
        <v/>
      </c>
      <c r="BP386" s="10">
        <f>MIN('02_Данные'!AI386,BO386)</f>
        <v/>
      </c>
      <c r="BQ386" s="10">
        <f>BO386-BP386</f>
        <v/>
      </c>
      <c r="BR386" s="10">
        <f>MIN('02_Данные'!AF386,BQ386)</f>
        <v/>
      </c>
      <c r="BS386" s="10">
        <f>BQ386-BR386</f>
        <v/>
      </c>
      <c r="BT386" s="10">
        <f>MIN('02_Данные'!AE386,BS386)</f>
        <v/>
      </c>
      <c r="BU386" s="10">
        <f>BS386-BT386</f>
        <v/>
      </c>
      <c r="BV386" s="10">
        <f>MIN('02_Данные'!AG386,BU386)</f>
        <v/>
      </c>
      <c r="BW386" s="10">
        <f>BU386-BV386</f>
        <v/>
      </c>
      <c r="BX386" s="10">
        <f>MIN('02_Данные'!AH386,BW386)</f>
        <v/>
      </c>
      <c r="BY386" s="10">
        <f>BW386-BX386</f>
        <v/>
      </c>
      <c r="BZ386" s="10">
        <f>BY386+'02_Данные'!J386</f>
        <v/>
      </c>
      <c r="CA386" s="10">
        <f>MIN('02_Данные'!AJ386,BZ386)</f>
        <v/>
      </c>
      <c r="CB386" s="10">
        <f>BZ386-CA386</f>
        <v/>
      </c>
      <c r="CC386" s="10">
        <f>MIN('02_Данные'!AK386,CB386)</f>
        <v/>
      </c>
      <c r="CD386" s="10">
        <f>CB386-CC386</f>
        <v/>
      </c>
      <c r="CE386" s="10">
        <f>MIN('02_Данные'!AL386,CD386)</f>
        <v/>
      </c>
      <c r="CF386" s="10">
        <f>CD386-CE386</f>
        <v/>
      </c>
      <c r="CG386" s="10">
        <f>MIN('02_Данные'!AQ386,CF386)</f>
        <v/>
      </c>
      <c r="CH386" s="10">
        <f>CF386-CG386</f>
        <v/>
      </c>
      <c r="CI386" s="10">
        <f>MIN('02_Данные'!AN386,CH386)</f>
        <v/>
      </c>
      <c r="CJ386" s="10">
        <f>CH386-CI386</f>
        <v/>
      </c>
      <c r="CK386" s="10">
        <f>MIN('02_Данные'!AM386,CJ386)</f>
        <v/>
      </c>
      <c r="CL386" s="10">
        <f>CJ386-CK386</f>
        <v/>
      </c>
      <c r="CM386" s="10">
        <f>MIN('02_Данные'!AO386,CL386)</f>
        <v/>
      </c>
      <c r="CN386" s="10">
        <f>CL386-CM386</f>
        <v/>
      </c>
      <c r="CO386" s="10">
        <f>MIN('02_Данные'!AP386,CN386)</f>
        <v/>
      </c>
      <c r="CP386" s="10">
        <f>CN386-CO386</f>
        <v/>
      </c>
      <c r="CQ386" s="10">
        <f>CP386+'02_Данные'!K386</f>
        <v/>
      </c>
      <c r="CR386" s="10">
        <f>MIN('02_Данные'!AR386,CQ386)</f>
        <v/>
      </c>
      <c r="CS386" s="10">
        <f>CQ386-CR386</f>
        <v/>
      </c>
      <c r="CT386" s="10">
        <f>MIN('02_Данные'!AS386,CS386)</f>
        <v/>
      </c>
      <c r="CU386" s="10">
        <f>CS386-CT386</f>
        <v/>
      </c>
      <c r="CV386" s="10">
        <f>MIN('02_Данные'!AT386,CU386)</f>
        <v/>
      </c>
      <c r="CW386" s="10">
        <f>CU386-CV386</f>
        <v/>
      </c>
      <c r="CX386" s="10">
        <f>MIN('02_Данные'!AY386,CW386)</f>
        <v/>
      </c>
      <c r="CY386" s="10">
        <f>CW386-CX386</f>
        <v/>
      </c>
      <c r="CZ386" s="10">
        <f>MIN('02_Данные'!AV386,CY386)</f>
        <v/>
      </c>
      <c r="DA386" s="10">
        <f>CY386-CZ386</f>
        <v/>
      </c>
      <c r="DB386" s="10">
        <f>MIN('02_Данные'!AU386,DA386)</f>
        <v/>
      </c>
      <c r="DC386" s="10">
        <f>DA386-DB386</f>
        <v/>
      </c>
      <c r="DD386" s="10">
        <f>MIN('02_Данные'!AW386,DC386)</f>
        <v/>
      </c>
      <c r="DE386" s="10">
        <f>DC386-DD386</f>
        <v/>
      </c>
      <c r="DF386" s="10">
        <f>MIN('02_Данные'!AX386,DE386)</f>
        <v/>
      </c>
      <c r="DG386" s="10">
        <f>DE386-DF386</f>
        <v/>
      </c>
    </row>
    <row r="387">
      <c r="A387" s="9">
        <f>'02_Данные'!B387</f>
        <v/>
      </c>
      <c r="B387" s="9">
        <f>'02_Данные'!E387</f>
        <v/>
      </c>
      <c r="C387" s="10">
        <f>'02_Данные'!F387+'02_Данные'!G387+'02_Данные'!H387+'02_Данные'!I387+'02_Данные'!J387+'02_Данные'!K387</f>
        <v/>
      </c>
      <c r="D387" s="10">
        <f>SUM('02_Данные'!L387:'02_Данные'!AY387)</f>
        <v/>
      </c>
      <c r="E387" s="10">
        <f>MAX(0,D387-C387)</f>
        <v/>
      </c>
      <c r="F387" s="15">
        <f>IF(E387&gt;0.0001,"ДЕФИЦИТ",IF(Y387&gt;0.0001,"ПРОФИЦИТ","БАЛАНС"))</f>
        <v/>
      </c>
      <c r="G387" s="10">
        <f>AB387+AS387+BJ387+CA387+CR387</f>
        <v/>
      </c>
      <c r="H387" s="10">
        <f>AD387+AU387+BL387+CC387+CT387</f>
        <v/>
      </c>
      <c r="I387" s="10">
        <f>AF387+AW387+BN387+CE387+CV387</f>
        <v/>
      </c>
      <c r="J387" s="10">
        <f>AL387+BC387+BT387+CK387+DB387</f>
        <v/>
      </c>
      <c r="K387" s="10">
        <f>AJ387+BA387+BR387+CI387+CZ387</f>
        <v/>
      </c>
      <c r="L387" s="10">
        <f>AN387+BE387+BV387+CM387+DD387</f>
        <v/>
      </c>
      <c r="M387" s="10">
        <f>AP387+BG387+BX387+CO387+DF387</f>
        <v/>
      </c>
      <c r="N387" s="10">
        <f>AH387+AY387+BP387+CG387+CX387</f>
        <v/>
      </c>
      <c r="O387" s="10">
        <f>SUM(G387:N387)</f>
        <v/>
      </c>
      <c r="P387" s="10">
        <f>IFERROR(G387*MIN(1,'01_Нормативы'!$C$4/SUM(G$2:G$429)),0)</f>
        <v/>
      </c>
      <c r="Q387" s="10">
        <f>IFERROR(H387*MIN(1,'01_Нормативы'!$C$5/SUM(H$2:H$429)),0)</f>
        <v/>
      </c>
      <c r="R387" s="10">
        <f>IFERROR(I387*MIN(1,'01_Нормативы'!$C$6/SUM(I$2:I$429)),0)</f>
        <v/>
      </c>
      <c r="S387" s="10">
        <f>IFERROR(J387*MIN(1,'01_Нормативы'!$C$7/SUM(J$2:J$429)),0)</f>
        <v/>
      </c>
      <c r="T387" s="10">
        <f>IFERROR(K387*MIN(1,'01_Нормативы'!$C$8/SUM(K$2:K$429)),0)</f>
        <v/>
      </c>
      <c r="U387" s="10">
        <f>IFERROR(L387*MIN(1,'01_Нормативы'!$C$9/SUM(L$2:L$429)),0)</f>
        <v/>
      </c>
      <c r="V387" s="10">
        <f>IFERROR(M387*MIN(1,'01_Нормативы'!$C$10/SUM(M$2:M$429)),0)</f>
        <v/>
      </c>
      <c r="W387" s="10">
        <f>IFERROR(N387*MIN(1,'01_Нормативы'!$C$11/SUM(N$2:N$429)),0)</f>
        <v/>
      </c>
      <c r="X387" s="10">
        <f>SUM(P387:W387)</f>
        <v/>
      </c>
      <c r="Y387" s="10">
        <f>MAX(0,C387-X387)</f>
        <v/>
      </c>
      <c r="Z387" s="10">
        <f>IF(D387=0,100,X387/D387*100)</f>
        <v/>
      </c>
      <c r="AA387" s="10">
        <f>'02_Данные'!F387+'02_Данные'!G387</f>
        <v/>
      </c>
      <c r="AB387" s="10">
        <f>MIN('02_Данные'!L387,AA387)</f>
        <v/>
      </c>
      <c r="AC387" s="10">
        <f>AA387-AB387</f>
        <v/>
      </c>
      <c r="AD387" s="10">
        <f>MIN('02_Данные'!M387,AC387)</f>
        <v/>
      </c>
      <c r="AE387" s="10">
        <f>AC387-AD387</f>
        <v/>
      </c>
      <c r="AF387" s="10">
        <f>MIN('02_Данные'!N387,AE387)</f>
        <v/>
      </c>
      <c r="AG387" s="10">
        <f>AE387-AF387</f>
        <v/>
      </c>
      <c r="AH387" s="10">
        <f>MIN('02_Данные'!S387,AG387)</f>
        <v/>
      </c>
      <c r="AI387" s="10">
        <f>AG387-AH387</f>
        <v/>
      </c>
      <c r="AJ387" s="10">
        <f>MIN('02_Данные'!P387,AI387)</f>
        <v/>
      </c>
      <c r="AK387" s="10">
        <f>AI387-AJ387</f>
        <v/>
      </c>
      <c r="AL387" s="10">
        <f>MIN('02_Данные'!O387,AK387)</f>
        <v/>
      </c>
      <c r="AM387" s="10">
        <f>AK387-AL387</f>
        <v/>
      </c>
      <c r="AN387" s="10">
        <f>MIN('02_Данные'!Q387,AM387)</f>
        <v/>
      </c>
      <c r="AO387" s="10">
        <f>AM387-AN387</f>
        <v/>
      </c>
      <c r="AP387" s="10">
        <f>MIN('02_Данные'!R387,AO387)</f>
        <v/>
      </c>
      <c r="AQ387" s="10">
        <f>AO387-AP387</f>
        <v/>
      </c>
      <c r="AR387" s="10">
        <f>AQ387+'02_Данные'!H387</f>
        <v/>
      </c>
      <c r="AS387" s="10">
        <f>MIN('02_Данные'!T387,AR387)</f>
        <v/>
      </c>
      <c r="AT387" s="10">
        <f>AR387-AS387</f>
        <v/>
      </c>
      <c r="AU387" s="10">
        <f>MIN('02_Данные'!U387,AT387)</f>
        <v/>
      </c>
      <c r="AV387" s="10">
        <f>AT387-AU387</f>
        <v/>
      </c>
      <c r="AW387" s="10">
        <f>MIN('02_Данные'!V387,AV387)</f>
        <v/>
      </c>
      <c r="AX387" s="10">
        <f>AV387-AW387</f>
        <v/>
      </c>
      <c r="AY387" s="10">
        <f>MIN('02_Данные'!AA387,AX387)</f>
        <v/>
      </c>
      <c r="AZ387" s="10">
        <f>AX387-AY387</f>
        <v/>
      </c>
      <c r="BA387" s="10">
        <f>MIN('02_Данные'!X387,AZ387)</f>
        <v/>
      </c>
      <c r="BB387" s="10">
        <f>AZ387-BA387</f>
        <v/>
      </c>
      <c r="BC387" s="10">
        <f>MIN('02_Данные'!W387,BB387)</f>
        <v/>
      </c>
      <c r="BD387" s="10">
        <f>BB387-BC387</f>
        <v/>
      </c>
      <c r="BE387" s="10">
        <f>MIN('02_Данные'!Y387,BD387)</f>
        <v/>
      </c>
      <c r="BF387" s="10">
        <f>BD387-BE387</f>
        <v/>
      </c>
      <c r="BG387" s="10">
        <f>MIN('02_Данные'!Z387,BF387)</f>
        <v/>
      </c>
      <c r="BH387" s="10">
        <f>BF387-BG387</f>
        <v/>
      </c>
      <c r="BI387" s="10">
        <f>BH387+'02_Данные'!I387</f>
        <v/>
      </c>
      <c r="BJ387" s="10">
        <f>MIN('02_Данные'!AB387,BI387)</f>
        <v/>
      </c>
      <c r="BK387" s="10">
        <f>BI387-BJ387</f>
        <v/>
      </c>
      <c r="BL387" s="10">
        <f>MIN('02_Данные'!AC387,BK387)</f>
        <v/>
      </c>
      <c r="BM387" s="10">
        <f>BK387-BL387</f>
        <v/>
      </c>
      <c r="BN387" s="10">
        <f>MIN('02_Данные'!AD387,BM387)</f>
        <v/>
      </c>
      <c r="BO387" s="10">
        <f>BM387-BN387</f>
        <v/>
      </c>
      <c r="BP387" s="10">
        <f>MIN('02_Данные'!AI387,BO387)</f>
        <v/>
      </c>
      <c r="BQ387" s="10">
        <f>BO387-BP387</f>
        <v/>
      </c>
      <c r="BR387" s="10">
        <f>MIN('02_Данные'!AF387,BQ387)</f>
        <v/>
      </c>
      <c r="BS387" s="10">
        <f>BQ387-BR387</f>
        <v/>
      </c>
      <c r="BT387" s="10">
        <f>MIN('02_Данные'!AE387,BS387)</f>
        <v/>
      </c>
      <c r="BU387" s="10">
        <f>BS387-BT387</f>
        <v/>
      </c>
      <c r="BV387" s="10">
        <f>MIN('02_Данные'!AG387,BU387)</f>
        <v/>
      </c>
      <c r="BW387" s="10">
        <f>BU387-BV387</f>
        <v/>
      </c>
      <c r="BX387" s="10">
        <f>MIN('02_Данные'!AH387,BW387)</f>
        <v/>
      </c>
      <c r="BY387" s="10">
        <f>BW387-BX387</f>
        <v/>
      </c>
      <c r="BZ387" s="10">
        <f>BY387+'02_Данные'!J387</f>
        <v/>
      </c>
      <c r="CA387" s="10">
        <f>MIN('02_Данные'!AJ387,BZ387)</f>
        <v/>
      </c>
      <c r="CB387" s="10">
        <f>BZ387-CA387</f>
        <v/>
      </c>
      <c r="CC387" s="10">
        <f>MIN('02_Данные'!AK387,CB387)</f>
        <v/>
      </c>
      <c r="CD387" s="10">
        <f>CB387-CC387</f>
        <v/>
      </c>
      <c r="CE387" s="10">
        <f>MIN('02_Данные'!AL387,CD387)</f>
        <v/>
      </c>
      <c r="CF387" s="10">
        <f>CD387-CE387</f>
        <v/>
      </c>
      <c r="CG387" s="10">
        <f>MIN('02_Данные'!AQ387,CF387)</f>
        <v/>
      </c>
      <c r="CH387" s="10">
        <f>CF387-CG387</f>
        <v/>
      </c>
      <c r="CI387" s="10">
        <f>MIN('02_Данные'!AN387,CH387)</f>
        <v/>
      </c>
      <c r="CJ387" s="10">
        <f>CH387-CI387</f>
        <v/>
      </c>
      <c r="CK387" s="10">
        <f>MIN('02_Данные'!AM387,CJ387)</f>
        <v/>
      </c>
      <c r="CL387" s="10">
        <f>CJ387-CK387</f>
        <v/>
      </c>
      <c r="CM387" s="10">
        <f>MIN('02_Данные'!AO387,CL387)</f>
        <v/>
      </c>
      <c r="CN387" s="10">
        <f>CL387-CM387</f>
        <v/>
      </c>
      <c r="CO387" s="10">
        <f>MIN('02_Данные'!AP387,CN387)</f>
        <v/>
      </c>
      <c r="CP387" s="10">
        <f>CN387-CO387</f>
        <v/>
      </c>
      <c r="CQ387" s="10">
        <f>CP387+'02_Данные'!K387</f>
        <v/>
      </c>
      <c r="CR387" s="10">
        <f>MIN('02_Данные'!AR387,CQ387)</f>
        <v/>
      </c>
      <c r="CS387" s="10">
        <f>CQ387-CR387</f>
        <v/>
      </c>
      <c r="CT387" s="10">
        <f>MIN('02_Данные'!AS387,CS387)</f>
        <v/>
      </c>
      <c r="CU387" s="10">
        <f>CS387-CT387</f>
        <v/>
      </c>
      <c r="CV387" s="10">
        <f>MIN('02_Данные'!AT387,CU387)</f>
        <v/>
      </c>
      <c r="CW387" s="10">
        <f>CU387-CV387</f>
        <v/>
      </c>
      <c r="CX387" s="10">
        <f>MIN('02_Данные'!AY387,CW387)</f>
        <v/>
      </c>
      <c r="CY387" s="10">
        <f>CW387-CX387</f>
        <v/>
      </c>
      <c r="CZ387" s="10">
        <f>MIN('02_Данные'!AV387,CY387)</f>
        <v/>
      </c>
      <c r="DA387" s="10">
        <f>CY387-CZ387</f>
        <v/>
      </c>
      <c r="DB387" s="10">
        <f>MIN('02_Данные'!AU387,DA387)</f>
        <v/>
      </c>
      <c r="DC387" s="10">
        <f>DA387-DB387</f>
        <v/>
      </c>
      <c r="DD387" s="10">
        <f>MIN('02_Данные'!AW387,DC387)</f>
        <v/>
      </c>
      <c r="DE387" s="10">
        <f>DC387-DD387</f>
        <v/>
      </c>
      <c r="DF387" s="10">
        <f>MIN('02_Данные'!AX387,DE387)</f>
        <v/>
      </c>
      <c r="DG387" s="10">
        <f>DE387-DF387</f>
        <v/>
      </c>
    </row>
    <row r="388">
      <c r="A388" s="9">
        <f>'02_Данные'!B388</f>
        <v/>
      </c>
      <c r="B388" s="9">
        <f>'02_Данные'!E388</f>
        <v/>
      </c>
      <c r="C388" s="10">
        <f>'02_Данные'!F388+'02_Данные'!G388+'02_Данные'!H388+'02_Данные'!I388+'02_Данные'!J388+'02_Данные'!K388</f>
        <v/>
      </c>
      <c r="D388" s="10">
        <f>SUM('02_Данные'!L388:'02_Данные'!AY388)</f>
        <v/>
      </c>
      <c r="E388" s="10">
        <f>MAX(0,D388-C388)</f>
        <v/>
      </c>
      <c r="F388" s="15">
        <f>IF(E388&gt;0.0001,"ДЕФИЦИТ",IF(Y388&gt;0.0001,"ПРОФИЦИТ","БАЛАНС"))</f>
        <v/>
      </c>
      <c r="G388" s="10">
        <f>AB388+AS388+BJ388+CA388+CR388</f>
        <v/>
      </c>
      <c r="H388" s="10">
        <f>AD388+AU388+BL388+CC388+CT388</f>
        <v/>
      </c>
      <c r="I388" s="10">
        <f>AF388+AW388+BN388+CE388+CV388</f>
        <v/>
      </c>
      <c r="J388" s="10">
        <f>AL388+BC388+BT388+CK388+DB388</f>
        <v/>
      </c>
      <c r="K388" s="10">
        <f>AJ388+BA388+BR388+CI388+CZ388</f>
        <v/>
      </c>
      <c r="L388" s="10">
        <f>AN388+BE388+BV388+CM388+DD388</f>
        <v/>
      </c>
      <c r="M388" s="10">
        <f>AP388+BG388+BX388+CO388+DF388</f>
        <v/>
      </c>
      <c r="N388" s="10">
        <f>AH388+AY388+BP388+CG388+CX388</f>
        <v/>
      </c>
      <c r="O388" s="10">
        <f>SUM(G388:N388)</f>
        <v/>
      </c>
      <c r="P388" s="10">
        <f>IFERROR(G388*MIN(1,'01_Нормативы'!$C$4/SUM(G$2:G$429)),0)</f>
        <v/>
      </c>
      <c r="Q388" s="10">
        <f>IFERROR(H388*MIN(1,'01_Нормативы'!$C$5/SUM(H$2:H$429)),0)</f>
        <v/>
      </c>
      <c r="R388" s="10">
        <f>IFERROR(I388*MIN(1,'01_Нормативы'!$C$6/SUM(I$2:I$429)),0)</f>
        <v/>
      </c>
      <c r="S388" s="10">
        <f>IFERROR(J388*MIN(1,'01_Нормативы'!$C$7/SUM(J$2:J$429)),0)</f>
        <v/>
      </c>
      <c r="T388" s="10">
        <f>IFERROR(K388*MIN(1,'01_Нормативы'!$C$8/SUM(K$2:K$429)),0)</f>
        <v/>
      </c>
      <c r="U388" s="10">
        <f>IFERROR(L388*MIN(1,'01_Нормативы'!$C$9/SUM(L$2:L$429)),0)</f>
        <v/>
      </c>
      <c r="V388" s="10">
        <f>IFERROR(M388*MIN(1,'01_Нормативы'!$C$10/SUM(M$2:M$429)),0)</f>
        <v/>
      </c>
      <c r="W388" s="10">
        <f>IFERROR(N388*MIN(1,'01_Нормативы'!$C$11/SUM(N$2:N$429)),0)</f>
        <v/>
      </c>
      <c r="X388" s="10">
        <f>SUM(P388:W388)</f>
        <v/>
      </c>
      <c r="Y388" s="10">
        <f>MAX(0,C388-X388)</f>
        <v/>
      </c>
      <c r="Z388" s="10">
        <f>IF(D388=0,100,X388/D388*100)</f>
        <v/>
      </c>
      <c r="AA388" s="10">
        <f>'02_Данные'!F388+'02_Данные'!G388</f>
        <v/>
      </c>
      <c r="AB388" s="10">
        <f>MIN('02_Данные'!L388,AA388)</f>
        <v/>
      </c>
      <c r="AC388" s="10">
        <f>AA388-AB388</f>
        <v/>
      </c>
      <c r="AD388" s="10">
        <f>MIN('02_Данные'!M388,AC388)</f>
        <v/>
      </c>
      <c r="AE388" s="10">
        <f>AC388-AD388</f>
        <v/>
      </c>
      <c r="AF388" s="10">
        <f>MIN('02_Данные'!N388,AE388)</f>
        <v/>
      </c>
      <c r="AG388" s="10">
        <f>AE388-AF388</f>
        <v/>
      </c>
      <c r="AH388" s="10">
        <f>MIN('02_Данные'!S388,AG388)</f>
        <v/>
      </c>
      <c r="AI388" s="10">
        <f>AG388-AH388</f>
        <v/>
      </c>
      <c r="AJ388" s="10">
        <f>MIN('02_Данные'!P388,AI388)</f>
        <v/>
      </c>
      <c r="AK388" s="10">
        <f>AI388-AJ388</f>
        <v/>
      </c>
      <c r="AL388" s="10">
        <f>MIN('02_Данные'!O388,AK388)</f>
        <v/>
      </c>
      <c r="AM388" s="10">
        <f>AK388-AL388</f>
        <v/>
      </c>
      <c r="AN388" s="10">
        <f>MIN('02_Данные'!Q388,AM388)</f>
        <v/>
      </c>
      <c r="AO388" s="10">
        <f>AM388-AN388</f>
        <v/>
      </c>
      <c r="AP388" s="10">
        <f>MIN('02_Данные'!R388,AO388)</f>
        <v/>
      </c>
      <c r="AQ388" s="10">
        <f>AO388-AP388</f>
        <v/>
      </c>
      <c r="AR388" s="10">
        <f>AQ388+'02_Данные'!H388</f>
        <v/>
      </c>
      <c r="AS388" s="10">
        <f>MIN('02_Данные'!T388,AR388)</f>
        <v/>
      </c>
      <c r="AT388" s="10">
        <f>AR388-AS388</f>
        <v/>
      </c>
      <c r="AU388" s="10">
        <f>MIN('02_Данные'!U388,AT388)</f>
        <v/>
      </c>
      <c r="AV388" s="10">
        <f>AT388-AU388</f>
        <v/>
      </c>
      <c r="AW388" s="10">
        <f>MIN('02_Данные'!V388,AV388)</f>
        <v/>
      </c>
      <c r="AX388" s="10">
        <f>AV388-AW388</f>
        <v/>
      </c>
      <c r="AY388" s="10">
        <f>MIN('02_Данные'!AA388,AX388)</f>
        <v/>
      </c>
      <c r="AZ388" s="10">
        <f>AX388-AY388</f>
        <v/>
      </c>
      <c r="BA388" s="10">
        <f>MIN('02_Данные'!X388,AZ388)</f>
        <v/>
      </c>
      <c r="BB388" s="10">
        <f>AZ388-BA388</f>
        <v/>
      </c>
      <c r="BC388" s="10">
        <f>MIN('02_Данные'!W388,BB388)</f>
        <v/>
      </c>
      <c r="BD388" s="10">
        <f>BB388-BC388</f>
        <v/>
      </c>
      <c r="BE388" s="10">
        <f>MIN('02_Данные'!Y388,BD388)</f>
        <v/>
      </c>
      <c r="BF388" s="10">
        <f>BD388-BE388</f>
        <v/>
      </c>
      <c r="BG388" s="10">
        <f>MIN('02_Данные'!Z388,BF388)</f>
        <v/>
      </c>
      <c r="BH388" s="10">
        <f>BF388-BG388</f>
        <v/>
      </c>
      <c r="BI388" s="10">
        <f>BH388+'02_Данные'!I388</f>
        <v/>
      </c>
      <c r="BJ388" s="10">
        <f>MIN('02_Данные'!AB388,BI388)</f>
        <v/>
      </c>
      <c r="BK388" s="10">
        <f>BI388-BJ388</f>
        <v/>
      </c>
      <c r="BL388" s="10">
        <f>MIN('02_Данные'!AC388,BK388)</f>
        <v/>
      </c>
      <c r="BM388" s="10">
        <f>BK388-BL388</f>
        <v/>
      </c>
      <c r="BN388" s="10">
        <f>MIN('02_Данные'!AD388,BM388)</f>
        <v/>
      </c>
      <c r="BO388" s="10">
        <f>BM388-BN388</f>
        <v/>
      </c>
      <c r="BP388" s="10">
        <f>MIN('02_Данные'!AI388,BO388)</f>
        <v/>
      </c>
      <c r="BQ388" s="10">
        <f>BO388-BP388</f>
        <v/>
      </c>
      <c r="BR388" s="10">
        <f>MIN('02_Данные'!AF388,BQ388)</f>
        <v/>
      </c>
      <c r="BS388" s="10">
        <f>BQ388-BR388</f>
        <v/>
      </c>
      <c r="BT388" s="10">
        <f>MIN('02_Данные'!AE388,BS388)</f>
        <v/>
      </c>
      <c r="BU388" s="10">
        <f>BS388-BT388</f>
        <v/>
      </c>
      <c r="BV388" s="10">
        <f>MIN('02_Данные'!AG388,BU388)</f>
        <v/>
      </c>
      <c r="BW388" s="10">
        <f>BU388-BV388</f>
        <v/>
      </c>
      <c r="BX388" s="10">
        <f>MIN('02_Данные'!AH388,BW388)</f>
        <v/>
      </c>
      <c r="BY388" s="10">
        <f>BW388-BX388</f>
        <v/>
      </c>
      <c r="BZ388" s="10">
        <f>BY388+'02_Данные'!J388</f>
        <v/>
      </c>
      <c r="CA388" s="10">
        <f>MIN('02_Данные'!AJ388,BZ388)</f>
        <v/>
      </c>
      <c r="CB388" s="10">
        <f>BZ388-CA388</f>
        <v/>
      </c>
      <c r="CC388" s="10">
        <f>MIN('02_Данные'!AK388,CB388)</f>
        <v/>
      </c>
      <c r="CD388" s="10">
        <f>CB388-CC388</f>
        <v/>
      </c>
      <c r="CE388" s="10">
        <f>MIN('02_Данные'!AL388,CD388)</f>
        <v/>
      </c>
      <c r="CF388" s="10">
        <f>CD388-CE388</f>
        <v/>
      </c>
      <c r="CG388" s="10">
        <f>MIN('02_Данные'!AQ388,CF388)</f>
        <v/>
      </c>
      <c r="CH388" s="10">
        <f>CF388-CG388</f>
        <v/>
      </c>
      <c r="CI388" s="10">
        <f>MIN('02_Данные'!AN388,CH388)</f>
        <v/>
      </c>
      <c r="CJ388" s="10">
        <f>CH388-CI388</f>
        <v/>
      </c>
      <c r="CK388" s="10">
        <f>MIN('02_Данные'!AM388,CJ388)</f>
        <v/>
      </c>
      <c r="CL388" s="10">
        <f>CJ388-CK388</f>
        <v/>
      </c>
      <c r="CM388" s="10">
        <f>MIN('02_Данные'!AO388,CL388)</f>
        <v/>
      </c>
      <c r="CN388" s="10">
        <f>CL388-CM388</f>
        <v/>
      </c>
      <c r="CO388" s="10">
        <f>MIN('02_Данные'!AP388,CN388)</f>
        <v/>
      </c>
      <c r="CP388" s="10">
        <f>CN388-CO388</f>
        <v/>
      </c>
      <c r="CQ388" s="10">
        <f>CP388+'02_Данные'!K388</f>
        <v/>
      </c>
      <c r="CR388" s="10">
        <f>MIN('02_Данные'!AR388,CQ388)</f>
        <v/>
      </c>
      <c r="CS388" s="10">
        <f>CQ388-CR388</f>
        <v/>
      </c>
      <c r="CT388" s="10">
        <f>MIN('02_Данные'!AS388,CS388)</f>
        <v/>
      </c>
      <c r="CU388" s="10">
        <f>CS388-CT388</f>
        <v/>
      </c>
      <c r="CV388" s="10">
        <f>MIN('02_Данные'!AT388,CU388)</f>
        <v/>
      </c>
      <c r="CW388" s="10">
        <f>CU388-CV388</f>
        <v/>
      </c>
      <c r="CX388" s="10">
        <f>MIN('02_Данные'!AY388,CW388)</f>
        <v/>
      </c>
      <c r="CY388" s="10">
        <f>CW388-CX388</f>
        <v/>
      </c>
      <c r="CZ388" s="10">
        <f>MIN('02_Данные'!AV388,CY388)</f>
        <v/>
      </c>
      <c r="DA388" s="10">
        <f>CY388-CZ388</f>
        <v/>
      </c>
      <c r="DB388" s="10">
        <f>MIN('02_Данные'!AU388,DA388)</f>
        <v/>
      </c>
      <c r="DC388" s="10">
        <f>DA388-DB388</f>
        <v/>
      </c>
      <c r="DD388" s="10">
        <f>MIN('02_Данные'!AW388,DC388)</f>
        <v/>
      </c>
      <c r="DE388" s="10">
        <f>DC388-DD388</f>
        <v/>
      </c>
      <c r="DF388" s="10">
        <f>MIN('02_Данные'!AX388,DE388)</f>
        <v/>
      </c>
      <c r="DG388" s="10">
        <f>DE388-DF388</f>
        <v/>
      </c>
    </row>
    <row r="389">
      <c r="A389" s="9">
        <f>'02_Данные'!B389</f>
        <v/>
      </c>
      <c r="B389" s="9">
        <f>'02_Данные'!E389</f>
        <v/>
      </c>
      <c r="C389" s="10">
        <f>'02_Данные'!F389+'02_Данные'!G389+'02_Данные'!H389+'02_Данные'!I389+'02_Данные'!J389+'02_Данные'!K389</f>
        <v/>
      </c>
      <c r="D389" s="10">
        <f>SUM('02_Данные'!L389:'02_Данные'!AY389)</f>
        <v/>
      </c>
      <c r="E389" s="10">
        <f>MAX(0,D389-C389)</f>
        <v/>
      </c>
      <c r="F389" s="15">
        <f>IF(E389&gt;0.0001,"ДЕФИЦИТ",IF(Y389&gt;0.0001,"ПРОФИЦИТ","БАЛАНС"))</f>
        <v/>
      </c>
      <c r="G389" s="10">
        <f>AB389+AS389+BJ389+CA389+CR389</f>
        <v/>
      </c>
      <c r="H389" s="10">
        <f>AD389+AU389+BL389+CC389+CT389</f>
        <v/>
      </c>
      <c r="I389" s="10">
        <f>AF389+AW389+BN389+CE389+CV389</f>
        <v/>
      </c>
      <c r="J389" s="10">
        <f>AL389+BC389+BT389+CK389+DB389</f>
        <v/>
      </c>
      <c r="K389" s="10">
        <f>AJ389+BA389+BR389+CI389+CZ389</f>
        <v/>
      </c>
      <c r="L389" s="10">
        <f>AN389+BE389+BV389+CM389+DD389</f>
        <v/>
      </c>
      <c r="M389" s="10">
        <f>AP389+BG389+BX389+CO389+DF389</f>
        <v/>
      </c>
      <c r="N389" s="10">
        <f>AH389+AY389+BP389+CG389+CX389</f>
        <v/>
      </c>
      <c r="O389" s="10">
        <f>SUM(G389:N389)</f>
        <v/>
      </c>
      <c r="P389" s="10">
        <f>IFERROR(G389*MIN(1,'01_Нормативы'!$C$4/SUM(G$2:G$429)),0)</f>
        <v/>
      </c>
      <c r="Q389" s="10">
        <f>IFERROR(H389*MIN(1,'01_Нормативы'!$C$5/SUM(H$2:H$429)),0)</f>
        <v/>
      </c>
      <c r="R389" s="10">
        <f>IFERROR(I389*MIN(1,'01_Нормативы'!$C$6/SUM(I$2:I$429)),0)</f>
        <v/>
      </c>
      <c r="S389" s="10">
        <f>IFERROR(J389*MIN(1,'01_Нормативы'!$C$7/SUM(J$2:J$429)),0)</f>
        <v/>
      </c>
      <c r="T389" s="10">
        <f>IFERROR(K389*MIN(1,'01_Нормативы'!$C$8/SUM(K$2:K$429)),0)</f>
        <v/>
      </c>
      <c r="U389" s="10">
        <f>IFERROR(L389*MIN(1,'01_Нормативы'!$C$9/SUM(L$2:L$429)),0)</f>
        <v/>
      </c>
      <c r="V389" s="10">
        <f>IFERROR(M389*MIN(1,'01_Нормативы'!$C$10/SUM(M$2:M$429)),0)</f>
        <v/>
      </c>
      <c r="W389" s="10">
        <f>IFERROR(N389*MIN(1,'01_Нормативы'!$C$11/SUM(N$2:N$429)),0)</f>
        <v/>
      </c>
      <c r="X389" s="10">
        <f>SUM(P389:W389)</f>
        <v/>
      </c>
      <c r="Y389" s="10">
        <f>MAX(0,C389-X389)</f>
        <v/>
      </c>
      <c r="Z389" s="10">
        <f>IF(D389=0,100,X389/D389*100)</f>
        <v/>
      </c>
      <c r="AA389" s="10">
        <f>'02_Данные'!F389+'02_Данные'!G389</f>
        <v/>
      </c>
      <c r="AB389" s="10">
        <f>MIN('02_Данные'!L389,AA389)</f>
        <v/>
      </c>
      <c r="AC389" s="10">
        <f>AA389-AB389</f>
        <v/>
      </c>
      <c r="AD389" s="10">
        <f>MIN('02_Данные'!M389,AC389)</f>
        <v/>
      </c>
      <c r="AE389" s="10">
        <f>AC389-AD389</f>
        <v/>
      </c>
      <c r="AF389" s="10">
        <f>MIN('02_Данные'!N389,AE389)</f>
        <v/>
      </c>
      <c r="AG389" s="10">
        <f>AE389-AF389</f>
        <v/>
      </c>
      <c r="AH389" s="10">
        <f>MIN('02_Данные'!S389,AG389)</f>
        <v/>
      </c>
      <c r="AI389" s="10">
        <f>AG389-AH389</f>
        <v/>
      </c>
      <c r="AJ389" s="10">
        <f>MIN('02_Данные'!P389,AI389)</f>
        <v/>
      </c>
      <c r="AK389" s="10">
        <f>AI389-AJ389</f>
        <v/>
      </c>
      <c r="AL389" s="10">
        <f>MIN('02_Данные'!O389,AK389)</f>
        <v/>
      </c>
      <c r="AM389" s="10">
        <f>AK389-AL389</f>
        <v/>
      </c>
      <c r="AN389" s="10">
        <f>MIN('02_Данные'!Q389,AM389)</f>
        <v/>
      </c>
      <c r="AO389" s="10">
        <f>AM389-AN389</f>
        <v/>
      </c>
      <c r="AP389" s="10">
        <f>MIN('02_Данные'!R389,AO389)</f>
        <v/>
      </c>
      <c r="AQ389" s="10">
        <f>AO389-AP389</f>
        <v/>
      </c>
      <c r="AR389" s="10">
        <f>AQ389+'02_Данные'!H389</f>
        <v/>
      </c>
      <c r="AS389" s="10">
        <f>MIN('02_Данные'!T389,AR389)</f>
        <v/>
      </c>
      <c r="AT389" s="10">
        <f>AR389-AS389</f>
        <v/>
      </c>
      <c r="AU389" s="10">
        <f>MIN('02_Данные'!U389,AT389)</f>
        <v/>
      </c>
      <c r="AV389" s="10">
        <f>AT389-AU389</f>
        <v/>
      </c>
      <c r="AW389" s="10">
        <f>MIN('02_Данные'!V389,AV389)</f>
        <v/>
      </c>
      <c r="AX389" s="10">
        <f>AV389-AW389</f>
        <v/>
      </c>
      <c r="AY389" s="10">
        <f>MIN('02_Данные'!AA389,AX389)</f>
        <v/>
      </c>
      <c r="AZ389" s="10">
        <f>AX389-AY389</f>
        <v/>
      </c>
      <c r="BA389" s="10">
        <f>MIN('02_Данные'!X389,AZ389)</f>
        <v/>
      </c>
      <c r="BB389" s="10">
        <f>AZ389-BA389</f>
        <v/>
      </c>
      <c r="BC389" s="10">
        <f>MIN('02_Данные'!W389,BB389)</f>
        <v/>
      </c>
      <c r="BD389" s="10">
        <f>BB389-BC389</f>
        <v/>
      </c>
      <c r="BE389" s="10">
        <f>MIN('02_Данные'!Y389,BD389)</f>
        <v/>
      </c>
      <c r="BF389" s="10">
        <f>BD389-BE389</f>
        <v/>
      </c>
      <c r="BG389" s="10">
        <f>MIN('02_Данные'!Z389,BF389)</f>
        <v/>
      </c>
      <c r="BH389" s="10">
        <f>BF389-BG389</f>
        <v/>
      </c>
      <c r="BI389" s="10">
        <f>BH389+'02_Данные'!I389</f>
        <v/>
      </c>
      <c r="BJ389" s="10">
        <f>MIN('02_Данные'!AB389,BI389)</f>
        <v/>
      </c>
      <c r="BK389" s="10">
        <f>BI389-BJ389</f>
        <v/>
      </c>
      <c r="BL389" s="10">
        <f>MIN('02_Данные'!AC389,BK389)</f>
        <v/>
      </c>
      <c r="BM389" s="10">
        <f>BK389-BL389</f>
        <v/>
      </c>
      <c r="BN389" s="10">
        <f>MIN('02_Данные'!AD389,BM389)</f>
        <v/>
      </c>
      <c r="BO389" s="10">
        <f>BM389-BN389</f>
        <v/>
      </c>
      <c r="BP389" s="10">
        <f>MIN('02_Данные'!AI389,BO389)</f>
        <v/>
      </c>
      <c r="BQ389" s="10">
        <f>BO389-BP389</f>
        <v/>
      </c>
      <c r="BR389" s="10">
        <f>MIN('02_Данные'!AF389,BQ389)</f>
        <v/>
      </c>
      <c r="BS389" s="10">
        <f>BQ389-BR389</f>
        <v/>
      </c>
      <c r="BT389" s="10">
        <f>MIN('02_Данные'!AE389,BS389)</f>
        <v/>
      </c>
      <c r="BU389" s="10">
        <f>BS389-BT389</f>
        <v/>
      </c>
      <c r="BV389" s="10">
        <f>MIN('02_Данные'!AG389,BU389)</f>
        <v/>
      </c>
      <c r="BW389" s="10">
        <f>BU389-BV389</f>
        <v/>
      </c>
      <c r="BX389" s="10">
        <f>MIN('02_Данные'!AH389,BW389)</f>
        <v/>
      </c>
      <c r="BY389" s="10">
        <f>BW389-BX389</f>
        <v/>
      </c>
      <c r="BZ389" s="10">
        <f>BY389+'02_Данные'!J389</f>
        <v/>
      </c>
      <c r="CA389" s="10">
        <f>MIN('02_Данные'!AJ389,BZ389)</f>
        <v/>
      </c>
      <c r="CB389" s="10">
        <f>BZ389-CA389</f>
        <v/>
      </c>
      <c r="CC389" s="10">
        <f>MIN('02_Данные'!AK389,CB389)</f>
        <v/>
      </c>
      <c r="CD389" s="10">
        <f>CB389-CC389</f>
        <v/>
      </c>
      <c r="CE389" s="10">
        <f>MIN('02_Данные'!AL389,CD389)</f>
        <v/>
      </c>
      <c r="CF389" s="10">
        <f>CD389-CE389</f>
        <v/>
      </c>
      <c r="CG389" s="10">
        <f>MIN('02_Данные'!AQ389,CF389)</f>
        <v/>
      </c>
      <c r="CH389" s="10">
        <f>CF389-CG389</f>
        <v/>
      </c>
      <c r="CI389" s="10">
        <f>MIN('02_Данные'!AN389,CH389)</f>
        <v/>
      </c>
      <c r="CJ389" s="10">
        <f>CH389-CI389</f>
        <v/>
      </c>
      <c r="CK389" s="10">
        <f>MIN('02_Данные'!AM389,CJ389)</f>
        <v/>
      </c>
      <c r="CL389" s="10">
        <f>CJ389-CK389</f>
        <v/>
      </c>
      <c r="CM389" s="10">
        <f>MIN('02_Данные'!AO389,CL389)</f>
        <v/>
      </c>
      <c r="CN389" s="10">
        <f>CL389-CM389</f>
        <v/>
      </c>
      <c r="CO389" s="10">
        <f>MIN('02_Данные'!AP389,CN389)</f>
        <v/>
      </c>
      <c r="CP389" s="10">
        <f>CN389-CO389</f>
        <v/>
      </c>
      <c r="CQ389" s="10">
        <f>CP389+'02_Данные'!K389</f>
        <v/>
      </c>
      <c r="CR389" s="10">
        <f>MIN('02_Данные'!AR389,CQ389)</f>
        <v/>
      </c>
      <c r="CS389" s="10">
        <f>CQ389-CR389</f>
        <v/>
      </c>
      <c r="CT389" s="10">
        <f>MIN('02_Данные'!AS389,CS389)</f>
        <v/>
      </c>
      <c r="CU389" s="10">
        <f>CS389-CT389</f>
        <v/>
      </c>
      <c r="CV389" s="10">
        <f>MIN('02_Данные'!AT389,CU389)</f>
        <v/>
      </c>
      <c r="CW389" s="10">
        <f>CU389-CV389</f>
        <v/>
      </c>
      <c r="CX389" s="10">
        <f>MIN('02_Данные'!AY389,CW389)</f>
        <v/>
      </c>
      <c r="CY389" s="10">
        <f>CW389-CX389</f>
        <v/>
      </c>
      <c r="CZ389" s="10">
        <f>MIN('02_Данные'!AV389,CY389)</f>
        <v/>
      </c>
      <c r="DA389" s="10">
        <f>CY389-CZ389</f>
        <v/>
      </c>
      <c r="DB389" s="10">
        <f>MIN('02_Данные'!AU389,DA389)</f>
        <v/>
      </c>
      <c r="DC389" s="10">
        <f>DA389-DB389</f>
        <v/>
      </c>
      <c r="DD389" s="10">
        <f>MIN('02_Данные'!AW389,DC389)</f>
        <v/>
      </c>
      <c r="DE389" s="10">
        <f>DC389-DD389</f>
        <v/>
      </c>
      <c r="DF389" s="10">
        <f>MIN('02_Данные'!AX389,DE389)</f>
        <v/>
      </c>
      <c r="DG389" s="10">
        <f>DE389-DF389</f>
        <v/>
      </c>
    </row>
    <row r="390">
      <c r="A390" s="9">
        <f>'02_Данные'!B390</f>
        <v/>
      </c>
      <c r="B390" s="9">
        <f>'02_Данные'!E390</f>
        <v/>
      </c>
      <c r="C390" s="10">
        <f>'02_Данные'!F390+'02_Данные'!G390+'02_Данные'!H390+'02_Данные'!I390+'02_Данные'!J390+'02_Данные'!K390</f>
        <v/>
      </c>
      <c r="D390" s="10">
        <f>SUM('02_Данные'!L390:'02_Данные'!AY390)</f>
        <v/>
      </c>
      <c r="E390" s="10">
        <f>MAX(0,D390-C390)</f>
        <v/>
      </c>
      <c r="F390" s="15">
        <f>IF(E390&gt;0.0001,"ДЕФИЦИТ",IF(Y390&gt;0.0001,"ПРОФИЦИТ","БАЛАНС"))</f>
        <v/>
      </c>
      <c r="G390" s="10">
        <f>AB390+AS390+BJ390+CA390+CR390</f>
        <v/>
      </c>
      <c r="H390" s="10">
        <f>AD390+AU390+BL390+CC390+CT390</f>
        <v/>
      </c>
      <c r="I390" s="10">
        <f>AF390+AW390+BN390+CE390+CV390</f>
        <v/>
      </c>
      <c r="J390" s="10">
        <f>AL390+BC390+BT390+CK390+DB390</f>
        <v/>
      </c>
      <c r="K390" s="10">
        <f>AJ390+BA390+BR390+CI390+CZ390</f>
        <v/>
      </c>
      <c r="L390" s="10">
        <f>AN390+BE390+BV390+CM390+DD390</f>
        <v/>
      </c>
      <c r="M390" s="10">
        <f>AP390+BG390+BX390+CO390+DF390</f>
        <v/>
      </c>
      <c r="N390" s="10">
        <f>AH390+AY390+BP390+CG390+CX390</f>
        <v/>
      </c>
      <c r="O390" s="10">
        <f>SUM(G390:N390)</f>
        <v/>
      </c>
      <c r="P390" s="10">
        <f>IFERROR(G390*MIN(1,'01_Нормативы'!$C$4/SUM(G$2:G$429)),0)</f>
        <v/>
      </c>
      <c r="Q390" s="10">
        <f>IFERROR(H390*MIN(1,'01_Нормативы'!$C$5/SUM(H$2:H$429)),0)</f>
        <v/>
      </c>
      <c r="R390" s="10">
        <f>IFERROR(I390*MIN(1,'01_Нормативы'!$C$6/SUM(I$2:I$429)),0)</f>
        <v/>
      </c>
      <c r="S390" s="10">
        <f>IFERROR(J390*MIN(1,'01_Нормативы'!$C$7/SUM(J$2:J$429)),0)</f>
        <v/>
      </c>
      <c r="T390" s="10">
        <f>IFERROR(K390*MIN(1,'01_Нормативы'!$C$8/SUM(K$2:K$429)),0)</f>
        <v/>
      </c>
      <c r="U390" s="10">
        <f>IFERROR(L390*MIN(1,'01_Нормативы'!$C$9/SUM(L$2:L$429)),0)</f>
        <v/>
      </c>
      <c r="V390" s="10">
        <f>IFERROR(M390*MIN(1,'01_Нормативы'!$C$10/SUM(M$2:M$429)),0)</f>
        <v/>
      </c>
      <c r="W390" s="10">
        <f>IFERROR(N390*MIN(1,'01_Нормативы'!$C$11/SUM(N$2:N$429)),0)</f>
        <v/>
      </c>
      <c r="X390" s="10">
        <f>SUM(P390:W390)</f>
        <v/>
      </c>
      <c r="Y390" s="10">
        <f>MAX(0,C390-X390)</f>
        <v/>
      </c>
      <c r="Z390" s="10">
        <f>IF(D390=0,100,X390/D390*100)</f>
        <v/>
      </c>
      <c r="AA390" s="10">
        <f>'02_Данные'!F390+'02_Данные'!G390</f>
        <v/>
      </c>
      <c r="AB390" s="10">
        <f>MIN('02_Данные'!L390,AA390)</f>
        <v/>
      </c>
      <c r="AC390" s="10">
        <f>AA390-AB390</f>
        <v/>
      </c>
      <c r="AD390" s="10">
        <f>MIN('02_Данные'!M390,AC390)</f>
        <v/>
      </c>
      <c r="AE390" s="10">
        <f>AC390-AD390</f>
        <v/>
      </c>
      <c r="AF390" s="10">
        <f>MIN('02_Данные'!N390,AE390)</f>
        <v/>
      </c>
      <c r="AG390" s="10">
        <f>AE390-AF390</f>
        <v/>
      </c>
      <c r="AH390" s="10">
        <f>MIN('02_Данные'!S390,AG390)</f>
        <v/>
      </c>
      <c r="AI390" s="10">
        <f>AG390-AH390</f>
        <v/>
      </c>
      <c r="AJ390" s="10">
        <f>MIN('02_Данные'!P390,AI390)</f>
        <v/>
      </c>
      <c r="AK390" s="10">
        <f>AI390-AJ390</f>
        <v/>
      </c>
      <c r="AL390" s="10">
        <f>MIN('02_Данные'!O390,AK390)</f>
        <v/>
      </c>
      <c r="AM390" s="10">
        <f>AK390-AL390</f>
        <v/>
      </c>
      <c r="AN390" s="10">
        <f>MIN('02_Данные'!Q390,AM390)</f>
        <v/>
      </c>
      <c r="AO390" s="10">
        <f>AM390-AN390</f>
        <v/>
      </c>
      <c r="AP390" s="10">
        <f>MIN('02_Данные'!R390,AO390)</f>
        <v/>
      </c>
      <c r="AQ390" s="10">
        <f>AO390-AP390</f>
        <v/>
      </c>
      <c r="AR390" s="10">
        <f>AQ390+'02_Данные'!H390</f>
        <v/>
      </c>
      <c r="AS390" s="10">
        <f>MIN('02_Данные'!T390,AR390)</f>
        <v/>
      </c>
      <c r="AT390" s="10">
        <f>AR390-AS390</f>
        <v/>
      </c>
      <c r="AU390" s="10">
        <f>MIN('02_Данные'!U390,AT390)</f>
        <v/>
      </c>
      <c r="AV390" s="10">
        <f>AT390-AU390</f>
        <v/>
      </c>
      <c r="AW390" s="10">
        <f>MIN('02_Данные'!V390,AV390)</f>
        <v/>
      </c>
      <c r="AX390" s="10">
        <f>AV390-AW390</f>
        <v/>
      </c>
      <c r="AY390" s="10">
        <f>MIN('02_Данные'!AA390,AX390)</f>
        <v/>
      </c>
      <c r="AZ390" s="10">
        <f>AX390-AY390</f>
        <v/>
      </c>
      <c r="BA390" s="10">
        <f>MIN('02_Данные'!X390,AZ390)</f>
        <v/>
      </c>
      <c r="BB390" s="10">
        <f>AZ390-BA390</f>
        <v/>
      </c>
      <c r="BC390" s="10">
        <f>MIN('02_Данные'!W390,BB390)</f>
        <v/>
      </c>
      <c r="BD390" s="10">
        <f>BB390-BC390</f>
        <v/>
      </c>
      <c r="BE390" s="10">
        <f>MIN('02_Данные'!Y390,BD390)</f>
        <v/>
      </c>
      <c r="BF390" s="10">
        <f>BD390-BE390</f>
        <v/>
      </c>
      <c r="BG390" s="10">
        <f>MIN('02_Данные'!Z390,BF390)</f>
        <v/>
      </c>
      <c r="BH390" s="10">
        <f>BF390-BG390</f>
        <v/>
      </c>
      <c r="BI390" s="10">
        <f>BH390+'02_Данные'!I390</f>
        <v/>
      </c>
      <c r="BJ390" s="10">
        <f>MIN('02_Данные'!AB390,BI390)</f>
        <v/>
      </c>
      <c r="BK390" s="10">
        <f>BI390-BJ390</f>
        <v/>
      </c>
      <c r="BL390" s="10">
        <f>MIN('02_Данные'!AC390,BK390)</f>
        <v/>
      </c>
      <c r="BM390" s="10">
        <f>BK390-BL390</f>
        <v/>
      </c>
      <c r="BN390" s="10">
        <f>MIN('02_Данные'!AD390,BM390)</f>
        <v/>
      </c>
      <c r="BO390" s="10">
        <f>BM390-BN390</f>
        <v/>
      </c>
      <c r="BP390" s="10">
        <f>MIN('02_Данные'!AI390,BO390)</f>
        <v/>
      </c>
      <c r="BQ390" s="10">
        <f>BO390-BP390</f>
        <v/>
      </c>
      <c r="BR390" s="10">
        <f>MIN('02_Данные'!AF390,BQ390)</f>
        <v/>
      </c>
      <c r="BS390" s="10">
        <f>BQ390-BR390</f>
        <v/>
      </c>
      <c r="BT390" s="10">
        <f>MIN('02_Данные'!AE390,BS390)</f>
        <v/>
      </c>
      <c r="BU390" s="10">
        <f>BS390-BT390</f>
        <v/>
      </c>
      <c r="BV390" s="10">
        <f>MIN('02_Данные'!AG390,BU390)</f>
        <v/>
      </c>
      <c r="BW390" s="10">
        <f>BU390-BV390</f>
        <v/>
      </c>
      <c r="BX390" s="10">
        <f>MIN('02_Данные'!AH390,BW390)</f>
        <v/>
      </c>
      <c r="BY390" s="10">
        <f>BW390-BX390</f>
        <v/>
      </c>
      <c r="BZ390" s="10">
        <f>BY390+'02_Данные'!J390</f>
        <v/>
      </c>
      <c r="CA390" s="10">
        <f>MIN('02_Данные'!AJ390,BZ390)</f>
        <v/>
      </c>
      <c r="CB390" s="10">
        <f>BZ390-CA390</f>
        <v/>
      </c>
      <c r="CC390" s="10">
        <f>MIN('02_Данные'!AK390,CB390)</f>
        <v/>
      </c>
      <c r="CD390" s="10">
        <f>CB390-CC390</f>
        <v/>
      </c>
      <c r="CE390" s="10">
        <f>MIN('02_Данные'!AL390,CD390)</f>
        <v/>
      </c>
      <c r="CF390" s="10">
        <f>CD390-CE390</f>
        <v/>
      </c>
      <c r="CG390" s="10">
        <f>MIN('02_Данные'!AQ390,CF390)</f>
        <v/>
      </c>
      <c r="CH390" s="10">
        <f>CF390-CG390</f>
        <v/>
      </c>
      <c r="CI390" s="10">
        <f>MIN('02_Данные'!AN390,CH390)</f>
        <v/>
      </c>
      <c r="CJ390" s="10">
        <f>CH390-CI390</f>
        <v/>
      </c>
      <c r="CK390" s="10">
        <f>MIN('02_Данные'!AM390,CJ390)</f>
        <v/>
      </c>
      <c r="CL390" s="10">
        <f>CJ390-CK390</f>
        <v/>
      </c>
      <c r="CM390" s="10">
        <f>MIN('02_Данные'!AO390,CL390)</f>
        <v/>
      </c>
      <c r="CN390" s="10">
        <f>CL390-CM390</f>
        <v/>
      </c>
      <c r="CO390" s="10">
        <f>MIN('02_Данные'!AP390,CN390)</f>
        <v/>
      </c>
      <c r="CP390" s="10">
        <f>CN390-CO390</f>
        <v/>
      </c>
      <c r="CQ390" s="10">
        <f>CP390+'02_Данные'!K390</f>
        <v/>
      </c>
      <c r="CR390" s="10">
        <f>MIN('02_Данные'!AR390,CQ390)</f>
        <v/>
      </c>
      <c r="CS390" s="10">
        <f>CQ390-CR390</f>
        <v/>
      </c>
      <c r="CT390" s="10">
        <f>MIN('02_Данные'!AS390,CS390)</f>
        <v/>
      </c>
      <c r="CU390" s="10">
        <f>CS390-CT390</f>
        <v/>
      </c>
      <c r="CV390" s="10">
        <f>MIN('02_Данные'!AT390,CU390)</f>
        <v/>
      </c>
      <c r="CW390" s="10">
        <f>CU390-CV390</f>
        <v/>
      </c>
      <c r="CX390" s="10">
        <f>MIN('02_Данные'!AY390,CW390)</f>
        <v/>
      </c>
      <c r="CY390" s="10">
        <f>CW390-CX390</f>
        <v/>
      </c>
      <c r="CZ390" s="10">
        <f>MIN('02_Данные'!AV390,CY390)</f>
        <v/>
      </c>
      <c r="DA390" s="10">
        <f>CY390-CZ390</f>
        <v/>
      </c>
      <c r="DB390" s="10">
        <f>MIN('02_Данные'!AU390,DA390)</f>
        <v/>
      </c>
      <c r="DC390" s="10">
        <f>DA390-DB390</f>
        <v/>
      </c>
      <c r="DD390" s="10">
        <f>MIN('02_Данные'!AW390,DC390)</f>
        <v/>
      </c>
      <c r="DE390" s="10">
        <f>DC390-DD390</f>
        <v/>
      </c>
      <c r="DF390" s="10">
        <f>MIN('02_Данные'!AX390,DE390)</f>
        <v/>
      </c>
      <c r="DG390" s="10">
        <f>DE390-DF390</f>
        <v/>
      </c>
    </row>
    <row r="391">
      <c r="A391" s="9">
        <f>'02_Данные'!B391</f>
        <v/>
      </c>
      <c r="B391" s="9">
        <f>'02_Данные'!E391</f>
        <v/>
      </c>
      <c r="C391" s="10">
        <f>'02_Данные'!F391+'02_Данные'!G391+'02_Данные'!H391+'02_Данные'!I391+'02_Данные'!J391+'02_Данные'!K391</f>
        <v/>
      </c>
      <c r="D391" s="10">
        <f>SUM('02_Данные'!L391:'02_Данные'!AY391)</f>
        <v/>
      </c>
      <c r="E391" s="10">
        <f>MAX(0,D391-C391)</f>
        <v/>
      </c>
      <c r="F391" s="15">
        <f>IF(E391&gt;0.0001,"ДЕФИЦИТ",IF(Y391&gt;0.0001,"ПРОФИЦИТ","БАЛАНС"))</f>
        <v/>
      </c>
      <c r="G391" s="10">
        <f>AB391+AS391+BJ391+CA391+CR391</f>
        <v/>
      </c>
      <c r="H391" s="10">
        <f>AD391+AU391+BL391+CC391+CT391</f>
        <v/>
      </c>
      <c r="I391" s="10">
        <f>AF391+AW391+BN391+CE391+CV391</f>
        <v/>
      </c>
      <c r="J391" s="10">
        <f>AL391+BC391+BT391+CK391+DB391</f>
        <v/>
      </c>
      <c r="K391" s="10">
        <f>AJ391+BA391+BR391+CI391+CZ391</f>
        <v/>
      </c>
      <c r="L391" s="10">
        <f>AN391+BE391+BV391+CM391+DD391</f>
        <v/>
      </c>
      <c r="M391" s="10">
        <f>AP391+BG391+BX391+CO391+DF391</f>
        <v/>
      </c>
      <c r="N391" s="10">
        <f>AH391+AY391+BP391+CG391+CX391</f>
        <v/>
      </c>
      <c r="O391" s="10">
        <f>SUM(G391:N391)</f>
        <v/>
      </c>
      <c r="P391" s="10">
        <f>IFERROR(G391*MIN(1,'01_Нормативы'!$C$4/SUM(G$2:G$429)),0)</f>
        <v/>
      </c>
      <c r="Q391" s="10">
        <f>IFERROR(H391*MIN(1,'01_Нормативы'!$C$5/SUM(H$2:H$429)),0)</f>
        <v/>
      </c>
      <c r="R391" s="10">
        <f>IFERROR(I391*MIN(1,'01_Нормативы'!$C$6/SUM(I$2:I$429)),0)</f>
        <v/>
      </c>
      <c r="S391" s="10">
        <f>IFERROR(J391*MIN(1,'01_Нормативы'!$C$7/SUM(J$2:J$429)),0)</f>
        <v/>
      </c>
      <c r="T391" s="10">
        <f>IFERROR(K391*MIN(1,'01_Нормативы'!$C$8/SUM(K$2:K$429)),0)</f>
        <v/>
      </c>
      <c r="U391" s="10">
        <f>IFERROR(L391*MIN(1,'01_Нормативы'!$C$9/SUM(L$2:L$429)),0)</f>
        <v/>
      </c>
      <c r="V391" s="10">
        <f>IFERROR(M391*MIN(1,'01_Нормативы'!$C$10/SUM(M$2:M$429)),0)</f>
        <v/>
      </c>
      <c r="W391" s="10">
        <f>IFERROR(N391*MIN(1,'01_Нормативы'!$C$11/SUM(N$2:N$429)),0)</f>
        <v/>
      </c>
      <c r="X391" s="10">
        <f>SUM(P391:W391)</f>
        <v/>
      </c>
      <c r="Y391" s="10">
        <f>MAX(0,C391-X391)</f>
        <v/>
      </c>
      <c r="Z391" s="10">
        <f>IF(D391=0,100,X391/D391*100)</f>
        <v/>
      </c>
      <c r="AA391" s="10">
        <f>'02_Данные'!F391+'02_Данные'!G391</f>
        <v/>
      </c>
      <c r="AB391" s="10">
        <f>MIN('02_Данные'!L391,AA391)</f>
        <v/>
      </c>
      <c r="AC391" s="10">
        <f>AA391-AB391</f>
        <v/>
      </c>
      <c r="AD391" s="10">
        <f>MIN('02_Данные'!M391,AC391)</f>
        <v/>
      </c>
      <c r="AE391" s="10">
        <f>AC391-AD391</f>
        <v/>
      </c>
      <c r="AF391" s="10">
        <f>MIN('02_Данные'!N391,AE391)</f>
        <v/>
      </c>
      <c r="AG391" s="10">
        <f>AE391-AF391</f>
        <v/>
      </c>
      <c r="AH391" s="10">
        <f>MIN('02_Данные'!S391,AG391)</f>
        <v/>
      </c>
      <c r="AI391" s="10">
        <f>AG391-AH391</f>
        <v/>
      </c>
      <c r="AJ391" s="10">
        <f>MIN('02_Данные'!P391,AI391)</f>
        <v/>
      </c>
      <c r="AK391" s="10">
        <f>AI391-AJ391</f>
        <v/>
      </c>
      <c r="AL391" s="10">
        <f>MIN('02_Данные'!O391,AK391)</f>
        <v/>
      </c>
      <c r="AM391" s="10">
        <f>AK391-AL391</f>
        <v/>
      </c>
      <c r="AN391" s="10">
        <f>MIN('02_Данные'!Q391,AM391)</f>
        <v/>
      </c>
      <c r="AO391" s="10">
        <f>AM391-AN391</f>
        <v/>
      </c>
      <c r="AP391" s="10">
        <f>MIN('02_Данные'!R391,AO391)</f>
        <v/>
      </c>
      <c r="AQ391" s="10">
        <f>AO391-AP391</f>
        <v/>
      </c>
      <c r="AR391" s="10">
        <f>AQ391+'02_Данные'!H391</f>
        <v/>
      </c>
      <c r="AS391" s="10">
        <f>MIN('02_Данные'!T391,AR391)</f>
        <v/>
      </c>
      <c r="AT391" s="10">
        <f>AR391-AS391</f>
        <v/>
      </c>
      <c r="AU391" s="10">
        <f>MIN('02_Данные'!U391,AT391)</f>
        <v/>
      </c>
      <c r="AV391" s="10">
        <f>AT391-AU391</f>
        <v/>
      </c>
      <c r="AW391" s="10">
        <f>MIN('02_Данные'!V391,AV391)</f>
        <v/>
      </c>
      <c r="AX391" s="10">
        <f>AV391-AW391</f>
        <v/>
      </c>
      <c r="AY391" s="10">
        <f>MIN('02_Данные'!AA391,AX391)</f>
        <v/>
      </c>
      <c r="AZ391" s="10">
        <f>AX391-AY391</f>
        <v/>
      </c>
      <c r="BA391" s="10">
        <f>MIN('02_Данные'!X391,AZ391)</f>
        <v/>
      </c>
      <c r="BB391" s="10">
        <f>AZ391-BA391</f>
        <v/>
      </c>
      <c r="BC391" s="10">
        <f>MIN('02_Данные'!W391,BB391)</f>
        <v/>
      </c>
      <c r="BD391" s="10">
        <f>BB391-BC391</f>
        <v/>
      </c>
      <c r="BE391" s="10">
        <f>MIN('02_Данные'!Y391,BD391)</f>
        <v/>
      </c>
      <c r="BF391" s="10">
        <f>BD391-BE391</f>
        <v/>
      </c>
      <c r="BG391" s="10">
        <f>MIN('02_Данные'!Z391,BF391)</f>
        <v/>
      </c>
      <c r="BH391" s="10">
        <f>BF391-BG391</f>
        <v/>
      </c>
      <c r="BI391" s="10">
        <f>BH391+'02_Данные'!I391</f>
        <v/>
      </c>
      <c r="BJ391" s="10">
        <f>MIN('02_Данные'!AB391,BI391)</f>
        <v/>
      </c>
      <c r="BK391" s="10">
        <f>BI391-BJ391</f>
        <v/>
      </c>
      <c r="BL391" s="10">
        <f>MIN('02_Данные'!AC391,BK391)</f>
        <v/>
      </c>
      <c r="BM391" s="10">
        <f>BK391-BL391</f>
        <v/>
      </c>
      <c r="BN391" s="10">
        <f>MIN('02_Данные'!AD391,BM391)</f>
        <v/>
      </c>
      <c r="BO391" s="10">
        <f>BM391-BN391</f>
        <v/>
      </c>
      <c r="BP391" s="10">
        <f>MIN('02_Данные'!AI391,BO391)</f>
        <v/>
      </c>
      <c r="BQ391" s="10">
        <f>BO391-BP391</f>
        <v/>
      </c>
      <c r="BR391" s="10">
        <f>MIN('02_Данные'!AF391,BQ391)</f>
        <v/>
      </c>
      <c r="BS391" s="10">
        <f>BQ391-BR391</f>
        <v/>
      </c>
      <c r="BT391" s="10">
        <f>MIN('02_Данные'!AE391,BS391)</f>
        <v/>
      </c>
      <c r="BU391" s="10">
        <f>BS391-BT391</f>
        <v/>
      </c>
      <c r="BV391" s="10">
        <f>MIN('02_Данные'!AG391,BU391)</f>
        <v/>
      </c>
      <c r="BW391" s="10">
        <f>BU391-BV391</f>
        <v/>
      </c>
      <c r="BX391" s="10">
        <f>MIN('02_Данные'!AH391,BW391)</f>
        <v/>
      </c>
      <c r="BY391" s="10">
        <f>BW391-BX391</f>
        <v/>
      </c>
      <c r="BZ391" s="10">
        <f>BY391+'02_Данные'!J391</f>
        <v/>
      </c>
      <c r="CA391" s="10">
        <f>MIN('02_Данные'!AJ391,BZ391)</f>
        <v/>
      </c>
      <c r="CB391" s="10">
        <f>BZ391-CA391</f>
        <v/>
      </c>
      <c r="CC391" s="10">
        <f>MIN('02_Данные'!AK391,CB391)</f>
        <v/>
      </c>
      <c r="CD391" s="10">
        <f>CB391-CC391</f>
        <v/>
      </c>
      <c r="CE391" s="10">
        <f>MIN('02_Данные'!AL391,CD391)</f>
        <v/>
      </c>
      <c r="CF391" s="10">
        <f>CD391-CE391</f>
        <v/>
      </c>
      <c r="CG391" s="10">
        <f>MIN('02_Данные'!AQ391,CF391)</f>
        <v/>
      </c>
      <c r="CH391" s="10">
        <f>CF391-CG391</f>
        <v/>
      </c>
      <c r="CI391" s="10">
        <f>MIN('02_Данные'!AN391,CH391)</f>
        <v/>
      </c>
      <c r="CJ391" s="10">
        <f>CH391-CI391</f>
        <v/>
      </c>
      <c r="CK391" s="10">
        <f>MIN('02_Данные'!AM391,CJ391)</f>
        <v/>
      </c>
      <c r="CL391" s="10">
        <f>CJ391-CK391</f>
        <v/>
      </c>
      <c r="CM391" s="10">
        <f>MIN('02_Данные'!AO391,CL391)</f>
        <v/>
      </c>
      <c r="CN391" s="10">
        <f>CL391-CM391</f>
        <v/>
      </c>
      <c r="CO391" s="10">
        <f>MIN('02_Данные'!AP391,CN391)</f>
        <v/>
      </c>
      <c r="CP391" s="10">
        <f>CN391-CO391</f>
        <v/>
      </c>
      <c r="CQ391" s="10">
        <f>CP391+'02_Данные'!K391</f>
        <v/>
      </c>
      <c r="CR391" s="10">
        <f>MIN('02_Данные'!AR391,CQ391)</f>
        <v/>
      </c>
      <c r="CS391" s="10">
        <f>CQ391-CR391</f>
        <v/>
      </c>
      <c r="CT391" s="10">
        <f>MIN('02_Данные'!AS391,CS391)</f>
        <v/>
      </c>
      <c r="CU391" s="10">
        <f>CS391-CT391</f>
        <v/>
      </c>
      <c r="CV391" s="10">
        <f>MIN('02_Данные'!AT391,CU391)</f>
        <v/>
      </c>
      <c r="CW391" s="10">
        <f>CU391-CV391</f>
        <v/>
      </c>
      <c r="CX391" s="10">
        <f>MIN('02_Данные'!AY391,CW391)</f>
        <v/>
      </c>
      <c r="CY391" s="10">
        <f>CW391-CX391</f>
        <v/>
      </c>
      <c r="CZ391" s="10">
        <f>MIN('02_Данные'!AV391,CY391)</f>
        <v/>
      </c>
      <c r="DA391" s="10">
        <f>CY391-CZ391</f>
        <v/>
      </c>
      <c r="DB391" s="10">
        <f>MIN('02_Данные'!AU391,DA391)</f>
        <v/>
      </c>
      <c r="DC391" s="10">
        <f>DA391-DB391</f>
        <v/>
      </c>
      <c r="DD391" s="10">
        <f>MIN('02_Данные'!AW391,DC391)</f>
        <v/>
      </c>
      <c r="DE391" s="10">
        <f>DC391-DD391</f>
        <v/>
      </c>
      <c r="DF391" s="10">
        <f>MIN('02_Данные'!AX391,DE391)</f>
        <v/>
      </c>
      <c r="DG391" s="10">
        <f>DE391-DF391</f>
        <v/>
      </c>
    </row>
    <row r="392">
      <c r="A392" s="9">
        <f>'02_Данные'!B392</f>
        <v/>
      </c>
      <c r="B392" s="9">
        <f>'02_Данные'!E392</f>
        <v/>
      </c>
      <c r="C392" s="10">
        <f>'02_Данные'!F392+'02_Данные'!G392+'02_Данные'!H392+'02_Данные'!I392+'02_Данные'!J392+'02_Данные'!K392</f>
        <v/>
      </c>
      <c r="D392" s="10">
        <f>SUM('02_Данные'!L392:'02_Данные'!AY392)</f>
        <v/>
      </c>
      <c r="E392" s="10">
        <f>MAX(0,D392-C392)</f>
        <v/>
      </c>
      <c r="F392" s="15">
        <f>IF(E392&gt;0.0001,"ДЕФИЦИТ",IF(Y392&gt;0.0001,"ПРОФИЦИТ","БАЛАНС"))</f>
        <v/>
      </c>
      <c r="G392" s="10">
        <f>AB392+AS392+BJ392+CA392+CR392</f>
        <v/>
      </c>
      <c r="H392" s="10">
        <f>AD392+AU392+BL392+CC392+CT392</f>
        <v/>
      </c>
      <c r="I392" s="10">
        <f>AF392+AW392+BN392+CE392+CV392</f>
        <v/>
      </c>
      <c r="J392" s="10">
        <f>AL392+BC392+BT392+CK392+DB392</f>
        <v/>
      </c>
      <c r="K392" s="10">
        <f>AJ392+BA392+BR392+CI392+CZ392</f>
        <v/>
      </c>
      <c r="L392" s="10">
        <f>AN392+BE392+BV392+CM392+DD392</f>
        <v/>
      </c>
      <c r="M392" s="10">
        <f>AP392+BG392+BX392+CO392+DF392</f>
        <v/>
      </c>
      <c r="N392" s="10">
        <f>AH392+AY392+BP392+CG392+CX392</f>
        <v/>
      </c>
      <c r="O392" s="10">
        <f>SUM(G392:N392)</f>
        <v/>
      </c>
      <c r="P392" s="10">
        <f>IFERROR(G392*MIN(1,'01_Нормативы'!$C$4/SUM(G$2:G$429)),0)</f>
        <v/>
      </c>
      <c r="Q392" s="10">
        <f>IFERROR(H392*MIN(1,'01_Нормативы'!$C$5/SUM(H$2:H$429)),0)</f>
        <v/>
      </c>
      <c r="R392" s="10">
        <f>IFERROR(I392*MIN(1,'01_Нормативы'!$C$6/SUM(I$2:I$429)),0)</f>
        <v/>
      </c>
      <c r="S392" s="10">
        <f>IFERROR(J392*MIN(1,'01_Нормативы'!$C$7/SUM(J$2:J$429)),0)</f>
        <v/>
      </c>
      <c r="T392" s="10">
        <f>IFERROR(K392*MIN(1,'01_Нормативы'!$C$8/SUM(K$2:K$429)),0)</f>
        <v/>
      </c>
      <c r="U392" s="10">
        <f>IFERROR(L392*MIN(1,'01_Нормативы'!$C$9/SUM(L$2:L$429)),0)</f>
        <v/>
      </c>
      <c r="V392" s="10">
        <f>IFERROR(M392*MIN(1,'01_Нормативы'!$C$10/SUM(M$2:M$429)),0)</f>
        <v/>
      </c>
      <c r="W392" s="10">
        <f>IFERROR(N392*MIN(1,'01_Нормативы'!$C$11/SUM(N$2:N$429)),0)</f>
        <v/>
      </c>
      <c r="X392" s="10">
        <f>SUM(P392:W392)</f>
        <v/>
      </c>
      <c r="Y392" s="10">
        <f>MAX(0,C392-X392)</f>
        <v/>
      </c>
      <c r="Z392" s="10">
        <f>IF(D392=0,100,X392/D392*100)</f>
        <v/>
      </c>
      <c r="AA392" s="10">
        <f>'02_Данные'!F392+'02_Данные'!G392</f>
        <v/>
      </c>
      <c r="AB392" s="10">
        <f>MIN('02_Данные'!L392,AA392)</f>
        <v/>
      </c>
      <c r="AC392" s="10">
        <f>AA392-AB392</f>
        <v/>
      </c>
      <c r="AD392" s="10">
        <f>MIN('02_Данные'!M392,AC392)</f>
        <v/>
      </c>
      <c r="AE392" s="10">
        <f>AC392-AD392</f>
        <v/>
      </c>
      <c r="AF392" s="10">
        <f>MIN('02_Данные'!N392,AE392)</f>
        <v/>
      </c>
      <c r="AG392" s="10">
        <f>AE392-AF392</f>
        <v/>
      </c>
      <c r="AH392" s="10">
        <f>MIN('02_Данные'!S392,AG392)</f>
        <v/>
      </c>
      <c r="AI392" s="10">
        <f>AG392-AH392</f>
        <v/>
      </c>
      <c r="AJ392" s="10">
        <f>MIN('02_Данные'!P392,AI392)</f>
        <v/>
      </c>
      <c r="AK392" s="10">
        <f>AI392-AJ392</f>
        <v/>
      </c>
      <c r="AL392" s="10">
        <f>MIN('02_Данные'!O392,AK392)</f>
        <v/>
      </c>
      <c r="AM392" s="10">
        <f>AK392-AL392</f>
        <v/>
      </c>
      <c r="AN392" s="10">
        <f>MIN('02_Данные'!Q392,AM392)</f>
        <v/>
      </c>
      <c r="AO392" s="10">
        <f>AM392-AN392</f>
        <v/>
      </c>
      <c r="AP392" s="10">
        <f>MIN('02_Данные'!R392,AO392)</f>
        <v/>
      </c>
      <c r="AQ392" s="10">
        <f>AO392-AP392</f>
        <v/>
      </c>
      <c r="AR392" s="10">
        <f>AQ392+'02_Данные'!H392</f>
        <v/>
      </c>
      <c r="AS392" s="10">
        <f>MIN('02_Данные'!T392,AR392)</f>
        <v/>
      </c>
      <c r="AT392" s="10">
        <f>AR392-AS392</f>
        <v/>
      </c>
      <c r="AU392" s="10">
        <f>MIN('02_Данные'!U392,AT392)</f>
        <v/>
      </c>
      <c r="AV392" s="10">
        <f>AT392-AU392</f>
        <v/>
      </c>
      <c r="AW392" s="10">
        <f>MIN('02_Данные'!V392,AV392)</f>
        <v/>
      </c>
      <c r="AX392" s="10">
        <f>AV392-AW392</f>
        <v/>
      </c>
      <c r="AY392" s="10">
        <f>MIN('02_Данные'!AA392,AX392)</f>
        <v/>
      </c>
      <c r="AZ392" s="10">
        <f>AX392-AY392</f>
        <v/>
      </c>
      <c r="BA392" s="10">
        <f>MIN('02_Данные'!X392,AZ392)</f>
        <v/>
      </c>
      <c r="BB392" s="10">
        <f>AZ392-BA392</f>
        <v/>
      </c>
      <c r="BC392" s="10">
        <f>MIN('02_Данные'!W392,BB392)</f>
        <v/>
      </c>
      <c r="BD392" s="10">
        <f>BB392-BC392</f>
        <v/>
      </c>
      <c r="BE392" s="10">
        <f>MIN('02_Данные'!Y392,BD392)</f>
        <v/>
      </c>
      <c r="BF392" s="10">
        <f>BD392-BE392</f>
        <v/>
      </c>
      <c r="BG392" s="10">
        <f>MIN('02_Данные'!Z392,BF392)</f>
        <v/>
      </c>
      <c r="BH392" s="10">
        <f>BF392-BG392</f>
        <v/>
      </c>
      <c r="BI392" s="10">
        <f>BH392+'02_Данные'!I392</f>
        <v/>
      </c>
      <c r="BJ392" s="10">
        <f>MIN('02_Данные'!AB392,BI392)</f>
        <v/>
      </c>
      <c r="BK392" s="10">
        <f>BI392-BJ392</f>
        <v/>
      </c>
      <c r="BL392" s="10">
        <f>MIN('02_Данные'!AC392,BK392)</f>
        <v/>
      </c>
      <c r="BM392" s="10">
        <f>BK392-BL392</f>
        <v/>
      </c>
      <c r="BN392" s="10">
        <f>MIN('02_Данные'!AD392,BM392)</f>
        <v/>
      </c>
      <c r="BO392" s="10">
        <f>BM392-BN392</f>
        <v/>
      </c>
      <c r="BP392" s="10">
        <f>MIN('02_Данные'!AI392,BO392)</f>
        <v/>
      </c>
      <c r="BQ392" s="10">
        <f>BO392-BP392</f>
        <v/>
      </c>
      <c r="BR392" s="10">
        <f>MIN('02_Данные'!AF392,BQ392)</f>
        <v/>
      </c>
      <c r="BS392" s="10">
        <f>BQ392-BR392</f>
        <v/>
      </c>
      <c r="BT392" s="10">
        <f>MIN('02_Данные'!AE392,BS392)</f>
        <v/>
      </c>
      <c r="BU392" s="10">
        <f>BS392-BT392</f>
        <v/>
      </c>
      <c r="BV392" s="10">
        <f>MIN('02_Данные'!AG392,BU392)</f>
        <v/>
      </c>
      <c r="BW392" s="10">
        <f>BU392-BV392</f>
        <v/>
      </c>
      <c r="BX392" s="10">
        <f>MIN('02_Данные'!AH392,BW392)</f>
        <v/>
      </c>
      <c r="BY392" s="10">
        <f>BW392-BX392</f>
        <v/>
      </c>
      <c r="BZ392" s="10">
        <f>BY392+'02_Данные'!J392</f>
        <v/>
      </c>
      <c r="CA392" s="10">
        <f>MIN('02_Данные'!AJ392,BZ392)</f>
        <v/>
      </c>
      <c r="CB392" s="10">
        <f>BZ392-CA392</f>
        <v/>
      </c>
      <c r="CC392" s="10">
        <f>MIN('02_Данные'!AK392,CB392)</f>
        <v/>
      </c>
      <c r="CD392" s="10">
        <f>CB392-CC392</f>
        <v/>
      </c>
      <c r="CE392" s="10">
        <f>MIN('02_Данные'!AL392,CD392)</f>
        <v/>
      </c>
      <c r="CF392" s="10">
        <f>CD392-CE392</f>
        <v/>
      </c>
      <c r="CG392" s="10">
        <f>MIN('02_Данные'!AQ392,CF392)</f>
        <v/>
      </c>
      <c r="CH392" s="10">
        <f>CF392-CG392</f>
        <v/>
      </c>
      <c r="CI392" s="10">
        <f>MIN('02_Данные'!AN392,CH392)</f>
        <v/>
      </c>
      <c r="CJ392" s="10">
        <f>CH392-CI392</f>
        <v/>
      </c>
      <c r="CK392" s="10">
        <f>MIN('02_Данные'!AM392,CJ392)</f>
        <v/>
      </c>
      <c r="CL392" s="10">
        <f>CJ392-CK392</f>
        <v/>
      </c>
      <c r="CM392" s="10">
        <f>MIN('02_Данные'!AO392,CL392)</f>
        <v/>
      </c>
      <c r="CN392" s="10">
        <f>CL392-CM392</f>
        <v/>
      </c>
      <c r="CO392" s="10">
        <f>MIN('02_Данные'!AP392,CN392)</f>
        <v/>
      </c>
      <c r="CP392" s="10">
        <f>CN392-CO392</f>
        <v/>
      </c>
      <c r="CQ392" s="10">
        <f>CP392+'02_Данные'!K392</f>
        <v/>
      </c>
      <c r="CR392" s="10">
        <f>MIN('02_Данные'!AR392,CQ392)</f>
        <v/>
      </c>
      <c r="CS392" s="10">
        <f>CQ392-CR392</f>
        <v/>
      </c>
      <c r="CT392" s="10">
        <f>MIN('02_Данные'!AS392,CS392)</f>
        <v/>
      </c>
      <c r="CU392" s="10">
        <f>CS392-CT392</f>
        <v/>
      </c>
      <c r="CV392" s="10">
        <f>MIN('02_Данные'!AT392,CU392)</f>
        <v/>
      </c>
      <c r="CW392" s="10">
        <f>CU392-CV392</f>
        <v/>
      </c>
      <c r="CX392" s="10">
        <f>MIN('02_Данные'!AY392,CW392)</f>
        <v/>
      </c>
      <c r="CY392" s="10">
        <f>CW392-CX392</f>
        <v/>
      </c>
      <c r="CZ392" s="10">
        <f>MIN('02_Данные'!AV392,CY392)</f>
        <v/>
      </c>
      <c r="DA392" s="10">
        <f>CY392-CZ392</f>
        <v/>
      </c>
      <c r="DB392" s="10">
        <f>MIN('02_Данные'!AU392,DA392)</f>
        <v/>
      </c>
      <c r="DC392" s="10">
        <f>DA392-DB392</f>
        <v/>
      </c>
      <c r="DD392" s="10">
        <f>MIN('02_Данные'!AW392,DC392)</f>
        <v/>
      </c>
      <c r="DE392" s="10">
        <f>DC392-DD392</f>
        <v/>
      </c>
      <c r="DF392" s="10">
        <f>MIN('02_Данные'!AX392,DE392)</f>
        <v/>
      </c>
      <c r="DG392" s="10">
        <f>DE392-DF392</f>
        <v/>
      </c>
    </row>
    <row r="393">
      <c r="A393" s="9">
        <f>'02_Данные'!B393</f>
        <v/>
      </c>
      <c r="B393" s="9">
        <f>'02_Данные'!E393</f>
        <v/>
      </c>
      <c r="C393" s="10">
        <f>'02_Данные'!F393+'02_Данные'!G393+'02_Данные'!H393+'02_Данные'!I393+'02_Данные'!J393+'02_Данные'!K393</f>
        <v/>
      </c>
      <c r="D393" s="10">
        <f>SUM('02_Данные'!L393:'02_Данные'!AY393)</f>
        <v/>
      </c>
      <c r="E393" s="10">
        <f>MAX(0,D393-C393)</f>
        <v/>
      </c>
      <c r="F393" s="15">
        <f>IF(E393&gt;0.0001,"ДЕФИЦИТ",IF(Y393&gt;0.0001,"ПРОФИЦИТ","БАЛАНС"))</f>
        <v/>
      </c>
      <c r="G393" s="10">
        <f>AB393+AS393+BJ393+CA393+CR393</f>
        <v/>
      </c>
      <c r="H393" s="10">
        <f>AD393+AU393+BL393+CC393+CT393</f>
        <v/>
      </c>
      <c r="I393" s="10">
        <f>AF393+AW393+BN393+CE393+CV393</f>
        <v/>
      </c>
      <c r="J393" s="10">
        <f>AL393+BC393+BT393+CK393+DB393</f>
        <v/>
      </c>
      <c r="K393" s="10">
        <f>AJ393+BA393+BR393+CI393+CZ393</f>
        <v/>
      </c>
      <c r="L393" s="10">
        <f>AN393+BE393+BV393+CM393+DD393</f>
        <v/>
      </c>
      <c r="M393" s="10">
        <f>AP393+BG393+BX393+CO393+DF393</f>
        <v/>
      </c>
      <c r="N393" s="10">
        <f>AH393+AY393+BP393+CG393+CX393</f>
        <v/>
      </c>
      <c r="O393" s="10">
        <f>SUM(G393:N393)</f>
        <v/>
      </c>
      <c r="P393" s="10">
        <f>IFERROR(G393*MIN(1,'01_Нормативы'!$C$4/SUM(G$2:G$429)),0)</f>
        <v/>
      </c>
      <c r="Q393" s="10">
        <f>IFERROR(H393*MIN(1,'01_Нормативы'!$C$5/SUM(H$2:H$429)),0)</f>
        <v/>
      </c>
      <c r="R393" s="10">
        <f>IFERROR(I393*MIN(1,'01_Нормативы'!$C$6/SUM(I$2:I$429)),0)</f>
        <v/>
      </c>
      <c r="S393" s="10">
        <f>IFERROR(J393*MIN(1,'01_Нормативы'!$C$7/SUM(J$2:J$429)),0)</f>
        <v/>
      </c>
      <c r="T393" s="10">
        <f>IFERROR(K393*MIN(1,'01_Нормативы'!$C$8/SUM(K$2:K$429)),0)</f>
        <v/>
      </c>
      <c r="U393" s="10">
        <f>IFERROR(L393*MIN(1,'01_Нормативы'!$C$9/SUM(L$2:L$429)),0)</f>
        <v/>
      </c>
      <c r="V393" s="10">
        <f>IFERROR(M393*MIN(1,'01_Нормативы'!$C$10/SUM(M$2:M$429)),0)</f>
        <v/>
      </c>
      <c r="W393" s="10">
        <f>IFERROR(N393*MIN(1,'01_Нормативы'!$C$11/SUM(N$2:N$429)),0)</f>
        <v/>
      </c>
      <c r="X393" s="10">
        <f>SUM(P393:W393)</f>
        <v/>
      </c>
      <c r="Y393" s="10">
        <f>MAX(0,C393-X393)</f>
        <v/>
      </c>
      <c r="Z393" s="10">
        <f>IF(D393=0,100,X393/D393*100)</f>
        <v/>
      </c>
      <c r="AA393" s="10">
        <f>'02_Данные'!F393+'02_Данные'!G393</f>
        <v/>
      </c>
      <c r="AB393" s="10">
        <f>MIN('02_Данные'!L393,AA393)</f>
        <v/>
      </c>
      <c r="AC393" s="10">
        <f>AA393-AB393</f>
        <v/>
      </c>
      <c r="AD393" s="10">
        <f>MIN('02_Данные'!M393,AC393)</f>
        <v/>
      </c>
      <c r="AE393" s="10">
        <f>AC393-AD393</f>
        <v/>
      </c>
      <c r="AF393" s="10">
        <f>MIN('02_Данные'!N393,AE393)</f>
        <v/>
      </c>
      <c r="AG393" s="10">
        <f>AE393-AF393</f>
        <v/>
      </c>
      <c r="AH393" s="10">
        <f>MIN('02_Данные'!S393,AG393)</f>
        <v/>
      </c>
      <c r="AI393" s="10">
        <f>AG393-AH393</f>
        <v/>
      </c>
      <c r="AJ393" s="10">
        <f>MIN('02_Данные'!P393,AI393)</f>
        <v/>
      </c>
      <c r="AK393" s="10">
        <f>AI393-AJ393</f>
        <v/>
      </c>
      <c r="AL393" s="10">
        <f>MIN('02_Данные'!O393,AK393)</f>
        <v/>
      </c>
      <c r="AM393" s="10">
        <f>AK393-AL393</f>
        <v/>
      </c>
      <c r="AN393" s="10">
        <f>MIN('02_Данные'!Q393,AM393)</f>
        <v/>
      </c>
      <c r="AO393" s="10">
        <f>AM393-AN393</f>
        <v/>
      </c>
      <c r="AP393" s="10">
        <f>MIN('02_Данные'!R393,AO393)</f>
        <v/>
      </c>
      <c r="AQ393" s="10">
        <f>AO393-AP393</f>
        <v/>
      </c>
      <c r="AR393" s="10">
        <f>AQ393+'02_Данные'!H393</f>
        <v/>
      </c>
      <c r="AS393" s="10">
        <f>MIN('02_Данные'!T393,AR393)</f>
        <v/>
      </c>
      <c r="AT393" s="10">
        <f>AR393-AS393</f>
        <v/>
      </c>
      <c r="AU393" s="10">
        <f>MIN('02_Данные'!U393,AT393)</f>
        <v/>
      </c>
      <c r="AV393" s="10">
        <f>AT393-AU393</f>
        <v/>
      </c>
      <c r="AW393" s="10">
        <f>MIN('02_Данные'!V393,AV393)</f>
        <v/>
      </c>
      <c r="AX393" s="10">
        <f>AV393-AW393</f>
        <v/>
      </c>
      <c r="AY393" s="10">
        <f>MIN('02_Данные'!AA393,AX393)</f>
        <v/>
      </c>
      <c r="AZ393" s="10">
        <f>AX393-AY393</f>
        <v/>
      </c>
      <c r="BA393" s="10">
        <f>MIN('02_Данные'!X393,AZ393)</f>
        <v/>
      </c>
      <c r="BB393" s="10">
        <f>AZ393-BA393</f>
        <v/>
      </c>
      <c r="BC393" s="10">
        <f>MIN('02_Данные'!W393,BB393)</f>
        <v/>
      </c>
      <c r="BD393" s="10">
        <f>BB393-BC393</f>
        <v/>
      </c>
      <c r="BE393" s="10">
        <f>MIN('02_Данные'!Y393,BD393)</f>
        <v/>
      </c>
      <c r="BF393" s="10">
        <f>BD393-BE393</f>
        <v/>
      </c>
      <c r="BG393" s="10">
        <f>MIN('02_Данные'!Z393,BF393)</f>
        <v/>
      </c>
      <c r="BH393" s="10">
        <f>BF393-BG393</f>
        <v/>
      </c>
      <c r="BI393" s="10">
        <f>BH393+'02_Данные'!I393</f>
        <v/>
      </c>
      <c r="BJ393" s="10">
        <f>MIN('02_Данные'!AB393,BI393)</f>
        <v/>
      </c>
      <c r="BK393" s="10">
        <f>BI393-BJ393</f>
        <v/>
      </c>
      <c r="BL393" s="10">
        <f>MIN('02_Данные'!AC393,BK393)</f>
        <v/>
      </c>
      <c r="BM393" s="10">
        <f>BK393-BL393</f>
        <v/>
      </c>
      <c r="BN393" s="10">
        <f>MIN('02_Данные'!AD393,BM393)</f>
        <v/>
      </c>
      <c r="BO393" s="10">
        <f>BM393-BN393</f>
        <v/>
      </c>
      <c r="BP393" s="10">
        <f>MIN('02_Данные'!AI393,BO393)</f>
        <v/>
      </c>
      <c r="BQ393" s="10">
        <f>BO393-BP393</f>
        <v/>
      </c>
      <c r="BR393" s="10">
        <f>MIN('02_Данные'!AF393,BQ393)</f>
        <v/>
      </c>
      <c r="BS393" s="10">
        <f>BQ393-BR393</f>
        <v/>
      </c>
      <c r="BT393" s="10">
        <f>MIN('02_Данные'!AE393,BS393)</f>
        <v/>
      </c>
      <c r="BU393" s="10">
        <f>BS393-BT393</f>
        <v/>
      </c>
      <c r="BV393" s="10">
        <f>MIN('02_Данные'!AG393,BU393)</f>
        <v/>
      </c>
      <c r="BW393" s="10">
        <f>BU393-BV393</f>
        <v/>
      </c>
      <c r="BX393" s="10">
        <f>MIN('02_Данные'!AH393,BW393)</f>
        <v/>
      </c>
      <c r="BY393" s="10">
        <f>BW393-BX393</f>
        <v/>
      </c>
      <c r="BZ393" s="10">
        <f>BY393+'02_Данные'!J393</f>
        <v/>
      </c>
      <c r="CA393" s="10">
        <f>MIN('02_Данные'!AJ393,BZ393)</f>
        <v/>
      </c>
      <c r="CB393" s="10">
        <f>BZ393-CA393</f>
        <v/>
      </c>
      <c r="CC393" s="10">
        <f>MIN('02_Данные'!AK393,CB393)</f>
        <v/>
      </c>
      <c r="CD393" s="10">
        <f>CB393-CC393</f>
        <v/>
      </c>
      <c r="CE393" s="10">
        <f>MIN('02_Данные'!AL393,CD393)</f>
        <v/>
      </c>
      <c r="CF393" s="10">
        <f>CD393-CE393</f>
        <v/>
      </c>
      <c r="CG393" s="10">
        <f>MIN('02_Данные'!AQ393,CF393)</f>
        <v/>
      </c>
      <c r="CH393" s="10">
        <f>CF393-CG393</f>
        <v/>
      </c>
      <c r="CI393" s="10">
        <f>MIN('02_Данные'!AN393,CH393)</f>
        <v/>
      </c>
      <c r="CJ393" s="10">
        <f>CH393-CI393</f>
        <v/>
      </c>
      <c r="CK393" s="10">
        <f>MIN('02_Данные'!AM393,CJ393)</f>
        <v/>
      </c>
      <c r="CL393" s="10">
        <f>CJ393-CK393</f>
        <v/>
      </c>
      <c r="CM393" s="10">
        <f>MIN('02_Данные'!AO393,CL393)</f>
        <v/>
      </c>
      <c r="CN393" s="10">
        <f>CL393-CM393</f>
        <v/>
      </c>
      <c r="CO393" s="10">
        <f>MIN('02_Данные'!AP393,CN393)</f>
        <v/>
      </c>
      <c r="CP393" s="10">
        <f>CN393-CO393</f>
        <v/>
      </c>
      <c r="CQ393" s="10">
        <f>CP393+'02_Данные'!K393</f>
        <v/>
      </c>
      <c r="CR393" s="10">
        <f>MIN('02_Данные'!AR393,CQ393)</f>
        <v/>
      </c>
      <c r="CS393" s="10">
        <f>CQ393-CR393</f>
        <v/>
      </c>
      <c r="CT393" s="10">
        <f>MIN('02_Данные'!AS393,CS393)</f>
        <v/>
      </c>
      <c r="CU393" s="10">
        <f>CS393-CT393</f>
        <v/>
      </c>
      <c r="CV393" s="10">
        <f>MIN('02_Данные'!AT393,CU393)</f>
        <v/>
      </c>
      <c r="CW393" s="10">
        <f>CU393-CV393</f>
        <v/>
      </c>
      <c r="CX393" s="10">
        <f>MIN('02_Данные'!AY393,CW393)</f>
        <v/>
      </c>
      <c r="CY393" s="10">
        <f>CW393-CX393</f>
        <v/>
      </c>
      <c r="CZ393" s="10">
        <f>MIN('02_Данные'!AV393,CY393)</f>
        <v/>
      </c>
      <c r="DA393" s="10">
        <f>CY393-CZ393</f>
        <v/>
      </c>
      <c r="DB393" s="10">
        <f>MIN('02_Данные'!AU393,DA393)</f>
        <v/>
      </c>
      <c r="DC393" s="10">
        <f>DA393-DB393</f>
        <v/>
      </c>
      <c r="DD393" s="10">
        <f>MIN('02_Данные'!AW393,DC393)</f>
        <v/>
      </c>
      <c r="DE393" s="10">
        <f>DC393-DD393</f>
        <v/>
      </c>
      <c r="DF393" s="10">
        <f>MIN('02_Данные'!AX393,DE393)</f>
        <v/>
      </c>
      <c r="DG393" s="10">
        <f>DE393-DF393</f>
        <v/>
      </c>
    </row>
    <row r="394">
      <c r="A394" s="9">
        <f>'02_Данные'!B394</f>
        <v/>
      </c>
      <c r="B394" s="9">
        <f>'02_Данные'!E394</f>
        <v/>
      </c>
      <c r="C394" s="10">
        <f>'02_Данные'!F394+'02_Данные'!G394+'02_Данные'!H394+'02_Данные'!I394+'02_Данные'!J394+'02_Данные'!K394</f>
        <v/>
      </c>
      <c r="D394" s="10">
        <f>SUM('02_Данные'!L394:'02_Данные'!AY394)</f>
        <v/>
      </c>
      <c r="E394" s="10">
        <f>MAX(0,D394-C394)</f>
        <v/>
      </c>
      <c r="F394" s="15">
        <f>IF(E394&gt;0.0001,"ДЕФИЦИТ",IF(Y394&gt;0.0001,"ПРОФИЦИТ","БАЛАНС"))</f>
        <v/>
      </c>
      <c r="G394" s="10">
        <f>AB394+AS394+BJ394+CA394+CR394</f>
        <v/>
      </c>
      <c r="H394" s="10">
        <f>AD394+AU394+BL394+CC394+CT394</f>
        <v/>
      </c>
      <c r="I394" s="10">
        <f>AF394+AW394+BN394+CE394+CV394</f>
        <v/>
      </c>
      <c r="J394" s="10">
        <f>AL394+BC394+BT394+CK394+DB394</f>
        <v/>
      </c>
      <c r="K394" s="10">
        <f>AJ394+BA394+BR394+CI394+CZ394</f>
        <v/>
      </c>
      <c r="L394" s="10">
        <f>AN394+BE394+BV394+CM394+DD394</f>
        <v/>
      </c>
      <c r="M394" s="10">
        <f>AP394+BG394+BX394+CO394+DF394</f>
        <v/>
      </c>
      <c r="N394" s="10">
        <f>AH394+AY394+BP394+CG394+CX394</f>
        <v/>
      </c>
      <c r="O394" s="10">
        <f>SUM(G394:N394)</f>
        <v/>
      </c>
      <c r="P394" s="10">
        <f>IFERROR(G394*MIN(1,'01_Нормативы'!$C$4/SUM(G$2:G$429)),0)</f>
        <v/>
      </c>
      <c r="Q394" s="10">
        <f>IFERROR(H394*MIN(1,'01_Нормативы'!$C$5/SUM(H$2:H$429)),0)</f>
        <v/>
      </c>
      <c r="R394" s="10">
        <f>IFERROR(I394*MIN(1,'01_Нормативы'!$C$6/SUM(I$2:I$429)),0)</f>
        <v/>
      </c>
      <c r="S394" s="10">
        <f>IFERROR(J394*MIN(1,'01_Нормативы'!$C$7/SUM(J$2:J$429)),0)</f>
        <v/>
      </c>
      <c r="T394" s="10">
        <f>IFERROR(K394*MIN(1,'01_Нормативы'!$C$8/SUM(K$2:K$429)),0)</f>
        <v/>
      </c>
      <c r="U394" s="10">
        <f>IFERROR(L394*MIN(1,'01_Нормативы'!$C$9/SUM(L$2:L$429)),0)</f>
        <v/>
      </c>
      <c r="V394" s="10">
        <f>IFERROR(M394*MIN(1,'01_Нормативы'!$C$10/SUM(M$2:M$429)),0)</f>
        <v/>
      </c>
      <c r="W394" s="10">
        <f>IFERROR(N394*MIN(1,'01_Нормативы'!$C$11/SUM(N$2:N$429)),0)</f>
        <v/>
      </c>
      <c r="X394" s="10">
        <f>SUM(P394:W394)</f>
        <v/>
      </c>
      <c r="Y394" s="10">
        <f>MAX(0,C394-X394)</f>
        <v/>
      </c>
      <c r="Z394" s="10">
        <f>IF(D394=0,100,X394/D394*100)</f>
        <v/>
      </c>
      <c r="AA394" s="10">
        <f>'02_Данные'!F394+'02_Данные'!G394</f>
        <v/>
      </c>
      <c r="AB394" s="10">
        <f>MIN('02_Данные'!L394,AA394)</f>
        <v/>
      </c>
      <c r="AC394" s="10">
        <f>AA394-AB394</f>
        <v/>
      </c>
      <c r="AD394" s="10">
        <f>MIN('02_Данные'!M394,AC394)</f>
        <v/>
      </c>
      <c r="AE394" s="10">
        <f>AC394-AD394</f>
        <v/>
      </c>
      <c r="AF394" s="10">
        <f>MIN('02_Данные'!N394,AE394)</f>
        <v/>
      </c>
      <c r="AG394" s="10">
        <f>AE394-AF394</f>
        <v/>
      </c>
      <c r="AH394" s="10">
        <f>MIN('02_Данные'!S394,AG394)</f>
        <v/>
      </c>
      <c r="AI394" s="10">
        <f>AG394-AH394</f>
        <v/>
      </c>
      <c r="AJ394" s="10">
        <f>MIN('02_Данные'!P394,AI394)</f>
        <v/>
      </c>
      <c r="AK394" s="10">
        <f>AI394-AJ394</f>
        <v/>
      </c>
      <c r="AL394" s="10">
        <f>MIN('02_Данные'!O394,AK394)</f>
        <v/>
      </c>
      <c r="AM394" s="10">
        <f>AK394-AL394</f>
        <v/>
      </c>
      <c r="AN394" s="10">
        <f>MIN('02_Данные'!Q394,AM394)</f>
        <v/>
      </c>
      <c r="AO394" s="10">
        <f>AM394-AN394</f>
        <v/>
      </c>
      <c r="AP394" s="10">
        <f>MIN('02_Данные'!R394,AO394)</f>
        <v/>
      </c>
      <c r="AQ394" s="10">
        <f>AO394-AP394</f>
        <v/>
      </c>
      <c r="AR394" s="10">
        <f>AQ394+'02_Данные'!H394</f>
        <v/>
      </c>
      <c r="AS394" s="10">
        <f>MIN('02_Данные'!T394,AR394)</f>
        <v/>
      </c>
      <c r="AT394" s="10">
        <f>AR394-AS394</f>
        <v/>
      </c>
      <c r="AU394" s="10">
        <f>MIN('02_Данные'!U394,AT394)</f>
        <v/>
      </c>
      <c r="AV394" s="10">
        <f>AT394-AU394</f>
        <v/>
      </c>
      <c r="AW394" s="10">
        <f>MIN('02_Данные'!V394,AV394)</f>
        <v/>
      </c>
      <c r="AX394" s="10">
        <f>AV394-AW394</f>
        <v/>
      </c>
      <c r="AY394" s="10">
        <f>MIN('02_Данные'!AA394,AX394)</f>
        <v/>
      </c>
      <c r="AZ394" s="10">
        <f>AX394-AY394</f>
        <v/>
      </c>
      <c r="BA394" s="10">
        <f>MIN('02_Данные'!X394,AZ394)</f>
        <v/>
      </c>
      <c r="BB394" s="10">
        <f>AZ394-BA394</f>
        <v/>
      </c>
      <c r="BC394" s="10">
        <f>MIN('02_Данные'!W394,BB394)</f>
        <v/>
      </c>
      <c r="BD394" s="10">
        <f>BB394-BC394</f>
        <v/>
      </c>
      <c r="BE394" s="10">
        <f>MIN('02_Данные'!Y394,BD394)</f>
        <v/>
      </c>
      <c r="BF394" s="10">
        <f>BD394-BE394</f>
        <v/>
      </c>
      <c r="BG394" s="10">
        <f>MIN('02_Данные'!Z394,BF394)</f>
        <v/>
      </c>
      <c r="BH394" s="10">
        <f>BF394-BG394</f>
        <v/>
      </c>
      <c r="BI394" s="10">
        <f>BH394+'02_Данные'!I394</f>
        <v/>
      </c>
      <c r="BJ394" s="10">
        <f>MIN('02_Данные'!AB394,BI394)</f>
        <v/>
      </c>
      <c r="BK394" s="10">
        <f>BI394-BJ394</f>
        <v/>
      </c>
      <c r="BL394" s="10">
        <f>MIN('02_Данные'!AC394,BK394)</f>
        <v/>
      </c>
      <c r="BM394" s="10">
        <f>BK394-BL394</f>
        <v/>
      </c>
      <c r="BN394" s="10">
        <f>MIN('02_Данные'!AD394,BM394)</f>
        <v/>
      </c>
      <c r="BO394" s="10">
        <f>BM394-BN394</f>
        <v/>
      </c>
      <c r="BP394" s="10">
        <f>MIN('02_Данные'!AI394,BO394)</f>
        <v/>
      </c>
      <c r="BQ394" s="10">
        <f>BO394-BP394</f>
        <v/>
      </c>
      <c r="BR394" s="10">
        <f>MIN('02_Данные'!AF394,BQ394)</f>
        <v/>
      </c>
      <c r="BS394" s="10">
        <f>BQ394-BR394</f>
        <v/>
      </c>
      <c r="BT394" s="10">
        <f>MIN('02_Данные'!AE394,BS394)</f>
        <v/>
      </c>
      <c r="BU394" s="10">
        <f>BS394-BT394</f>
        <v/>
      </c>
      <c r="BV394" s="10">
        <f>MIN('02_Данные'!AG394,BU394)</f>
        <v/>
      </c>
      <c r="BW394" s="10">
        <f>BU394-BV394</f>
        <v/>
      </c>
      <c r="BX394" s="10">
        <f>MIN('02_Данные'!AH394,BW394)</f>
        <v/>
      </c>
      <c r="BY394" s="10">
        <f>BW394-BX394</f>
        <v/>
      </c>
      <c r="BZ394" s="10">
        <f>BY394+'02_Данные'!J394</f>
        <v/>
      </c>
      <c r="CA394" s="10">
        <f>MIN('02_Данные'!AJ394,BZ394)</f>
        <v/>
      </c>
      <c r="CB394" s="10">
        <f>BZ394-CA394</f>
        <v/>
      </c>
      <c r="CC394" s="10">
        <f>MIN('02_Данные'!AK394,CB394)</f>
        <v/>
      </c>
      <c r="CD394" s="10">
        <f>CB394-CC394</f>
        <v/>
      </c>
      <c r="CE394" s="10">
        <f>MIN('02_Данные'!AL394,CD394)</f>
        <v/>
      </c>
      <c r="CF394" s="10">
        <f>CD394-CE394</f>
        <v/>
      </c>
      <c r="CG394" s="10">
        <f>MIN('02_Данные'!AQ394,CF394)</f>
        <v/>
      </c>
      <c r="CH394" s="10">
        <f>CF394-CG394</f>
        <v/>
      </c>
      <c r="CI394" s="10">
        <f>MIN('02_Данные'!AN394,CH394)</f>
        <v/>
      </c>
      <c r="CJ394" s="10">
        <f>CH394-CI394</f>
        <v/>
      </c>
      <c r="CK394" s="10">
        <f>MIN('02_Данные'!AM394,CJ394)</f>
        <v/>
      </c>
      <c r="CL394" s="10">
        <f>CJ394-CK394</f>
        <v/>
      </c>
      <c r="CM394" s="10">
        <f>MIN('02_Данные'!AO394,CL394)</f>
        <v/>
      </c>
      <c r="CN394" s="10">
        <f>CL394-CM394</f>
        <v/>
      </c>
      <c r="CO394" s="10">
        <f>MIN('02_Данные'!AP394,CN394)</f>
        <v/>
      </c>
      <c r="CP394" s="10">
        <f>CN394-CO394</f>
        <v/>
      </c>
      <c r="CQ394" s="10">
        <f>CP394+'02_Данные'!K394</f>
        <v/>
      </c>
      <c r="CR394" s="10">
        <f>MIN('02_Данные'!AR394,CQ394)</f>
        <v/>
      </c>
      <c r="CS394" s="10">
        <f>CQ394-CR394</f>
        <v/>
      </c>
      <c r="CT394" s="10">
        <f>MIN('02_Данные'!AS394,CS394)</f>
        <v/>
      </c>
      <c r="CU394" s="10">
        <f>CS394-CT394</f>
        <v/>
      </c>
      <c r="CV394" s="10">
        <f>MIN('02_Данные'!AT394,CU394)</f>
        <v/>
      </c>
      <c r="CW394" s="10">
        <f>CU394-CV394</f>
        <v/>
      </c>
      <c r="CX394" s="10">
        <f>MIN('02_Данные'!AY394,CW394)</f>
        <v/>
      </c>
      <c r="CY394" s="10">
        <f>CW394-CX394</f>
        <v/>
      </c>
      <c r="CZ394" s="10">
        <f>MIN('02_Данные'!AV394,CY394)</f>
        <v/>
      </c>
      <c r="DA394" s="10">
        <f>CY394-CZ394</f>
        <v/>
      </c>
      <c r="DB394" s="10">
        <f>MIN('02_Данные'!AU394,DA394)</f>
        <v/>
      </c>
      <c r="DC394" s="10">
        <f>DA394-DB394</f>
        <v/>
      </c>
      <c r="DD394" s="10">
        <f>MIN('02_Данные'!AW394,DC394)</f>
        <v/>
      </c>
      <c r="DE394" s="10">
        <f>DC394-DD394</f>
        <v/>
      </c>
      <c r="DF394" s="10">
        <f>MIN('02_Данные'!AX394,DE394)</f>
        <v/>
      </c>
      <c r="DG394" s="10">
        <f>DE394-DF394</f>
        <v/>
      </c>
    </row>
    <row r="395">
      <c r="A395" s="9">
        <f>'02_Данные'!B395</f>
        <v/>
      </c>
      <c r="B395" s="9">
        <f>'02_Данные'!E395</f>
        <v/>
      </c>
      <c r="C395" s="10">
        <f>'02_Данные'!F395+'02_Данные'!G395+'02_Данные'!H395+'02_Данные'!I395+'02_Данные'!J395+'02_Данные'!K395</f>
        <v/>
      </c>
      <c r="D395" s="10">
        <f>SUM('02_Данные'!L395:'02_Данные'!AY395)</f>
        <v/>
      </c>
      <c r="E395" s="10">
        <f>MAX(0,D395-C395)</f>
        <v/>
      </c>
      <c r="F395" s="15">
        <f>IF(E395&gt;0.0001,"ДЕФИЦИТ",IF(Y395&gt;0.0001,"ПРОФИЦИТ","БАЛАНС"))</f>
        <v/>
      </c>
      <c r="G395" s="10">
        <f>AB395+AS395+BJ395+CA395+CR395</f>
        <v/>
      </c>
      <c r="H395" s="10">
        <f>AD395+AU395+BL395+CC395+CT395</f>
        <v/>
      </c>
      <c r="I395" s="10">
        <f>AF395+AW395+BN395+CE395+CV395</f>
        <v/>
      </c>
      <c r="J395" s="10">
        <f>AL395+BC395+BT395+CK395+DB395</f>
        <v/>
      </c>
      <c r="K395" s="10">
        <f>AJ395+BA395+BR395+CI395+CZ395</f>
        <v/>
      </c>
      <c r="L395" s="10">
        <f>AN395+BE395+BV395+CM395+DD395</f>
        <v/>
      </c>
      <c r="M395" s="10">
        <f>AP395+BG395+BX395+CO395+DF395</f>
        <v/>
      </c>
      <c r="N395" s="10">
        <f>AH395+AY395+BP395+CG395+CX395</f>
        <v/>
      </c>
      <c r="O395" s="10">
        <f>SUM(G395:N395)</f>
        <v/>
      </c>
      <c r="P395" s="10">
        <f>IFERROR(G395*MIN(1,'01_Нормативы'!$C$4/SUM(G$2:G$429)),0)</f>
        <v/>
      </c>
      <c r="Q395" s="10">
        <f>IFERROR(H395*MIN(1,'01_Нормативы'!$C$5/SUM(H$2:H$429)),0)</f>
        <v/>
      </c>
      <c r="R395" s="10">
        <f>IFERROR(I395*MIN(1,'01_Нормативы'!$C$6/SUM(I$2:I$429)),0)</f>
        <v/>
      </c>
      <c r="S395" s="10">
        <f>IFERROR(J395*MIN(1,'01_Нормативы'!$C$7/SUM(J$2:J$429)),0)</f>
        <v/>
      </c>
      <c r="T395" s="10">
        <f>IFERROR(K395*MIN(1,'01_Нормативы'!$C$8/SUM(K$2:K$429)),0)</f>
        <v/>
      </c>
      <c r="U395" s="10">
        <f>IFERROR(L395*MIN(1,'01_Нормативы'!$C$9/SUM(L$2:L$429)),0)</f>
        <v/>
      </c>
      <c r="V395" s="10">
        <f>IFERROR(M395*MIN(1,'01_Нормативы'!$C$10/SUM(M$2:M$429)),0)</f>
        <v/>
      </c>
      <c r="W395" s="10">
        <f>IFERROR(N395*MIN(1,'01_Нормативы'!$C$11/SUM(N$2:N$429)),0)</f>
        <v/>
      </c>
      <c r="X395" s="10">
        <f>SUM(P395:W395)</f>
        <v/>
      </c>
      <c r="Y395" s="10">
        <f>MAX(0,C395-X395)</f>
        <v/>
      </c>
      <c r="Z395" s="10">
        <f>IF(D395=0,100,X395/D395*100)</f>
        <v/>
      </c>
      <c r="AA395" s="10">
        <f>'02_Данные'!F395+'02_Данные'!G395</f>
        <v/>
      </c>
      <c r="AB395" s="10">
        <f>MIN('02_Данные'!L395,AA395)</f>
        <v/>
      </c>
      <c r="AC395" s="10">
        <f>AA395-AB395</f>
        <v/>
      </c>
      <c r="AD395" s="10">
        <f>MIN('02_Данные'!M395,AC395)</f>
        <v/>
      </c>
      <c r="AE395" s="10">
        <f>AC395-AD395</f>
        <v/>
      </c>
      <c r="AF395" s="10">
        <f>MIN('02_Данные'!N395,AE395)</f>
        <v/>
      </c>
      <c r="AG395" s="10">
        <f>AE395-AF395</f>
        <v/>
      </c>
      <c r="AH395" s="10">
        <f>MIN('02_Данные'!S395,AG395)</f>
        <v/>
      </c>
      <c r="AI395" s="10">
        <f>AG395-AH395</f>
        <v/>
      </c>
      <c r="AJ395" s="10">
        <f>MIN('02_Данные'!P395,AI395)</f>
        <v/>
      </c>
      <c r="AK395" s="10">
        <f>AI395-AJ395</f>
        <v/>
      </c>
      <c r="AL395" s="10">
        <f>MIN('02_Данные'!O395,AK395)</f>
        <v/>
      </c>
      <c r="AM395" s="10">
        <f>AK395-AL395</f>
        <v/>
      </c>
      <c r="AN395" s="10">
        <f>MIN('02_Данные'!Q395,AM395)</f>
        <v/>
      </c>
      <c r="AO395" s="10">
        <f>AM395-AN395</f>
        <v/>
      </c>
      <c r="AP395" s="10">
        <f>MIN('02_Данные'!R395,AO395)</f>
        <v/>
      </c>
      <c r="AQ395" s="10">
        <f>AO395-AP395</f>
        <v/>
      </c>
      <c r="AR395" s="10">
        <f>AQ395+'02_Данные'!H395</f>
        <v/>
      </c>
      <c r="AS395" s="10">
        <f>MIN('02_Данные'!T395,AR395)</f>
        <v/>
      </c>
      <c r="AT395" s="10">
        <f>AR395-AS395</f>
        <v/>
      </c>
      <c r="AU395" s="10">
        <f>MIN('02_Данные'!U395,AT395)</f>
        <v/>
      </c>
      <c r="AV395" s="10">
        <f>AT395-AU395</f>
        <v/>
      </c>
      <c r="AW395" s="10">
        <f>MIN('02_Данные'!V395,AV395)</f>
        <v/>
      </c>
      <c r="AX395" s="10">
        <f>AV395-AW395</f>
        <v/>
      </c>
      <c r="AY395" s="10">
        <f>MIN('02_Данные'!AA395,AX395)</f>
        <v/>
      </c>
      <c r="AZ395" s="10">
        <f>AX395-AY395</f>
        <v/>
      </c>
      <c r="BA395" s="10">
        <f>MIN('02_Данные'!X395,AZ395)</f>
        <v/>
      </c>
      <c r="BB395" s="10">
        <f>AZ395-BA395</f>
        <v/>
      </c>
      <c r="BC395" s="10">
        <f>MIN('02_Данные'!W395,BB395)</f>
        <v/>
      </c>
      <c r="BD395" s="10">
        <f>BB395-BC395</f>
        <v/>
      </c>
      <c r="BE395" s="10">
        <f>MIN('02_Данные'!Y395,BD395)</f>
        <v/>
      </c>
      <c r="BF395" s="10">
        <f>BD395-BE395</f>
        <v/>
      </c>
      <c r="BG395" s="10">
        <f>MIN('02_Данные'!Z395,BF395)</f>
        <v/>
      </c>
      <c r="BH395" s="10">
        <f>BF395-BG395</f>
        <v/>
      </c>
      <c r="BI395" s="10">
        <f>BH395+'02_Данные'!I395</f>
        <v/>
      </c>
      <c r="BJ395" s="10">
        <f>MIN('02_Данные'!AB395,BI395)</f>
        <v/>
      </c>
      <c r="BK395" s="10">
        <f>BI395-BJ395</f>
        <v/>
      </c>
      <c r="BL395" s="10">
        <f>MIN('02_Данные'!AC395,BK395)</f>
        <v/>
      </c>
      <c r="BM395" s="10">
        <f>BK395-BL395</f>
        <v/>
      </c>
      <c r="BN395" s="10">
        <f>MIN('02_Данные'!AD395,BM395)</f>
        <v/>
      </c>
      <c r="BO395" s="10">
        <f>BM395-BN395</f>
        <v/>
      </c>
      <c r="BP395" s="10">
        <f>MIN('02_Данные'!AI395,BO395)</f>
        <v/>
      </c>
      <c r="BQ395" s="10">
        <f>BO395-BP395</f>
        <v/>
      </c>
      <c r="BR395" s="10">
        <f>MIN('02_Данные'!AF395,BQ395)</f>
        <v/>
      </c>
      <c r="BS395" s="10">
        <f>BQ395-BR395</f>
        <v/>
      </c>
      <c r="BT395" s="10">
        <f>MIN('02_Данные'!AE395,BS395)</f>
        <v/>
      </c>
      <c r="BU395" s="10">
        <f>BS395-BT395</f>
        <v/>
      </c>
      <c r="BV395" s="10">
        <f>MIN('02_Данные'!AG395,BU395)</f>
        <v/>
      </c>
      <c r="BW395" s="10">
        <f>BU395-BV395</f>
        <v/>
      </c>
      <c r="BX395" s="10">
        <f>MIN('02_Данные'!AH395,BW395)</f>
        <v/>
      </c>
      <c r="BY395" s="10">
        <f>BW395-BX395</f>
        <v/>
      </c>
      <c r="BZ395" s="10">
        <f>BY395+'02_Данные'!J395</f>
        <v/>
      </c>
      <c r="CA395" s="10">
        <f>MIN('02_Данные'!AJ395,BZ395)</f>
        <v/>
      </c>
      <c r="CB395" s="10">
        <f>BZ395-CA395</f>
        <v/>
      </c>
      <c r="CC395" s="10">
        <f>MIN('02_Данные'!AK395,CB395)</f>
        <v/>
      </c>
      <c r="CD395" s="10">
        <f>CB395-CC395</f>
        <v/>
      </c>
      <c r="CE395" s="10">
        <f>MIN('02_Данные'!AL395,CD395)</f>
        <v/>
      </c>
      <c r="CF395" s="10">
        <f>CD395-CE395</f>
        <v/>
      </c>
      <c r="CG395" s="10">
        <f>MIN('02_Данные'!AQ395,CF395)</f>
        <v/>
      </c>
      <c r="CH395" s="10">
        <f>CF395-CG395</f>
        <v/>
      </c>
      <c r="CI395" s="10">
        <f>MIN('02_Данные'!AN395,CH395)</f>
        <v/>
      </c>
      <c r="CJ395" s="10">
        <f>CH395-CI395</f>
        <v/>
      </c>
      <c r="CK395" s="10">
        <f>MIN('02_Данные'!AM395,CJ395)</f>
        <v/>
      </c>
      <c r="CL395" s="10">
        <f>CJ395-CK395</f>
        <v/>
      </c>
      <c r="CM395" s="10">
        <f>MIN('02_Данные'!AO395,CL395)</f>
        <v/>
      </c>
      <c r="CN395" s="10">
        <f>CL395-CM395</f>
        <v/>
      </c>
      <c r="CO395" s="10">
        <f>MIN('02_Данные'!AP395,CN395)</f>
        <v/>
      </c>
      <c r="CP395" s="10">
        <f>CN395-CO395</f>
        <v/>
      </c>
      <c r="CQ395" s="10">
        <f>CP395+'02_Данные'!K395</f>
        <v/>
      </c>
      <c r="CR395" s="10">
        <f>MIN('02_Данные'!AR395,CQ395)</f>
        <v/>
      </c>
      <c r="CS395" s="10">
        <f>CQ395-CR395</f>
        <v/>
      </c>
      <c r="CT395" s="10">
        <f>MIN('02_Данные'!AS395,CS395)</f>
        <v/>
      </c>
      <c r="CU395" s="10">
        <f>CS395-CT395</f>
        <v/>
      </c>
      <c r="CV395" s="10">
        <f>MIN('02_Данные'!AT395,CU395)</f>
        <v/>
      </c>
      <c r="CW395" s="10">
        <f>CU395-CV395</f>
        <v/>
      </c>
      <c r="CX395" s="10">
        <f>MIN('02_Данные'!AY395,CW395)</f>
        <v/>
      </c>
      <c r="CY395" s="10">
        <f>CW395-CX395</f>
        <v/>
      </c>
      <c r="CZ395" s="10">
        <f>MIN('02_Данные'!AV395,CY395)</f>
        <v/>
      </c>
      <c r="DA395" s="10">
        <f>CY395-CZ395</f>
        <v/>
      </c>
      <c r="DB395" s="10">
        <f>MIN('02_Данные'!AU395,DA395)</f>
        <v/>
      </c>
      <c r="DC395" s="10">
        <f>DA395-DB395</f>
        <v/>
      </c>
      <c r="DD395" s="10">
        <f>MIN('02_Данные'!AW395,DC395)</f>
        <v/>
      </c>
      <c r="DE395" s="10">
        <f>DC395-DD395</f>
        <v/>
      </c>
      <c r="DF395" s="10">
        <f>MIN('02_Данные'!AX395,DE395)</f>
        <v/>
      </c>
      <c r="DG395" s="10">
        <f>DE395-DF395</f>
        <v/>
      </c>
    </row>
    <row r="396">
      <c r="A396" s="9">
        <f>'02_Данные'!B396</f>
        <v/>
      </c>
      <c r="B396" s="9">
        <f>'02_Данные'!E396</f>
        <v/>
      </c>
      <c r="C396" s="10">
        <f>'02_Данные'!F396+'02_Данные'!G396+'02_Данные'!H396+'02_Данные'!I396+'02_Данные'!J396+'02_Данные'!K396</f>
        <v/>
      </c>
      <c r="D396" s="10">
        <f>SUM('02_Данные'!L396:'02_Данные'!AY396)</f>
        <v/>
      </c>
      <c r="E396" s="10">
        <f>MAX(0,D396-C396)</f>
        <v/>
      </c>
      <c r="F396" s="15">
        <f>IF(E396&gt;0.0001,"ДЕФИЦИТ",IF(Y396&gt;0.0001,"ПРОФИЦИТ","БАЛАНС"))</f>
        <v/>
      </c>
      <c r="G396" s="10">
        <f>AB396+AS396+BJ396+CA396+CR396</f>
        <v/>
      </c>
      <c r="H396" s="10">
        <f>AD396+AU396+BL396+CC396+CT396</f>
        <v/>
      </c>
      <c r="I396" s="10">
        <f>AF396+AW396+BN396+CE396+CV396</f>
        <v/>
      </c>
      <c r="J396" s="10">
        <f>AL396+BC396+BT396+CK396+DB396</f>
        <v/>
      </c>
      <c r="K396" s="10">
        <f>AJ396+BA396+BR396+CI396+CZ396</f>
        <v/>
      </c>
      <c r="L396" s="10">
        <f>AN396+BE396+BV396+CM396+DD396</f>
        <v/>
      </c>
      <c r="M396" s="10">
        <f>AP396+BG396+BX396+CO396+DF396</f>
        <v/>
      </c>
      <c r="N396" s="10">
        <f>AH396+AY396+BP396+CG396+CX396</f>
        <v/>
      </c>
      <c r="O396" s="10">
        <f>SUM(G396:N396)</f>
        <v/>
      </c>
      <c r="P396" s="10">
        <f>IFERROR(G396*MIN(1,'01_Нормативы'!$C$4/SUM(G$2:G$429)),0)</f>
        <v/>
      </c>
      <c r="Q396" s="10">
        <f>IFERROR(H396*MIN(1,'01_Нормативы'!$C$5/SUM(H$2:H$429)),0)</f>
        <v/>
      </c>
      <c r="R396" s="10">
        <f>IFERROR(I396*MIN(1,'01_Нормативы'!$C$6/SUM(I$2:I$429)),0)</f>
        <v/>
      </c>
      <c r="S396" s="10">
        <f>IFERROR(J396*MIN(1,'01_Нормативы'!$C$7/SUM(J$2:J$429)),0)</f>
        <v/>
      </c>
      <c r="T396" s="10">
        <f>IFERROR(K396*MIN(1,'01_Нормативы'!$C$8/SUM(K$2:K$429)),0)</f>
        <v/>
      </c>
      <c r="U396" s="10">
        <f>IFERROR(L396*MIN(1,'01_Нормативы'!$C$9/SUM(L$2:L$429)),0)</f>
        <v/>
      </c>
      <c r="V396" s="10">
        <f>IFERROR(M396*MIN(1,'01_Нормативы'!$C$10/SUM(M$2:M$429)),0)</f>
        <v/>
      </c>
      <c r="W396" s="10">
        <f>IFERROR(N396*MIN(1,'01_Нормативы'!$C$11/SUM(N$2:N$429)),0)</f>
        <v/>
      </c>
      <c r="X396" s="10">
        <f>SUM(P396:W396)</f>
        <v/>
      </c>
      <c r="Y396" s="10">
        <f>MAX(0,C396-X396)</f>
        <v/>
      </c>
      <c r="Z396" s="10">
        <f>IF(D396=0,100,X396/D396*100)</f>
        <v/>
      </c>
      <c r="AA396" s="10">
        <f>'02_Данные'!F396+'02_Данные'!G396</f>
        <v/>
      </c>
      <c r="AB396" s="10">
        <f>MIN('02_Данные'!L396,AA396)</f>
        <v/>
      </c>
      <c r="AC396" s="10">
        <f>AA396-AB396</f>
        <v/>
      </c>
      <c r="AD396" s="10">
        <f>MIN('02_Данные'!M396,AC396)</f>
        <v/>
      </c>
      <c r="AE396" s="10">
        <f>AC396-AD396</f>
        <v/>
      </c>
      <c r="AF396" s="10">
        <f>MIN('02_Данные'!N396,AE396)</f>
        <v/>
      </c>
      <c r="AG396" s="10">
        <f>AE396-AF396</f>
        <v/>
      </c>
      <c r="AH396" s="10">
        <f>MIN('02_Данные'!S396,AG396)</f>
        <v/>
      </c>
      <c r="AI396" s="10">
        <f>AG396-AH396</f>
        <v/>
      </c>
      <c r="AJ396" s="10">
        <f>MIN('02_Данные'!P396,AI396)</f>
        <v/>
      </c>
      <c r="AK396" s="10">
        <f>AI396-AJ396</f>
        <v/>
      </c>
      <c r="AL396" s="10">
        <f>MIN('02_Данные'!O396,AK396)</f>
        <v/>
      </c>
      <c r="AM396" s="10">
        <f>AK396-AL396</f>
        <v/>
      </c>
      <c r="AN396" s="10">
        <f>MIN('02_Данные'!Q396,AM396)</f>
        <v/>
      </c>
      <c r="AO396" s="10">
        <f>AM396-AN396</f>
        <v/>
      </c>
      <c r="AP396" s="10">
        <f>MIN('02_Данные'!R396,AO396)</f>
        <v/>
      </c>
      <c r="AQ396" s="10">
        <f>AO396-AP396</f>
        <v/>
      </c>
      <c r="AR396" s="10">
        <f>AQ396+'02_Данные'!H396</f>
        <v/>
      </c>
      <c r="AS396" s="10">
        <f>MIN('02_Данные'!T396,AR396)</f>
        <v/>
      </c>
      <c r="AT396" s="10">
        <f>AR396-AS396</f>
        <v/>
      </c>
      <c r="AU396" s="10">
        <f>MIN('02_Данные'!U396,AT396)</f>
        <v/>
      </c>
      <c r="AV396" s="10">
        <f>AT396-AU396</f>
        <v/>
      </c>
      <c r="AW396" s="10">
        <f>MIN('02_Данные'!V396,AV396)</f>
        <v/>
      </c>
      <c r="AX396" s="10">
        <f>AV396-AW396</f>
        <v/>
      </c>
      <c r="AY396" s="10">
        <f>MIN('02_Данные'!AA396,AX396)</f>
        <v/>
      </c>
      <c r="AZ396" s="10">
        <f>AX396-AY396</f>
        <v/>
      </c>
      <c r="BA396" s="10">
        <f>MIN('02_Данные'!X396,AZ396)</f>
        <v/>
      </c>
      <c r="BB396" s="10">
        <f>AZ396-BA396</f>
        <v/>
      </c>
      <c r="BC396" s="10">
        <f>MIN('02_Данные'!W396,BB396)</f>
        <v/>
      </c>
      <c r="BD396" s="10">
        <f>BB396-BC396</f>
        <v/>
      </c>
      <c r="BE396" s="10">
        <f>MIN('02_Данные'!Y396,BD396)</f>
        <v/>
      </c>
      <c r="BF396" s="10">
        <f>BD396-BE396</f>
        <v/>
      </c>
      <c r="BG396" s="10">
        <f>MIN('02_Данные'!Z396,BF396)</f>
        <v/>
      </c>
      <c r="BH396" s="10">
        <f>BF396-BG396</f>
        <v/>
      </c>
      <c r="BI396" s="10">
        <f>BH396+'02_Данные'!I396</f>
        <v/>
      </c>
      <c r="BJ396" s="10">
        <f>MIN('02_Данные'!AB396,BI396)</f>
        <v/>
      </c>
      <c r="BK396" s="10">
        <f>BI396-BJ396</f>
        <v/>
      </c>
      <c r="BL396" s="10">
        <f>MIN('02_Данные'!AC396,BK396)</f>
        <v/>
      </c>
      <c r="BM396" s="10">
        <f>BK396-BL396</f>
        <v/>
      </c>
      <c r="BN396" s="10">
        <f>MIN('02_Данные'!AD396,BM396)</f>
        <v/>
      </c>
      <c r="BO396" s="10">
        <f>BM396-BN396</f>
        <v/>
      </c>
      <c r="BP396" s="10">
        <f>MIN('02_Данные'!AI396,BO396)</f>
        <v/>
      </c>
      <c r="BQ396" s="10">
        <f>BO396-BP396</f>
        <v/>
      </c>
      <c r="BR396" s="10">
        <f>MIN('02_Данные'!AF396,BQ396)</f>
        <v/>
      </c>
      <c r="BS396" s="10">
        <f>BQ396-BR396</f>
        <v/>
      </c>
      <c r="BT396" s="10">
        <f>MIN('02_Данные'!AE396,BS396)</f>
        <v/>
      </c>
      <c r="BU396" s="10">
        <f>BS396-BT396</f>
        <v/>
      </c>
      <c r="BV396" s="10">
        <f>MIN('02_Данные'!AG396,BU396)</f>
        <v/>
      </c>
      <c r="BW396" s="10">
        <f>BU396-BV396</f>
        <v/>
      </c>
      <c r="BX396" s="10">
        <f>MIN('02_Данные'!AH396,BW396)</f>
        <v/>
      </c>
      <c r="BY396" s="10">
        <f>BW396-BX396</f>
        <v/>
      </c>
      <c r="BZ396" s="10">
        <f>BY396+'02_Данные'!J396</f>
        <v/>
      </c>
      <c r="CA396" s="10">
        <f>MIN('02_Данные'!AJ396,BZ396)</f>
        <v/>
      </c>
      <c r="CB396" s="10">
        <f>BZ396-CA396</f>
        <v/>
      </c>
      <c r="CC396" s="10">
        <f>MIN('02_Данные'!AK396,CB396)</f>
        <v/>
      </c>
      <c r="CD396" s="10">
        <f>CB396-CC396</f>
        <v/>
      </c>
      <c r="CE396" s="10">
        <f>MIN('02_Данные'!AL396,CD396)</f>
        <v/>
      </c>
      <c r="CF396" s="10">
        <f>CD396-CE396</f>
        <v/>
      </c>
      <c r="CG396" s="10">
        <f>MIN('02_Данные'!AQ396,CF396)</f>
        <v/>
      </c>
      <c r="CH396" s="10">
        <f>CF396-CG396</f>
        <v/>
      </c>
      <c r="CI396" s="10">
        <f>MIN('02_Данные'!AN396,CH396)</f>
        <v/>
      </c>
      <c r="CJ396" s="10">
        <f>CH396-CI396</f>
        <v/>
      </c>
      <c r="CK396" s="10">
        <f>MIN('02_Данные'!AM396,CJ396)</f>
        <v/>
      </c>
      <c r="CL396" s="10">
        <f>CJ396-CK396</f>
        <v/>
      </c>
      <c r="CM396" s="10">
        <f>MIN('02_Данные'!AO396,CL396)</f>
        <v/>
      </c>
      <c r="CN396" s="10">
        <f>CL396-CM396</f>
        <v/>
      </c>
      <c r="CO396" s="10">
        <f>MIN('02_Данные'!AP396,CN396)</f>
        <v/>
      </c>
      <c r="CP396" s="10">
        <f>CN396-CO396</f>
        <v/>
      </c>
      <c r="CQ396" s="10">
        <f>CP396+'02_Данные'!K396</f>
        <v/>
      </c>
      <c r="CR396" s="10">
        <f>MIN('02_Данные'!AR396,CQ396)</f>
        <v/>
      </c>
      <c r="CS396" s="10">
        <f>CQ396-CR396</f>
        <v/>
      </c>
      <c r="CT396" s="10">
        <f>MIN('02_Данные'!AS396,CS396)</f>
        <v/>
      </c>
      <c r="CU396" s="10">
        <f>CS396-CT396</f>
        <v/>
      </c>
      <c r="CV396" s="10">
        <f>MIN('02_Данные'!AT396,CU396)</f>
        <v/>
      </c>
      <c r="CW396" s="10">
        <f>CU396-CV396</f>
        <v/>
      </c>
      <c r="CX396" s="10">
        <f>MIN('02_Данные'!AY396,CW396)</f>
        <v/>
      </c>
      <c r="CY396" s="10">
        <f>CW396-CX396</f>
        <v/>
      </c>
      <c r="CZ396" s="10">
        <f>MIN('02_Данные'!AV396,CY396)</f>
        <v/>
      </c>
      <c r="DA396" s="10">
        <f>CY396-CZ396</f>
        <v/>
      </c>
      <c r="DB396" s="10">
        <f>MIN('02_Данные'!AU396,DA396)</f>
        <v/>
      </c>
      <c r="DC396" s="10">
        <f>DA396-DB396</f>
        <v/>
      </c>
      <c r="DD396" s="10">
        <f>MIN('02_Данные'!AW396,DC396)</f>
        <v/>
      </c>
      <c r="DE396" s="10">
        <f>DC396-DD396</f>
        <v/>
      </c>
      <c r="DF396" s="10">
        <f>MIN('02_Данные'!AX396,DE396)</f>
        <v/>
      </c>
      <c r="DG396" s="10">
        <f>DE396-DF396</f>
        <v/>
      </c>
    </row>
    <row r="397">
      <c r="A397" s="9">
        <f>'02_Данные'!B397</f>
        <v/>
      </c>
      <c r="B397" s="9">
        <f>'02_Данные'!E397</f>
        <v/>
      </c>
      <c r="C397" s="10">
        <f>'02_Данные'!F397+'02_Данные'!G397+'02_Данные'!H397+'02_Данные'!I397+'02_Данные'!J397+'02_Данные'!K397</f>
        <v/>
      </c>
      <c r="D397" s="10">
        <f>SUM('02_Данные'!L397:'02_Данные'!AY397)</f>
        <v/>
      </c>
      <c r="E397" s="10">
        <f>MAX(0,D397-C397)</f>
        <v/>
      </c>
      <c r="F397" s="15">
        <f>IF(E397&gt;0.0001,"ДЕФИЦИТ",IF(Y397&gt;0.0001,"ПРОФИЦИТ","БАЛАНС"))</f>
        <v/>
      </c>
      <c r="G397" s="10">
        <f>AB397+AS397+BJ397+CA397+CR397</f>
        <v/>
      </c>
      <c r="H397" s="10">
        <f>AD397+AU397+BL397+CC397+CT397</f>
        <v/>
      </c>
      <c r="I397" s="10">
        <f>AF397+AW397+BN397+CE397+CV397</f>
        <v/>
      </c>
      <c r="J397" s="10">
        <f>AL397+BC397+BT397+CK397+DB397</f>
        <v/>
      </c>
      <c r="K397" s="10">
        <f>AJ397+BA397+BR397+CI397+CZ397</f>
        <v/>
      </c>
      <c r="L397" s="10">
        <f>AN397+BE397+BV397+CM397+DD397</f>
        <v/>
      </c>
      <c r="M397" s="10">
        <f>AP397+BG397+BX397+CO397+DF397</f>
        <v/>
      </c>
      <c r="N397" s="10">
        <f>AH397+AY397+BP397+CG397+CX397</f>
        <v/>
      </c>
      <c r="O397" s="10">
        <f>SUM(G397:N397)</f>
        <v/>
      </c>
      <c r="P397" s="10">
        <f>IFERROR(G397*MIN(1,'01_Нормативы'!$C$4/SUM(G$2:G$429)),0)</f>
        <v/>
      </c>
      <c r="Q397" s="10">
        <f>IFERROR(H397*MIN(1,'01_Нормативы'!$C$5/SUM(H$2:H$429)),0)</f>
        <v/>
      </c>
      <c r="R397" s="10">
        <f>IFERROR(I397*MIN(1,'01_Нормативы'!$C$6/SUM(I$2:I$429)),0)</f>
        <v/>
      </c>
      <c r="S397" s="10">
        <f>IFERROR(J397*MIN(1,'01_Нормативы'!$C$7/SUM(J$2:J$429)),0)</f>
        <v/>
      </c>
      <c r="T397" s="10">
        <f>IFERROR(K397*MIN(1,'01_Нормативы'!$C$8/SUM(K$2:K$429)),0)</f>
        <v/>
      </c>
      <c r="U397" s="10">
        <f>IFERROR(L397*MIN(1,'01_Нормативы'!$C$9/SUM(L$2:L$429)),0)</f>
        <v/>
      </c>
      <c r="V397" s="10">
        <f>IFERROR(M397*MIN(1,'01_Нормативы'!$C$10/SUM(M$2:M$429)),0)</f>
        <v/>
      </c>
      <c r="W397" s="10">
        <f>IFERROR(N397*MIN(1,'01_Нормативы'!$C$11/SUM(N$2:N$429)),0)</f>
        <v/>
      </c>
      <c r="X397" s="10">
        <f>SUM(P397:W397)</f>
        <v/>
      </c>
      <c r="Y397" s="10">
        <f>MAX(0,C397-X397)</f>
        <v/>
      </c>
      <c r="Z397" s="10">
        <f>IF(D397=0,100,X397/D397*100)</f>
        <v/>
      </c>
      <c r="AA397" s="10">
        <f>'02_Данные'!F397+'02_Данные'!G397</f>
        <v/>
      </c>
      <c r="AB397" s="10">
        <f>MIN('02_Данные'!L397,AA397)</f>
        <v/>
      </c>
      <c r="AC397" s="10">
        <f>AA397-AB397</f>
        <v/>
      </c>
      <c r="AD397" s="10">
        <f>MIN('02_Данные'!M397,AC397)</f>
        <v/>
      </c>
      <c r="AE397" s="10">
        <f>AC397-AD397</f>
        <v/>
      </c>
      <c r="AF397" s="10">
        <f>MIN('02_Данные'!N397,AE397)</f>
        <v/>
      </c>
      <c r="AG397" s="10">
        <f>AE397-AF397</f>
        <v/>
      </c>
      <c r="AH397" s="10">
        <f>MIN('02_Данные'!S397,AG397)</f>
        <v/>
      </c>
      <c r="AI397" s="10">
        <f>AG397-AH397</f>
        <v/>
      </c>
      <c r="AJ397" s="10">
        <f>MIN('02_Данные'!P397,AI397)</f>
        <v/>
      </c>
      <c r="AK397" s="10">
        <f>AI397-AJ397</f>
        <v/>
      </c>
      <c r="AL397" s="10">
        <f>MIN('02_Данные'!O397,AK397)</f>
        <v/>
      </c>
      <c r="AM397" s="10">
        <f>AK397-AL397</f>
        <v/>
      </c>
      <c r="AN397" s="10">
        <f>MIN('02_Данные'!Q397,AM397)</f>
        <v/>
      </c>
      <c r="AO397" s="10">
        <f>AM397-AN397</f>
        <v/>
      </c>
      <c r="AP397" s="10">
        <f>MIN('02_Данные'!R397,AO397)</f>
        <v/>
      </c>
      <c r="AQ397" s="10">
        <f>AO397-AP397</f>
        <v/>
      </c>
      <c r="AR397" s="10">
        <f>AQ397+'02_Данные'!H397</f>
        <v/>
      </c>
      <c r="AS397" s="10">
        <f>MIN('02_Данные'!T397,AR397)</f>
        <v/>
      </c>
      <c r="AT397" s="10">
        <f>AR397-AS397</f>
        <v/>
      </c>
      <c r="AU397" s="10">
        <f>MIN('02_Данные'!U397,AT397)</f>
        <v/>
      </c>
      <c r="AV397" s="10">
        <f>AT397-AU397</f>
        <v/>
      </c>
      <c r="AW397" s="10">
        <f>MIN('02_Данные'!V397,AV397)</f>
        <v/>
      </c>
      <c r="AX397" s="10">
        <f>AV397-AW397</f>
        <v/>
      </c>
      <c r="AY397" s="10">
        <f>MIN('02_Данные'!AA397,AX397)</f>
        <v/>
      </c>
      <c r="AZ397" s="10">
        <f>AX397-AY397</f>
        <v/>
      </c>
      <c r="BA397" s="10">
        <f>MIN('02_Данные'!X397,AZ397)</f>
        <v/>
      </c>
      <c r="BB397" s="10">
        <f>AZ397-BA397</f>
        <v/>
      </c>
      <c r="BC397" s="10">
        <f>MIN('02_Данные'!W397,BB397)</f>
        <v/>
      </c>
      <c r="BD397" s="10">
        <f>BB397-BC397</f>
        <v/>
      </c>
      <c r="BE397" s="10">
        <f>MIN('02_Данные'!Y397,BD397)</f>
        <v/>
      </c>
      <c r="BF397" s="10">
        <f>BD397-BE397</f>
        <v/>
      </c>
      <c r="BG397" s="10">
        <f>MIN('02_Данные'!Z397,BF397)</f>
        <v/>
      </c>
      <c r="BH397" s="10">
        <f>BF397-BG397</f>
        <v/>
      </c>
      <c r="BI397" s="10">
        <f>BH397+'02_Данные'!I397</f>
        <v/>
      </c>
      <c r="BJ397" s="10">
        <f>MIN('02_Данные'!AB397,BI397)</f>
        <v/>
      </c>
      <c r="BK397" s="10">
        <f>BI397-BJ397</f>
        <v/>
      </c>
      <c r="BL397" s="10">
        <f>MIN('02_Данные'!AC397,BK397)</f>
        <v/>
      </c>
      <c r="BM397" s="10">
        <f>BK397-BL397</f>
        <v/>
      </c>
      <c r="BN397" s="10">
        <f>MIN('02_Данные'!AD397,BM397)</f>
        <v/>
      </c>
      <c r="BO397" s="10">
        <f>BM397-BN397</f>
        <v/>
      </c>
      <c r="BP397" s="10">
        <f>MIN('02_Данные'!AI397,BO397)</f>
        <v/>
      </c>
      <c r="BQ397" s="10">
        <f>BO397-BP397</f>
        <v/>
      </c>
      <c r="BR397" s="10">
        <f>MIN('02_Данные'!AF397,BQ397)</f>
        <v/>
      </c>
      <c r="BS397" s="10">
        <f>BQ397-BR397</f>
        <v/>
      </c>
      <c r="BT397" s="10">
        <f>MIN('02_Данные'!AE397,BS397)</f>
        <v/>
      </c>
      <c r="BU397" s="10">
        <f>BS397-BT397</f>
        <v/>
      </c>
      <c r="BV397" s="10">
        <f>MIN('02_Данные'!AG397,BU397)</f>
        <v/>
      </c>
      <c r="BW397" s="10">
        <f>BU397-BV397</f>
        <v/>
      </c>
      <c r="BX397" s="10">
        <f>MIN('02_Данные'!AH397,BW397)</f>
        <v/>
      </c>
      <c r="BY397" s="10">
        <f>BW397-BX397</f>
        <v/>
      </c>
      <c r="BZ397" s="10">
        <f>BY397+'02_Данные'!J397</f>
        <v/>
      </c>
      <c r="CA397" s="10">
        <f>MIN('02_Данные'!AJ397,BZ397)</f>
        <v/>
      </c>
      <c r="CB397" s="10">
        <f>BZ397-CA397</f>
        <v/>
      </c>
      <c r="CC397" s="10">
        <f>MIN('02_Данные'!AK397,CB397)</f>
        <v/>
      </c>
      <c r="CD397" s="10">
        <f>CB397-CC397</f>
        <v/>
      </c>
      <c r="CE397" s="10">
        <f>MIN('02_Данные'!AL397,CD397)</f>
        <v/>
      </c>
      <c r="CF397" s="10">
        <f>CD397-CE397</f>
        <v/>
      </c>
      <c r="CG397" s="10">
        <f>MIN('02_Данные'!AQ397,CF397)</f>
        <v/>
      </c>
      <c r="CH397" s="10">
        <f>CF397-CG397</f>
        <v/>
      </c>
      <c r="CI397" s="10">
        <f>MIN('02_Данные'!AN397,CH397)</f>
        <v/>
      </c>
      <c r="CJ397" s="10">
        <f>CH397-CI397</f>
        <v/>
      </c>
      <c r="CK397" s="10">
        <f>MIN('02_Данные'!AM397,CJ397)</f>
        <v/>
      </c>
      <c r="CL397" s="10">
        <f>CJ397-CK397</f>
        <v/>
      </c>
      <c r="CM397" s="10">
        <f>MIN('02_Данные'!AO397,CL397)</f>
        <v/>
      </c>
      <c r="CN397" s="10">
        <f>CL397-CM397</f>
        <v/>
      </c>
      <c r="CO397" s="10">
        <f>MIN('02_Данные'!AP397,CN397)</f>
        <v/>
      </c>
      <c r="CP397" s="10">
        <f>CN397-CO397</f>
        <v/>
      </c>
      <c r="CQ397" s="10">
        <f>CP397+'02_Данные'!K397</f>
        <v/>
      </c>
      <c r="CR397" s="10">
        <f>MIN('02_Данные'!AR397,CQ397)</f>
        <v/>
      </c>
      <c r="CS397" s="10">
        <f>CQ397-CR397</f>
        <v/>
      </c>
      <c r="CT397" s="10">
        <f>MIN('02_Данные'!AS397,CS397)</f>
        <v/>
      </c>
      <c r="CU397" s="10">
        <f>CS397-CT397</f>
        <v/>
      </c>
      <c r="CV397" s="10">
        <f>MIN('02_Данные'!AT397,CU397)</f>
        <v/>
      </c>
      <c r="CW397" s="10">
        <f>CU397-CV397</f>
        <v/>
      </c>
      <c r="CX397" s="10">
        <f>MIN('02_Данные'!AY397,CW397)</f>
        <v/>
      </c>
      <c r="CY397" s="10">
        <f>CW397-CX397</f>
        <v/>
      </c>
      <c r="CZ397" s="10">
        <f>MIN('02_Данные'!AV397,CY397)</f>
        <v/>
      </c>
      <c r="DA397" s="10">
        <f>CY397-CZ397</f>
        <v/>
      </c>
      <c r="DB397" s="10">
        <f>MIN('02_Данные'!AU397,DA397)</f>
        <v/>
      </c>
      <c r="DC397" s="10">
        <f>DA397-DB397</f>
        <v/>
      </c>
      <c r="DD397" s="10">
        <f>MIN('02_Данные'!AW397,DC397)</f>
        <v/>
      </c>
      <c r="DE397" s="10">
        <f>DC397-DD397</f>
        <v/>
      </c>
      <c r="DF397" s="10">
        <f>MIN('02_Данные'!AX397,DE397)</f>
        <v/>
      </c>
      <c r="DG397" s="10">
        <f>DE397-DF397</f>
        <v/>
      </c>
    </row>
    <row r="398">
      <c r="A398" s="9">
        <f>'02_Данные'!B398</f>
        <v/>
      </c>
      <c r="B398" s="9">
        <f>'02_Данные'!E398</f>
        <v/>
      </c>
      <c r="C398" s="10">
        <f>'02_Данные'!F398+'02_Данные'!G398+'02_Данные'!H398+'02_Данные'!I398+'02_Данные'!J398+'02_Данные'!K398</f>
        <v/>
      </c>
      <c r="D398" s="10">
        <f>SUM('02_Данные'!L398:'02_Данные'!AY398)</f>
        <v/>
      </c>
      <c r="E398" s="10">
        <f>MAX(0,D398-C398)</f>
        <v/>
      </c>
      <c r="F398" s="15">
        <f>IF(E398&gt;0.0001,"ДЕФИЦИТ",IF(Y398&gt;0.0001,"ПРОФИЦИТ","БАЛАНС"))</f>
        <v/>
      </c>
      <c r="G398" s="10">
        <f>AB398+AS398+BJ398+CA398+CR398</f>
        <v/>
      </c>
      <c r="H398" s="10">
        <f>AD398+AU398+BL398+CC398+CT398</f>
        <v/>
      </c>
      <c r="I398" s="10">
        <f>AF398+AW398+BN398+CE398+CV398</f>
        <v/>
      </c>
      <c r="J398" s="10">
        <f>AL398+BC398+BT398+CK398+DB398</f>
        <v/>
      </c>
      <c r="K398" s="10">
        <f>AJ398+BA398+BR398+CI398+CZ398</f>
        <v/>
      </c>
      <c r="L398" s="10">
        <f>AN398+BE398+BV398+CM398+DD398</f>
        <v/>
      </c>
      <c r="M398" s="10">
        <f>AP398+BG398+BX398+CO398+DF398</f>
        <v/>
      </c>
      <c r="N398" s="10">
        <f>AH398+AY398+BP398+CG398+CX398</f>
        <v/>
      </c>
      <c r="O398" s="10">
        <f>SUM(G398:N398)</f>
        <v/>
      </c>
      <c r="P398" s="10">
        <f>IFERROR(G398*MIN(1,'01_Нормативы'!$C$4/SUM(G$2:G$429)),0)</f>
        <v/>
      </c>
      <c r="Q398" s="10">
        <f>IFERROR(H398*MIN(1,'01_Нормативы'!$C$5/SUM(H$2:H$429)),0)</f>
        <v/>
      </c>
      <c r="R398" s="10">
        <f>IFERROR(I398*MIN(1,'01_Нормативы'!$C$6/SUM(I$2:I$429)),0)</f>
        <v/>
      </c>
      <c r="S398" s="10">
        <f>IFERROR(J398*MIN(1,'01_Нормативы'!$C$7/SUM(J$2:J$429)),0)</f>
        <v/>
      </c>
      <c r="T398" s="10">
        <f>IFERROR(K398*MIN(1,'01_Нормативы'!$C$8/SUM(K$2:K$429)),0)</f>
        <v/>
      </c>
      <c r="U398" s="10">
        <f>IFERROR(L398*MIN(1,'01_Нормативы'!$C$9/SUM(L$2:L$429)),0)</f>
        <v/>
      </c>
      <c r="V398" s="10">
        <f>IFERROR(M398*MIN(1,'01_Нормативы'!$C$10/SUM(M$2:M$429)),0)</f>
        <v/>
      </c>
      <c r="W398" s="10">
        <f>IFERROR(N398*MIN(1,'01_Нормативы'!$C$11/SUM(N$2:N$429)),0)</f>
        <v/>
      </c>
      <c r="X398" s="10">
        <f>SUM(P398:W398)</f>
        <v/>
      </c>
      <c r="Y398" s="10">
        <f>MAX(0,C398-X398)</f>
        <v/>
      </c>
      <c r="Z398" s="10">
        <f>IF(D398=0,100,X398/D398*100)</f>
        <v/>
      </c>
      <c r="AA398" s="10">
        <f>'02_Данные'!F398+'02_Данные'!G398</f>
        <v/>
      </c>
      <c r="AB398" s="10">
        <f>MIN('02_Данные'!L398,AA398)</f>
        <v/>
      </c>
      <c r="AC398" s="10">
        <f>AA398-AB398</f>
        <v/>
      </c>
      <c r="AD398" s="10">
        <f>MIN('02_Данные'!M398,AC398)</f>
        <v/>
      </c>
      <c r="AE398" s="10">
        <f>AC398-AD398</f>
        <v/>
      </c>
      <c r="AF398" s="10">
        <f>MIN('02_Данные'!N398,AE398)</f>
        <v/>
      </c>
      <c r="AG398" s="10">
        <f>AE398-AF398</f>
        <v/>
      </c>
      <c r="AH398" s="10">
        <f>MIN('02_Данные'!S398,AG398)</f>
        <v/>
      </c>
      <c r="AI398" s="10">
        <f>AG398-AH398</f>
        <v/>
      </c>
      <c r="AJ398" s="10">
        <f>MIN('02_Данные'!P398,AI398)</f>
        <v/>
      </c>
      <c r="AK398" s="10">
        <f>AI398-AJ398</f>
        <v/>
      </c>
      <c r="AL398" s="10">
        <f>MIN('02_Данные'!O398,AK398)</f>
        <v/>
      </c>
      <c r="AM398" s="10">
        <f>AK398-AL398</f>
        <v/>
      </c>
      <c r="AN398" s="10">
        <f>MIN('02_Данные'!Q398,AM398)</f>
        <v/>
      </c>
      <c r="AO398" s="10">
        <f>AM398-AN398</f>
        <v/>
      </c>
      <c r="AP398" s="10">
        <f>MIN('02_Данные'!R398,AO398)</f>
        <v/>
      </c>
      <c r="AQ398" s="10">
        <f>AO398-AP398</f>
        <v/>
      </c>
      <c r="AR398" s="10">
        <f>AQ398+'02_Данные'!H398</f>
        <v/>
      </c>
      <c r="AS398" s="10">
        <f>MIN('02_Данные'!T398,AR398)</f>
        <v/>
      </c>
      <c r="AT398" s="10">
        <f>AR398-AS398</f>
        <v/>
      </c>
      <c r="AU398" s="10">
        <f>MIN('02_Данные'!U398,AT398)</f>
        <v/>
      </c>
      <c r="AV398" s="10">
        <f>AT398-AU398</f>
        <v/>
      </c>
      <c r="AW398" s="10">
        <f>MIN('02_Данные'!V398,AV398)</f>
        <v/>
      </c>
      <c r="AX398" s="10">
        <f>AV398-AW398</f>
        <v/>
      </c>
      <c r="AY398" s="10">
        <f>MIN('02_Данные'!AA398,AX398)</f>
        <v/>
      </c>
      <c r="AZ398" s="10">
        <f>AX398-AY398</f>
        <v/>
      </c>
      <c r="BA398" s="10">
        <f>MIN('02_Данные'!X398,AZ398)</f>
        <v/>
      </c>
      <c r="BB398" s="10">
        <f>AZ398-BA398</f>
        <v/>
      </c>
      <c r="BC398" s="10">
        <f>MIN('02_Данные'!W398,BB398)</f>
        <v/>
      </c>
      <c r="BD398" s="10">
        <f>BB398-BC398</f>
        <v/>
      </c>
      <c r="BE398" s="10">
        <f>MIN('02_Данные'!Y398,BD398)</f>
        <v/>
      </c>
      <c r="BF398" s="10">
        <f>BD398-BE398</f>
        <v/>
      </c>
      <c r="BG398" s="10">
        <f>MIN('02_Данные'!Z398,BF398)</f>
        <v/>
      </c>
      <c r="BH398" s="10">
        <f>BF398-BG398</f>
        <v/>
      </c>
      <c r="BI398" s="10">
        <f>BH398+'02_Данные'!I398</f>
        <v/>
      </c>
      <c r="BJ398" s="10">
        <f>MIN('02_Данные'!AB398,BI398)</f>
        <v/>
      </c>
      <c r="BK398" s="10">
        <f>BI398-BJ398</f>
        <v/>
      </c>
      <c r="BL398" s="10">
        <f>MIN('02_Данные'!AC398,BK398)</f>
        <v/>
      </c>
      <c r="BM398" s="10">
        <f>BK398-BL398</f>
        <v/>
      </c>
      <c r="BN398" s="10">
        <f>MIN('02_Данные'!AD398,BM398)</f>
        <v/>
      </c>
      <c r="BO398" s="10">
        <f>BM398-BN398</f>
        <v/>
      </c>
      <c r="BP398" s="10">
        <f>MIN('02_Данные'!AI398,BO398)</f>
        <v/>
      </c>
      <c r="BQ398" s="10">
        <f>BO398-BP398</f>
        <v/>
      </c>
      <c r="BR398" s="10">
        <f>MIN('02_Данные'!AF398,BQ398)</f>
        <v/>
      </c>
      <c r="BS398" s="10">
        <f>BQ398-BR398</f>
        <v/>
      </c>
      <c r="BT398" s="10">
        <f>MIN('02_Данные'!AE398,BS398)</f>
        <v/>
      </c>
      <c r="BU398" s="10">
        <f>BS398-BT398</f>
        <v/>
      </c>
      <c r="BV398" s="10">
        <f>MIN('02_Данные'!AG398,BU398)</f>
        <v/>
      </c>
      <c r="BW398" s="10">
        <f>BU398-BV398</f>
        <v/>
      </c>
      <c r="BX398" s="10">
        <f>MIN('02_Данные'!AH398,BW398)</f>
        <v/>
      </c>
      <c r="BY398" s="10">
        <f>BW398-BX398</f>
        <v/>
      </c>
      <c r="BZ398" s="10">
        <f>BY398+'02_Данные'!J398</f>
        <v/>
      </c>
      <c r="CA398" s="10">
        <f>MIN('02_Данные'!AJ398,BZ398)</f>
        <v/>
      </c>
      <c r="CB398" s="10">
        <f>BZ398-CA398</f>
        <v/>
      </c>
      <c r="CC398" s="10">
        <f>MIN('02_Данные'!AK398,CB398)</f>
        <v/>
      </c>
      <c r="CD398" s="10">
        <f>CB398-CC398</f>
        <v/>
      </c>
      <c r="CE398" s="10">
        <f>MIN('02_Данные'!AL398,CD398)</f>
        <v/>
      </c>
      <c r="CF398" s="10">
        <f>CD398-CE398</f>
        <v/>
      </c>
      <c r="CG398" s="10">
        <f>MIN('02_Данные'!AQ398,CF398)</f>
        <v/>
      </c>
      <c r="CH398" s="10">
        <f>CF398-CG398</f>
        <v/>
      </c>
      <c r="CI398" s="10">
        <f>MIN('02_Данные'!AN398,CH398)</f>
        <v/>
      </c>
      <c r="CJ398" s="10">
        <f>CH398-CI398</f>
        <v/>
      </c>
      <c r="CK398" s="10">
        <f>MIN('02_Данные'!AM398,CJ398)</f>
        <v/>
      </c>
      <c r="CL398" s="10">
        <f>CJ398-CK398</f>
        <v/>
      </c>
      <c r="CM398" s="10">
        <f>MIN('02_Данные'!AO398,CL398)</f>
        <v/>
      </c>
      <c r="CN398" s="10">
        <f>CL398-CM398</f>
        <v/>
      </c>
      <c r="CO398" s="10">
        <f>MIN('02_Данные'!AP398,CN398)</f>
        <v/>
      </c>
      <c r="CP398" s="10">
        <f>CN398-CO398</f>
        <v/>
      </c>
      <c r="CQ398" s="10">
        <f>CP398+'02_Данные'!K398</f>
        <v/>
      </c>
      <c r="CR398" s="10">
        <f>MIN('02_Данные'!AR398,CQ398)</f>
        <v/>
      </c>
      <c r="CS398" s="10">
        <f>CQ398-CR398</f>
        <v/>
      </c>
      <c r="CT398" s="10">
        <f>MIN('02_Данные'!AS398,CS398)</f>
        <v/>
      </c>
      <c r="CU398" s="10">
        <f>CS398-CT398</f>
        <v/>
      </c>
      <c r="CV398" s="10">
        <f>MIN('02_Данные'!AT398,CU398)</f>
        <v/>
      </c>
      <c r="CW398" s="10">
        <f>CU398-CV398</f>
        <v/>
      </c>
      <c r="CX398" s="10">
        <f>MIN('02_Данные'!AY398,CW398)</f>
        <v/>
      </c>
      <c r="CY398" s="10">
        <f>CW398-CX398</f>
        <v/>
      </c>
      <c r="CZ398" s="10">
        <f>MIN('02_Данные'!AV398,CY398)</f>
        <v/>
      </c>
      <c r="DA398" s="10">
        <f>CY398-CZ398</f>
        <v/>
      </c>
      <c r="DB398" s="10">
        <f>MIN('02_Данные'!AU398,DA398)</f>
        <v/>
      </c>
      <c r="DC398" s="10">
        <f>DA398-DB398</f>
        <v/>
      </c>
      <c r="DD398" s="10">
        <f>MIN('02_Данные'!AW398,DC398)</f>
        <v/>
      </c>
      <c r="DE398" s="10">
        <f>DC398-DD398</f>
        <v/>
      </c>
      <c r="DF398" s="10">
        <f>MIN('02_Данные'!AX398,DE398)</f>
        <v/>
      </c>
      <c r="DG398" s="10">
        <f>DE398-DF398</f>
        <v/>
      </c>
    </row>
    <row r="399">
      <c r="A399" s="9">
        <f>'02_Данные'!B399</f>
        <v/>
      </c>
      <c r="B399" s="9">
        <f>'02_Данные'!E399</f>
        <v/>
      </c>
      <c r="C399" s="10">
        <f>'02_Данные'!F399+'02_Данные'!G399+'02_Данные'!H399+'02_Данные'!I399+'02_Данные'!J399+'02_Данные'!K399</f>
        <v/>
      </c>
      <c r="D399" s="10">
        <f>SUM('02_Данные'!L399:'02_Данные'!AY399)</f>
        <v/>
      </c>
      <c r="E399" s="10">
        <f>MAX(0,D399-C399)</f>
        <v/>
      </c>
      <c r="F399" s="15">
        <f>IF(E399&gt;0.0001,"ДЕФИЦИТ",IF(Y399&gt;0.0001,"ПРОФИЦИТ","БАЛАНС"))</f>
        <v/>
      </c>
      <c r="G399" s="10">
        <f>AB399+AS399+BJ399+CA399+CR399</f>
        <v/>
      </c>
      <c r="H399" s="10">
        <f>AD399+AU399+BL399+CC399+CT399</f>
        <v/>
      </c>
      <c r="I399" s="10">
        <f>AF399+AW399+BN399+CE399+CV399</f>
        <v/>
      </c>
      <c r="J399" s="10">
        <f>AL399+BC399+BT399+CK399+DB399</f>
        <v/>
      </c>
      <c r="K399" s="10">
        <f>AJ399+BA399+BR399+CI399+CZ399</f>
        <v/>
      </c>
      <c r="L399" s="10">
        <f>AN399+BE399+BV399+CM399+DD399</f>
        <v/>
      </c>
      <c r="M399" s="10">
        <f>AP399+BG399+BX399+CO399+DF399</f>
        <v/>
      </c>
      <c r="N399" s="10">
        <f>AH399+AY399+BP399+CG399+CX399</f>
        <v/>
      </c>
      <c r="O399" s="10">
        <f>SUM(G399:N399)</f>
        <v/>
      </c>
      <c r="P399" s="10">
        <f>IFERROR(G399*MIN(1,'01_Нормативы'!$C$4/SUM(G$2:G$429)),0)</f>
        <v/>
      </c>
      <c r="Q399" s="10">
        <f>IFERROR(H399*MIN(1,'01_Нормативы'!$C$5/SUM(H$2:H$429)),0)</f>
        <v/>
      </c>
      <c r="R399" s="10">
        <f>IFERROR(I399*MIN(1,'01_Нормативы'!$C$6/SUM(I$2:I$429)),0)</f>
        <v/>
      </c>
      <c r="S399" s="10">
        <f>IFERROR(J399*MIN(1,'01_Нормативы'!$C$7/SUM(J$2:J$429)),0)</f>
        <v/>
      </c>
      <c r="T399" s="10">
        <f>IFERROR(K399*MIN(1,'01_Нормативы'!$C$8/SUM(K$2:K$429)),0)</f>
        <v/>
      </c>
      <c r="U399" s="10">
        <f>IFERROR(L399*MIN(1,'01_Нормативы'!$C$9/SUM(L$2:L$429)),0)</f>
        <v/>
      </c>
      <c r="V399" s="10">
        <f>IFERROR(M399*MIN(1,'01_Нормативы'!$C$10/SUM(M$2:M$429)),0)</f>
        <v/>
      </c>
      <c r="W399" s="10">
        <f>IFERROR(N399*MIN(1,'01_Нормативы'!$C$11/SUM(N$2:N$429)),0)</f>
        <v/>
      </c>
      <c r="X399" s="10">
        <f>SUM(P399:W399)</f>
        <v/>
      </c>
      <c r="Y399" s="10">
        <f>MAX(0,C399-X399)</f>
        <v/>
      </c>
      <c r="Z399" s="10">
        <f>IF(D399=0,100,X399/D399*100)</f>
        <v/>
      </c>
      <c r="AA399" s="10">
        <f>'02_Данные'!F399+'02_Данные'!G399</f>
        <v/>
      </c>
      <c r="AB399" s="10">
        <f>MIN('02_Данные'!L399,AA399)</f>
        <v/>
      </c>
      <c r="AC399" s="10">
        <f>AA399-AB399</f>
        <v/>
      </c>
      <c r="AD399" s="10">
        <f>MIN('02_Данные'!M399,AC399)</f>
        <v/>
      </c>
      <c r="AE399" s="10">
        <f>AC399-AD399</f>
        <v/>
      </c>
      <c r="AF399" s="10">
        <f>MIN('02_Данные'!N399,AE399)</f>
        <v/>
      </c>
      <c r="AG399" s="10">
        <f>AE399-AF399</f>
        <v/>
      </c>
      <c r="AH399" s="10">
        <f>MIN('02_Данные'!S399,AG399)</f>
        <v/>
      </c>
      <c r="AI399" s="10">
        <f>AG399-AH399</f>
        <v/>
      </c>
      <c r="AJ399" s="10">
        <f>MIN('02_Данные'!P399,AI399)</f>
        <v/>
      </c>
      <c r="AK399" s="10">
        <f>AI399-AJ399</f>
        <v/>
      </c>
      <c r="AL399" s="10">
        <f>MIN('02_Данные'!O399,AK399)</f>
        <v/>
      </c>
      <c r="AM399" s="10">
        <f>AK399-AL399</f>
        <v/>
      </c>
      <c r="AN399" s="10">
        <f>MIN('02_Данные'!Q399,AM399)</f>
        <v/>
      </c>
      <c r="AO399" s="10">
        <f>AM399-AN399</f>
        <v/>
      </c>
      <c r="AP399" s="10">
        <f>MIN('02_Данные'!R399,AO399)</f>
        <v/>
      </c>
      <c r="AQ399" s="10">
        <f>AO399-AP399</f>
        <v/>
      </c>
      <c r="AR399" s="10">
        <f>AQ399+'02_Данные'!H399</f>
        <v/>
      </c>
      <c r="AS399" s="10">
        <f>MIN('02_Данные'!T399,AR399)</f>
        <v/>
      </c>
      <c r="AT399" s="10">
        <f>AR399-AS399</f>
        <v/>
      </c>
      <c r="AU399" s="10">
        <f>MIN('02_Данные'!U399,AT399)</f>
        <v/>
      </c>
      <c r="AV399" s="10">
        <f>AT399-AU399</f>
        <v/>
      </c>
      <c r="AW399" s="10">
        <f>MIN('02_Данные'!V399,AV399)</f>
        <v/>
      </c>
      <c r="AX399" s="10">
        <f>AV399-AW399</f>
        <v/>
      </c>
      <c r="AY399" s="10">
        <f>MIN('02_Данные'!AA399,AX399)</f>
        <v/>
      </c>
      <c r="AZ399" s="10">
        <f>AX399-AY399</f>
        <v/>
      </c>
      <c r="BA399" s="10">
        <f>MIN('02_Данные'!X399,AZ399)</f>
        <v/>
      </c>
      <c r="BB399" s="10">
        <f>AZ399-BA399</f>
        <v/>
      </c>
      <c r="BC399" s="10">
        <f>MIN('02_Данные'!W399,BB399)</f>
        <v/>
      </c>
      <c r="BD399" s="10">
        <f>BB399-BC399</f>
        <v/>
      </c>
      <c r="BE399" s="10">
        <f>MIN('02_Данные'!Y399,BD399)</f>
        <v/>
      </c>
      <c r="BF399" s="10">
        <f>BD399-BE399</f>
        <v/>
      </c>
      <c r="BG399" s="10">
        <f>MIN('02_Данные'!Z399,BF399)</f>
        <v/>
      </c>
      <c r="BH399" s="10">
        <f>BF399-BG399</f>
        <v/>
      </c>
      <c r="BI399" s="10">
        <f>BH399+'02_Данные'!I399</f>
        <v/>
      </c>
      <c r="BJ399" s="10">
        <f>MIN('02_Данные'!AB399,BI399)</f>
        <v/>
      </c>
      <c r="BK399" s="10">
        <f>BI399-BJ399</f>
        <v/>
      </c>
      <c r="BL399" s="10">
        <f>MIN('02_Данные'!AC399,BK399)</f>
        <v/>
      </c>
      <c r="BM399" s="10">
        <f>BK399-BL399</f>
        <v/>
      </c>
      <c r="BN399" s="10">
        <f>MIN('02_Данные'!AD399,BM399)</f>
        <v/>
      </c>
      <c r="BO399" s="10">
        <f>BM399-BN399</f>
        <v/>
      </c>
      <c r="BP399" s="10">
        <f>MIN('02_Данные'!AI399,BO399)</f>
        <v/>
      </c>
      <c r="BQ399" s="10">
        <f>BO399-BP399</f>
        <v/>
      </c>
      <c r="BR399" s="10">
        <f>MIN('02_Данные'!AF399,BQ399)</f>
        <v/>
      </c>
      <c r="BS399" s="10">
        <f>BQ399-BR399</f>
        <v/>
      </c>
      <c r="BT399" s="10">
        <f>MIN('02_Данные'!AE399,BS399)</f>
        <v/>
      </c>
      <c r="BU399" s="10">
        <f>BS399-BT399</f>
        <v/>
      </c>
      <c r="BV399" s="10">
        <f>MIN('02_Данные'!AG399,BU399)</f>
        <v/>
      </c>
      <c r="BW399" s="10">
        <f>BU399-BV399</f>
        <v/>
      </c>
      <c r="BX399" s="10">
        <f>MIN('02_Данные'!AH399,BW399)</f>
        <v/>
      </c>
      <c r="BY399" s="10">
        <f>BW399-BX399</f>
        <v/>
      </c>
      <c r="BZ399" s="10">
        <f>BY399+'02_Данные'!J399</f>
        <v/>
      </c>
      <c r="CA399" s="10">
        <f>MIN('02_Данные'!AJ399,BZ399)</f>
        <v/>
      </c>
      <c r="CB399" s="10">
        <f>BZ399-CA399</f>
        <v/>
      </c>
      <c r="CC399" s="10">
        <f>MIN('02_Данные'!AK399,CB399)</f>
        <v/>
      </c>
      <c r="CD399" s="10">
        <f>CB399-CC399</f>
        <v/>
      </c>
      <c r="CE399" s="10">
        <f>MIN('02_Данные'!AL399,CD399)</f>
        <v/>
      </c>
      <c r="CF399" s="10">
        <f>CD399-CE399</f>
        <v/>
      </c>
      <c r="CG399" s="10">
        <f>MIN('02_Данные'!AQ399,CF399)</f>
        <v/>
      </c>
      <c r="CH399" s="10">
        <f>CF399-CG399</f>
        <v/>
      </c>
      <c r="CI399" s="10">
        <f>MIN('02_Данные'!AN399,CH399)</f>
        <v/>
      </c>
      <c r="CJ399" s="10">
        <f>CH399-CI399</f>
        <v/>
      </c>
      <c r="CK399" s="10">
        <f>MIN('02_Данные'!AM399,CJ399)</f>
        <v/>
      </c>
      <c r="CL399" s="10">
        <f>CJ399-CK399</f>
        <v/>
      </c>
      <c r="CM399" s="10">
        <f>MIN('02_Данные'!AO399,CL399)</f>
        <v/>
      </c>
      <c r="CN399" s="10">
        <f>CL399-CM399</f>
        <v/>
      </c>
      <c r="CO399" s="10">
        <f>MIN('02_Данные'!AP399,CN399)</f>
        <v/>
      </c>
      <c r="CP399" s="10">
        <f>CN399-CO399</f>
        <v/>
      </c>
      <c r="CQ399" s="10">
        <f>CP399+'02_Данные'!K399</f>
        <v/>
      </c>
      <c r="CR399" s="10">
        <f>MIN('02_Данные'!AR399,CQ399)</f>
        <v/>
      </c>
      <c r="CS399" s="10">
        <f>CQ399-CR399</f>
        <v/>
      </c>
      <c r="CT399" s="10">
        <f>MIN('02_Данные'!AS399,CS399)</f>
        <v/>
      </c>
      <c r="CU399" s="10">
        <f>CS399-CT399</f>
        <v/>
      </c>
      <c r="CV399" s="10">
        <f>MIN('02_Данные'!AT399,CU399)</f>
        <v/>
      </c>
      <c r="CW399" s="10">
        <f>CU399-CV399</f>
        <v/>
      </c>
      <c r="CX399" s="10">
        <f>MIN('02_Данные'!AY399,CW399)</f>
        <v/>
      </c>
      <c r="CY399" s="10">
        <f>CW399-CX399</f>
        <v/>
      </c>
      <c r="CZ399" s="10">
        <f>MIN('02_Данные'!AV399,CY399)</f>
        <v/>
      </c>
      <c r="DA399" s="10">
        <f>CY399-CZ399</f>
        <v/>
      </c>
      <c r="DB399" s="10">
        <f>MIN('02_Данные'!AU399,DA399)</f>
        <v/>
      </c>
      <c r="DC399" s="10">
        <f>DA399-DB399</f>
        <v/>
      </c>
      <c r="DD399" s="10">
        <f>MIN('02_Данные'!AW399,DC399)</f>
        <v/>
      </c>
      <c r="DE399" s="10">
        <f>DC399-DD399</f>
        <v/>
      </c>
      <c r="DF399" s="10">
        <f>MIN('02_Данные'!AX399,DE399)</f>
        <v/>
      </c>
      <c r="DG399" s="10">
        <f>DE399-DF399</f>
        <v/>
      </c>
    </row>
    <row r="400">
      <c r="A400" s="9">
        <f>'02_Данные'!B400</f>
        <v/>
      </c>
      <c r="B400" s="9">
        <f>'02_Данные'!E400</f>
        <v/>
      </c>
      <c r="C400" s="10">
        <f>'02_Данные'!F400+'02_Данные'!G400+'02_Данные'!H400+'02_Данные'!I400+'02_Данные'!J400+'02_Данные'!K400</f>
        <v/>
      </c>
      <c r="D400" s="10">
        <f>SUM('02_Данные'!L400:'02_Данные'!AY400)</f>
        <v/>
      </c>
      <c r="E400" s="10">
        <f>MAX(0,D400-C400)</f>
        <v/>
      </c>
      <c r="F400" s="15">
        <f>IF(E400&gt;0.0001,"ДЕФИЦИТ",IF(Y400&gt;0.0001,"ПРОФИЦИТ","БАЛАНС"))</f>
        <v/>
      </c>
      <c r="G400" s="10">
        <f>AB400+AS400+BJ400+CA400+CR400</f>
        <v/>
      </c>
      <c r="H400" s="10">
        <f>AD400+AU400+BL400+CC400+CT400</f>
        <v/>
      </c>
      <c r="I400" s="10">
        <f>AF400+AW400+BN400+CE400+CV400</f>
        <v/>
      </c>
      <c r="J400" s="10">
        <f>AL400+BC400+BT400+CK400+DB400</f>
        <v/>
      </c>
      <c r="K400" s="10">
        <f>AJ400+BA400+BR400+CI400+CZ400</f>
        <v/>
      </c>
      <c r="L400" s="10">
        <f>AN400+BE400+BV400+CM400+DD400</f>
        <v/>
      </c>
      <c r="M400" s="10">
        <f>AP400+BG400+BX400+CO400+DF400</f>
        <v/>
      </c>
      <c r="N400" s="10">
        <f>AH400+AY400+BP400+CG400+CX400</f>
        <v/>
      </c>
      <c r="O400" s="10">
        <f>SUM(G400:N400)</f>
        <v/>
      </c>
      <c r="P400" s="10">
        <f>IFERROR(G400*MIN(1,'01_Нормативы'!$C$4/SUM(G$2:G$429)),0)</f>
        <v/>
      </c>
      <c r="Q400" s="10">
        <f>IFERROR(H400*MIN(1,'01_Нормативы'!$C$5/SUM(H$2:H$429)),0)</f>
        <v/>
      </c>
      <c r="R400" s="10">
        <f>IFERROR(I400*MIN(1,'01_Нормативы'!$C$6/SUM(I$2:I$429)),0)</f>
        <v/>
      </c>
      <c r="S400" s="10">
        <f>IFERROR(J400*MIN(1,'01_Нормативы'!$C$7/SUM(J$2:J$429)),0)</f>
        <v/>
      </c>
      <c r="T400" s="10">
        <f>IFERROR(K400*MIN(1,'01_Нормативы'!$C$8/SUM(K$2:K$429)),0)</f>
        <v/>
      </c>
      <c r="U400" s="10">
        <f>IFERROR(L400*MIN(1,'01_Нормативы'!$C$9/SUM(L$2:L$429)),0)</f>
        <v/>
      </c>
      <c r="V400" s="10">
        <f>IFERROR(M400*MIN(1,'01_Нормативы'!$C$10/SUM(M$2:M$429)),0)</f>
        <v/>
      </c>
      <c r="W400" s="10">
        <f>IFERROR(N400*MIN(1,'01_Нормативы'!$C$11/SUM(N$2:N$429)),0)</f>
        <v/>
      </c>
      <c r="X400" s="10">
        <f>SUM(P400:W400)</f>
        <v/>
      </c>
      <c r="Y400" s="10">
        <f>MAX(0,C400-X400)</f>
        <v/>
      </c>
      <c r="Z400" s="10">
        <f>IF(D400=0,100,X400/D400*100)</f>
        <v/>
      </c>
      <c r="AA400" s="10">
        <f>'02_Данные'!F400+'02_Данные'!G400</f>
        <v/>
      </c>
      <c r="AB400" s="10">
        <f>MIN('02_Данные'!L400,AA400)</f>
        <v/>
      </c>
      <c r="AC400" s="10">
        <f>AA400-AB400</f>
        <v/>
      </c>
      <c r="AD400" s="10">
        <f>MIN('02_Данные'!M400,AC400)</f>
        <v/>
      </c>
      <c r="AE400" s="10">
        <f>AC400-AD400</f>
        <v/>
      </c>
      <c r="AF400" s="10">
        <f>MIN('02_Данные'!N400,AE400)</f>
        <v/>
      </c>
      <c r="AG400" s="10">
        <f>AE400-AF400</f>
        <v/>
      </c>
      <c r="AH400" s="10">
        <f>MIN('02_Данные'!S400,AG400)</f>
        <v/>
      </c>
      <c r="AI400" s="10">
        <f>AG400-AH400</f>
        <v/>
      </c>
      <c r="AJ400" s="10">
        <f>MIN('02_Данные'!P400,AI400)</f>
        <v/>
      </c>
      <c r="AK400" s="10">
        <f>AI400-AJ400</f>
        <v/>
      </c>
      <c r="AL400" s="10">
        <f>MIN('02_Данные'!O400,AK400)</f>
        <v/>
      </c>
      <c r="AM400" s="10">
        <f>AK400-AL400</f>
        <v/>
      </c>
      <c r="AN400" s="10">
        <f>MIN('02_Данные'!Q400,AM400)</f>
        <v/>
      </c>
      <c r="AO400" s="10">
        <f>AM400-AN400</f>
        <v/>
      </c>
      <c r="AP400" s="10">
        <f>MIN('02_Данные'!R400,AO400)</f>
        <v/>
      </c>
      <c r="AQ400" s="10">
        <f>AO400-AP400</f>
        <v/>
      </c>
      <c r="AR400" s="10">
        <f>AQ400+'02_Данные'!H400</f>
        <v/>
      </c>
      <c r="AS400" s="10">
        <f>MIN('02_Данные'!T400,AR400)</f>
        <v/>
      </c>
      <c r="AT400" s="10">
        <f>AR400-AS400</f>
        <v/>
      </c>
      <c r="AU400" s="10">
        <f>MIN('02_Данные'!U400,AT400)</f>
        <v/>
      </c>
      <c r="AV400" s="10">
        <f>AT400-AU400</f>
        <v/>
      </c>
      <c r="AW400" s="10">
        <f>MIN('02_Данные'!V400,AV400)</f>
        <v/>
      </c>
      <c r="AX400" s="10">
        <f>AV400-AW400</f>
        <v/>
      </c>
      <c r="AY400" s="10">
        <f>MIN('02_Данные'!AA400,AX400)</f>
        <v/>
      </c>
      <c r="AZ400" s="10">
        <f>AX400-AY400</f>
        <v/>
      </c>
      <c r="BA400" s="10">
        <f>MIN('02_Данные'!X400,AZ400)</f>
        <v/>
      </c>
      <c r="BB400" s="10">
        <f>AZ400-BA400</f>
        <v/>
      </c>
      <c r="BC400" s="10">
        <f>MIN('02_Данные'!W400,BB400)</f>
        <v/>
      </c>
      <c r="BD400" s="10">
        <f>BB400-BC400</f>
        <v/>
      </c>
      <c r="BE400" s="10">
        <f>MIN('02_Данные'!Y400,BD400)</f>
        <v/>
      </c>
      <c r="BF400" s="10">
        <f>BD400-BE400</f>
        <v/>
      </c>
      <c r="BG400" s="10">
        <f>MIN('02_Данные'!Z400,BF400)</f>
        <v/>
      </c>
      <c r="BH400" s="10">
        <f>BF400-BG400</f>
        <v/>
      </c>
      <c r="BI400" s="10">
        <f>BH400+'02_Данные'!I400</f>
        <v/>
      </c>
      <c r="BJ400" s="10">
        <f>MIN('02_Данные'!AB400,BI400)</f>
        <v/>
      </c>
      <c r="BK400" s="10">
        <f>BI400-BJ400</f>
        <v/>
      </c>
      <c r="BL400" s="10">
        <f>MIN('02_Данные'!AC400,BK400)</f>
        <v/>
      </c>
      <c r="BM400" s="10">
        <f>BK400-BL400</f>
        <v/>
      </c>
      <c r="BN400" s="10">
        <f>MIN('02_Данные'!AD400,BM400)</f>
        <v/>
      </c>
      <c r="BO400" s="10">
        <f>BM400-BN400</f>
        <v/>
      </c>
      <c r="BP400" s="10">
        <f>MIN('02_Данные'!AI400,BO400)</f>
        <v/>
      </c>
      <c r="BQ400" s="10">
        <f>BO400-BP400</f>
        <v/>
      </c>
      <c r="BR400" s="10">
        <f>MIN('02_Данные'!AF400,BQ400)</f>
        <v/>
      </c>
      <c r="BS400" s="10">
        <f>BQ400-BR400</f>
        <v/>
      </c>
      <c r="BT400" s="10">
        <f>MIN('02_Данные'!AE400,BS400)</f>
        <v/>
      </c>
      <c r="BU400" s="10">
        <f>BS400-BT400</f>
        <v/>
      </c>
      <c r="BV400" s="10">
        <f>MIN('02_Данные'!AG400,BU400)</f>
        <v/>
      </c>
      <c r="BW400" s="10">
        <f>BU400-BV400</f>
        <v/>
      </c>
      <c r="BX400" s="10">
        <f>MIN('02_Данные'!AH400,BW400)</f>
        <v/>
      </c>
      <c r="BY400" s="10">
        <f>BW400-BX400</f>
        <v/>
      </c>
      <c r="BZ400" s="10">
        <f>BY400+'02_Данные'!J400</f>
        <v/>
      </c>
      <c r="CA400" s="10">
        <f>MIN('02_Данные'!AJ400,BZ400)</f>
        <v/>
      </c>
      <c r="CB400" s="10">
        <f>BZ400-CA400</f>
        <v/>
      </c>
      <c r="CC400" s="10">
        <f>MIN('02_Данные'!AK400,CB400)</f>
        <v/>
      </c>
      <c r="CD400" s="10">
        <f>CB400-CC400</f>
        <v/>
      </c>
      <c r="CE400" s="10">
        <f>MIN('02_Данные'!AL400,CD400)</f>
        <v/>
      </c>
      <c r="CF400" s="10">
        <f>CD400-CE400</f>
        <v/>
      </c>
      <c r="CG400" s="10">
        <f>MIN('02_Данные'!AQ400,CF400)</f>
        <v/>
      </c>
      <c r="CH400" s="10">
        <f>CF400-CG400</f>
        <v/>
      </c>
      <c r="CI400" s="10">
        <f>MIN('02_Данные'!AN400,CH400)</f>
        <v/>
      </c>
      <c r="CJ400" s="10">
        <f>CH400-CI400</f>
        <v/>
      </c>
      <c r="CK400" s="10">
        <f>MIN('02_Данные'!AM400,CJ400)</f>
        <v/>
      </c>
      <c r="CL400" s="10">
        <f>CJ400-CK400</f>
        <v/>
      </c>
      <c r="CM400" s="10">
        <f>MIN('02_Данные'!AO400,CL400)</f>
        <v/>
      </c>
      <c r="CN400" s="10">
        <f>CL400-CM400</f>
        <v/>
      </c>
      <c r="CO400" s="10">
        <f>MIN('02_Данные'!AP400,CN400)</f>
        <v/>
      </c>
      <c r="CP400" s="10">
        <f>CN400-CO400</f>
        <v/>
      </c>
      <c r="CQ400" s="10">
        <f>CP400+'02_Данные'!K400</f>
        <v/>
      </c>
      <c r="CR400" s="10">
        <f>MIN('02_Данные'!AR400,CQ400)</f>
        <v/>
      </c>
      <c r="CS400" s="10">
        <f>CQ400-CR400</f>
        <v/>
      </c>
      <c r="CT400" s="10">
        <f>MIN('02_Данные'!AS400,CS400)</f>
        <v/>
      </c>
      <c r="CU400" s="10">
        <f>CS400-CT400</f>
        <v/>
      </c>
      <c r="CV400" s="10">
        <f>MIN('02_Данные'!AT400,CU400)</f>
        <v/>
      </c>
      <c r="CW400" s="10">
        <f>CU400-CV400</f>
        <v/>
      </c>
      <c r="CX400" s="10">
        <f>MIN('02_Данные'!AY400,CW400)</f>
        <v/>
      </c>
      <c r="CY400" s="10">
        <f>CW400-CX400</f>
        <v/>
      </c>
      <c r="CZ400" s="10">
        <f>MIN('02_Данные'!AV400,CY400)</f>
        <v/>
      </c>
      <c r="DA400" s="10">
        <f>CY400-CZ400</f>
        <v/>
      </c>
      <c r="DB400" s="10">
        <f>MIN('02_Данные'!AU400,DA400)</f>
        <v/>
      </c>
      <c r="DC400" s="10">
        <f>DA400-DB400</f>
        <v/>
      </c>
      <c r="DD400" s="10">
        <f>MIN('02_Данные'!AW400,DC400)</f>
        <v/>
      </c>
      <c r="DE400" s="10">
        <f>DC400-DD400</f>
        <v/>
      </c>
      <c r="DF400" s="10">
        <f>MIN('02_Данные'!AX400,DE400)</f>
        <v/>
      </c>
      <c r="DG400" s="10">
        <f>DE400-DF400</f>
        <v/>
      </c>
    </row>
    <row r="401">
      <c r="A401" s="9">
        <f>'02_Данные'!B401</f>
        <v/>
      </c>
      <c r="B401" s="9">
        <f>'02_Данные'!E401</f>
        <v/>
      </c>
      <c r="C401" s="10">
        <f>'02_Данные'!F401+'02_Данные'!G401+'02_Данные'!H401+'02_Данные'!I401+'02_Данные'!J401+'02_Данные'!K401</f>
        <v/>
      </c>
      <c r="D401" s="10">
        <f>SUM('02_Данные'!L401:'02_Данные'!AY401)</f>
        <v/>
      </c>
      <c r="E401" s="10">
        <f>MAX(0,D401-C401)</f>
        <v/>
      </c>
      <c r="F401" s="15">
        <f>IF(E401&gt;0.0001,"ДЕФИЦИТ",IF(Y401&gt;0.0001,"ПРОФИЦИТ","БАЛАНС"))</f>
        <v/>
      </c>
      <c r="G401" s="10">
        <f>AB401+AS401+BJ401+CA401+CR401</f>
        <v/>
      </c>
      <c r="H401" s="10">
        <f>AD401+AU401+BL401+CC401+CT401</f>
        <v/>
      </c>
      <c r="I401" s="10">
        <f>AF401+AW401+BN401+CE401+CV401</f>
        <v/>
      </c>
      <c r="J401" s="10">
        <f>AL401+BC401+BT401+CK401+DB401</f>
        <v/>
      </c>
      <c r="K401" s="10">
        <f>AJ401+BA401+BR401+CI401+CZ401</f>
        <v/>
      </c>
      <c r="L401" s="10">
        <f>AN401+BE401+BV401+CM401+DD401</f>
        <v/>
      </c>
      <c r="M401" s="10">
        <f>AP401+BG401+BX401+CO401+DF401</f>
        <v/>
      </c>
      <c r="N401" s="10">
        <f>AH401+AY401+BP401+CG401+CX401</f>
        <v/>
      </c>
      <c r="O401" s="10">
        <f>SUM(G401:N401)</f>
        <v/>
      </c>
      <c r="P401" s="10">
        <f>IFERROR(G401*MIN(1,'01_Нормативы'!$C$4/SUM(G$2:G$429)),0)</f>
        <v/>
      </c>
      <c r="Q401" s="10">
        <f>IFERROR(H401*MIN(1,'01_Нормативы'!$C$5/SUM(H$2:H$429)),0)</f>
        <v/>
      </c>
      <c r="R401" s="10">
        <f>IFERROR(I401*MIN(1,'01_Нормативы'!$C$6/SUM(I$2:I$429)),0)</f>
        <v/>
      </c>
      <c r="S401" s="10">
        <f>IFERROR(J401*MIN(1,'01_Нормативы'!$C$7/SUM(J$2:J$429)),0)</f>
        <v/>
      </c>
      <c r="T401" s="10">
        <f>IFERROR(K401*MIN(1,'01_Нормативы'!$C$8/SUM(K$2:K$429)),0)</f>
        <v/>
      </c>
      <c r="U401" s="10">
        <f>IFERROR(L401*MIN(1,'01_Нормативы'!$C$9/SUM(L$2:L$429)),0)</f>
        <v/>
      </c>
      <c r="V401" s="10">
        <f>IFERROR(M401*MIN(1,'01_Нормативы'!$C$10/SUM(M$2:M$429)),0)</f>
        <v/>
      </c>
      <c r="W401" s="10">
        <f>IFERROR(N401*MIN(1,'01_Нормативы'!$C$11/SUM(N$2:N$429)),0)</f>
        <v/>
      </c>
      <c r="X401" s="10">
        <f>SUM(P401:W401)</f>
        <v/>
      </c>
      <c r="Y401" s="10">
        <f>MAX(0,C401-X401)</f>
        <v/>
      </c>
      <c r="Z401" s="10">
        <f>IF(D401=0,100,X401/D401*100)</f>
        <v/>
      </c>
      <c r="AA401" s="10">
        <f>'02_Данные'!F401+'02_Данные'!G401</f>
        <v/>
      </c>
      <c r="AB401" s="10">
        <f>MIN('02_Данные'!L401,AA401)</f>
        <v/>
      </c>
      <c r="AC401" s="10">
        <f>AA401-AB401</f>
        <v/>
      </c>
      <c r="AD401" s="10">
        <f>MIN('02_Данные'!M401,AC401)</f>
        <v/>
      </c>
      <c r="AE401" s="10">
        <f>AC401-AD401</f>
        <v/>
      </c>
      <c r="AF401" s="10">
        <f>MIN('02_Данные'!N401,AE401)</f>
        <v/>
      </c>
      <c r="AG401" s="10">
        <f>AE401-AF401</f>
        <v/>
      </c>
      <c r="AH401" s="10">
        <f>MIN('02_Данные'!S401,AG401)</f>
        <v/>
      </c>
      <c r="AI401" s="10">
        <f>AG401-AH401</f>
        <v/>
      </c>
      <c r="AJ401" s="10">
        <f>MIN('02_Данные'!P401,AI401)</f>
        <v/>
      </c>
      <c r="AK401" s="10">
        <f>AI401-AJ401</f>
        <v/>
      </c>
      <c r="AL401" s="10">
        <f>MIN('02_Данные'!O401,AK401)</f>
        <v/>
      </c>
      <c r="AM401" s="10">
        <f>AK401-AL401</f>
        <v/>
      </c>
      <c r="AN401" s="10">
        <f>MIN('02_Данные'!Q401,AM401)</f>
        <v/>
      </c>
      <c r="AO401" s="10">
        <f>AM401-AN401</f>
        <v/>
      </c>
      <c r="AP401" s="10">
        <f>MIN('02_Данные'!R401,AO401)</f>
        <v/>
      </c>
      <c r="AQ401" s="10">
        <f>AO401-AP401</f>
        <v/>
      </c>
      <c r="AR401" s="10">
        <f>AQ401+'02_Данные'!H401</f>
        <v/>
      </c>
      <c r="AS401" s="10">
        <f>MIN('02_Данные'!T401,AR401)</f>
        <v/>
      </c>
      <c r="AT401" s="10">
        <f>AR401-AS401</f>
        <v/>
      </c>
      <c r="AU401" s="10">
        <f>MIN('02_Данные'!U401,AT401)</f>
        <v/>
      </c>
      <c r="AV401" s="10">
        <f>AT401-AU401</f>
        <v/>
      </c>
      <c r="AW401" s="10">
        <f>MIN('02_Данные'!V401,AV401)</f>
        <v/>
      </c>
      <c r="AX401" s="10">
        <f>AV401-AW401</f>
        <v/>
      </c>
      <c r="AY401" s="10">
        <f>MIN('02_Данные'!AA401,AX401)</f>
        <v/>
      </c>
      <c r="AZ401" s="10">
        <f>AX401-AY401</f>
        <v/>
      </c>
      <c r="BA401" s="10">
        <f>MIN('02_Данные'!X401,AZ401)</f>
        <v/>
      </c>
      <c r="BB401" s="10">
        <f>AZ401-BA401</f>
        <v/>
      </c>
      <c r="BC401" s="10">
        <f>MIN('02_Данные'!W401,BB401)</f>
        <v/>
      </c>
      <c r="BD401" s="10">
        <f>BB401-BC401</f>
        <v/>
      </c>
      <c r="BE401" s="10">
        <f>MIN('02_Данные'!Y401,BD401)</f>
        <v/>
      </c>
      <c r="BF401" s="10">
        <f>BD401-BE401</f>
        <v/>
      </c>
      <c r="BG401" s="10">
        <f>MIN('02_Данные'!Z401,BF401)</f>
        <v/>
      </c>
      <c r="BH401" s="10">
        <f>BF401-BG401</f>
        <v/>
      </c>
      <c r="BI401" s="10">
        <f>BH401+'02_Данные'!I401</f>
        <v/>
      </c>
      <c r="BJ401" s="10">
        <f>MIN('02_Данные'!AB401,BI401)</f>
        <v/>
      </c>
      <c r="BK401" s="10">
        <f>BI401-BJ401</f>
        <v/>
      </c>
      <c r="BL401" s="10">
        <f>MIN('02_Данные'!AC401,BK401)</f>
        <v/>
      </c>
      <c r="BM401" s="10">
        <f>BK401-BL401</f>
        <v/>
      </c>
      <c r="BN401" s="10">
        <f>MIN('02_Данные'!AD401,BM401)</f>
        <v/>
      </c>
      <c r="BO401" s="10">
        <f>BM401-BN401</f>
        <v/>
      </c>
      <c r="BP401" s="10">
        <f>MIN('02_Данные'!AI401,BO401)</f>
        <v/>
      </c>
      <c r="BQ401" s="10">
        <f>BO401-BP401</f>
        <v/>
      </c>
      <c r="BR401" s="10">
        <f>MIN('02_Данные'!AF401,BQ401)</f>
        <v/>
      </c>
      <c r="BS401" s="10">
        <f>BQ401-BR401</f>
        <v/>
      </c>
      <c r="BT401" s="10">
        <f>MIN('02_Данные'!AE401,BS401)</f>
        <v/>
      </c>
      <c r="BU401" s="10">
        <f>BS401-BT401</f>
        <v/>
      </c>
      <c r="BV401" s="10">
        <f>MIN('02_Данные'!AG401,BU401)</f>
        <v/>
      </c>
      <c r="BW401" s="10">
        <f>BU401-BV401</f>
        <v/>
      </c>
      <c r="BX401" s="10">
        <f>MIN('02_Данные'!AH401,BW401)</f>
        <v/>
      </c>
      <c r="BY401" s="10">
        <f>BW401-BX401</f>
        <v/>
      </c>
      <c r="BZ401" s="10">
        <f>BY401+'02_Данные'!J401</f>
        <v/>
      </c>
      <c r="CA401" s="10">
        <f>MIN('02_Данные'!AJ401,BZ401)</f>
        <v/>
      </c>
      <c r="CB401" s="10">
        <f>BZ401-CA401</f>
        <v/>
      </c>
      <c r="CC401" s="10">
        <f>MIN('02_Данные'!AK401,CB401)</f>
        <v/>
      </c>
      <c r="CD401" s="10">
        <f>CB401-CC401</f>
        <v/>
      </c>
      <c r="CE401" s="10">
        <f>MIN('02_Данные'!AL401,CD401)</f>
        <v/>
      </c>
      <c r="CF401" s="10">
        <f>CD401-CE401</f>
        <v/>
      </c>
      <c r="CG401" s="10">
        <f>MIN('02_Данные'!AQ401,CF401)</f>
        <v/>
      </c>
      <c r="CH401" s="10">
        <f>CF401-CG401</f>
        <v/>
      </c>
      <c r="CI401" s="10">
        <f>MIN('02_Данные'!AN401,CH401)</f>
        <v/>
      </c>
      <c r="CJ401" s="10">
        <f>CH401-CI401</f>
        <v/>
      </c>
      <c r="CK401" s="10">
        <f>MIN('02_Данные'!AM401,CJ401)</f>
        <v/>
      </c>
      <c r="CL401" s="10">
        <f>CJ401-CK401</f>
        <v/>
      </c>
      <c r="CM401" s="10">
        <f>MIN('02_Данные'!AO401,CL401)</f>
        <v/>
      </c>
      <c r="CN401" s="10">
        <f>CL401-CM401</f>
        <v/>
      </c>
      <c r="CO401" s="10">
        <f>MIN('02_Данные'!AP401,CN401)</f>
        <v/>
      </c>
      <c r="CP401" s="10">
        <f>CN401-CO401</f>
        <v/>
      </c>
      <c r="CQ401" s="10">
        <f>CP401+'02_Данные'!K401</f>
        <v/>
      </c>
      <c r="CR401" s="10">
        <f>MIN('02_Данные'!AR401,CQ401)</f>
        <v/>
      </c>
      <c r="CS401" s="10">
        <f>CQ401-CR401</f>
        <v/>
      </c>
      <c r="CT401" s="10">
        <f>MIN('02_Данные'!AS401,CS401)</f>
        <v/>
      </c>
      <c r="CU401" s="10">
        <f>CS401-CT401</f>
        <v/>
      </c>
      <c r="CV401" s="10">
        <f>MIN('02_Данные'!AT401,CU401)</f>
        <v/>
      </c>
      <c r="CW401" s="10">
        <f>CU401-CV401</f>
        <v/>
      </c>
      <c r="CX401" s="10">
        <f>MIN('02_Данные'!AY401,CW401)</f>
        <v/>
      </c>
      <c r="CY401" s="10">
        <f>CW401-CX401</f>
        <v/>
      </c>
      <c r="CZ401" s="10">
        <f>MIN('02_Данные'!AV401,CY401)</f>
        <v/>
      </c>
      <c r="DA401" s="10">
        <f>CY401-CZ401</f>
        <v/>
      </c>
      <c r="DB401" s="10">
        <f>MIN('02_Данные'!AU401,DA401)</f>
        <v/>
      </c>
      <c r="DC401" s="10">
        <f>DA401-DB401</f>
        <v/>
      </c>
      <c r="DD401" s="10">
        <f>MIN('02_Данные'!AW401,DC401)</f>
        <v/>
      </c>
      <c r="DE401" s="10">
        <f>DC401-DD401</f>
        <v/>
      </c>
      <c r="DF401" s="10">
        <f>MIN('02_Данные'!AX401,DE401)</f>
        <v/>
      </c>
      <c r="DG401" s="10">
        <f>DE401-DF401</f>
        <v/>
      </c>
    </row>
    <row r="402">
      <c r="A402" s="9">
        <f>'02_Данные'!B402</f>
        <v/>
      </c>
      <c r="B402" s="9">
        <f>'02_Данные'!E402</f>
        <v/>
      </c>
      <c r="C402" s="10">
        <f>'02_Данные'!F402+'02_Данные'!G402+'02_Данные'!H402+'02_Данные'!I402+'02_Данные'!J402+'02_Данные'!K402</f>
        <v/>
      </c>
      <c r="D402" s="10">
        <f>SUM('02_Данные'!L402:'02_Данные'!AY402)</f>
        <v/>
      </c>
      <c r="E402" s="10">
        <f>MAX(0,D402-C402)</f>
        <v/>
      </c>
      <c r="F402" s="15">
        <f>IF(E402&gt;0.0001,"ДЕФИЦИТ",IF(Y402&gt;0.0001,"ПРОФИЦИТ","БАЛАНС"))</f>
        <v/>
      </c>
      <c r="G402" s="10">
        <f>AB402+AS402+BJ402+CA402+CR402</f>
        <v/>
      </c>
      <c r="H402" s="10">
        <f>AD402+AU402+BL402+CC402+CT402</f>
        <v/>
      </c>
      <c r="I402" s="10">
        <f>AF402+AW402+BN402+CE402+CV402</f>
        <v/>
      </c>
      <c r="J402" s="10">
        <f>AL402+BC402+BT402+CK402+DB402</f>
        <v/>
      </c>
      <c r="K402" s="10">
        <f>AJ402+BA402+BR402+CI402+CZ402</f>
        <v/>
      </c>
      <c r="L402" s="10">
        <f>AN402+BE402+BV402+CM402+DD402</f>
        <v/>
      </c>
      <c r="M402" s="10">
        <f>AP402+BG402+BX402+CO402+DF402</f>
        <v/>
      </c>
      <c r="N402" s="10">
        <f>AH402+AY402+BP402+CG402+CX402</f>
        <v/>
      </c>
      <c r="O402" s="10">
        <f>SUM(G402:N402)</f>
        <v/>
      </c>
      <c r="P402" s="10">
        <f>IFERROR(G402*MIN(1,'01_Нормативы'!$C$4/SUM(G$2:G$429)),0)</f>
        <v/>
      </c>
      <c r="Q402" s="10">
        <f>IFERROR(H402*MIN(1,'01_Нормативы'!$C$5/SUM(H$2:H$429)),0)</f>
        <v/>
      </c>
      <c r="R402" s="10">
        <f>IFERROR(I402*MIN(1,'01_Нормативы'!$C$6/SUM(I$2:I$429)),0)</f>
        <v/>
      </c>
      <c r="S402" s="10">
        <f>IFERROR(J402*MIN(1,'01_Нормативы'!$C$7/SUM(J$2:J$429)),0)</f>
        <v/>
      </c>
      <c r="T402" s="10">
        <f>IFERROR(K402*MIN(1,'01_Нормативы'!$C$8/SUM(K$2:K$429)),0)</f>
        <v/>
      </c>
      <c r="U402" s="10">
        <f>IFERROR(L402*MIN(1,'01_Нормативы'!$C$9/SUM(L$2:L$429)),0)</f>
        <v/>
      </c>
      <c r="V402" s="10">
        <f>IFERROR(M402*MIN(1,'01_Нормативы'!$C$10/SUM(M$2:M$429)),0)</f>
        <v/>
      </c>
      <c r="W402" s="10">
        <f>IFERROR(N402*MIN(1,'01_Нормативы'!$C$11/SUM(N$2:N$429)),0)</f>
        <v/>
      </c>
      <c r="X402" s="10">
        <f>SUM(P402:W402)</f>
        <v/>
      </c>
      <c r="Y402" s="10">
        <f>MAX(0,C402-X402)</f>
        <v/>
      </c>
      <c r="Z402" s="10">
        <f>IF(D402=0,100,X402/D402*100)</f>
        <v/>
      </c>
      <c r="AA402" s="10">
        <f>'02_Данные'!F402+'02_Данные'!G402</f>
        <v/>
      </c>
      <c r="AB402" s="10">
        <f>MIN('02_Данные'!L402,AA402)</f>
        <v/>
      </c>
      <c r="AC402" s="10">
        <f>AA402-AB402</f>
        <v/>
      </c>
      <c r="AD402" s="10">
        <f>MIN('02_Данные'!M402,AC402)</f>
        <v/>
      </c>
      <c r="AE402" s="10">
        <f>AC402-AD402</f>
        <v/>
      </c>
      <c r="AF402" s="10">
        <f>MIN('02_Данные'!N402,AE402)</f>
        <v/>
      </c>
      <c r="AG402" s="10">
        <f>AE402-AF402</f>
        <v/>
      </c>
      <c r="AH402" s="10">
        <f>MIN('02_Данные'!S402,AG402)</f>
        <v/>
      </c>
      <c r="AI402" s="10">
        <f>AG402-AH402</f>
        <v/>
      </c>
      <c r="AJ402" s="10">
        <f>MIN('02_Данные'!P402,AI402)</f>
        <v/>
      </c>
      <c r="AK402" s="10">
        <f>AI402-AJ402</f>
        <v/>
      </c>
      <c r="AL402" s="10">
        <f>MIN('02_Данные'!O402,AK402)</f>
        <v/>
      </c>
      <c r="AM402" s="10">
        <f>AK402-AL402</f>
        <v/>
      </c>
      <c r="AN402" s="10">
        <f>MIN('02_Данные'!Q402,AM402)</f>
        <v/>
      </c>
      <c r="AO402" s="10">
        <f>AM402-AN402</f>
        <v/>
      </c>
      <c r="AP402" s="10">
        <f>MIN('02_Данные'!R402,AO402)</f>
        <v/>
      </c>
      <c r="AQ402" s="10">
        <f>AO402-AP402</f>
        <v/>
      </c>
      <c r="AR402" s="10">
        <f>AQ402+'02_Данные'!H402</f>
        <v/>
      </c>
      <c r="AS402" s="10">
        <f>MIN('02_Данные'!T402,AR402)</f>
        <v/>
      </c>
      <c r="AT402" s="10">
        <f>AR402-AS402</f>
        <v/>
      </c>
      <c r="AU402" s="10">
        <f>MIN('02_Данные'!U402,AT402)</f>
        <v/>
      </c>
      <c r="AV402" s="10">
        <f>AT402-AU402</f>
        <v/>
      </c>
      <c r="AW402" s="10">
        <f>MIN('02_Данные'!V402,AV402)</f>
        <v/>
      </c>
      <c r="AX402" s="10">
        <f>AV402-AW402</f>
        <v/>
      </c>
      <c r="AY402" s="10">
        <f>MIN('02_Данные'!AA402,AX402)</f>
        <v/>
      </c>
      <c r="AZ402" s="10">
        <f>AX402-AY402</f>
        <v/>
      </c>
      <c r="BA402" s="10">
        <f>MIN('02_Данные'!X402,AZ402)</f>
        <v/>
      </c>
      <c r="BB402" s="10">
        <f>AZ402-BA402</f>
        <v/>
      </c>
      <c r="BC402" s="10">
        <f>MIN('02_Данные'!W402,BB402)</f>
        <v/>
      </c>
      <c r="BD402" s="10">
        <f>BB402-BC402</f>
        <v/>
      </c>
      <c r="BE402" s="10">
        <f>MIN('02_Данные'!Y402,BD402)</f>
        <v/>
      </c>
      <c r="BF402" s="10">
        <f>BD402-BE402</f>
        <v/>
      </c>
      <c r="BG402" s="10">
        <f>MIN('02_Данные'!Z402,BF402)</f>
        <v/>
      </c>
      <c r="BH402" s="10">
        <f>BF402-BG402</f>
        <v/>
      </c>
      <c r="BI402" s="10">
        <f>BH402+'02_Данные'!I402</f>
        <v/>
      </c>
      <c r="BJ402" s="10">
        <f>MIN('02_Данные'!AB402,BI402)</f>
        <v/>
      </c>
      <c r="BK402" s="10">
        <f>BI402-BJ402</f>
        <v/>
      </c>
      <c r="BL402" s="10">
        <f>MIN('02_Данные'!AC402,BK402)</f>
        <v/>
      </c>
      <c r="BM402" s="10">
        <f>BK402-BL402</f>
        <v/>
      </c>
      <c r="BN402" s="10">
        <f>MIN('02_Данные'!AD402,BM402)</f>
        <v/>
      </c>
      <c r="BO402" s="10">
        <f>BM402-BN402</f>
        <v/>
      </c>
      <c r="BP402" s="10">
        <f>MIN('02_Данные'!AI402,BO402)</f>
        <v/>
      </c>
      <c r="BQ402" s="10">
        <f>BO402-BP402</f>
        <v/>
      </c>
      <c r="BR402" s="10">
        <f>MIN('02_Данные'!AF402,BQ402)</f>
        <v/>
      </c>
      <c r="BS402" s="10">
        <f>BQ402-BR402</f>
        <v/>
      </c>
      <c r="BT402" s="10">
        <f>MIN('02_Данные'!AE402,BS402)</f>
        <v/>
      </c>
      <c r="BU402" s="10">
        <f>BS402-BT402</f>
        <v/>
      </c>
      <c r="BV402" s="10">
        <f>MIN('02_Данные'!AG402,BU402)</f>
        <v/>
      </c>
      <c r="BW402" s="10">
        <f>BU402-BV402</f>
        <v/>
      </c>
      <c r="BX402" s="10">
        <f>MIN('02_Данные'!AH402,BW402)</f>
        <v/>
      </c>
      <c r="BY402" s="10">
        <f>BW402-BX402</f>
        <v/>
      </c>
      <c r="BZ402" s="10">
        <f>BY402+'02_Данные'!J402</f>
        <v/>
      </c>
      <c r="CA402" s="10">
        <f>MIN('02_Данные'!AJ402,BZ402)</f>
        <v/>
      </c>
      <c r="CB402" s="10">
        <f>BZ402-CA402</f>
        <v/>
      </c>
      <c r="CC402" s="10">
        <f>MIN('02_Данные'!AK402,CB402)</f>
        <v/>
      </c>
      <c r="CD402" s="10">
        <f>CB402-CC402</f>
        <v/>
      </c>
      <c r="CE402" s="10">
        <f>MIN('02_Данные'!AL402,CD402)</f>
        <v/>
      </c>
      <c r="CF402" s="10">
        <f>CD402-CE402</f>
        <v/>
      </c>
      <c r="CG402" s="10">
        <f>MIN('02_Данные'!AQ402,CF402)</f>
        <v/>
      </c>
      <c r="CH402" s="10">
        <f>CF402-CG402</f>
        <v/>
      </c>
      <c r="CI402" s="10">
        <f>MIN('02_Данные'!AN402,CH402)</f>
        <v/>
      </c>
      <c r="CJ402" s="10">
        <f>CH402-CI402</f>
        <v/>
      </c>
      <c r="CK402" s="10">
        <f>MIN('02_Данные'!AM402,CJ402)</f>
        <v/>
      </c>
      <c r="CL402" s="10">
        <f>CJ402-CK402</f>
        <v/>
      </c>
      <c r="CM402" s="10">
        <f>MIN('02_Данные'!AO402,CL402)</f>
        <v/>
      </c>
      <c r="CN402" s="10">
        <f>CL402-CM402</f>
        <v/>
      </c>
      <c r="CO402" s="10">
        <f>MIN('02_Данные'!AP402,CN402)</f>
        <v/>
      </c>
      <c r="CP402" s="10">
        <f>CN402-CO402</f>
        <v/>
      </c>
      <c r="CQ402" s="10">
        <f>CP402+'02_Данные'!K402</f>
        <v/>
      </c>
      <c r="CR402" s="10">
        <f>MIN('02_Данные'!AR402,CQ402)</f>
        <v/>
      </c>
      <c r="CS402" s="10">
        <f>CQ402-CR402</f>
        <v/>
      </c>
      <c r="CT402" s="10">
        <f>MIN('02_Данные'!AS402,CS402)</f>
        <v/>
      </c>
      <c r="CU402" s="10">
        <f>CS402-CT402</f>
        <v/>
      </c>
      <c r="CV402" s="10">
        <f>MIN('02_Данные'!AT402,CU402)</f>
        <v/>
      </c>
      <c r="CW402" s="10">
        <f>CU402-CV402</f>
        <v/>
      </c>
      <c r="CX402" s="10">
        <f>MIN('02_Данные'!AY402,CW402)</f>
        <v/>
      </c>
      <c r="CY402" s="10">
        <f>CW402-CX402</f>
        <v/>
      </c>
      <c r="CZ402" s="10">
        <f>MIN('02_Данные'!AV402,CY402)</f>
        <v/>
      </c>
      <c r="DA402" s="10">
        <f>CY402-CZ402</f>
        <v/>
      </c>
      <c r="DB402" s="10">
        <f>MIN('02_Данные'!AU402,DA402)</f>
        <v/>
      </c>
      <c r="DC402" s="10">
        <f>DA402-DB402</f>
        <v/>
      </c>
      <c r="DD402" s="10">
        <f>MIN('02_Данные'!AW402,DC402)</f>
        <v/>
      </c>
      <c r="DE402" s="10">
        <f>DC402-DD402</f>
        <v/>
      </c>
      <c r="DF402" s="10">
        <f>MIN('02_Данные'!AX402,DE402)</f>
        <v/>
      </c>
      <c r="DG402" s="10">
        <f>DE402-DF402</f>
        <v/>
      </c>
    </row>
    <row r="403">
      <c r="A403" s="9">
        <f>'02_Данные'!B403</f>
        <v/>
      </c>
      <c r="B403" s="9">
        <f>'02_Данные'!E403</f>
        <v/>
      </c>
      <c r="C403" s="10">
        <f>'02_Данные'!F403+'02_Данные'!G403+'02_Данные'!H403+'02_Данные'!I403+'02_Данные'!J403+'02_Данные'!K403</f>
        <v/>
      </c>
      <c r="D403" s="10">
        <f>SUM('02_Данные'!L403:'02_Данные'!AY403)</f>
        <v/>
      </c>
      <c r="E403" s="10">
        <f>MAX(0,D403-C403)</f>
        <v/>
      </c>
      <c r="F403" s="15">
        <f>IF(E403&gt;0.0001,"ДЕФИЦИТ",IF(Y403&gt;0.0001,"ПРОФИЦИТ","БАЛАНС"))</f>
        <v/>
      </c>
      <c r="G403" s="10">
        <f>AB403+AS403+BJ403+CA403+CR403</f>
        <v/>
      </c>
      <c r="H403" s="10">
        <f>AD403+AU403+BL403+CC403+CT403</f>
        <v/>
      </c>
      <c r="I403" s="10">
        <f>AF403+AW403+BN403+CE403+CV403</f>
        <v/>
      </c>
      <c r="J403" s="10">
        <f>AL403+BC403+BT403+CK403+DB403</f>
        <v/>
      </c>
      <c r="K403" s="10">
        <f>AJ403+BA403+BR403+CI403+CZ403</f>
        <v/>
      </c>
      <c r="L403" s="10">
        <f>AN403+BE403+BV403+CM403+DD403</f>
        <v/>
      </c>
      <c r="M403" s="10">
        <f>AP403+BG403+BX403+CO403+DF403</f>
        <v/>
      </c>
      <c r="N403" s="10">
        <f>AH403+AY403+BP403+CG403+CX403</f>
        <v/>
      </c>
      <c r="O403" s="10">
        <f>SUM(G403:N403)</f>
        <v/>
      </c>
      <c r="P403" s="10">
        <f>IFERROR(G403*MIN(1,'01_Нормативы'!$C$4/SUM(G$2:G$429)),0)</f>
        <v/>
      </c>
      <c r="Q403" s="10">
        <f>IFERROR(H403*MIN(1,'01_Нормативы'!$C$5/SUM(H$2:H$429)),0)</f>
        <v/>
      </c>
      <c r="R403" s="10">
        <f>IFERROR(I403*MIN(1,'01_Нормативы'!$C$6/SUM(I$2:I$429)),0)</f>
        <v/>
      </c>
      <c r="S403" s="10">
        <f>IFERROR(J403*MIN(1,'01_Нормативы'!$C$7/SUM(J$2:J$429)),0)</f>
        <v/>
      </c>
      <c r="T403" s="10">
        <f>IFERROR(K403*MIN(1,'01_Нормативы'!$C$8/SUM(K$2:K$429)),0)</f>
        <v/>
      </c>
      <c r="U403" s="10">
        <f>IFERROR(L403*MIN(1,'01_Нормативы'!$C$9/SUM(L$2:L$429)),0)</f>
        <v/>
      </c>
      <c r="V403" s="10">
        <f>IFERROR(M403*MIN(1,'01_Нормативы'!$C$10/SUM(M$2:M$429)),0)</f>
        <v/>
      </c>
      <c r="W403" s="10">
        <f>IFERROR(N403*MIN(1,'01_Нормативы'!$C$11/SUM(N$2:N$429)),0)</f>
        <v/>
      </c>
      <c r="X403" s="10">
        <f>SUM(P403:W403)</f>
        <v/>
      </c>
      <c r="Y403" s="10">
        <f>MAX(0,C403-X403)</f>
        <v/>
      </c>
      <c r="Z403" s="10">
        <f>IF(D403=0,100,X403/D403*100)</f>
        <v/>
      </c>
      <c r="AA403" s="10">
        <f>'02_Данные'!F403+'02_Данные'!G403</f>
        <v/>
      </c>
      <c r="AB403" s="10">
        <f>MIN('02_Данные'!L403,AA403)</f>
        <v/>
      </c>
      <c r="AC403" s="10">
        <f>AA403-AB403</f>
        <v/>
      </c>
      <c r="AD403" s="10">
        <f>MIN('02_Данные'!M403,AC403)</f>
        <v/>
      </c>
      <c r="AE403" s="10">
        <f>AC403-AD403</f>
        <v/>
      </c>
      <c r="AF403" s="10">
        <f>MIN('02_Данные'!N403,AE403)</f>
        <v/>
      </c>
      <c r="AG403" s="10">
        <f>AE403-AF403</f>
        <v/>
      </c>
      <c r="AH403" s="10">
        <f>MIN('02_Данные'!S403,AG403)</f>
        <v/>
      </c>
      <c r="AI403" s="10">
        <f>AG403-AH403</f>
        <v/>
      </c>
      <c r="AJ403" s="10">
        <f>MIN('02_Данные'!P403,AI403)</f>
        <v/>
      </c>
      <c r="AK403" s="10">
        <f>AI403-AJ403</f>
        <v/>
      </c>
      <c r="AL403" s="10">
        <f>MIN('02_Данные'!O403,AK403)</f>
        <v/>
      </c>
      <c r="AM403" s="10">
        <f>AK403-AL403</f>
        <v/>
      </c>
      <c r="AN403" s="10">
        <f>MIN('02_Данные'!Q403,AM403)</f>
        <v/>
      </c>
      <c r="AO403" s="10">
        <f>AM403-AN403</f>
        <v/>
      </c>
      <c r="AP403" s="10">
        <f>MIN('02_Данные'!R403,AO403)</f>
        <v/>
      </c>
      <c r="AQ403" s="10">
        <f>AO403-AP403</f>
        <v/>
      </c>
      <c r="AR403" s="10">
        <f>AQ403+'02_Данные'!H403</f>
        <v/>
      </c>
      <c r="AS403" s="10">
        <f>MIN('02_Данные'!T403,AR403)</f>
        <v/>
      </c>
      <c r="AT403" s="10">
        <f>AR403-AS403</f>
        <v/>
      </c>
      <c r="AU403" s="10">
        <f>MIN('02_Данные'!U403,AT403)</f>
        <v/>
      </c>
      <c r="AV403" s="10">
        <f>AT403-AU403</f>
        <v/>
      </c>
      <c r="AW403" s="10">
        <f>MIN('02_Данные'!V403,AV403)</f>
        <v/>
      </c>
      <c r="AX403" s="10">
        <f>AV403-AW403</f>
        <v/>
      </c>
      <c r="AY403" s="10">
        <f>MIN('02_Данные'!AA403,AX403)</f>
        <v/>
      </c>
      <c r="AZ403" s="10">
        <f>AX403-AY403</f>
        <v/>
      </c>
      <c r="BA403" s="10">
        <f>MIN('02_Данные'!X403,AZ403)</f>
        <v/>
      </c>
      <c r="BB403" s="10">
        <f>AZ403-BA403</f>
        <v/>
      </c>
      <c r="BC403" s="10">
        <f>MIN('02_Данные'!W403,BB403)</f>
        <v/>
      </c>
      <c r="BD403" s="10">
        <f>BB403-BC403</f>
        <v/>
      </c>
      <c r="BE403" s="10">
        <f>MIN('02_Данные'!Y403,BD403)</f>
        <v/>
      </c>
      <c r="BF403" s="10">
        <f>BD403-BE403</f>
        <v/>
      </c>
      <c r="BG403" s="10">
        <f>MIN('02_Данные'!Z403,BF403)</f>
        <v/>
      </c>
      <c r="BH403" s="10">
        <f>BF403-BG403</f>
        <v/>
      </c>
      <c r="BI403" s="10">
        <f>BH403+'02_Данные'!I403</f>
        <v/>
      </c>
      <c r="BJ403" s="10">
        <f>MIN('02_Данные'!AB403,BI403)</f>
        <v/>
      </c>
      <c r="BK403" s="10">
        <f>BI403-BJ403</f>
        <v/>
      </c>
      <c r="BL403" s="10">
        <f>MIN('02_Данные'!AC403,BK403)</f>
        <v/>
      </c>
      <c r="BM403" s="10">
        <f>BK403-BL403</f>
        <v/>
      </c>
      <c r="BN403" s="10">
        <f>MIN('02_Данные'!AD403,BM403)</f>
        <v/>
      </c>
      <c r="BO403" s="10">
        <f>BM403-BN403</f>
        <v/>
      </c>
      <c r="BP403" s="10">
        <f>MIN('02_Данные'!AI403,BO403)</f>
        <v/>
      </c>
      <c r="BQ403" s="10">
        <f>BO403-BP403</f>
        <v/>
      </c>
      <c r="BR403" s="10">
        <f>MIN('02_Данные'!AF403,BQ403)</f>
        <v/>
      </c>
      <c r="BS403" s="10">
        <f>BQ403-BR403</f>
        <v/>
      </c>
      <c r="BT403" s="10">
        <f>MIN('02_Данные'!AE403,BS403)</f>
        <v/>
      </c>
      <c r="BU403" s="10">
        <f>BS403-BT403</f>
        <v/>
      </c>
      <c r="BV403" s="10">
        <f>MIN('02_Данные'!AG403,BU403)</f>
        <v/>
      </c>
      <c r="BW403" s="10">
        <f>BU403-BV403</f>
        <v/>
      </c>
      <c r="BX403" s="10">
        <f>MIN('02_Данные'!AH403,BW403)</f>
        <v/>
      </c>
      <c r="BY403" s="10">
        <f>BW403-BX403</f>
        <v/>
      </c>
      <c r="BZ403" s="10">
        <f>BY403+'02_Данные'!J403</f>
        <v/>
      </c>
      <c r="CA403" s="10">
        <f>MIN('02_Данные'!AJ403,BZ403)</f>
        <v/>
      </c>
      <c r="CB403" s="10">
        <f>BZ403-CA403</f>
        <v/>
      </c>
      <c r="CC403" s="10">
        <f>MIN('02_Данные'!AK403,CB403)</f>
        <v/>
      </c>
      <c r="CD403" s="10">
        <f>CB403-CC403</f>
        <v/>
      </c>
      <c r="CE403" s="10">
        <f>MIN('02_Данные'!AL403,CD403)</f>
        <v/>
      </c>
      <c r="CF403" s="10">
        <f>CD403-CE403</f>
        <v/>
      </c>
      <c r="CG403" s="10">
        <f>MIN('02_Данные'!AQ403,CF403)</f>
        <v/>
      </c>
      <c r="CH403" s="10">
        <f>CF403-CG403</f>
        <v/>
      </c>
      <c r="CI403" s="10">
        <f>MIN('02_Данные'!AN403,CH403)</f>
        <v/>
      </c>
      <c r="CJ403" s="10">
        <f>CH403-CI403</f>
        <v/>
      </c>
      <c r="CK403" s="10">
        <f>MIN('02_Данные'!AM403,CJ403)</f>
        <v/>
      </c>
      <c r="CL403" s="10">
        <f>CJ403-CK403</f>
        <v/>
      </c>
      <c r="CM403" s="10">
        <f>MIN('02_Данные'!AO403,CL403)</f>
        <v/>
      </c>
      <c r="CN403" s="10">
        <f>CL403-CM403</f>
        <v/>
      </c>
      <c r="CO403" s="10">
        <f>MIN('02_Данные'!AP403,CN403)</f>
        <v/>
      </c>
      <c r="CP403" s="10">
        <f>CN403-CO403</f>
        <v/>
      </c>
      <c r="CQ403" s="10">
        <f>CP403+'02_Данные'!K403</f>
        <v/>
      </c>
      <c r="CR403" s="10">
        <f>MIN('02_Данные'!AR403,CQ403)</f>
        <v/>
      </c>
      <c r="CS403" s="10">
        <f>CQ403-CR403</f>
        <v/>
      </c>
      <c r="CT403" s="10">
        <f>MIN('02_Данные'!AS403,CS403)</f>
        <v/>
      </c>
      <c r="CU403" s="10">
        <f>CS403-CT403</f>
        <v/>
      </c>
      <c r="CV403" s="10">
        <f>MIN('02_Данные'!AT403,CU403)</f>
        <v/>
      </c>
      <c r="CW403" s="10">
        <f>CU403-CV403</f>
        <v/>
      </c>
      <c r="CX403" s="10">
        <f>MIN('02_Данные'!AY403,CW403)</f>
        <v/>
      </c>
      <c r="CY403" s="10">
        <f>CW403-CX403</f>
        <v/>
      </c>
      <c r="CZ403" s="10">
        <f>MIN('02_Данные'!AV403,CY403)</f>
        <v/>
      </c>
      <c r="DA403" s="10">
        <f>CY403-CZ403</f>
        <v/>
      </c>
      <c r="DB403" s="10">
        <f>MIN('02_Данные'!AU403,DA403)</f>
        <v/>
      </c>
      <c r="DC403" s="10">
        <f>DA403-DB403</f>
        <v/>
      </c>
      <c r="DD403" s="10">
        <f>MIN('02_Данные'!AW403,DC403)</f>
        <v/>
      </c>
      <c r="DE403" s="10">
        <f>DC403-DD403</f>
        <v/>
      </c>
      <c r="DF403" s="10">
        <f>MIN('02_Данные'!AX403,DE403)</f>
        <v/>
      </c>
      <c r="DG403" s="10">
        <f>DE403-DF403</f>
        <v/>
      </c>
    </row>
    <row r="404">
      <c r="A404" s="9">
        <f>'02_Данные'!B404</f>
        <v/>
      </c>
      <c r="B404" s="9">
        <f>'02_Данные'!E404</f>
        <v/>
      </c>
      <c r="C404" s="10">
        <f>'02_Данные'!F404+'02_Данные'!G404+'02_Данные'!H404+'02_Данные'!I404+'02_Данные'!J404+'02_Данные'!K404</f>
        <v/>
      </c>
      <c r="D404" s="10">
        <f>SUM('02_Данные'!L404:'02_Данные'!AY404)</f>
        <v/>
      </c>
      <c r="E404" s="10">
        <f>MAX(0,D404-C404)</f>
        <v/>
      </c>
      <c r="F404" s="15">
        <f>IF(E404&gt;0.0001,"ДЕФИЦИТ",IF(Y404&gt;0.0001,"ПРОФИЦИТ","БАЛАНС"))</f>
        <v/>
      </c>
      <c r="G404" s="10">
        <f>AB404+AS404+BJ404+CA404+CR404</f>
        <v/>
      </c>
      <c r="H404" s="10">
        <f>AD404+AU404+BL404+CC404+CT404</f>
        <v/>
      </c>
      <c r="I404" s="10">
        <f>AF404+AW404+BN404+CE404+CV404</f>
        <v/>
      </c>
      <c r="J404" s="10">
        <f>AL404+BC404+BT404+CK404+DB404</f>
        <v/>
      </c>
      <c r="K404" s="10">
        <f>AJ404+BA404+BR404+CI404+CZ404</f>
        <v/>
      </c>
      <c r="L404" s="10">
        <f>AN404+BE404+BV404+CM404+DD404</f>
        <v/>
      </c>
      <c r="M404" s="10">
        <f>AP404+BG404+BX404+CO404+DF404</f>
        <v/>
      </c>
      <c r="N404" s="10">
        <f>AH404+AY404+BP404+CG404+CX404</f>
        <v/>
      </c>
      <c r="O404" s="10">
        <f>SUM(G404:N404)</f>
        <v/>
      </c>
      <c r="P404" s="10">
        <f>IFERROR(G404*MIN(1,'01_Нормативы'!$C$4/SUM(G$2:G$429)),0)</f>
        <v/>
      </c>
      <c r="Q404" s="10">
        <f>IFERROR(H404*MIN(1,'01_Нормативы'!$C$5/SUM(H$2:H$429)),0)</f>
        <v/>
      </c>
      <c r="R404" s="10">
        <f>IFERROR(I404*MIN(1,'01_Нормативы'!$C$6/SUM(I$2:I$429)),0)</f>
        <v/>
      </c>
      <c r="S404" s="10">
        <f>IFERROR(J404*MIN(1,'01_Нормативы'!$C$7/SUM(J$2:J$429)),0)</f>
        <v/>
      </c>
      <c r="T404" s="10">
        <f>IFERROR(K404*MIN(1,'01_Нормативы'!$C$8/SUM(K$2:K$429)),0)</f>
        <v/>
      </c>
      <c r="U404" s="10">
        <f>IFERROR(L404*MIN(1,'01_Нормативы'!$C$9/SUM(L$2:L$429)),0)</f>
        <v/>
      </c>
      <c r="V404" s="10">
        <f>IFERROR(M404*MIN(1,'01_Нормативы'!$C$10/SUM(M$2:M$429)),0)</f>
        <v/>
      </c>
      <c r="W404" s="10">
        <f>IFERROR(N404*MIN(1,'01_Нормативы'!$C$11/SUM(N$2:N$429)),0)</f>
        <v/>
      </c>
      <c r="X404" s="10">
        <f>SUM(P404:W404)</f>
        <v/>
      </c>
      <c r="Y404" s="10">
        <f>MAX(0,C404-X404)</f>
        <v/>
      </c>
      <c r="Z404" s="10">
        <f>IF(D404=0,100,X404/D404*100)</f>
        <v/>
      </c>
      <c r="AA404" s="10">
        <f>'02_Данные'!F404+'02_Данные'!G404</f>
        <v/>
      </c>
      <c r="AB404" s="10">
        <f>MIN('02_Данные'!L404,AA404)</f>
        <v/>
      </c>
      <c r="AC404" s="10">
        <f>AA404-AB404</f>
        <v/>
      </c>
      <c r="AD404" s="10">
        <f>MIN('02_Данные'!M404,AC404)</f>
        <v/>
      </c>
      <c r="AE404" s="10">
        <f>AC404-AD404</f>
        <v/>
      </c>
      <c r="AF404" s="10">
        <f>MIN('02_Данные'!N404,AE404)</f>
        <v/>
      </c>
      <c r="AG404" s="10">
        <f>AE404-AF404</f>
        <v/>
      </c>
      <c r="AH404" s="10">
        <f>MIN('02_Данные'!S404,AG404)</f>
        <v/>
      </c>
      <c r="AI404" s="10">
        <f>AG404-AH404</f>
        <v/>
      </c>
      <c r="AJ404" s="10">
        <f>MIN('02_Данные'!P404,AI404)</f>
        <v/>
      </c>
      <c r="AK404" s="10">
        <f>AI404-AJ404</f>
        <v/>
      </c>
      <c r="AL404" s="10">
        <f>MIN('02_Данные'!O404,AK404)</f>
        <v/>
      </c>
      <c r="AM404" s="10">
        <f>AK404-AL404</f>
        <v/>
      </c>
      <c r="AN404" s="10">
        <f>MIN('02_Данные'!Q404,AM404)</f>
        <v/>
      </c>
      <c r="AO404" s="10">
        <f>AM404-AN404</f>
        <v/>
      </c>
      <c r="AP404" s="10">
        <f>MIN('02_Данные'!R404,AO404)</f>
        <v/>
      </c>
      <c r="AQ404" s="10">
        <f>AO404-AP404</f>
        <v/>
      </c>
      <c r="AR404" s="10">
        <f>AQ404+'02_Данные'!H404</f>
        <v/>
      </c>
      <c r="AS404" s="10">
        <f>MIN('02_Данные'!T404,AR404)</f>
        <v/>
      </c>
      <c r="AT404" s="10">
        <f>AR404-AS404</f>
        <v/>
      </c>
      <c r="AU404" s="10">
        <f>MIN('02_Данные'!U404,AT404)</f>
        <v/>
      </c>
      <c r="AV404" s="10">
        <f>AT404-AU404</f>
        <v/>
      </c>
      <c r="AW404" s="10">
        <f>MIN('02_Данные'!V404,AV404)</f>
        <v/>
      </c>
      <c r="AX404" s="10">
        <f>AV404-AW404</f>
        <v/>
      </c>
      <c r="AY404" s="10">
        <f>MIN('02_Данные'!AA404,AX404)</f>
        <v/>
      </c>
      <c r="AZ404" s="10">
        <f>AX404-AY404</f>
        <v/>
      </c>
      <c r="BA404" s="10">
        <f>MIN('02_Данные'!X404,AZ404)</f>
        <v/>
      </c>
      <c r="BB404" s="10">
        <f>AZ404-BA404</f>
        <v/>
      </c>
      <c r="BC404" s="10">
        <f>MIN('02_Данные'!W404,BB404)</f>
        <v/>
      </c>
      <c r="BD404" s="10">
        <f>BB404-BC404</f>
        <v/>
      </c>
      <c r="BE404" s="10">
        <f>MIN('02_Данные'!Y404,BD404)</f>
        <v/>
      </c>
      <c r="BF404" s="10">
        <f>BD404-BE404</f>
        <v/>
      </c>
      <c r="BG404" s="10">
        <f>MIN('02_Данные'!Z404,BF404)</f>
        <v/>
      </c>
      <c r="BH404" s="10">
        <f>BF404-BG404</f>
        <v/>
      </c>
      <c r="BI404" s="10">
        <f>BH404+'02_Данные'!I404</f>
        <v/>
      </c>
      <c r="BJ404" s="10">
        <f>MIN('02_Данные'!AB404,BI404)</f>
        <v/>
      </c>
      <c r="BK404" s="10">
        <f>BI404-BJ404</f>
        <v/>
      </c>
      <c r="BL404" s="10">
        <f>MIN('02_Данные'!AC404,BK404)</f>
        <v/>
      </c>
      <c r="BM404" s="10">
        <f>BK404-BL404</f>
        <v/>
      </c>
      <c r="BN404" s="10">
        <f>MIN('02_Данные'!AD404,BM404)</f>
        <v/>
      </c>
      <c r="BO404" s="10">
        <f>BM404-BN404</f>
        <v/>
      </c>
      <c r="BP404" s="10">
        <f>MIN('02_Данные'!AI404,BO404)</f>
        <v/>
      </c>
      <c r="BQ404" s="10">
        <f>BO404-BP404</f>
        <v/>
      </c>
      <c r="BR404" s="10">
        <f>MIN('02_Данные'!AF404,BQ404)</f>
        <v/>
      </c>
      <c r="BS404" s="10">
        <f>BQ404-BR404</f>
        <v/>
      </c>
      <c r="BT404" s="10">
        <f>MIN('02_Данные'!AE404,BS404)</f>
        <v/>
      </c>
      <c r="BU404" s="10">
        <f>BS404-BT404</f>
        <v/>
      </c>
      <c r="BV404" s="10">
        <f>MIN('02_Данные'!AG404,BU404)</f>
        <v/>
      </c>
      <c r="BW404" s="10">
        <f>BU404-BV404</f>
        <v/>
      </c>
      <c r="BX404" s="10">
        <f>MIN('02_Данные'!AH404,BW404)</f>
        <v/>
      </c>
      <c r="BY404" s="10">
        <f>BW404-BX404</f>
        <v/>
      </c>
      <c r="BZ404" s="10">
        <f>BY404+'02_Данные'!J404</f>
        <v/>
      </c>
      <c r="CA404" s="10">
        <f>MIN('02_Данные'!AJ404,BZ404)</f>
        <v/>
      </c>
      <c r="CB404" s="10">
        <f>BZ404-CA404</f>
        <v/>
      </c>
      <c r="CC404" s="10">
        <f>MIN('02_Данные'!AK404,CB404)</f>
        <v/>
      </c>
      <c r="CD404" s="10">
        <f>CB404-CC404</f>
        <v/>
      </c>
      <c r="CE404" s="10">
        <f>MIN('02_Данные'!AL404,CD404)</f>
        <v/>
      </c>
      <c r="CF404" s="10">
        <f>CD404-CE404</f>
        <v/>
      </c>
      <c r="CG404" s="10">
        <f>MIN('02_Данные'!AQ404,CF404)</f>
        <v/>
      </c>
      <c r="CH404" s="10">
        <f>CF404-CG404</f>
        <v/>
      </c>
      <c r="CI404" s="10">
        <f>MIN('02_Данные'!AN404,CH404)</f>
        <v/>
      </c>
      <c r="CJ404" s="10">
        <f>CH404-CI404</f>
        <v/>
      </c>
      <c r="CK404" s="10">
        <f>MIN('02_Данные'!AM404,CJ404)</f>
        <v/>
      </c>
      <c r="CL404" s="10">
        <f>CJ404-CK404</f>
        <v/>
      </c>
      <c r="CM404" s="10">
        <f>MIN('02_Данные'!AO404,CL404)</f>
        <v/>
      </c>
      <c r="CN404" s="10">
        <f>CL404-CM404</f>
        <v/>
      </c>
      <c r="CO404" s="10">
        <f>MIN('02_Данные'!AP404,CN404)</f>
        <v/>
      </c>
      <c r="CP404" s="10">
        <f>CN404-CO404</f>
        <v/>
      </c>
      <c r="CQ404" s="10">
        <f>CP404+'02_Данные'!K404</f>
        <v/>
      </c>
      <c r="CR404" s="10">
        <f>MIN('02_Данные'!AR404,CQ404)</f>
        <v/>
      </c>
      <c r="CS404" s="10">
        <f>CQ404-CR404</f>
        <v/>
      </c>
      <c r="CT404" s="10">
        <f>MIN('02_Данные'!AS404,CS404)</f>
        <v/>
      </c>
      <c r="CU404" s="10">
        <f>CS404-CT404</f>
        <v/>
      </c>
      <c r="CV404" s="10">
        <f>MIN('02_Данные'!AT404,CU404)</f>
        <v/>
      </c>
      <c r="CW404" s="10">
        <f>CU404-CV404</f>
        <v/>
      </c>
      <c r="CX404" s="10">
        <f>MIN('02_Данные'!AY404,CW404)</f>
        <v/>
      </c>
      <c r="CY404" s="10">
        <f>CW404-CX404</f>
        <v/>
      </c>
      <c r="CZ404" s="10">
        <f>MIN('02_Данные'!AV404,CY404)</f>
        <v/>
      </c>
      <c r="DA404" s="10">
        <f>CY404-CZ404</f>
        <v/>
      </c>
      <c r="DB404" s="10">
        <f>MIN('02_Данные'!AU404,DA404)</f>
        <v/>
      </c>
      <c r="DC404" s="10">
        <f>DA404-DB404</f>
        <v/>
      </c>
      <c r="DD404" s="10">
        <f>MIN('02_Данные'!AW404,DC404)</f>
        <v/>
      </c>
      <c r="DE404" s="10">
        <f>DC404-DD404</f>
        <v/>
      </c>
      <c r="DF404" s="10">
        <f>MIN('02_Данные'!AX404,DE404)</f>
        <v/>
      </c>
      <c r="DG404" s="10">
        <f>DE404-DF404</f>
        <v/>
      </c>
    </row>
    <row r="405">
      <c r="A405" s="9">
        <f>'02_Данные'!B405</f>
        <v/>
      </c>
      <c r="B405" s="9">
        <f>'02_Данные'!E405</f>
        <v/>
      </c>
      <c r="C405" s="10">
        <f>'02_Данные'!F405+'02_Данные'!G405+'02_Данные'!H405+'02_Данные'!I405+'02_Данные'!J405+'02_Данные'!K405</f>
        <v/>
      </c>
      <c r="D405" s="10">
        <f>SUM('02_Данные'!L405:'02_Данные'!AY405)</f>
        <v/>
      </c>
      <c r="E405" s="10">
        <f>MAX(0,D405-C405)</f>
        <v/>
      </c>
      <c r="F405" s="15">
        <f>IF(E405&gt;0.0001,"ДЕФИЦИТ",IF(Y405&gt;0.0001,"ПРОФИЦИТ","БАЛАНС"))</f>
        <v/>
      </c>
      <c r="G405" s="10">
        <f>AB405+AS405+BJ405+CA405+CR405</f>
        <v/>
      </c>
      <c r="H405" s="10">
        <f>AD405+AU405+BL405+CC405+CT405</f>
        <v/>
      </c>
      <c r="I405" s="10">
        <f>AF405+AW405+BN405+CE405+CV405</f>
        <v/>
      </c>
      <c r="J405" s="10">
        <f>AL405+BC405+BT405+CK405+DB405</f>
        <v/>
      </c>
      <c r="K405" s="10">
        <f>AJ405+BA405+BR405+CI405+CZ405</f>
        <v/>
      </c>
      <c r="L405" s="10">
        <f>AN405+BE405+BV405+CM405+DD405</f>
        <v/>
      </c>
      <c r="M405" s="10">
        <f>AP405+BG405+BX405+CO405+DF405</f>
        <v/>
      </c>
      <c r="N405" s="10">
        <f>AH405+AY405+BP405+CG405+CX405</f>
        <v/>
      </c>
      <c r="O405" s="10">
        <f>SUM(G405:N405)</f>
        <v/>
      </c>
      <c r="P405" s="10">
        <f>IFERROR(G405*MIN(1,'01_Нормативы'!$C$4/SUM(G$2:G$429)),0)</f>
        <v/>
      </c>
      <c r="Q405" s="10">
        <f>IFERROR(H405*MIN(1,'01_Нормативы'!$C$5/SUM(H$2:H$429)),0)</f>
        <v/>
      </c>
      <c r="R405" s="10">
        <f>IFERROR(I405*MIN(1,'01_Нормативы'!$C$6/SUM(I$2:I$429)),0)</f>
        <v/>
      </c>
      <c r="S405" s="10">
        <f>IFERROR(J405*MIN(1,'01_Нормативы'!$C$7/SUM(J$2:J$429)),0)</f>
        <v/>
      </c>
      <c r="T405" s="10">
        <f>IFERROR(K405*MIN(1,'01_Нормативы'!$C$8/SUM(K$2:K$429)),0)</f>
        <v/>
      </c>
      <c r="U405" s="10">
        <f>IFERROR(L405*MIN(1,'01_Нормативы'!$C$9/SUM(L$2:L$429)),0)</f>
        <v/>
      </c>
      <c r="V405" s="10">
        <f>IFERROR(M405*MIN(1,'01_Нормативы'!$C$10/SUM(M$2:M$429)),0)</f>
        <v/>
      </c>
      <c r="W405" s="10">
        <f>IFERROR(N405*MIN(1,'01_Нормативы'!$C$11/SUM(N$2:N$429)),0)</f>
        <v/>
      </c>
      <c r="X405" s="10">
        <f>SUM(P405:W405)</f>
        <v/>
      </c>
      <c r="Y405" s="10">
        <f>MAX(0,C405-X405)</f>
        <v/>
      </c>
      <c r="Z405" s="10">
        <f>IF(D405=0,100,X405/D405*100)</f>
        <v/>
      </c>
      <c r="AA405" s="10">
        <f>'02_Данные'!F405+'02_Данные'!G405</f>
        <v/>
      </c>
      <c r="AB405" s="10">
        <f>MIN('02_Данные'!L405,AA405)</f>
        <v/>
      </c>
      <c r="AC405" s="10">
        <f>AA405-AB405</f>
        <v/>
      </c>
      <c r="AD405" s="10">
        <f>MIN('02_Данные'!M405,AC405)</f>
        <v/>
      </c>
      <c r="AE405" s="10">
        <f>AC405-AD405</f>
        <v/>
      </c>
      <c r="AF405" s="10">
        <f>MIN('02_Данные'!N405,AE405)</f>
        <v/>
      </c>
      <c r="AG405" s="10">
        <f>AE405-AF405</f>
        <v/>
      </c>
      <c r="AH405" s="10">
        <f>MIN('02_Данные'!S405,AG405)</f>
        <v/>
      </c>
      <c r="AI405" s="10">
        <f>AG405-AH405</f>
        <v/>
      </c>
      <c r="AJ405" s="10">
        <f>MIN('02_Данные'!P405,AI405)</f>
        <v/>
      </c>
      <c r="AK405" s="10">
        <f>AI405-AJ405</f>
        <v/>
      </c>
      <c r="AL405" s="10">
        <f>MIN('02_Данные'!O405,AK405)</f>
        <v/>
      </c>
      <c r="AM405" s="10">
        <f>AK405-AL405</f>
        <v/>
      </c>
      <c r="AN405" s="10">
        <f>MIN('02_Данные'!Q405,AM405)</f>
        <v/>
      </c>
      <c r="AO405" s="10">
        <f>AM405-AN405</f>
        <v/>
      </c>
      <c r="AP405" s="10">
        <f>MIN('02_Данные'!R405,AO405)</f>
        <v/>
      </c>
      <c r="AQ405" s="10">
        <f>AO405-AP405</f>
        <v/>
      </c>
      <c r="AR405" s="10">
        <f>AQ405+'02_Данные'!H405</f>
        <v/>
      </c>
      <c r="AS405" s="10">
        <f>MIN('02_Данные'!T405,AR405)</f>
        <v/>
      </c>
      <c r="AT405" s="10">
        <f>AR405-AS405</f>
        <v/>
      </c>
      <c r="AU405" s="10">
        <f>MIN('02_Данные'!U405,AT405)</f>
        <v/>
      </c>
      <c r="AV405" s="10">
        <f>AT405-AU405</f>
        <v/>
      </c>
      <c r="AW405" s="10">
        <f>MIN('02_Данные'!V405,AV405)</f>
        <v/>
      </c>
      <c r="AX405" s="10">
        <f>AV405-AW405</f>
        <v/>
      </c>
      <c r="AY405" s="10">
        <f>MIN('02_Данные'!AA405,AX405)</f>
        <v/>
      </c>
      <c r="AZ405" s="10">
        <f>AX405-AY405</f>
        <v/>
      </c>
      <c r="BA405" s="10">
        <f>MIN('02_Данные'!X405,AZ405)</f>
        <v/>
      </c>
      <c r="BB405" s="10">
        <f>AZ405-BA405</f>
        <v/>
      </c>
      <c r="BC405" s="10">
        <f>MIN('02_Данные'!W405,BB405)</f>
        <v/>
      </c>
      <c r="BD405" s="10">
        <f>BB405-BC405</f>
        <v/>
      </c>
      <c r="BE405" s="10">
        <f>MIN('02_Данные'!Y405,BD405)</f>
        <v/>
      </c>
      <c r="BF405" s="10">
        <f>BD405-BE405</f>
        <v/>
      </c>
      <c r="BG405" s="10">
        <f>MIN('02_Данные'!Z405,BF405)</f>
        <v/>
      </c>
      <c r="BH405" s="10">
        <f>BF405-BG405</f>
        <v/>
      </c>
      <c r="BI405" s="10">
        <f>BH405+'02_Данные'!I405</f>
        <v/>
      </c>
      <c r="BJ405" s="10">
        <f>MIN('02_Данные'!AB405,BI405)</f>
        <v/>
      </c>
      <c r="BK405" s="10">
        <f>BI405-BJ405</f>
        <v/>
      </c>
      <c r="BL405" s="10">
        <f>MIN('02_Данные'!AC405,BK405)</f>
        <v/>
      </c>
      <c r="BM405" s="10">
        <f>BK405-BL405</f>
        <v/>
      </c>
      <c r="BN405" s="10">
        <f>MIN('02_Данные'!AD405,BM405)</f>
        <v/>
      </c>
      <c r="BO405" s="10">
        <f>BM405-BN405</f>
        <v/>
      </c>
      <c r="BP405" s="10">
        <f>MIN('02_Данные'!AI405,BO405)</f>
        <v/>
      </c>
      <c r="BQ405" s="10">
        <f>BO405-BP405</f>
        <v/>
      </c>
      <c r="BR405" s="10">
        <f>MIN('02_Данные'!AF405,BQ405)</f>
        <v/>
      </c>
      <c r="BS405" s="10">
        <f>BQ405-BR405</f>
        <v/>
      </c>
      <c r="BT405" s="10">
        <f>MIN('02_Данные'!AE405,BS405)</f>
        <v/>
      </c>
      <c r="BU405" s="10">
        <f>BS405-BT405</f>
        <v/>
      </c>
      <c r="BV405" s="10">
        <f>MIN('02_Данные'!AG405,BU405)</f>
        <v/>
      </c>
      <c r="BW405" s="10">
        <f>BU405-BV405</f>
        <v/>
      </c>
      <c r="BX405" s="10">
        <f>MIN('02_Данные'!AH405,BW405)</f>
        <v/>
      </c>
      <c r="BY405" s="10">
        <f>BW405-BX405</f>
        <v/>
      </c>
      <c r="BZ405" s="10">
        <f>BY405+'02_Данные'!J405</f>
        <v/>
      </c>
      <c r="CA405" s="10">
        <f>MIN('02_Данные'!AJ405,BZ405)</f>
        <v/>
      </c>
      <c r="CB405" s="10">
        <f>BZ405-CA405</f>
        <v/>
      </c>
      <c r="CC405" s="10">
        <f>MIN('02_Данные'!AK405,CB405)</f>
        <v/>
      </c>
      <c r="CD405" s="10">
        <f>CB405-CC405</f>
        <v/>
      </c>
      <c r="CE405" s="10">
        <f>MIN('02_Данные'!AL405,CD405)</f>
        <v/>
      </c>
      <c r="CF405" s="10">
        <f>CD405-CE405</f>
        <v/>
      </c>
      <c r="CG405" s="10">
        <f>MIN('02_Данные'!AQ405,CF405)</f>
        <v/>
      </c>
      <c r="CH405" s="10">
        <f>CF405-CG405</f>
        <v/>
      </c>
      <c r="CI405" s="10">
        <f>MIN('02_Данные'!AN405,CH405)</f>
        <v/>
      </c>
      <c r="CJ405" s="10">
        <f>CH405-CI405</f>
        <v/>
      </c>
      <c r="CK405" s="10">
        <f>MIN('02_Данные'!AM405,CJ405)</f>
        <v/>
      </c>
      <c r="CL405" s="10">
        <f>CJ405-CK405</f>
        <v/>
      </c>
      <c r="CM405" s="10">
        <f>MIN('02_Данные'!AO405,CL405)</f>
        <v/>
      </c>
      <c r="CN405" s="10">
        <f>CL405-CM405</f>
        <v/>
      </c>
      <c r="CO405" s="10">
        <f>MIN('02_Данные'!AP405,CN405)</f>
        <v/>
      </c>
      <c r="CP405" s="10">
        <f>CN405-CO405</f>
        <v/>
      </c>
      <c r="CQ405" s="10">
        <f>CP405+'02_Данные'!K405</f>
        <v/>
      </c>
      <c r="CR405" s="10">
        <f>MIN('02_Данные'!AR405,CQ405)</f>
        <v/>
      </c>
      <c r="CS405" s="10">
        <f>CQ405-CR405</f>
        <v/>
      </c>
      <c r="CT405" s="10">
        <f>MIN('02_Данные'!AS405,CS405)</f>
        <v/>
      </c>
      <c r="CU405" s="10">
        <f>CS405-CT405</f>
        <v/>
      </c>
      <c r="CV405" s="10">
        <f>MIN('02_Данные'!AT405,CU405)</f>
        <v/>
      </c>
      <c r="CW405" s="10">
        <f>CU405-CV405</f>
        <v/>
      </c>
      <c r="CX405" s="10">
        <f>MIN('02_Данные'!AY405,CW405)</f>
        <v/>
      </c>
      <c r="CY405" s="10">
        <f>CW405-CX405</f>
        <v/>
      </c>
      <c r="CZ405" s="10">
        <f>MIN('02_Данные'!AV405,CY405)</f>
        <v/>
      </c>
      <c r="DA405" s="10">
        <f>CY405-CZ405</f>
        <v/>
      </c>
      <c r="DB405" s="10">
        <f>MIN('02_Данные'!AU405,DA405)</f>
        <v/>
      </c>
      <c r="DC405" s="10">
        <f>DA405-DB405</f>
        <v/>
      </c>
      <c r="DD405" s="10">
        <f>MIN('02_Данные'!AW405,DC405)</f>
        <v/>
      </c>
      <c r="DE405" s="10">
        <f>DC405-DD405</f>
        <v/>
      </c>
      <c r="DF405" s="10">
        <f>MIN('02_Данные'!AX405,DE405)</f>
        <v/>
      </c>
      <c r="DG405" s="10">
        <f>DE405-DF405</f>
        <v/>
      </c>
    </row>
    <row r="406">
      <c r="A406" s="9">
        <f>'02_Данные'!B406</f>
        <v/>
      </c>
      <c r="B406" s="9">
        <f>'02_Данные'!E406</f>
        <v/>
      </c>
      <c r="C406" s="10">
        <f>'02_Данные'!F406+'02_Данные'!G406+'02_Данные'!H406+'02_Данные'!I406+'02_Данные'!J406+'02_Данные'!K406</f>
        <v/>
      </c>
      <c r="D406" s="10">
        <f>SUM('02_Данные'!L406:'02_Данные'!AY406)</f>
        <v/>
      </c>
      <c r="E406" s="10">
        <f>MAX(0,D406-C406)</f>
        <v/>
      </c>
      <c r="F406" s="15">
        <f>IF(E406&gt;0.0001,"ДЕФИЦИТ",IF(Y406&gt;0.0001,"ПРОФИЦИТ","БАЛАНС"))</f>
        <v/>
      </c>
      <c r="G406" s="10">
        <f>AB406+AS406+BJ406+CA406+CR406</f>
        <v/>
      </c>
      <c r="H406" s="10">
        <f>AD406+AU406+BL406+CC406+CT406</f>
        <v/>
      </c>
      <c r="I406" s="10">
        <f>AF406+AW406+BN406+CE406+CV406</f>
        <v/>
      </c>
      <c r="J406" s="10">
        <f>AL406+BC406+BT406+CK406+DB406</f>
        <v/>
      </c>
      <c r="K406" s="10">
        <f>AJ406+BA406+BR406+CI406+CZ406</f>
        <v/>
      </c>
      <c r="L406" s="10">
        <f>AN406+BE406+BV406+CM406+DD406</f>
        <v/>
      </c>
      <c r="M406" s="10">
        <f>AP406+BG406+BX406+CO406+DF406</f>
        <v/>
      </c>
      <c r="N406" s="10">
        <f>AH406+AY406+BP406+CG406+CX406</f>
        <v/>
      </c>
      <c r="O406" s="10">
        <f>SUM(G406:N406)</f>
        <v/>
      </c>
      <c r="P406" s="10">
        <f>IFERROR(G406*MIN(1,'01_Нормативы'!$C$4/SUM(G$2:G$429)),0)</f>
        <v/>
      </c>
      <c r="Q406" s="10">
        <f>IFERROR(H406*MIN(1,'01_Нормативы'!$C$5/SUM(H$2:H$429)),0)</f>
        <v/>
      </c>
      <c r="R406" s="10">
        <f>IFERROR(I406*MIN(1,'01_Нормативы'!$C$6/SUM(I$2:I$429)),0)</f>
        <v/>
      </c>
      <c r="S406" s="10">
        <f>IFERROR(J406*MIN(1,'01_Нормативы'!$C$7/SUM(J$2:J$429)),0)</f>
        <v/>
      </c>
      <c r="T406" s="10">
        <f>IFERROR(K406*MIN(1,'01_Нормативы'!$C$8/SUM(K$2:K$429)),0)</f>
        <v/>
      </c>
      <c r="U406" s="10">
        <f>IFERROR(L406*MIN(1,'01_Нормативы'!$C$9/SUM(L$2:L$429)),0)</f>
        <v/>
      </c>
      <c r="V406" s="10">
        <f>IFERROR(M406*MIN(1,'01_Нормативы'!$C$10/SUM(M$2:M$429)),0)</f>
        <v/>
      </c>
      <c r="W406" s="10">
        <f>IFERROR(N406*MIN(1,'01_Нормативы'!$C$11/SUM(N$2:N$429)),0)</f>
        <v/>
      </c>
      <c r="X406" s="10">
        <f>SUM(P406:W406)</f>
        <v/>
      </c>
      <c r="Y406" s="10">
        <f>MAX(0,C406-X406)</f>
        <v/>
      </c>
      <c r="Z406" s="10">
        <f>IF(D406=0,100,X406/D406*100)</f>
        <v/>
      </c>
      <c r="AA406" s="10">
        <f>'02_Данные'!F406+'02_Данные'!G406</f>
        <v/>
      </c>
      <c r="AB406" s="10">
        <f>MIN('02_Данные'!L406,AA406)</f>
        <v/>
      </c>
      <c r="AC406" s="10">
        <f>AA406-AB406</f>
        <v/>
      </c>
      <c r="AD406" s="10">
        <f>MIN('02_Данные'!M406,AC406)</f>
        <v/>
      </c>
      <c r="AE406" s="10">
        <f>AC406-AD406</f>
        <v/>
      </c>
      <c r="AF406" s="10">
        <f>MIN('02_Данные'!N406,AE406)</f>
        <v/>
      </c>
      <c r="AG406" s="10">
        <f>AE406-AF406</f>
        <v/>
      </c>
      <c r="AH406" s="10">
        <f>MIN('02_Данные'!S406,AG406)</f>
        <v/>
      </c>
      <c r="AI406" s="10">
        <f>AG406-AH406</f>
        <v/>
      </c>
      <c r="AJ406" s="10">
        <f>MIN('02_Данные'!P406,AI406)</f>
        <v/>
      </c>
      <c r="AK406" s="10">
        <f>AI406-AJ406</f>
        <v/>
      </c>
      <c r="AL406" s="10">
        <f>MIN('02_Данные'!O406,AK406)</f>
        <v/>
      </c>
      <c r="AM406" s="10">
        <f>AK406-AL406</f>
        <v/>
      </c>
      <c r="AN406" s="10">
        <f>MIN('02_Данные'!Q406,AM406)</f>
        <v/>
      </c>
      <c r="AO406" s="10">
        <f>AM406-AN406</f>
        <v/>
      </c>
      <c r="AP406" s="10">
        <f>MIN('02_Данные'!R406,AO406)</f>
        <v/>
      </c>
      <c r="AQ406" s="10">
        <f>AO406-AP406</f>
        <v/>
      </c>
      <c r="AR406" s="10">
        <f>AQ406+'02_Данные'!H406</f>
        <v/>
      </c>
      <c r="AS406" s="10">
        <f>MIN('02_Данные'!T406,AR406)</f>
        <v/>
      </c>
      <c r="AT406" s="10">
        <f>AR406-AS406</f>
        <v/>
      </c>
      <c r="AU406" s="10">
        <f>MIN('02_Данные'!U406,AT406)</f>
        <v/>
      </c>
      <c r="AV406" s="10">
        <f>AT406-AU406</f>
        <v/>
      </c>
      <c r="AW406" s="10">
        <f>MIN('02_Данные'!V406,AV406)</f>
        <v/>
      </c>
      <c r="AX406" s="10">
        <f>AV406-AW406</f>
        <v/>
      </c>
      <c r="AY406" s="10">
        <f>MIN('02_Данные'!AA406,AX406)</f>
        <v/>
      </c>
      <c r="AZ406" s="10">
        <f>AX406-AY406</f>
        <v/>
      </c>
      <c r="BA406" s="10">
        <f>MIN('02_Данные'!X406,AZ406)</f>
        <v/>
      </c>
      <c r="BB406" s="10">
        <f>AZ406-BA406</f>
        <v/>
      </c>
      <c r="BC406" s="10">
        <f>MIN('02_Данные'!W406,BB406)</f>
        <v/>
      </c>
      <c r="BD406" s="10">
        <f>BB406-BC406</f>
        <v/>
      </c>
      <c r="BE406" s="10">
        <f>MIN('02_Данные'!Y406,BD406)</f>
        <v/>
      </c>
      <c r="BF406" s="10">
        <f>BD406-BE406</f>
        <v/>
      </c>
      <c r="BG406" s="10">
        <f>MIN('02_Данные'!Z406,BF406)</f>
        <v/>
      </c>
      <c r="BH406" s="10">
        <f>BF406-BG406</f>
        <v/>
      </c>
      <c r="BI406" s="10">
        <f>BH406+'02_Данные'!I406</f>
        <v/>
      </c>
      <c r="BJ406" s="10">
        <f>MIN('02_Данные'!AB406,BI406)</f>
        <v/>
      </c>
      <c r="BK406" s="10">
        <f>BI406-BJ406</f>
        <v/>
      </c>
      <c r="BL406" s="10">
        <f>MIN('02_Данные'!AC406,BK406)</f>
        <v/>
      </c>
      <c r="BM406" s="10">
        <f>BK406-BL406</f>
        <v/>
      </c>
      <c r="BN406" s="10">
        <f>MIN('02_Данные'!AD406,BM406)</f>
        <v/>
      </c>
      <c r="BO406" s="10">
        <f>BM406-BN406</f>
        <v/>
      </c>
      <c r="BP406" s="10">
        <f>MIN('02_Данные'!AI406,BO406)</f>
        <v/>
      </c>
      <c r="BQ406" s="10">
        <f>BO406-BP406</f>
        <v/>
      </c>
      <c r="BR406" s="10">
        <f>MIN('02_Данные'!AF406,BQ406)</f>
        <v/>
      </c>
      <c r="BS406" s="10">
        <f>BQ406-BR406</f>
        <v/>
      </c>
      <c r="BT406" s="10">
        <f>MIN('02_Данные'!AE406,BS406)</f>
        <v/>
      </c>
      <c r="BU406" s="10">
        <f>BS406-BT406</f>
        <v/>
      </c>
      <c r="BV406" s="10">
        <f>MIN('02_Данные'!AG406,BU406)</f>
        <v/>
      </c>
      <c r="BW406" s="10">
        <f>BU406-BV406</f>
        <v/>
      </c>
      <c r="BX406" s="10">
        <f>MIN('02_Данные'!AH406,BW406)</f>
        <v/>
      </c>
      <c r="BY406" s="10">
        <f>BW406-BX406</f>
        <v/>
      </c>
      <c r="BZ406" s="10">
        <f>BY406+'02_Данные'!J406</f>
        <v/>
      </c>
      <c r="CA406" s="10">
        <f>MIN('02_Данные'!AJ406,BZ406)</f>
        <v/>
      </c>
      <c r="CB406" s="10">
        <f>BZ406-CA406</f>
        <v/>
      </c>
      <c r="CC406" s="10">
        <f>MIN('02_Данные'!AK406,CB406)</f>
        <v/>
      </c>
      <c r="CD406" s="10">
        <f>CB406-CC406</f>
        <v/>
      </c>
      <c r="CE406" s="10">
        <f>MIN('02_Данные'!AL406,CD406)</f>
        <v/>
      </c>
      <c r="CF406" s="10">
        <f>CD406-CE406</f>
        <v/>
      </c>
      <c r="CG406" s="10">
        <f>MIN('02_Данные'!AQ406,CF406)</f>
        <v/>
      </c>
      <c r="CH406" s="10">
        <f>CF406-CG406</f>
        <v/>
      </c>
      <c r="CI406" s="10">
        <f>MIN('02_Данные'!AN406,CH406)</f>
        <v/>
      </c>
      <c r="CJ406" s="10">
        <f>CH406-CI406</f>
        <v/>
      </c>
      <c r="CK406" s="10">
        <f>MIN('02_Данные'!AM406,CJ406)</f>
        <v/>
      </c>
      <c r="CL406" s="10">
        <f>CJ406-CK406</f>
        <v/>
      </c>
      <c r="CM406" s="10">
        <f>MIN('02_Данные'!AO406,CL406)</f>
        <v/>
      </c>
      <c r="CN406" s="10">
        <f>CL406-CM406</f>
        <v/>
      </c>
      <c r="CO406" s="10">
        <f>MIN('02_Данные'!AP406,CN406)</f>
        <v/>
      </c>
      <c r="CP406" s="10">
        <f>CN406-CO406</f>
        <v/>
      </c>
      <c r="CQ406" s="10">
        <f>CP406+'02_Данные'!K406</f>
        <v/>
      </c>
      <c r="CR406" s="10">
        <f>MIN('02_Данные'!AR406,CQ406)</f>
        <v/>
      </c>
      <c r="CS406" s="10">
        <f>CQ406-CR406</f>
        <v/>
      </c>
      <c r="CT406" s="10">
        <f>MIN('02_Данные'!AS406,CS406)</f>
        <v/>
      </c>
      <c r="CU406" s="10">
        <f>CS406-CT406</f>
        <v/>
      </c>
      <c r="CV406" s="10">
        <f>MIN('02_Данные'!AT406,CU406)</f>
        <v/>
      </c>
      <c r="CW406" s="10">
        <f>CU406-CV406</f>
        <v/>
      </c>
      <c r="CX406" s="10">
        <f>MIN('02_Данные'!AY406,CW406)</f>
        <v/>
      </c>
      <c r="CY406" s="10">
        <f>CW406-CX406</f>
        <v/>
      </c>
      <c r="CZ406" s="10">
        <f>MIN('02_Данные'!AV406,CY406)</f>
        <v/>
      </c>
      <c r="DA406" s="10">
        <f>CY406-CZ406</f>
        <v/>
      </c>
      <c r="DB406" s="10">
        <f>MIN('02_Данные'!AU406,DA406)</f>
        <v/>
      </c>
      <c r="DC406" s="10">
        <f>DA406-DB406</f>
        <v/>
      </c>
      <c r="DD406" s="10">
        <f>MIN('02_Данные'!AW406,DC406)</f>
        <v/>
      </c>
      <c r="DE406" s="10">
        <f>DC406-DD406</f>
        <v/>
      </c>
      <c r="DF406" s="10">
        <f>MIN('02_Данные'!AX406,DE406)</f>
        <v/>
      </c>
      <c r="DG406" s="10">
        <f>DE406-DF406</f>
        <v/>
      </c>
    </row>
    <row r="407">
      <c r="A407" s="9">
        <f>'02_Данные'!B407</f>
        <v/>
      </c>
      <c r="B407" s="9">
        <f>'02_Данные'!E407</f>
        <v/>
      </c>
      <c r="C407" s="10">
        <f>'02_Данные'!F407+'02_Данные'!G407+'02_Данные'!H407+'02_Данные'!I407+'02_Данные'!J407+'02_Данные'!K407</f>
        <v/>
      </c>
      <c r="D407" s="10">
        <f>SUM('02_Данные'!L407:'02_Данные'!AY407)</f>
        <v/>
      </c>
      <c r="E407" s="10">
        <f>MAX(0,D407-C407)</f>
        <v/>
      </c>
      <c r="F407" s="15">
        <f>IF(E407&gt;0.0001,"ДЕФИЦИТ",IF(Y407&gt;0.0001,"ПРОФИЦИТ","БАЛАНС"))</f>
        <v/>
      </c>
      <c r="G407" s="10">
        <f>AB407+AS407+BJ407+CA407+CR407</f>
        <v/>
      </c>
      <c r="H407" s="10">
        <f>AD407+AU407+BL407+CC407+CT407</f>
        <v/>
      </c>
      <c r="I407" s="10">
        <f>AF407+AW407+BN407+CE407+CV407</f>
        <v/>
      </c>
      <c r="J407" s="10">
        <f>AL407+BC407+BT407+CK407+DB407</f>
        <v/>
      </c>
      <c r="K407" s="10">
        <f>AJ407+BA407+BR407+CI407+CZ407</f>
        <v/>
      </c>
      <c r="L407" s="10">
        <f>AN407+BE407+BV407+CM407+DD407</f>
        <v/>
      </c>
      <c r="M407" s="10">
        <f>AP407+BG407+BX407+CO407+DF407</f>
        <v/>
      </c>
      <c r="N407" s="10">
        <f>AH407+AY407+BP407+CG407+CX407</f>
        <v/>
      </c>
      <c r="O407" s="10">
        <f>SUM(G407:N407)</f>
        <v/>
      </c>
      <c r="P407" s="10">
        <f>IFERROR(G407*MIN(1,'01_Нормативы'!$C$4/SUM(G$2:G$429)),0)</f>
        <v/>
      </c>
      <c r="Q407" s="10">
        <f>IFERROR(H407*MIN(1,'01_Нормативы'!$C$5/SUM(H$2:H$429)),0)</f>
        <v/>
      </c>
      <c r="R407" s="10">
        <f>IFERROR(I407*MIN(1,'01_Нормативы'!$C$6/SUM(I$2:I$429)),0)</f>
        <v/>
      </c>
      <c r="S407" s="10">
        <f>IFERROR(J407*MIN(1,'01_Нормативы'!$C$7/SUM(J$2:J$429)),0)</f>
        <v/>
      </c>
      <c r="T407" s="10">
        <f>IFERROR(K407*MIN(1,'01_Нормативы'!$C$8/SUM(K$2:K$429)),0)</f>
        <v/>
      </c>
      <c r="U407" s="10">
        <f>IFERROR(L407*MIN(1,'01_Нормативы'!$C$9/SUM(L$2:L$429)),0)</f>
        <v/>
      </c>
      <c r="V407" s="10">
        <f>IFERROR(M407*MIN(1,'01_Нормативы'!$C$10/SUM(M$2:M$429)),0)</f>
        <v/>
      </c>
      <c r="W407" s="10">
        <f>IFERROR(N407*MIN(1,'01_Нормативы'!$C$11/SUM(N$2:N$429)),0)</f>
        <v/>
      </c>
      <c r="X407" s="10">
        <f>SUM(P407:W407)</f>
        <v/>
      </c>
      <c r="Y407" s="10">
        <f>MAX(0,C407-X407)</f>
        <v/>
      </c>
      <c r="Z407" s="10">
        <f>IF(D407=0,100,X407/D407*100)</f>
        <v/>
      </c>
      <c r="AA407" s="10">
        <f>'02_Данные'!F407+'02_Данные'!G407</f>
        <v/>
      </c>
      <c r="AB407" s="10">
        <f>MIN('02_Данные'!L407,AA407)</f>
        <v/>
      </c>
      <c r="AC407" s="10">
        <f>AA407-AB407</f>
        <v/>
      </c>
      <c r="AD407" s="10">
        <f>MIN('02_Данные'!M407,AC407)</f>
        <v/>
      </c>
      <c r="AE407" s="10">
        <f>AC407-AD407</f>
        <v/>
      </c>
      <c r="AF407" s="10">
        <f>MIN('02_Данные'!N407,AE407)</f>
        <v/>
      </c>
      <c r="AG407" s="10">
        <f>AE407-AF407</f>
        <v/>
      </c>
      <c r="AH407" s="10">
        <f>MIN('02_Данные'!S407,AG407)</f>
        <v/>
      </c>
      <c r="AI407" s="10">
        <f>AG407-AH407</f>
        <v/>
      </c>
      <c r="AJ407" s="10">
        <f>MIN('02_Данные'!P407,AI407)</f>
        <v/>
      </c>
      <c r="AK407" s="10">
        <f>AI407-AJ407</f>
        <v/>
      </c>
      <c r="AL407" s="10">
        <f>MIN('02_Данные'!O407,AK407)</f>
        <v/>
      </c>
      <c r="AM407" s="10">
        <f>AK407-AL407</f>
        <v/>
      </c>
      <c r="AN407" s="10">
        <f>MIN('02_Данные'!Q407,AM407)</f>
        <v/>
      </c>
      <c r="AO407" s="10">
        <f>AM407-AN407</f>
        <v/>
      </c>
      <c r="AP407" s="10">
        <f>MIN('02_Данные'!R407,AO407)</f>
        <v/>
      </c>
      <c r="AQ407" s="10">
        <f>AO407-AP407</f>
        <v/>
      </c>
      <c r="AR407" s="10">
        <f>AQ407+'02_Данные'!H407</f>
        <v/>
      </c>
      <c r="AS407" s="10">
        <f>MIN('02_Данные'!T407,AR407)</f>
        <v/>
      </c>
      <c r="AT407" s="10">
        <f>AR407-AS407</f>
        <v/>
      </c>
      <c r="AU407" s="10">
        <f>MIN('02_Данные'!U407,AT407)</f>
        <v/>
      </c>
      <c r="AV407" s="10">
        <f>AT407-AU407</f>
        <v/>
      </c>
      <c r="AW407" s="10">
        <f>MIN('02_Данные'!V407,AV407)</f>
        <v/>
      </c>
      <c r="AX407" s="10">
        <f>AV407-AW407</f>
        <v/>
      </c>
      <c r="AY407" s="10">
        <f>MIN('02_Данные'!AA407,AX407)</f>
        <v/>
      </c>
      <c r="AZ407" s="10">
        <f>AX407-AY407</f>
        <v/>
      </c>
      <c r="BA407" s="10">
        <f>MIN('02_Данные'!X407,AZ407)</f>
        <v/>
      </c>
      <c r="BB407" s="10">
        <f>AZ407-BA407</f>
        <v/>
      </c>
      <c r="BC407" s="10">
        <f>MIN('02_Данные'!W407,BB407)</f>
        <v/>
      </c>
      <c r="BD407" s="10">
        <f>BB407-BC407</f>
        <v/>
      </c>
      <c r="BE407" s="10">
        <f>MIN('02_Данные'!Y407,BD407)</f>
        <v/>
      </c>
      <c r="BF407" s="10">
        <f>BD407-BE407</f>
        <v/>
      </c>
      <c r="BG407" s="10">
        <f>MIN('02_Данные'!Z407,BF407)</f>
        <v/>
      </c>
      <c r="BH407" s="10">
        <f>BF407-BG407</f>
        <v/>
      </c>
      <c r="BI407" s="10">
        <f>BH407+'02_Данные'!I407</f>
        <v/>
      </c>
      <c r="BJ407" s="10">
        <f>MIN('02_Данные'!AB407,BI407)</f>
        <v/>
      </c>
      <c r="BK407" s="10">
        <f>BI407-BJ407</f>
        <v/>
      </c>
      <c r="BL407" s="10">
        <f>MIN('02_Данные'!AC407,BK407)</f>
        <v/>
      </c>
      <c r="BM407" s="10">
        <f>BK407-BL407</f>
        <v/>
      </c>
      <c r="BN407" s="10">
        <f>MIN('02_Данные'!AD407,BM407)</f>
        <v/>
      </c>
      <c r="BO407" s="10">
        <f>BM407-BN407</f>
        <v/>
      </c>
      <c r="BP407" s="10">
        <f>MIN('02_Данные'!AI407,BO407)</f>
        <v/>
      </c>
      <c r="BQ407" s="10">
        <f>BO407-BP407</f>
        <v/>
      </c>
      <c r="BR407" s="10">
        <f>MIN('02_Данные'!AF407,BQ407)</f>
        <v/>
      </c>
      <c r="BS407" s="10">
        <f>BQ407-BR407</f>
        <v/>
      </c>
      <c r="BT407" s="10">
        <f>MIN('02_Данные'!AE407,BS407)</f>
        <v/>
      </c>
      <c r="BU407" s="10">
        <f>BS407-BT407</f>
        <v/>
      </c>
      <c r="BV407" s="10">
        <f>MIN('02_Данные'!AG407,BU407)</f>
        <v/>
      </c>
      <c r="BW407" s="10">
        <f>BU407-BV407</f>
        <v/>
      </c>
      <c r="BX407" s="10">
        <f>MIN('02_Данные'!AH407,BW407)</f>
        <v/>
      </c>
      <c r="BY407" s="10">
        <f>BW407-BX407</f>
        <v/>
      </c>
      <c r="BZ407" s="10">
        <f>BY407+'02_Данные'!J407</f>
        <v/>
      </c>
      <c r="CA407" s="10">
        <f>MIN('02_Данные'!AJ407,BZ407)</f>
        <v/>
      </c>
      <c r="CB407" s="10">
        <f>BZ407-CA407</f>
        <v/>
      </c>
      <c r="CC407" s="10">
        <f>MIN('02_Данные'!AK407,CB407)</f>
        <v/>
      </c>
      <c r="CD407" s="10">
        <f>CB407-CC407</f>
        <v/>
      </c>
      <c r="CE407" s="10">
        <f>MIN('02_Данные'!AL407,CD407)</f>
        <v/>
      </c>
      <c r="CF407" s="10">
        <f>CD407-CE407</f>
        <v/>
      </c>
      <c r="CG407" s="10">
        <f>MIN('02_Данные'!AQ407,CF407)</f>
        <v/>
      </c>
      <c r="CH407" s="10">
        <f>CF407-CG407</f>
        <v/>
      </c>
      <c r="CI407" s="10">
        <f>MIN('02_Данные'!AN407,CH407)</f>
        <v/>
      </c>
      <c r="CJ407" s="10">
        <f>CH407-CI407</f>
        <v/>
      </c>
      <c r="CK407" s="10">
        <f>MIN('02_Данные'!AM407,CJ407)</f>
        <v/>
      </c>
      <c r="CL407" s="10">
        <f>CJ407-CK407</f>
        <v/>
      </c>
      <c r="CM407" s="10">
        <f>MIN('02_Данные'!AO407,CL407)</f>
        <v/>
      </c>
      <c r="CN407" s="10">
        <f>CL407-CM407</f>
        <v/>
      </c>
      <c r="CO407" s="10">
        <f>MIN('02_Данные'!AP407,CN407)</f>
        <v/>
      </c>
      <c r="CP407" s="10">
        <f>CN407-CO407</f>
        <v/>
      </c>
      <c r="CQ407" s="10">
        <f>CP407+'02_Данные'!K407</f>
        <v/>
      </c>
      <c r="CR407" s="10">
        <f>MIN('02_Данные'!AR407,CQ407)</f>
        <v/>
      </c>
      <c r="CS407" s="10">
        <f>CQ407-CR407</f>
        <v/>
      </c>
      <c r="CT407" s="10">
        <f>MIN('02_Данные'!AS407,CS407)</f>
        <v/>
      </c>
      <c r="CU407" s="10">
        <f>CS407-CT407</f>
        <v/>
      </c>
      <c r="CV407" s="10">
        <f>MIN('02_Данные'!AT407,CU407)</f>
        <v/>
      </c>
      <c r="CW407" s="10">
        <f>CU407-CV407</f>
        <v/>
      </c>
      <c r="CX407" s="10">
        <f>MIN('02_Данные'!AY407,CW407)</f>
        <v/>
      </c>
      <c r="CY407" s="10">
        <f>CW407-CX407</f>
        <v/>
      </c>
      <c r="CZ407" s="10">
        <f>MIN('02_Данные'!AV407,CY407)</f>
        <v/>
      </c>
      <c r="DA407" s="10">
        <f>CY407-CZ407</f>
        <v/>
      </c>
      <c r="DB407" s="10">
        <f>MIN('02_Данные'!AU407,DA407)</f>
        <v/>
      </c>
      <c r="DC407" s="10">
        <f>DA407-DB407</f>
        <v/>
      </c>
      <c r="DD407" s="10">
        <f>MIN('02_Данные'!AW407,DC407)</f>
        <v/>
      </c>
      <c r="DE407" s="10">
        <f>DC407-DD407</f>
        <v/>
      </c>
      <c r="DF407" s="10">
        <f>MIN('02_Данные'!AX407,DE407)</f>
        <v/>
      </c>
      <c r="DG407" s="10">
        <f>DE407-DF407</f>
        <v/>
      </c>
    </row>
    <row r="408">
      <c r="A408" s="9">
        <f>'02_Данные'!B408</f>
        <v/>
      </c>
      <c r="B408" s="9">
        <f>'02_Данные'!E408</f>
        <v/>
      </c>
      <c r="C408" s="10">
        <f>'02_Данные'!F408+'02_Данные'!G408+'02_Данные'!H408+'02_Данные'!I408+'02_Данные'!J408+'02_Данные'!K408</f>
        <v/>
      </c>
      <c r="D408" s="10">
        <f>SUM('02_Данные'!L408:'02_Данные'!AY408)</f>
        <v/>
      </c>
      <c r="E408" s="10">
        <f>MAX(0,D408-C408)</f>
        <v/>
      </c>
      <c r="F408" s="15">
        <f>IF(E408&gt;0.0001,"ДЕФИЦИТ",IF(Y408&gt;0.0001,"ПРОФИЦИТ","БАЛАНС"))</f>
        <v/>
      </c>
      <c r="G408" s="10">
        <f>AB408+AS408+BJ408+CA408+CR408</f>
        <v/>
      </c>
      <c r="H408" s="10">
        <f>AD408+AU408+BL408+CC408+CT408</f>
        <v/>
      </c>
      <c r="I408" s="10">
        <f>AF408+AW408+BN408+CE408+CV408</f>
        <v/>
      </c>
      <c r="J408" s="10">
        <f>AL408+BC408+BT408+CK408+DB408</f>
        <v/>
      </c>
      <c r="K408" s="10">
        <f>AJ408+BA408+BR408+CI408+CZ408</f>
        <v/>
      </c>
      <c r="L408" s="10">
        <f>AN408+BE408+BV408+CM408+DD408</f>
        <v/>
      </c>
      <c r="M408" s="10">
        <f>AP408+BG408+BX408+CO408+DF408</f>
        <v/>
      </c>
      <c r="N408" s="10">
        <f>AH408+AY408+BP408+CG408+CX408</f>
        <v/>
      </c>
      <c r="O408" s="10">
        <f>SUM(G408:N408)</f>
        <v/>
      </c>
      <c r="P408" s="10">
        <f>IFERROR(G408*MIN(1,'01_Нормативы'!$C$4/SUM(G$2:G$429)),0)</f>
        <v/>
      </c>
      <c r="Q408" s="10">
        <f>IFERROR(H408*MIN(1,'01_Нормативы'!$C$5/SUM(H$2:H$429)),0)</f>
        <v/>
      </c>
      <c r="R408" s="10">
        <f>IFERROR(I408*MIN(1,'01_Нормативы'!$C$6/SUM(I$2:I$429)),0)</f>
        <v/>
      </c>
      <c r="S408" s="10">
        <f>IFERROR(J408*MIN(1,'01_Нормативы'!$C$7/SUM(J$2:J$429)),0)</f>
        <v/>
      </c>
      <c r="T408" s="10">
        <f>IFERROR(K408*MIN(1,'01_Нормативы'!$C$8/SUM(K$2:K$429)),0)</f>
        <v/>
      </c>
      <c r="U408" s="10">
        <f>IFERROR(L408*MIN(1,'01_Нормативы'!$C$9/SUM(L$2:L$429)),0)</f>
        <v/>
      </c>
      <c r="V408" s="10">
        <f>IFERROR(M408*MIN(1,'01_Нормативы'!$C$10/SUM(M$2:M$429)),0)</f>
        <v/>
      </c>
      <c r="W408" s="10">
        <f>IFERROR(N408*MIN(1,'01_Нормативы'!$C$11/SUM(N$2:N$429)),0)</f>
        <v/>
      </c>
      <c r="X408" s="10">
        <f>SUM(P408:W408)</f>
        <v/>
      </c>
      <c r="Y408" s="10">
        <f>MAX(0,C408-X408)</f>
        <v/>
      </c>
      <c r="Z408" s="10">
        <f>IF(D408=0,100,X408/D408*100)</f>
        <v/>
      </c>
      <c r="AA408" s="10">
        <f>'02_Данные'!F408+'02_Данные'!G408</f>
        <v/>
      </c>
      <c r="AB408" s="10">
        <f>MIN('02_Данные'!L408,AA408)</f>
        <v/>
      </c>
      <c r="AC408" s="10">
        <f>AA408-AB408</f>
        <v/>
      </c>
      <c r="AD408" s="10">
        <f>MIN('02_Данные'!M408,AC408)</f>
        <v/>
      </c>
      <c r="AE408" s="10">
        <f>AC408-AD408</f>
        <v/>
      </c>
      <c r="AF408" s="10">
        <f>MIN('02_Данные'!N408,AE408)</f>
        <v/>
      </c>
      <c r="AG408" s="10">
        <f>AE408-AF408</f>
        <v/>
      </c>
      <c r="AH408" s="10">
        <f>MIN('02_Данные'!S408,AG408)</f>
        <v/>
      </c>
      <c r="AI408" s="10">
        <f>AG408-AH408</f>
        <v/>
      </c>
      <c r="AJ408" s="10">
        <f>MIN('02_Данные'!P408,AI408)</f>
        <v/>
      </c>
      <c r="AK408" s="10">
        <f>AI408-AJ408</f>
        <v/>
      </c>
      <c r="AL408" s="10">
        <f>MIN('02_Данные'!O408,AK408)</f>
        <v/>
      </c>
      <c r="AM408" s="10">
        <f>AK408-AL408</f>
        <v/>
      </c>
      <c r="AN408" s="10">
        <f>MIN('02_Данные'!Q408,AM408)</f>
        <v/>
      </c>
      <c r="AO408" s="10">
        <f>AM408-AN408</f>
        <v/>
      </c>
      <c r="AP408" s="10">
        <f>MIN('02_Данные'!R408,AO408)</f>
        <v/>
      </c>
      <c r="AQ408" s="10">
        <f>AO408-AP408</f>
        <v/>
      </c>
      <c r="AR408" s="10">
        <f>AQ408+'02_Данные'!H408</f>
        <v/>
      </c>
      <c r="AS408" s="10">
        <f>MIN('02_Данные'!T408,AR408)</f>
        <v/>
      </c>
      <c r="AT408" s="10">
        <f>AR408-AS408</f>
        <v/>
      </c>
      <c r="AU408" s="10">
        <f>MIN('02_Данные'!U408,AT408)</f>
        <v/>
      </c>
      <c r="AV408" s="10">
        <f>AT408-AU408</f>
        <v/>
      </c>
      <c r="AW408" s="10">
        <f>MIN('02_Данные'!V408,AV408)</f>
        <v/>
      </c>
      <c r="AX408" s="10">
        <f>AV408-AW408</f>
        <v/>
      </c>
      <c r="AY408" s="10">
        <f>MIN('02_Данные'!AA408,AX408)</f>
        <v/>
      </c>
      <c r="AZ408" s="10">
        <f>AX408-AY408</f>
        <v/>
      </c>
      <c r="BA408" s="10">
        <f>MIN('02_Данные'!X408,AZ408)</f>
        <v/>
      </c>
      <c r="BB408" s="10">
        <f>AZ408-BA408</f>
        <v/>
      </c>
      <c r="BC408" s="10">
        <f>MIN('02_Данные'!W408,BB408)</f>
        <v/>
      </c>
      <c r="BD408" s="10">
        <f>BB408-BC408</f>
        <v/>
      </c>
      <c r="BE408" s="10">
        <f>MIN('02_Данные'!Y408,BD408)</f>
        <v/>
      </c>
      <c r="BF408" s="10">
        <f>BD408-BE408</f>
        <v/>
      </c>
      <c r="BG408" s="10">
        <f>MIN('02_Данные'!Z408,BF408)</f>
        <v/>
      </c>
      <c r="BH408" s="10">
        <f>BF408-BG408</f>
        <v/>
      </c>
      <c r="BI408" s="10">
        <f>BH408+'02_Данные'!I408</f>
        <v/>
      </c>
      <c r="BJ408" s="10">
        <f>MIN('02_Данные'!AB408,BI408)</f>
        <v/>
      </c>
      <c r="BK408" s="10">
        <f>BI408-BJ408</f>
        <v/>
      </c>
      <c r="BL408" s="10">
        <f>MIN('02_Данные'!AC408,BK408)</f>
        <v/>
      </c>
      <c r="BM408" s="10">
        <f>BK408-BL408</f>
        <v/>
      </c>
      <c r="BN408" s="10">
        <f>MIN('02_Данные'!AD408,BM408)</f>
        <v/>
      </c>
      <c r="BO408" s="10">
        <f>BM408-BN408</f>
        <v/>
      </c>
      <c r="BP408" s="10">
        <f>MIN('02_Данные'!AI408,BO408)</f>
        <v/>
      </c>
      <c r="BQ408" s="10">
        <f>BO408-BP408</f>
        <v/>
      </c>
      <c r="BR408" s="10">
        <f>MIN('02_Данные'!AF408,BQ408)</f>
        <v/>
      </c>
      <c r="BS408" s="10">
        <f>BQ408-BR408</f>
        <v/>
      </c>
      <c r="BT408" s="10">
        <f>MIN('02_Данные'!AE408,BS408)</f>
        <v/>
      </c>
      <c r="BU408" s="10">
        <f>BS408-BT408</f>
        <v/>
      </c>
      <c r="BV408" s="10">
        <f>MIN('02_Данные'!AG408,BU408)</f>
        <v/>
      </c>
      <c r="BW408" s="10">
        <f>BU408-BV408</f>
        <v/>
      </c>
      <c r="BX408" s="10">
        <f>MIN('02_Данные'!AH408,BW408)</f>
        <v/>
      </c>
      <c r="BY408" s="10">
        <f>BW408-BX408</f>
        <v/>
      </c>
      <c r="BZ408" s="10">
        <f>BY408+'02_Данные'!J408</f>
        <v/>
      </c>
      <c r="CA408" s="10">
        <f>MIN('02_Данные'!AJ408,BZ408)</f>
        <v/>
      </c>
      <c r="CB408" s="10">
        <f>BZ408-CA408</f>
        <v/>
      </c>
      <c r="CC408" s="10">
        <f>MIN('02_Данные'!AK408,CB408)</f>
        <v/>
      </c>
      <c r="CD408" s="10">
        <f>CB408-CC408</f>
        <v/>
      </c>
      <c r="CE408" s="10">
        <f>MIN('02_Данные'!AL408,CD408)</f>
        <v/>
      </c>
      <c r="CF408" s="10">
        <f>CD408-CE408</f>
        <v/>
      </c>
      <c r="CG408" s="10">
        <f>MIN('02_Данные'!AQ408,CF408)</f>
        <v/>
      </c>
      <c r="CH408" s="10">
        <f>CF408-CG408</f>
        <v/>
      </c>
      <c r="CI408" s="10">
        <f>MIN('02_Данные'!AN408,CH408)</f>
        <v/>
      </c>
      <c r="CJ408" s="10">
        <f>CH408-CI408</f>
        <v/>
      </c>
      <c r="CK408" s="10">
        <f>MIN('02_Данные'!AM408,CJ408)</f>
        <v/>
      </c>
      <c r="CL408" s="10">
        <f>CJ408-CK408</f>
        <v/>
      </c>
      <c r="CM408" s="10">
        <f>MIN('02_Данные'!AO408,CL408)</f>
        <v/>
      </c>
      <c r="CN408" s="10">
        <f>CL408-CM408</f>
        <v/>
      </c>
      <c r="CO408" s="10">
        <f>MIN('02_Данные'!AP408,CN408)</f>
        <v/>
      </c>
      <c r="CP408" s="10">
        <f>CN408-CO408</f>
        <v/>
      </c>
      <c r="CQ408" s="10">
        <f>CP408+'02_Данные'!K408</f>
        <v/>
      </c>
      <c r="CR408" s="10">
        <f>MIN('02_Данные'!AR408,CQ408)</f>
        <v/>
      </c>
      <c r="CS408" s="10">
        <f>CQ408-CR408</f>
        <v/>
      </c>
      <c r="CT408" s="10">
        <f>MIN('02_Данные'!AS408,CS408)</f>
        <v/>
      </c>
      <c r="CU408" s="10">
        <f>CS408-CT408</f>
        <v/>
      </c>
      <c r="CV408" s="10">
        <f>MIN('02_Данные'!AT408,CU408)</f>
        <v/>
      </c>
      <c r="CW408" s="10">
        <f>CU408-CV408</f>
        <v/>
      </c>
      <c r="CX408" s="10">
        <f>MIN('02_Данные'!AY408,CW408)</f>
        <v/>
      </c>
      <c r="CY408" s="10">
        <f>CW408-CX408</f>
        <v/>
      </c>
      <c r="CZ408" s="10">
        <f>MIN('02_Данные'!AV408,CY408)</f>
        <v/>
      </c>
      <c r="DA408" s="10">
        <f>CY408-CZ408</f>
        <v/>
      </c>
      <c r="DB408" s="10">
        <f>MIN('02_Данные'!AU408,DA408)</f>
        <v/>
      </c>
      <c r="DC408" s="10">
        <f>DA408-DB408</f>
        <v/>
      </c>
      <c r="DD408" s="10">
        <f>MIN('02_Данные'!AW408,DC408)</f>
        <v/>
      </c>
      <c r="DE408" s="10">
        <f>DC408-DD408</f>
        <v/>
      </c>
      <c r="DF408" s="10">
        <f>MIN('02_Данные'!AX408,DE408)</f>
        <v/>
      </c>
      <c r="DG408" s="10">
        <f>DE408-DF408</f>
        <v/>
      </c>
    </row>
    <row r="409">
      <c r="A409" s="9">
        <f>'02_Данные'!B409</f>
        <v/>
      </c>
      <c r="B409" s="9">
        <f>'02_Данные'!E409</f>
        <v/>
      </c>
      <c r="C409" s="10">
        <f>'02_Данные'!F409+'02_Данные'!G409+'02_Данные'!H409+'02_Данные'!I409+'02_Данные'!J409+'02_Данные'!K409</f>
        <v/>
      </c>
      <c r="D409" s="10">
        <f>SUM('02_Данные'!L409:'02_Данные'!AY409)</f>
        <v/>
      </c>
      <c r="E409" s="10">
        <f>MAX(0,D409-C409)</f>
        <v/>
      </c>
      <c r="F409" s="15">
        <f>IF(E409&gt;0.0001,"ДЕФИЦИТ",IF(Y409&gt;0.0001,"ПРОФИЦИТ","БАЛАНС"))</f>
        <v/>
      </c>
      <c r="G409" s="10">
        <f>AB409+AS409+BJ409+CA409+CR409</f>
        <v/>
      </c>
      <c r="H409" s="10">
        <f>AD409+AU409+BL409+CC409+CT409</f>
        <v/>
      </c>
      <c r="I409" s="10">
        <f>AF409+AW409+BN409+CE409+CV409</f>
        <v/>
      </c>
      <c r="J409" s="10">
        <f>AL409+BC409+BT409+CK409+DB409</f>
        <v/>
      </c>
      <c r="K409" s="10">
        <f>AJ409+BA409+BR409+CI409+CZ409</f>
        <v/>
      </c>
      <c r="L409" s="10">
        <f>AN409+BE409+BV409+CM409+DD409</f>
        <v/>
      </c>
      <c r="M409" s="10">
        <f>AP409+BG409+BX409+CO409+DF409</f>
        <v/>
      </c>
      <c r="N409" s="10">
        <f>AH409+AY409+BP409+CG409+CX409</f>
        <v/>
      </c>
      <c r="O409" s="10">
        <f>SUM(G409:N409)</f>
        <v/>
      </c>
      <c r="P409" s="10">
        <f>IFERROR(G409*MIN(1,'01_Нормативы'!$C$4/SUM(G$2:G$429)),0)</f>
        <v/>
      </c>
      <c r="Q409" s="10">
        <f>IFERROR(H409*MIN(1,'01_Нормативы'!$C$5/SUM(H$2:H$429)),0)</f>
        <v/>
      </c>
      <c r="R409" s="10">
        <f>IFERROR(I409*MIN(1,'01_Нормативы'!$C$6/SUM(I$2:I$429)),0)</f>
        <v/>
      </c>
      <c r="S409" s="10">
        <f>IFERROR(J409*MIN(1,'01_Нормативы'!$C$7/SUM(J$2:J$429)),0)</f>
        <v/>
      </c>
      <c r="T409" s="10">
        <f>IFERROR(K409*MIN(1,'01_Нормативы'!$C$8/SUM(K$2:K$429)),0)</f>
        <v/>
      </c>
      <c r="U409" s="10">
        <f>IFERROR(L409*MIN(1,'01_Нормативы'!$C$9/SUM(L$2:L$429)),0)</f>
        <v/>
      </c>
      <c r="V409" s="10">
        <f>IFERROR(M409*MIN(1,'01_Нормативы'!$C$10/SUM(M$2:M$429)),0)</f>
        <v/>
      </c>
      <c r="W409" s="10">
        <f>IFERROR(N409*MIN(1,'01_Нормативы'!$C$11/SUM(N$2:N$429)),0)</f>
        <v/>
      </c>
      <c r="X409" s="10">
        <f>SUM(P409:W409)</f>
        <v/>
      </c>
      <c r="Y409" s="10">
        <f>MAX(0,C409-X409)</f>
        <v/>
      </c>
      <c r="Z409" s="10">
        <f>IF(D409=0,100,X409/D409*100)</f>
        <v/>
      </c>
      <c r="AA409" s="10">
        <f>'02_Данные'!F409+'02_Данные'!G409</f>
        <v/>
      </c>
      <c r="AB409" s="10">
        <f>MIN('02_Данные'!L409,AA409)</f>
        <v/>
      </c>
      <c r="AC409" s="10">
        <f>AA409-AB409</f>
        <v/>
      </c>
      <c r="AD409" s="10">
        <f>MIN('02_Данные'!M409,AC409)</f>
        <v/>
      </c>
      <c r="AE409" s="10">
        <f>AC409-AD409</f>
        <v/>
      </c>
      <c r="AF409" s="10">
        <f>MIN('02_Данные'!N409,AE409)</f>
        <v/>
      </c>
      <c r="AG409" s="10">
        <f>AE409-AF409</f>
        <v/>
      </c>
      <c r="AH409" s="10">
        <f>MIN('02_Данные'!S409,AG409)</f>
        <v/>
      </c>
      <c r="AI409" s="10">
        <f>AG409-AH409</f>
        <v/>
      </c>
      <c r="AJ409" s="10">
        <f>MIN('02_Данные'!P409,AI409)</f>
        <v/>
      </c>
      <c r="AK409" s="10">
        <f>AI409-AJ409</f>
        <v/>
      </c>
      <c r="AL409" s="10">
        <f>MIN('02_Данные'!O409,AK409)</f>
        <v/>
      </c>
      <c r="AM409" s="10">
        <f>AK409-AL409</f>
        <v/>
      </c>
      <c r="AN409" s="10">
        <f>MIN('02_Данные'!Q409,AM409)</f>
        <v/>
      </c>
      <c r="AO409" s="10">
        <f>AM409-AN409</f>
        <v/>
      </c>
      <c r="AP409" s="10">
        <f>MIN('02_Данные'!R409,AO409)</f>
        <v/>
      </c>
      <c r="AQ409" s="10">
        <f>AO409-AP409</f>
        <v/>
      </c>
      <c r="AR409" s="10">
        <f>AQ409+'02_Данные'!H409</f>
        <v/>
      </c>
      <c r="AS409" s="10">
        <f>MIN('02_Данные'!T409,AR409)</f>
        <v/>
      </c>
      <c r="AT409" s="10">
        <f>AR409-AS409</f>
        <v/>
      </c>
      <c r="AU409" s="10">
        <f>MIN('02_Данные'!U409,AT409)</f>
        <v/>
      </c>
      <c r="AV409" s="10">
        <f>AT409-AU409</f>
        <v/>
      </c>
      <c r="AW409" s="10">
        <f>MIN('02_Данные'!V409,AV409)</f>
        <v/>
      </c>
      <c r="AX409" s="10">
        <f>AV409-AW409</f>
        <v/>
      </c>
      <c r="AY409" s="10">
        <f>MIN('02_Данные'!AA409,AX409)</f>
        <v/>
      </c>
      <c r="AZ409" s="10">
        <f>AX409-AY409</f>
        <v/>
      </c>
      <c r="BA409" s="10">
        <f>MIN('02_Данные'!X409,AZ409)</f>
        <v/>
      </c>
      <c r="BB409" s="10">
        <f>AZ409-BA409</f>
        <v/>
      </c>
      <c r="BC409" s="10">
        <f>MIN('02_Данные'!W409,BB409)</f>
        <v/>
      </c>
      <c r="BD409" s="10">
        <f>BB409-BC409</f>
        <v/>
      </c>
      <c r="BE409" s="10">
        <f>MIN('02_Данные'!Y409,BD409)</f>
        <v/>
      </c>
      <c r="BF409" s="10">
        <f>BD409-BE409</f>
        <v/>
      </c>
      <c r="BG409" s="10">
        <f>MIN('02_Данные'!Z409,BF409)</f>
        <v/>
      </c>
      <c r="BH409" s="10">
        <f>BF409-BG409</f>
        <v/>
      </c>
      <c r="BI409" s="10">
        <f>BH409+'02_Данные'!I409</f>
        <v/>
      </c>
      <c r="BJ409" s="10">
        <f>MIN('02_Данные'!AB409,BI409)</f>
        <v/>
      </c>
      <c r="BK409" s="10">
        <f>BI409-BJ409</f>
        <v/>
      </c>
      <c r="BL409" s="10">
        <f>MIN('02_Данные'!AC409,BK409)</f>
        <v/>
      </c>
      <c r="BM409" s="10">
        <f>BK409-BL409</f>
        <v/>
      </c>
      <c r="BN409" s="10">
        <f>MIN('02_Данные'!AD409,BM409)</f>
        <v/>
      </c>
      <c r="BO409" s="10">
        <f>BM409-BN409</f>
        <v/>
      </c>
      <c r="BP409" s="10">
        <f>MIN('02_Данные'!AI409,BO409)</f>
        <v/>
      </c>
      <c r="BQ409" s="10">
        <f>BO409-BP409</f>
        <v/>
      </c>
      <c r="BR409" s="10">
        <f>MIN('02_Данные'!AF409,BQ409)</f>
        <v/>
      </c>
      <c r="BS409" s="10">
        <f>BQ409-BR409</f>
        <v/>
      </c>
      <c r="BT409" s="10">
        <f>MIN('02_Данные'!AE409,BS409)</f>
        <v/>
      </c>
      <c r="BU409" s="10">
        <f>BS409-BT409</f>
        <v/>
      </c>
      <c r="BV409" s="10">
        <f>MIN('02_Данные'!AG409,BU409)</f>
        <v/>
      </c>
      <c r="BW409" s="10">
        <f>BU409-BV409</f>
        <v/>
      </c>
      <c r="BX409" s="10">
        <f>MIN('02_Данные'!AH409,BW409)</f>
        <v/>
      </c>
      <c r="BY409" s="10">
        <f>BW409-BX409</f>
        <v/>
      </c>
      <c r="BZ409" s="10">
        <f>BY409+'02_Данные'!J409</f>
        <v/>
      </c>
      <c r="CA409" s="10">
        <f>MIN('02_Данные'!AJ409,BZ409)</f>
        <v/>
      </c>
      <c r="CB409" s="10">
        <f>BZ409-CA409</f>
        <v/>
      </c>
      <c r="CC409" s="10">
        <f>MIN('02_Данные'!AK409,CB409)</f>
        <v/>
      </c>
      <c r="CD409" s="10">
        <f>CB409-CC409</f>
        <v/>
      </c>
      <c r="CE409" s="10">
        <f>MIN('02_Данные'!AL409,CD409)</f>
        <v/>
      </c>
      <c r="CF409" s="10">
        <f>CD409-CE409</f>
        <v/>
      </c>
      <c r="CG409" s="10">
        <f>MIN('02_Данные'!AQ409,CF409)</f>
        <v/>
      </c>
      <c r="CH409" s="10">
        <f>CF409-CG409</f>
        <v/>
      </c>
      <c r="CI409" s="10">
        <f>MIN('02_Данные'!AN409,CH409)</f>
        <v/>
      </c>
      <c r="CJ409" s="10">
        <f>CH409-CI409</f>
        <v/>
      </c>
      <c r="CK409" s="10">
        <f>MIN('02_Данные'!AM409,CJ409)</f>
        <v/>
      </c>
      <c r="CL409" s="10">
        <f>CJ409-CK409</f>
        <v/>
      </c>
      <c r="CM409" s="10">
        <f>MIN('02_Данные'!AO409,CL409)</f>
        <v/>
      </c>
      <c r="CN409" s="10">
        <f>CL409-CM409</f>
        <v/>
      </c>
      <c r="CO409" s="10">
        <f>MIN('02_Данные'!AP409,CN409)</f>
        <v/>
      </c>
      <c r="CP409" s="10">
        <f>CN409-CO409</f>
        <v/>
      </c>
      <c r="CQ409" s="10">
        <f>CP409+'02_Данные'!K409</f>
        <v/>
      </c>
      <c r="CR409" s="10">
        <f>MIN('02_Данные'!AR409,CQ409)</f>
        <v/>
      </c>
      <c r="CS409" s="10">
        <f>CQ409-CR409</f>
        <v/>
      </c>
      <c r="CT409" s="10">
        <f>MIN('02_Данные'!AS409,CS409)</f>
        <v/>
      </c>
      <c r="CU409" s="10">
        <f>CS409-CT409</f>
        <v/>
      </c>
      <c r="CV409" s="10">
        <f>MIN('02_Данные'!AT409,CU409)</f>
        <v/>
      </c>
      <c r="CW409" s="10">
        <f>CU409-CV409</f>
        <v/>
      </c>
      <c r="CX409" s="10">
        <f>MIN('02_Данные'!AY409,CW409)</f>
        <v/>
      </c>
      <c r="CY409" s="10">
        <f>CW409-CX409</f>
        <v/>
      </c>
      <c r="CZ409" s="10">
        <f>MIN('02_Данные'!AV409,CY409)</f>
        <v/>
      </c>
      <c r="DA409" s="10">
        <f>CY409-CZ409</f>
        <v/>
      </c>
      <c r="DB409" s="10">
        <f>MIN('02_Данные'!AU409,DA409)</f>
        <v/>
      </c>
      <c r="DC409" s="10">
        <f>DA409-DB409</f>
        <v/>
      </c>
      <c r="DD409" s="10">
        <f>MIN('02_Данные'!AW409,DC409)</f>
        <v/>
      </c>
      <c r="DE409" s="10">
        <f>DC409-DD409</f>
        <v/>
      </c>
      <c r="DF409" s="10">
        <f>MIN('02_Данные'!AX409,DE409)</f>
        <v/>
      </c>
      <c r="DG409" s="10">
        <f>DE409-DF409</f>
        <v/>
      </c>
    </row>
    <row r="410">
      <c r="A410" s="9">
        <f>'02_Данные'!B410</f>
        <v/>
      </c>
      <c r="B410" s="9">
        <f>'02_Данные'!E410</f>
        <v/>
      </c>
      <c r="C410" s="10">
        <f>'02_Данные'!F410+'02_Данные'!G410+'02_Данные'!H410+'02_Данные'!I410+'02_Данные'!J410+'02_Данные'!K410</f>
        <v/>
      </c>
      <c r="D410" s="10">
        <f>SUM('02_Данные'!L410:'02_Данные'!AY410)</f>
        <v/>
      </c>
      <c r="E410" s="10">
        <f>MAX(0,D410-C410)</f>
        <v/>
      </c>
      <c r="F410" s="15">
        <f>IF(E410&gt;0.0001,"ДЕФИЦИТ",IF(Y410&gt;0.0001,"ПРОФИЦИТ","БАЛАНС"))</f>
        <v/>
      </c>
      <c r="G410" s="10">
        <f>AB410+AS410+BJ410+CA410+CR410</f>
        <v/>
      </c>
      <c r="H410" s="10">
        <f>AD410+AU410+BL410+CC410+CT410</f>
        <v/>
      </c>
      <c r="I410" s="10">
        <f>AF410+AW410+BN410+CE410+CV410</f>
        <v/>
      </c>
      <c r="J410" s="10">
        <f>AL410+BC410+BT410+CK410+DB410</f>
        <v/>
      </c>
      <c r="K410" s="10">
        <f>AJ410+BA410+BR410+CI410+CZ410</f>
        <v/>
      </c>
      <c r="L410" s="10">
        <f>AN410+BE410+BV410+CM410+DD410</f>
        <v/>
      </c>
      <c r="M410" s="10">
        <f>AP410+BG410+BX410+CO410+DF410</f>
        <v/>
      </c>
      <c r="N410" s="10">
        <f>AH410+AY410+BP410+CG410+CX410</f>
        <v/>
      </c>
      <c r="O410" s="10">
        <f>SUM(G410:N410)</f>
        <v/>
      </c>
      <c r="P410" s="10">
        <f>IFERROR(G410*MIN(1,'01_Нормативы'!$C$4/SUM(G$2:G$429)),0)</f>
        <v/>
      </c>
      <c r="Q410" s="10">
        <f>IFERROR(H410*MIN(1,'01_Нормативы'!$C$5/SUM(H$2:H$429)),0)</f>
        <v/>
      </c>
      <c r="R410" s="10">
        <f>IFERROR(I410*MIN(1,'01_Нормативы'!$C$6/SUM(I$2:I$429)),0)</f>
        <v/>
      </c>
      <c r="S410" s="10">
        <f>IFERROR(J410*MIN(1,'01_Нормативы'!$C$7/SUM(J$2:J$429)),0)</f>
        <v/>
      </c>
      <c r="T410" s="10">
        <f>IFERROR(K410*MIN(1,'01_Нормативы'!$C$8/SUM(K$2:K$429)),0)</f>
        <v/>
      </c>
      <c r="U410" s="10">
        <f>IFERROR(L410*MIN(1,'01_Нормативы'!$C$9/SUM(L$2:L$429)),0)</f>
        <v/>
      </c>
      <c r="V410" s="10">
        <f>IFERROR(M410*MIN(1,'01_Нормативы'!$C$10/SUM(M$2:M$429)),0)</f>
        <v/>
      </c>
      <c r="W410" s="10">
        <f>IFERROR(N410*MIN(1,'01_Нормативы'!$C$11/SUM(N$2:N$429)),0)</f>
        <v/>
      </c>
      <c r="X410" s="10">
        <f>SUM(P410:W410)</f>
        <v/>
      </c>
      <c r="Y410" s="10">
        <f>MAX(0,C410-X410)</f>
        <v/>
      </c>
      <c r="Z410" s="10">
        <f>IF(D410=0,100,X410/D410*100)</f>
        <v/>
      </c>
      <c r="AA410" s="10">
        <f>'02_Данные'!F410+'02_Данные'!G410</f>
        <v/>
      </c>
      <c r="AB410" s="10">
        <f>MIN('02_Данные'!L410,AA410)</f>
        <v/>
      </c>
      <c r="AC410" s="10">
        <f>AA410-AB410</f>
        <v/>
      </c>
      <c r="AD410" s="10">
        <f>MIN('02_Данные'!M410,AC410)</f>
        <v/>
      </c>
      <c r="AE410" s="10">
        <f>AC410-AD410</f>
        <v/>
      </c>
      <c r="AF410" s="10">
        <f>MIN('02_Данные'!N410,AE410)</f>
        <v/>
      </c>
      <c r="AG410" s="10">
        <f>AE410-AF410</f>
        <v/>
      </c>
      <c r="AH410" s="10">
        <f>MIN('02_Данные'!S410,AG410)</f>
        <v/>
      </c>
      <c r="AI410" s="10">
        <f>AG410-AH410</f>
        <v/>
      </c>
      <c r="AJ410" s="10">
        <f>MIN('02_Данные'!P410,AI410)</f>
        <v/>
      </c>
      <c r="AK410" s="10">
        <f>AI410-AJ410</f>
        <v/>
      </c>
      <c r="AL410" s="10">
        <f>MIN('02_Данные'!O410,AK410)</f>
        <v/>
      </c>
      <c r="AM410" s="10">
        <f>AK410-AL410</f>
        <v/>
      </c>
      <c r="AN410" s="10">
        <f>MIN('02_Данные'!Q410,AM410)</f>
        <v/>
      </c>
      <c r="AO410" s="10">
        <f>AM410-AN410</f>
        <v/>
      </c>
      <c r="AP410" s="10">
        <f>MIN('02_Данные'!R410,AO410)</f>
        <v/>
      </c>
      <c r="AQ410" s="10">
        <f>AO410-AP410</f>
        <v/>
      </c>
      <c r="AR410" s="10">
        <f>AQ410+'02_Данные'!H410</f>
        <v/>
      </c>
      <c r="AS410" s="10">
        <f>MIN('02_Данные'!T410,AR410)</f>
        <v/>
      </c>
      <c r="AT410" s="10">
        <f>AR410-AS410</f>
        <v/>
      </c>
      <c r="AU410" s="10">
        <f>MIN('02_Данные'!U410,AT410)</f>
        <v/>
      </c>
      <c r="AV410" s="10">
        <f>AT410-AU410</f>
        <v/>
      </c>
      <c r="AW410" s="10">
        <f>MIN('02_Данные'!V410,AV410)</f>
        <v/>
      </c>
      <c r="AX410" s="10">
        <f>AV410-AW410</f>
        <v/>
      </c>
      <c r="AY410" s="10">
        <f>MIN('02_Данные'!AA410,AX410)</f>
        <v/>
      </c>
      <c r="AZ410" s="10">
        <f>AX410-AY410</f>
        <v/>
      </c>
      <c r="BA410" s="10">
        <f>MIN('02_Данные'!X410,AZ410)</f>
        <v/>
      </c>
      <c r="BB410" s="10">
        <f>AZ410-BA410</f>
        <v/>
      </c>
      <c r="BC410" s="10">
        <f>MIN('02_Данные'!W410,BB410)</f>
        <v/>
      </c>
      <c r="BD410" s="10">
        <f>BB410-BC410</f>
        <v/>
      </c>
      <c r="BE410" s="10">
        <f>MIN('02_Данные'!Y410,BD410)</f>
        <v/>
      </c>
      <c r="BF410" s="10">
        <f>BD410-BE410</f>
        <v/>
      </c>
      <c r="BG410" s="10">
        <f>MIN('02_Данные'!Z410,BF410)</f>
        <v/>
      </c>
      <c r="BH410" s="10">
        <f>BF410-BG410</f>
        <v/>
      </c>
      <c r="BI410" s="10">
        <f>BH410+'02_Данные'!I410</f>
        <v/>
      </c>
      <c r="BJ410" s="10">
        <f>MIN('02_Данные'!AB410,BI410)</f>
        <v/>
      </c>
      <c r="BK410" s="10">
        <f>BI410-BJ410</f>
        <v/>
      </c>
      <c r="BL410" s="10">
        <f>MIN('02_Данные'!AC410,BK410)</f>
        <v/>
      </c>
      <c r="BM410" s="10">
        <f>BK410-BL410</f>
        <v/>
      </c>
      <c r="BN410" s="10">
        <f>MIN('02_Данные'!AD410,BM410)</f>
        <v/>
      </c>
      <c r="BO410" s="10">
        <f>BM410-BN410</f>
        <v/>
      </c>
      <c r="BP410" s="10">
        <f>MIN('02_Данные'!AI410,BO410)</f>
        <v/>
      </c>
      <c r="BQ410" s="10">
        <f>BO410-BP410</f>
        <v/>
      </c>
      <c r="BR410" s="10">
        <f>MIN('02_Данные'!AF410,BQ410)</f>
        <v/>
      </c>
      <c r="BS410" s="10">
        <f>BQ410-BR410</f>
        <v/>
      </c>
      <c r="BT410" s="10">
        <f>MIN('02_Данные'!AE410,BS410)</f>
        <v/>
      </c>
      <c r="BU410" s="10">
        <f>BS410-BT410</f>
        <v/>
      </c>
      <c r="BV410" s="10">
        <f>MIN('02_Данные'!AG410,BU410)</f>
        <v/>
      </c>
      <c r="BW410" s="10">
        <f>BU410-BV410</f>
        <v/>
      </c>
      <c r="BX410" s="10">
        <f>MIN('02_Данные'!AH410,BW410)</f>
        <v/>
      </c>
      <c r="BY410" s="10">
        <f>BW410-BX410</f>
        <v/>
      </c>
      <c r="BZ410" s="10">
        <f>BY410+'02_Данные'!J410</f>
        <v/>
      </c>
      <c r="CA410" s="10">
        <f>MIN('02_Данные'!AJ410,BZ410)</f>
        <v/>
      </c>
      <c r="CB410" s="10">
        <f>BZ410-CA410</f>
        <v/>
      </c>
      <c r="CC410" s="10">
        <f>MIN('02_Данные'!AK410,CB410)</f>
        <v/>
      </c>
      <c r="CD410" s="10">
        <f>CB410-CC410</f>
        <v/>
      </c>
      <c r="CE410" s="10">
        <f>MIN('02_Данные'!AL410,CD410)</f>
        <v/>
      </c>
      <c r="CF410" s="10">
        <f>CD410-CE410</f>
        <v/>
      </c>
      <c r="CG410" s="10">
        <f>MIN('02_Данные'!AQ410,CF410)</f>
        <v/>
      </c>
      <c r="CH410" s="10">
        <f>CF410-CG410</f>
        <v/>
      </c>
      <c r="CI410" s="10">
        <f>MIN('02_Данные'!AN410,CH410)</f>
        <v/>
      </c>
      <c r="CJ410" s="10">
        <f>CH410-CI410</f>
        <v/>
      </c>
      <c r="CK410" s="10">
        <f>MIN('02_Данные'!AM410,CJ410)</f>
        <v/>
      </c>
      <c r="CL410" s="10">
        <f>CJ410-CK410</f>
        <v/>
      </c>
      <c r="CM410" s="10">
        <f>MIN('02_Данные'!AO410,CL410)</f>
        <v/>
      </c>
      <c r="CN410" s="10">
        <f>CL410-CM410</f>
        <v/>
      </c>
      <c r="CO410" s="10">
        <f>MIN('02_Данные'!AP410,CN410)</f>
        <v/>
      </c>
      <c r="CP410" s="10">
        <f>CN410-CO410</f>
        <v/>
      </c>
      <c r="CQ410" s="10">
        <f>CP410+'02_Данные'!K410</f>
        <v/>
      </c>
      <c r="CR410" s="10">
        <f>MIN('02_Данные'!AR410,CQ410)</f>
        <v/>
      </c>
      <c r="CS410" s="10">
        <f>CQ410-CR410</f>
        <v/>
      </c>
      <c r="CT410" s="10">
        <f>MIN('02_Данные'!AS410,CS410)</f>
        <v/>
      </c>
      <c r="CU410" s="10">
        <f>CS410-CT410</f>
        <v/>
      </c>
      <c r="CV410" s="10">
        <f>MIN('02_Данные'!AT410,CU410)</f>
        <v/>
      </c>
      <c r="CW410" s="10">
        <f>CU410-CV410</f>
        <v/>
      </c>
      <c r="CX410" s="10">
        <f>MIN('02_Данные'!AY410,CW410)</f>
        <v/>
      </c>
      <c r="CY410" s="10">
        <f>CW410-CX410</f>
        <v/>
      </c>
      <c r="CZ410" s="10">
        <f>MIN('02_Данные'!AV410,CY410)</f>
        <v/>
      </c>
      <c r="DA410" s="10">
        <f>CY410-CZ410</f>
        <v/>
      </c>
      <c r="DB410" s="10">
        <f>MIN('02_Данные'!AU410,DA410)</f>
        <v/>
      </c>
      <c r="DC410" s="10">
        <f>DA410-DB410</f>
        <v/>
      </c>
      <c r="DD410" s="10">
        <f>MIN('02_Данные'!AW410,DC410)</f>
        <v/>
      </c>
      <c r="DE410" s="10">
        <f>DC410-DD410</f>
        <v/>
      </c>
      <c r="DF410" s="10">
        <f>MIN('02_Данные'!AX410,DE410)</f>
        <v/>
      </c>
      <c r="DG410" s="10">
        <f>DE410-DF410</f>
        <v/>
      </c>
    </row>
    <row r="411">
      <c r="A411" s="9">
        <f>'02_Данные'!B411</f>
        <v/>
      </c>
      <c r="B411" s="9">
        <f>'02_Данные'!E411</f>
        <v/>
      </c>
      <c r="C411" s="10">
        <f>'02_Данные'!F411+'02_Данные'!G411+'02_Данные'!H411+'02_Данные'!I411+'02_Данные'!J411+'02_Данные'!K411</f>
        <v/>
      </c>
      <c r="D411" s="10">
        <f>SUM('02_Данные'!L411:'02_Данные'!AY411)</f>
        <v/>
      </c>
      <c r="E411" s="10">
        <f>MAX(0,D411-C411)</f>
        <v/>
      </c>
      <c r="F411" s="15">
        <f>IF(E411&gt;0.0001,"ДЕФИЦИТ",IF(Y411&gt;0.0001,"ПРОФИЦИТ","БАЛАНС"))</f>
        <v/>
      </c>
      <c r="G411" s="10">
        <f>AB411+AS411+BJ411+CA411+CR411</f>
        <v/>
      </c>
      <c r="H411" s="10">
        <f>AD411+AU411+BL411+CC411+CT411</f>
        <v/>
      </c>
      <c r="I411" s="10">
        <f>AF411+AW411+BN411+CE411+CV411</f>
        <v/>
      </c>
      <c r="J411" s="10">
        <f>AL411+BC411+BT411+CK411+DB411</f>
        <v/>
      </c>
      <c r="K411" s="10">
        <f>AJ411+BA411+BR411+CI411+CZ411</f>
        <v/>
      </c>
      <c r="L411" s="10">
        <f>AN411+BE411+BV411+CM411+DD411</f>
        <v/>
      </c>
      <c r="M411" s="10">
        <f>AP411+BG411+BX411+CO411+DF411</f>
        <v/>
      </c>
      <c r="N411" s="10">
        <f>AH411+AY411+BP411+CG411+CX411</f>
        <v/>
      </c>
      <c r="O411" s="10">
        <f>SUM(G411:N411)</f>
        <v/>
      </c>
      <c r="P411" s="10">
        <f>IFERROR(G411*MIN(1,'01_Нормативы'!$C$4/SUM(G$2:G$429)),0)</f>
        <v/>
      </c>
      <c r="Q411" s="10">
        <f>IFERROR(H411*MIN(1,'01_Нормативы'!$C$5/SUM(H$2:H$429)),0)</f>
        <v/>
      </c>
      <c r="R411" s="10">
        <f>IFERROR(I411*MIN(1,'01_Нормативы'!$C$6/SUM(I$2:I$429)),0)</f>
        <v/>
      </c>
      <c r="S411" s="10">
        <f>IFERROR(J411*MIN(1,'01_Нормативы'!$C$7/SUM(J$2:J$429)),0)</f>
        <v/>
      </c>
      <c r="T411" s="10">
        <f>IFERROR(K411*MIN(1,'01_Нормативы'!$C$8/SUM(K$2:K$429)),0)</f>
        <v/>
      </c>
      <c r="U411" s="10">
        <f>IFERROR(L411*MIN(1,'01_Нормативы'!$C$9/SUM(L$2:L$429)),0)</f>
        <v/>
      </c>
      <c r="V411" s="10">
        <f>IFERROR(M411*MIN(1,'01_Нормативы'!$C$10/SUM(M$2:M$429)),0)</f>
        <v/>
      </c>
      <c r="W411" s="10">
        <f>IFERROR(N411*MIN(1,'01_Нормативы'!$C$11/SUM(N$2:N$429)),0)</f>
        <v/>
      </c>
      <c r="X411" s="10">
        <f>SUM(P411:W411)</f>
        <v/>
      </c>
      <c r="Y411" s="10">
        <f>MAX(0,C411-X411)</f>
        <v/>
      </c>
      <c r="Z411" s="10">
        <f>IF(D411=0,100,X411/D411*100)</f>
        <v/>
      </c>
      <c r="AA411" s="10">
        <f>'02_Данные'!F411+'02_Данные'!G411</f>
        <v/>
      </c>
      <c r="AB411" s="10">
        <f>MIN('02_Данные'!L411,AA411)</f>
        <v/>
      </c>
      <c r="AC411" s="10">
        <f>AA411-AB411</f>
        <v/>
      </c>
      <c r="AD411" s="10">
        <f>MIN('02_Данные'!M411,AC411)</f>
        <v/>
      </c>
      <c r="AE411" s="10">
        <f>AC411-AD411</f>
        <v/>
      </c>
      <c r="AF411" s="10">
        <f>MIN('02_Данные'!N411,AE411)</f>
        <v/>
      </c>
      <c r="AG411" s="10">
        <f>AE411-AF411</f>
        <v/>
      </c>
      <c r="AH411" s="10">
        <f>MIN('02_Данные'!S411,AG411)</f>
        <v/>
      </c>
      <c r="AI411" s="10">
        <f>AG411-AH411</f>
        <v/>
      </c>
      <c r="AJ411" s="10">
        <f>MIN('02_Данные'!P411,AI411)</f>
        <v/>
      </c>
      <c r="AK411" s="10">
        <f>AI411-AJ411</f>
        <v/>
      </c>
      <c r="AL411" s="10">
        <f>MIN('02_Данные'!O411,AK411)</f>
        <v/>
      </c>
      <c r="AM411" s="10">
        <f>AK411-AL411</f>
        <v/>
      </c>
      <c r="AN411" s="10">
        <f>MIN('02_Данные'!Q411,AM411)</f>
        <v/>
      </c>
      <c r="AO411" s="10">
        <f>AM411-AN411</f>
        <v/>
      </c>
      <c r="AP411" s="10">
        <f>MIN('02_Данные'!R411,AO411)</f>
        <v/>
      </c>
      <c r="AQ411" s="10">
        <f>AO411-AP411</f>
        <v/>
      </c>
      <c r="AR411" s="10">
        <f>AQ411+'02_Данные'!H411</f>
        <v/>
      </c>
      <c r="AS411" s="10">
        <f>MIN('02_Данные'!T411,AR411)</f>
        <v/>
      </c>
      <c r="AT411" s="10">
        <f>AR411-AS411</f>
        <v/>
      </c>
      <c r="AU411" s="10">
        <f>MIN('02_Данные'!U411,AT411)</f>
        <v/>
      </c>
      <c r="AV411" s="10">
        <f>AT411-AU411</f>
        <v/>
      </c>
      <c r="AW411" s="10">
        <f>MIN('02_Данные'!V411,AV411)</f>
        <v/>
      </c>
      <c r="AX411" s="10">
        <f>AV411-AW411</f>
        <v/>
      </c>
      <c r="AY411" s="10">
        <f>MIN('02_Данные'!AA411,AX411)</f>
        <v/>
      </c>
      <c r="AZ411" s="10">
        <f>AX411-AY411</f>
        <v/>
      </c>
      <c r="BA411" s="10">
        <f>MIN('02_Данные'!X411,AZ411)</f>
        <v/>
      </c>
      <c r="BB411" s="10">
        <f>AZ411-BA411</f>
        <v/>
      </c>
      <c r="BC411" s="10">
        <f>MIN('02_Данные'!W411,BB411)</f>
        <v/>
      </c>
      <c r="BD411" s="10">
        <f>BB411-BC411</f>
        <v/>
      </c>
      <c r="BE411" s="10">
        <f>MIN('02_Данные'!Y411,BD411)</f>
        <v/>
      </c>
      <c r="BF411" s="10">
        <f>BD411-BE411</f>
        <v/>
      </c>
      <c r="BG411" s="10">
        <f>MIN('02_Данные'!Z411,BF411)</f>
        <v/>
      </c>
      <c r="BH411" s="10">
        <f>BF411-BG411</f>
        <v/>
      </c>
      <c r="BI411" s="10">
        <f>BH411+'02_Данные'!I411</f>
        <v/>
      </c>
      <c r="BJ411" s="10">
        <f>MIN('02_Данные'!AB411,BI411)</f>
        <v/>
      </c>
      <c r="BK411" s="10">
        <f>BI411-BJ411</f>
        <v/>
      </c>
      <c r="BL411" s="10">
        <f>MIN('02_Данные'!AC411,BK411)</f>
        <v/>
      </c>
      <c r="BM411" s="10">
        <f>BK411-BL411</f>
        <v/>
      </c>
      <c r="BN411" s="10">
        <f>MIN('02_Данные'!AD411,BM411)</f>
        <v/>
      </c>
      <c r="BO411" s="10">
        <f>BM411-BN411</f>
        <v/>
      </c>
      <c r="BP411" s="10">
        <f>MIN('02_Данные'!AI411,BO411)</f>
        <v/>
      </c>
      <c r="BQ411" s="10">
        <f>BO411-BP411</f>
        <v/>
      </c>
      <c r="BR411" s="10">
        <f>MIN('02_Данные'!AF411,BQ411)</f>
        <v/>
      </c>
      <c r="BS411" s="10">
        <f>BQ411-BR411</f>
        <v/>
      </c>
      <c r="BT411" s="10">
        <f>MIN('02_Данные'!AE411,BS411)</f>
        <v/>
      </c>
      <c r="BU411" s="10">
        <f>BS411-BT411</f>
        <v/>
      </c>
      <c r="BV411" s="10">
        <f>MIN('02_Данные'!AG411,BU411)</f>
        <v/>
      </c>
      <c r="BW411" s="10">
        <f>BU411-BV411</f>
        <v/>
      </c>
      <c r="BX411" s="10">
        <f>MIN('02_Данные'!AH411,BW411)</f>
        <v/>
      </c>
      <c r="BY411" s="10">
        <f>BW411-BX411</f>
        <v/>
      </c>
      <c r="BZ411" s="10">
        <f>BY411+'02_Данные'!J411</f>
        <v/>
      </c>
      <c r="CA411" s="10">
        <f>MIN('02_Данные'!AJ411,BZ411)</f>
        <v/>
      </c>
      <c r="CB411" s="10">
        <f>BZ411-CA411</f>
        <v/>
      </c>
      <c r="CC411" s="10">
        <f>MIN('02_Данные'!AK411,CB411)</f>
        <v/>
      </c>
      <c r="CD411" s="10">
        <f>CB411-CC411</f>
        <v/>
      </c>
      <c r="CE411" s="10">
        <f>MIN('02_Данные'!AL411,CD411)</f>
        <v/>
      </c>
      <c r="CF411" s="10">
        <f>CD411-CE411</f>
        <v/>
      </c>
      <c r="CG411" s="10">
        <f>MIN('02_Данные'!AQ411,CF411)</f>
        <v/>
      </c>
      <c r="CH411" s="10">
        <f>CF411-CG411</f>
        <v/>
      </c>
      <c r="CI411" s="10">
        <f>MIN('02_Данные'!AN411,CH411)</f>
        <v/>
      </c>
      <c r="CJ411" s="10">
        <f>CH411-CI411</f>
        <v/>
      </c>
      <c r="CK411" s="10">
        <f>MIN('02_Данные'!AM411,CJ411)</f>
        <v/>
      </c>
      <c r="CL411" s="10">
        <f>CJ411-CK411</f>
        <v/>
      </c>
      <c r="CM411" s="10">
        <f>MIN('02_Данные'!AO411,CL411)</f>
        <v/>
      </c>
      <c r="CN411" s="10">
        <f>CL411-CM411</f>
        <v/>
      </c>
      <c r="CO411" s="10">
        <f>MIN('02_Данные'!AP411,CN411)</f>
        <v/>
      </c>
      <c r="CP411" s="10">
        <f>CN411-CO411</f>
        <v/>
      </c>
      <c r="CQ411" s="10">
        <f>CP411+'02_Данные'!K411</f>
        <v/>
      </c>
      <c r="CR411" s="10">
        <f>MIN('02_Данные'!AR411,CQ411)</f>
        <v/>
      </c>
      <c r="CS411" s="10">
        <f>CQ411-CR411</f>
        <v/>
      </c>
      <c r="CT411" s="10">
        <f>MIN('02_Данные'!AS411,CS411)</f>
        <v/>
      </c>
      <c r="CU411" s="10">
        <f>CS411-CT411</f>
        <v/>
      </c>
      <c r="CV411" s="10">
        <f>MIN('02_Данные'!AT411,CU411)</f>
        <v/>
      </c>
      <c r="CW411" s="10">
        <f>CU411-CV411</f>
        <v/>
      </c>
      <c r="CX411" s="10">
        <f>MIN('02_Данные'!AY411,CW411)</f>
        <v/>
      </c>
      <c r="CY411" s="10">
        <f>CW411-CX411</f>
        <v/>
      </c>
      <c r="CZ411" s="10">
        <f>MIN('02_Данные'!AV411,CY411)</f>
        <v/>
      </c>
      <c r="DA411" s="10">
        <f>CY411-CZ411</f>
        <v/>
      </c>
      <c r="DB411" s="10">
        <f>MIN('02_Данные'!AU411,DA411)</f>
        <v/>
      </c>
      <c r="DC411" s="10">
        <f>DA411-DB411</f>
        <v/>
      </c>
      <c r="DD411" s="10">
        <f>MIN('02_Данные'!AW411,DC411)</f>
        <v/>
      </c>
      <c r="DE411" s="10">
        <f>DC411-DD411</f>
        <v/>
      </c>
      <c r="DF411" s="10">
        <f>MIN('02_Данные'!AX411,DE411)</f>
        <v/>
      </c>
      <c r="DG411" s="10">
        <f>DE411-DF411</f>
        <v/>
      </c>
    </row>
    <row r="412">
      <c r="A412" s="9">
        <f>'02_Данные'!B412</f>
        <v/>
      </c>
      <c r="B412" s="9">
        <f>'02_Данные'!E412</f>
        <v/>
      </c>
      <c r="C412" s="10">
        <f>'02_Данные'!F412+'02_Данные'!G412+'02_Данные'!H412+'02_Данные'!I412+'02_Данные'!J412+'02_Данные'!K412</f>
        <v/>
      </c>
      <c r="D412" s="10">
        <f>SUM('02_Данные'!L412:'02_Данные'!AY412)</f>
        <v/>
      </c>
      <c r="E412" s="10">
        <f>MAX(0,D412-C412)</f>
        <v/>
      </c>
      <c r="F412" s="15">
        <f>IF(E412&gt;0.0001,"ДЕФИЦИТ",IF(Y412&gt;0.0001,"ПРОФИЦИТ","БАЛАНС"))</f>
        <v/>
      </c>
      <c r="G412" s="10">
        <f>AB412+AS412+BJ412+CA412+CR412</f>
        <v/>
      </c>
      <c r="H412" s="10">
        <f>AD412+AU412+BL412+CC412+CT412</f>
        <v/>
      </c>
      <c r="I412" s="10">
        <f>AF412+AW412+BN412+CE412+CV412</f>
        <v/>
      </c>
      <c r="J412" s="10">
        <f>AL412+BC412+BT412+CK412+DB412</f>
        <v/>
      </c>
      <c r="K412" s="10">
        <f>AJ412+BA412+BR412+CI412+CZ412</f>
        <v/>
      </c>
      <c r="L412" s="10">
        <f>AN412+BE412+BV412+CM412+DD412</f>
        <v/>
      </c>
      <c r="M412" s="10">
        <f>AP412+BG412+BX412+CO412+DF412</f>
        <v/>
      </c>
      <c r="N412" s="10">
        <f>AH412+AY412+BP412+CG412+CX412</f>
        <v/>
      </c>
      <c r="O412" s="10">
        <f>SUM(G412:N412)</f>
        <v/>
      </c>
      <c r="P412" s="10">
        <f>IFERROR(G412*MIN(1,'01_Нормативы'!$C$4/SUM(G$2:G$429)),0)</f>
        <v/>
      </c>
      <c r="Q412" s="10">
        <f>IFERROR(H412*MIN(1,'01_Нормативы'!$C$5/SUM(H$2:H$429)),0)</f>
        <v/>
      </c>
      <c r="R412" s="10">
        <f>IFERROR(I412*MIN(1,'01_Нормативы'!$C$6/SUM(I$2:I$429)),0)</f>
        <v/>
      </c>
      <c r="S412" s="10">
        <f>IFERROR(J412*MIN(1,'01_Нормативы'!$C$7/SUM(J$2:J$429)),0)</f>
        <v/>
      </c>
      <c r="T412" s="10">
        <f>IFERROR(K412*MIN(1,'01_Нормативы'!$C$8/SUM(K$2:K$429)),0)</f>
        <v/>
      </c>
      <c r="U412" s="10">
        <f>IFERROR(L412*MIN(1,'01_Нормативы'!$C$9/SUM(L$2:L$429)),0)</f>
        <v/>
      </c>
      <c r="V412" s="10">
        <f>IFERROR(M412*MIN(1,'01_Нормативы'!$C$10/SUM(M$2:M$429)),0)</f>
        <v/>
      </c>
      <c r="W412" s="10">
        <f>IFERROR(N412*MIN(1,'01_Нормативы'!$C$11/SUM(N$2:N$429)),0)</f>
        <v/>
      </c>
      <c r="X412" s="10">
        <f>SUM(P412:W412)</f>
        <v/>
      </c>
      <c r="Y412" s="10">
        <f>MAX(0,C412-X412)</f>
        <v/>
      </c>
      <c r="Z412" s="10">
        <f>IF(D412=0,100,X412/D412*100)</f>
        <v/>
      </c>
      <c r="AA412" s="10">
        <f>'02_Данные'!F412+'02_Данные'!G412</f>
        <v/>
      </c>
      <c r="AB412" s="10">
        <f>MIN('02_Данные'!L412,AA412)</f>
        <v/>
      </c>
      <c r="AC412" s="10">
        <f>AA412-AB412</f>
        <v/>
      </c>
      <c r="AD412" s="10">
        <f>MIN('02_Данные'!M412,AC412)</f>
        <v/>
      </c>
      <c r="AE412" s="10">
        <f>AC412-AD412</f>
        <v/>
      </c>
      <c r="AF412" s="10">
        <f>MIN('02_Данные'!N412,AE412)</f>
        <v/>
      </c>
      <c r="AG412" s="10">
        <f>AE412-AF412</f>
        <v/>
      </c>
      <c r="AH412" s="10">
        <f>MIN('02_Данные'!S412,AG412)</f>
        <v/>
      </c>
      <c r="AI412" s="10">
        <f>AG412-AH412</f>
        <v/>
      </c>
      <c r="AJ412" s="10">
        <f>MIN('02_Данные'!P412,AI412)</f>
        <v/>
      </c>
      <c r="AK412" s="10">
        <f>AI412-AJ412</f>
        <v/>
      </c>
      <c r="AL412" s="10">
        <f>MIN('02_Данные'!O412,AK412)</f>
        <v/>
      </c>
      <c r="AM412" s="10">
        <f>AK412-AL412</f>
        <v/>
      </c>
      <c r="AN412" s="10">
        <f>MIN('02_Данные'!Q412,AM412)</f>
        <v/>
      </c>
      <c r="AO412" s="10">
        <f>AM412-AN412</f>
        <v/>
      </c>
      <c r="AP412" s="10">
        <f>MIN('02_Данные'!R412,AO412)</f>
        <v/>
      </c>
      <c r="AQ412" s="10">
        <f>AO412-AP412</f>
        <v/>
      </c>
      <c r="AR412" s="10">
        <f>AQ412+'02_Данные'!H412</f>
        <v/>
      </c>
      <c r="AS412" s="10">
        <f>MIN('02_Данные'!T412,AR412)</f>
        <v/>
      </c>
      <c r="AT412" s="10">
        <f>AR412-AS412</f>
        <v/>
      </c>
      <c r="AU412" s="10">
        <f>MIN('02_Данные'!U412,AT412)</f>
        <v/>
      </c>
      <c r="AV412" s="10">
        <f>AT412-AU412</f>
        <v/>
      </c>
      <c r="AW412" s="10">
        <f>MIN('02_Данные'!V412,AV412)</f>
        <v/>
      </c>
      <c r="AX412" s="10">
        <f>AV412-AW412</f>
        <v/>
      </c>
      <c r="AY412" s="10">
        <f>MIN('02_Данные'!AA412,AX412)</f>
        <v/>
      </c>
      <c r="AZ412" s="10">
        <f>AX412-AY412</f>
        <v/>
      </c>
      <c r="BA412" s="10">
        <f>MIN('02_Данные'!X412,AZ412)</f>
        <v/>
      </c>
      <c r="BB412" s="10">
        <f>AZ412-BA412</f>
        <v/>
      </c>
      <c r="BC412" s="10">
        <f>MIN('02_Данные'!W412,BB412)</f>
        <v/>
      </c>
      <c r="BD412" s="10">
        <f>BB412-BC412</f>
        <v/>
      </c>
      <c r="BE412" s="10">
        <f>MIN('02_Данные'!Y412,BD412)</f>
        <v/>
      </c>
      <c r="BF412" s="10">
        <f>BD412-BE412</f>
        <v/>
      </c>
      <c r="BG412" s="10">
        <f>MIN('02_Данные'!Z412,BF412)</f>
        <v/>
      </c>
      <c r="BH412" s="10">
        <f>BF412-BG412</f>
        <v/>
      </c>
      <c r="BI412" s="10">
        <f>BH412+'02_Данные'!I412</f>
        <v/>
      </c>
      <c r="BJ412" s="10">
        <f>MIN('02_Данные'!AB412,BI412)</f>
        <v/>
      </c>
      <c r="BK412" s="10">
        <f>BI412-BJ412</f>
        <v/>
      </c>
      <c r="BL412" s="10">
        <f>MIN('02_Данные'!AC412,BK412)</f>
        <v/>
      </c>
      <c r="BM412" s="10">
        <f>BK412-BL412</f>
        <v/>
      </c>
      <c r="BN412" s="10">
        <f>MIN('02_Данные'!AD412,BM412)</f>
        <v/>
      </c>
      <c r="BO412" s="10">
        <f>BM412-BN412</f>
        <v/>
      </c>
      <c r="BP412" s="10">
        <f>MIN('02_Данные'!AI412,BO412)</f>
        <v/>
      </c>
      <c r="BQ412" s="10">
        <f>BO412-BP412</f>
        <v/>
      </c>
      <c r="BR412" s="10">
        <f>MIN('02_Данные'!AF412,BQ412)</f>
        <v/>
      </c>
      <c r="BS412" s="10">
        <f>BQ412-BR412</f>
        <v/>
      </c>
      <c r="BT412" s="10">
        <f>MIN('02_Данные'!AE412,BS412)</f>
        <v/>
      </c>
      <c r="BU412" s="10">
        <f>BS412-BT412</f>
        <v/>
      </c>
      <c r="BV412" s="10">
        <f>MIN('02_Данные'!AG412,BU412)</f>
        <v/>
      </c>
      <c r="BW412" s="10">
        <f>BU412-BV412</f>
        <v/>
      </c>
      <c r="BX412" s="10">
        <f>MIN('02_Данные'!AH412,BW412)</f>
        <v/>
      </c>
      <c r="BY412" s="10">
        <f>BW412-BX412</f>
        <v/>
      </c>
      <c r="BZ412" s="10">
        <f>BY412+'02_Данные'!J412</f>
        <v/>
      </c>
      <c r="CA412" s="10">
        <f>MIN('02_Данные'!AJ412,BZ412)</f>
        <v/>
      </c>
      <c r="CB412" s="10">
        <f>BZ412-CA412</f>
        <v/>
      </c>
      <c r="CC412" s="10">
        <f>MIN('02_Данные'!AK412,CB412)</f>
        <v/>
      </c>
      <c r="CD412" s="10">
        <f>CB412-CC412</f>
        <v/>
      </c>
      <c r="CE412" s="10">
        <f>MIN('02_Данные'!AL412,CD412)</f>
        <v/>
      </c>
      <c r="CF412" s="10">
        <f>CD412-CE412</f>
        <v/>
      </c>
      <c r="CG412" s="10">
        <f>MIN('02_Данные'!AQ412,CF412)</f>
        <v/>
      </c>
      <c r="CH412" s="10">
        <f>CF412-CG412</f>
        <v/>
      </c>
      <c r="CI412" s="10">
        <f>MIN('02_Данные'!AN412,CH412)</f>
        <v/>
      </c>
      <c r="CJ412" s="10">
        <f>CH412-CI412</f>
        <v/>
      </c>
      <c r="CK412" s="10">
        <f>MIN('02_Данные'!AM412,CJ412)</f>
        <v/>
      </c>
      <c r="CL412" s="10">
        <f>CJ412-CK412</f>
        <v/>
      </c>
      <c r="CM412" s="10">
        <f>MIN('02_Данные'!AO412,CL412)</f>
        <v/>
      </c>
      <c r="CN412" s="10">
        <f>CL412-CM412</f>
        <v/>
      </c>
      <c r="CO412" s="10">
        <f>MIN('02_Данные'!AP412,CN412)</f>
        <v/>
      </c>
      <c r="CP412" s="10">
        <f>CN412-CO412</f>
        <v/>
      </c>
      <c r="CQ412" s="10">
        <f>CP412+'02_Данные'!K412</f>
        <v/>
      </c>
      <c r="CR412" s="10">
        <f>MIN('02_Данные'!AR412,CQ412)</f>
        <v/>
      </c>
      <c r="CS412" s="10">
        <f>CQ412-CR412</f>
        <v/>
      </c>
      <c r="CT412" s="10">
        <f>MIN('02_Данные'!AS412,CS412)</f>
        <v/>
      </c>
      <c r="CU412" s="10">
        <f>CS412-CT412</f>
        <v/>
      </c>
      <c r="CV412" s="10">
        <f>MIN('02_Данные'!AT412,CU412)</f>
        <v/>
      </c>
      <c r="CW412" s="10">
        <f>CU412-CV412</f>
        <v/>
      </c>
      <c r="CX412" s="10">
        <f>MIN('02_Данные'!AY412,CW412)</f>
        <v/>
      </c>
      <c r="CY412" s="10">
        <f>CW412-CX412</f>
        <v/>
      </c>
      <c r="CZ412" s="10">
        <f>MIN('02_Данные'!AV412,CY412)</f>
        <v/>
      </c>
      <c r="DA412" s="10">
        <f>CY412-CZ412</f>
        <v/>
      </c>
      <c r="DB412" s="10">
        <f>MIN('02_Данные'!AU412,DA412)</f>
        <v/>
      </c>
      <c r="DC412" s="10">
        <f>DA412-DB412</f>
        <v/>
      </c>
      <c r="DD412" s="10">
        <f>MIN('02_Данные'!AW412,DC412)</f>
        <v/>
      </c>
      <c r="DE412" s="10">
        <f>DC412-DD412</f>
        <v/>
      </c>
      <c r="DF412" s="10">
        <f>MIN('02_Данные'!AX412,DE412)</f>
        <v/>
      </c>
      <c r="DG412" s="10">
        <f>DE412-DF412</f>
        <v/>
      </c>
    </row>
    <row r="413">
      <c r="A413" s="9">
        <f>'02_Данные'!B413</f>
        <v/>
      </c>
      <c r="B413" s="9">
        <f>'02_Данные'!E413</f>
        <v/>
      </c>
      <c r="C413" s="10">
        <f>'02_Данные'!F413+'02_Данные'!G413+'02_Данные'!H413+'02_Данные'!I413+'02_Данные'!J413+'02_Данные'!K413</f>
        <v/>
      </c>
      <c r="D413" s="10">
        <f>SUM('02_Данные'!L413:'02_Данные'!AY413)</f>
        <v/>
      </c>
      <c r="E413" s="10">
        <f>MAX(0,D413-C413)</f>
        <v/>
      </c>
      <c r="F413" s="15">
        <f>IF(E413&gt;0.0001,"ДЕФИЦИТ",IF(Y413&gt;0.0001,"ПРОФИЦИТ","БАЛАНС"))</f>
        <v/>
      </c>
      <c r="G413" s="10">
        <f>AB413+AS413+BJ413+CA413+CR413</f>
        <v/>
      </c>
      <c r="H413" s="10">
        <f>AD413+AU413+BL413+CC413+CT413</f>
        <v/>
      </c>
      <c r="I413" s="10">
        <f>AF413+AW413+BN413+CE413+CV413</f>
        <v/>
      </c>
      <c r="J413" s="10">
        <f>AL413+BC413+BT413+CK413+DB413</f>
        <v/>
      </c>
      <c r="K413" s="10">
        <f>AJ413+BA413+BR413+CI413+CZ413</f>
        <v/>
      </c>
      <c r="L413" s="10">
        <f>AN413+BE413+BV413+CM413+DD413</f>
        <v/>
      </c>
      <c r="M413" s="10">
        <f>AP413+BG413+BX413+CO413+DF413</f>
        <v/>
      </c>
      <c r="N413" s="10">
        <f>AH413+AY413+BP413+CG413+CX413</f>
        <v/>
      </c>
      <c r="O413" s="10">
        <f>SUM(G413:N413)</f>
        <v/>
      </c>
      <c r="P413" s="10">
        <f>IFERROR(G413*MIN(1,'01_Нормативы'!$C$4/SUM(G$2:G$429)),0)</f>
        <v/>
      </c>
      <c r="Q413" s="10">
        <f>IFERROR(H413*MIN(1,'01_Нормативы'!$C$5/SUM(H$2:H$429)),0)</f>
        <v/>
      </c>
      <c r="R413" s="10">
        <f>IFERROR(I413*MIN(1,'01_Нормативы'!$C$6/SUM(I$2:I$429)),0)</f>
        <v/>
      </c>
      <c r="S413" s="10">
        <f>IFERROR(J413*MIN(1,'01_Нормативы'!$C$7/SUM(J$2:J$429)),0)</f>
        <v/>
      </c>
      <c r="T413" s="10">
        <f>IFERROR(K413*MIN(1,'01_Нормативы'!$C$8/SUM(K$2:K$429)),0)</f>
        <v/>
      </c>
      <c r="U413" s="10">
        <f>IFERROR(L413*MIN(1,'01_Нормативы'!$C$9/SUM(L$2:L$429)),0)</f>
        <v/>
      </c>
      <c r="V413" s="10">
        <f>IFERROR(M413*MIN(1,'01_Нормативы'!$C$10/SUM(M$2:M$429)),0)</f>
        <v/>
      </c>
      <c r="W413" s="10">
        <f>IFERROR(N413*MIN(1,'01_Нормативы'!$C$11/SUM(N$2:N$429)),0)</f>
        <v/>
      </c>
      <c r="X413" s="10">
        <f>SUM(P413:W413)</f>
        <v/>
      </c>
      <c r="Y413" s="10">
        <f>MAX(0,C413-X413)</f>
        <v/>
      </c>
      <c r="Z413" s="10">
        <f>IF(D413=0,100,X413/D413*100)</f>
        <v/>
      </c>
      <c r="AA413" s="10">
        <f>'02_Данные'!F413+'02_Данные'!G413</f>
        <v/>
      </c>
      <c r="AB413" s="10">
        <f>MIN('02_Данные'!L413,AA413)</f>
        <v/>
      </c>
      <c r="AC413" s="10">
        <f>AA413-AB413</f>
        <v/>
      </c>
      <c r="AD413" s="10">
        <f>MIN('02_Данные'!M413,AC413)</f>
        <v/>
      </c>
      <c r="AE413" s="10">
        <f>AC413-AD413</f>
        <v/>
      </c>
      <c r="AF413" s="10">
        <f>MIN('02_Данные'!N413,AE413)</f>
        <v/>
      </c>
      <c r="AG413" s="10">
        <f>AE413-AF413</f>
        <v/>
      </c>
      <c r="AH413" s="10">
        <f>MIN('02_Данные'!S413,AG413)</f>
        <v/>
      </c>
      <c r="AI413" s="10">
        <f>AG413-AH413</f>
        <v/>
      </c>
      <c r="AJ413" s="10">
        <f>MIN('02_Данные'!P413,AI413)</f>
        <v/>
      </c>
      <c r="AK413" s="10">
        <f>AI413-AJ413</f>
        <v/>
      </c>
      <c r="AL413" s="10">
        <f>MIN('02_Данные'!O413,AK413)</f>
        <v/>
      </c>
      <c r="AM413" s="10">
        <f>AK413-AL413</f>
        <v/>
      </c>
      <c r="AN413" s="10">
        <f>MIN('02_Данные'!Q413,AM413)</f>
        <v/>
      </c>
      <c r="AO413" s="10">
        <f>AM413-AN413</f>
        <v/>
      </c>
      <c r="AP413" s="10">
        <f>MIN('02_Данные'!R413,AO413)</f>
        <v/>
      </c>
      <c r="AQ413" s="10">
        <f>AO413-AP413</f>
        <v/>
      </c>
      <c r="AR413" s="10">
        <f>AQ413+'02_Данные'!H413</f>
        <v/>
      </c>
      <c r="AS413" s="10">
        <f>MIN('02_Данные'!T413,AR413)</f>
        <v/>
      </c>
      <c r="AT413" s="10">
        <f>AR413-AS413</f>
        <v/>
      </c>
      <c r="AU413" s="10">
        <f>MIN('02_Данные'!U413,AT413)</f>
        <v/>
      </c>
      <c r="AV413" s="10">
        <f>AT413-AU413</f>
        <v/>
      </c>
      <c r="AW413" s="10">
        <f>MIN('02_Данные'!V413,AV413)</f>
        <v/>
      </c>
      <c r="AX413" s="10">
        <f>AV413-AW413</f>
        <v/>
      </c>
      <c r="AY413" s="10">
        <f>MIN('02_Данные'!AA413,AX413)</f>
        <v/>
      </c>
      <c r="AZ413" s="10">
        <f>AX413-AY413</f>
        <v/>
      </c>
      <c r="BA413" s="10">
        <f>MIN('02_Данные'!X413,AZ413)</f>
        <v/>
      </c>
      <c r="BB413" s="10">
        <f>AZ413-BA413</f>
        <v/>
      </c>
      <c r="BC413" s="10">
        <f>MIN('02_Данные'!W413,BB413)</f>
        <v/>
      </c>
      <c r="BD413" s="10">
        <f>BB413-BC413</f>
        <v/>
      </c>
      <c r="BE413" s="10">
        <f>MIN('02_Данные'!Y413,BD413)</f>
        <v/>
      </c>
      <c r="BF413" s="10">
        <f>BD413-BE413</f>
        <v/>
      </c>
      <c r="BG413" s="10">
        <f>MIN('02_Данные'!Z413,BF413)</f>
        <v/>
      </c>
      <c r="BH413" s="10">
        <f>BF413-BG413</f>
        <v/>
      </c>
      <c r="BI413" s="10">
        <f>BH413+'02_Данные'!I413</f>
        <v/>
      </c>
      <c r="BJ413" s="10">
        <f>MIN('02_Данные'!AB413,BI413)</f>
        <v/>
      </c>
      <c r="BK413" s="10">
        <f>BI413-BJ413</f>
        <v/>
      </c>
      <c r="BL413" s="10">
        <f>MIN('02_Данные'!AC413,BK413)</f>
        <v/>
      </c>
      <c r="BM413" s="10">
        <f>BK413-BL413</f>
        <v/>
      </c>
      <c r="BN413" s="10">
        <f>MIN('02_Данные'!AD413,BM413)</f>
        <v/>
      </c>
      <c r="BO413" s="10">
        <f>BM413-BN413</f>
        <v/>
      </c>
      <c r="BP413" s="10">
        <f>MIN('02_Данные'!AI413,BO413)</f>
        <v/>
      </c>
      <c r="BQ413" s="10">
        <f>BO413-BP413</f>
        <v/>
      </c>
      <c r="BR413" s="10">
        <f>MIN('02_Данные'!AF413,BQ413)</f>
        <v/>
      </c>
      <c r="BS413" s="10">
        <f>BQ413-BR413</f>
        <v/>
      </c>
      <c r="BT413" s="10">
        <f>MIN('02_Данные'!AE413,BS413)</f>
        <v/>
      </c>
      <c r="BU413" s="10">
        <f>BS413-BT413</f>
        <v/>
      </c>
      <c r="BV413" s="10">
        <f>MIN('02_Данные'!AG413,BU413)</f>
        <v/>
      </c>
      <c r="BW413" s="10">
        <f>BU413-BV413</f>
        <v/>
      </c>
      <c r="BX413" s="10">
        <f>MIN('02_Данные'!AH413,BW413)</f>
        <v/>
      </c>
      <c r="BY413" s="10">
        <f>BW413-BX413</f>
        <v/>
      </c>
      <c r="BZ413" s="10">
        <f>BY413+'02_Данные'!J413</f>
        <v/>
      </c>
      <c r="CA413" s="10">
        <f>MIN('02_Данные'!AJ413,BZ413)</f>
        <v/>
      </c>
      <c r="CB413" s="10">
        <f>BZ413-CA413</f>
        <v/>
      </c>
      <c r="CC413" s="10">
        <f>MIN('02_Данные'!AK413,CB413)</f>
        <v/>
      </c>
      <c r="CD413" s="10">
        <f>CB413-CC413</f>
        <v/>
      </c>
      <c r="CE413" s="10">
        <f>MIN('02_Данные'!AL413,CD413)</f>
        <v/>
      </c>
      <c r="CF413" s="10">
        <f>CD413-CE413</f>
        <v/>
      </c>
      <c r="CG413" s="10">
        <f>MIN('02_Данные'!AQ413,CF413)</f>
        <v/>
      </c>
      <c r="CH413" s="10">
        <f>CF413-CG413</f>
        <v/>
      </c>
      <c r="CI413" s="10">
        <f>MIN('02_Данные'!AN413,CH413)</f>
        <v/>
      </c>
      <c r="CJ413" s="10">
        <f>CH413-CI413</f>
        <v/>
      </c>
      <c r="CK413" s="10">
        <f>MIN('02_Данные'!AM413,CJ413)</f>
        <v/>
      </c>
      <c r="CL413" s="10">
        <f>CJ413-CK413</f>
        <v/>
      </c>
      <c r="CM413" s="10">
        <f>MIN('02_Данные'!AO413,CL413)</f>
        <v/>
      </c>
      <c r="CN413" s="10">
        <f>CL413-CM413</f>
        <v/>
      </c>
      <c r="CO413" s="10">
        <f>MIN('02_Данные'!AP413,CN413)</f>
        <v/>
      </c>
      <c r="CP413" s="10">
        <f>CN413-CO413</f>
        <v/>
      </c>
      <c r="CQ413" s="10">
        <f>CP413+'02_Данные'!K413</f>
        <v/>
      </c>
      <c r="CR413" s="10">
        <f>MIN('02_Данные'!AR413,CQ413)</f>
        <v/>
      </c>
      <c r="CS413" s="10">
        <f>CQ413-CR413</f>
        <v/>
      </c>
      <c r="CT413" s="10">
        <f>MIN('02_Данные'!AS413,CS413)</f>
        <v/>
      </c>
      <c r="CU413" s="10">
        <f>CS413-CT413</f>
        <v/>
      </c>
      <c r="CV413" s="10">
        <f>MIN('02_Данные'!AT413,CU413)</f>
        <v/>
      </c>
      <c r="CW413" s="10">
        <f>CU413-CV413</f>
        <v/>
      </c>
      <c r="CX413" s="10">
        <f>MIN('02_Данные'!AY413,CW413)</f>
        <v/>
      </c>
      <c r="CY413" s="10">
        <f>CW413-CX413</f>
        <v/>
      </c>
      <c r="CZ413" s="10">
        <f>MIN('02_Данные'!AV413,CY413)</f>
        <v/>
      </c>
      <c r="DA413" s="10">
        <f>CY413-CZ413</f>
        <v/>
      </c>
      <c r="DB413" s="10">
        <f>MIN('02_Данные'!AU413,DA413)</f>
        <v/>
      </c>
      <c r="DC413" s="10">
        <f>DA413-DB413</f>
        <v/>
      </c>
      <c r="DD413" s="10">
        <f>MIN('02_Данные'!AW413,DC413)</f>
        <v/>
      </c>
      <c r="DE413" s="10">
        <f>DC413-DD413</f>
        <v/>
      </c>
      <c r="DF413" s="10">
        <f>MIN('02_Данные'!AX413,DE413)</f>
        <v/>
      </c>
      <c r="DG413" s="10">
        <f>DE413-DF413</f>
        <v/>
      </c>
    </row>
    <row r="414">
      <c r="A414" s="9">
        <f>'02_Данные'!B414</f>
        <v/>
      </c>
      <c r="B414" s="9">
        <f>'02_Данные'!E414</f>
        <v/>
      </c>
      <c r="C414" s="10">
        <f>'02_Данные'!F414+'02_Данные'!G414+'02_Данные'!H414+'02_Данные'!I414+'02_Данные'!J414+'02_Данные'!K414</f>
        <v/>
      </c>
      <c r="D414" s="10">
        <f>SUM('02_Данные'!L414:'02_Данные'!AY414)</f>
        <v/>
      </c>
      <c r="E414" s="10">
        <f>MAX(0,D414-C414)</f>
        <v/>
      </c>
      <c r="F414" s="15">
        <f>IF(E414&gt;0.0001,"ДЕФИЦИТ",IF(Y414&gt;0.0001,"ПРОФИЦИТ","БАЛАНС"))</f>
        <v/>
      </c>
      <c r="G414" s="10">
        <f>AB414+AS414+BJ414+CA414+CR414</f>
        <v/>
      </c>
      <c r="H414" s="10">
        <f>AD414+AU414+BL414+CC414+CT414</f>
        <v/>
      </c>
      <c r="I414" s="10">
        <f>AF414+AW414+BN414+CE414+CV414</f>
        <v/>
      </c>
      <c r="J414" s="10">
        <f>AL414+BC414+BT414+CK414+DB414</f>
        <v/>
      </c>
      <c r="K414" s="10">
        <f>AJ414+BA414+BR414+CI414+CZ414</f>
        <v/>
      </c>
      <c r="L414" s="10">
        <f>AN414+BE414+BV414+CM414+DD414</f>
        <v/>
      </c>
      <c r="M414" s="10">
        <f>AP414+BG414+BX414+CO414+DF414</f>
        <v/>
      </c>
      <c r="N414" s="10">
        <f>AH414+AY414+BP414+CG414+CX414</f>
        <v/>
      </c>
      <c r="O414" s="10">
        <f>SUM(G414:N414)</f>
        <v/>
      </c>
      <c r="P414" s="10">
        <f>IFERROR(G414*MIN(1,'01_Нормативы'!$C$4/SUM(G$2:G$429)),0)</f>
        <v/>
      </c>
      <c r="Q414" s="10">
        <f>IFERROR(H414*MIN(1,'01_Нормативы'!$C$5/SUM(H$2:H$429)),0)</f>
        <v/>
      </c>
      <c r="R414" s="10">
        <f>IFERROR(I414*MIN(1,'01_Нормативы'!$C$6/SUM(I$2:I$429)),0)</f>
        <v/>
      </c>
      <c r="S414" s="10">
        <f>IFERROR(J414*MIN(1,'01_Нормативы'!$C$7/SUM(J$2:J$429)),0)</f>
        <v/>
      </c>
      <c r="T414" s="10">
        <f>IFERROR(K414*MIN(1,'01_Нормативы'!$C$8/SUM(K$2:K$429)),0)</f>
        <v/>
      </c>
      <c r="U414" s="10">
        <f>IFERROR(L414*MIN(1,'01_Нормативы'!$C$9/SUM(L$2:L$429)),0)</f>
        <v/>
      </c>
      <c r="V414" s="10">
        <f>IFERROR(M414*MIN(1,'01_Нормативы'!$C$10/SUM(M$2:M$429)),0)</f>
        <v/>
      </c>
      <c r="W414" s="10">
        <f>IFERROR(N414*MIN(1,'01_Нормативы'!$C$11/SUM(N$2:N$429)),0)</f>
        <v/>
      </c>
      <c r="X414" s="10">
        <f>SUM(P414:W414)</f>
        <v/>
      </c>
      <c r="Y414" s="10">
        <f>MAX(0,C414-X414)</f>
        <v/>
      </c>
      <c r="Z414" s="10">
        <f>IF(D414=0,100,X414/D414*100)</f>
        <v/>
      </c>
      <c r="AA414" s="10">
        <f>'02_Данные'!F414+'02_Данные'!G414</f>
        <v/>
      </c>
      <c r="AB414" s="10">
        <f>MIN('02_Данные'!L414,AA414)</f>
        <v/>
      </c>
      <c r="AC414" s="10">
        <f>AA414-AB414</f>
        <v/>
      </c>
      <c r="AD414" s="10">
        <f>MIN('02_Данные'!M414,AC414)</f>
        <v/>
      </c>
      <c r="AE414" s="10">
        <f>AC414-AD414</f>
        <v/>
      </c>
      <c r="AF414" s="10">
        <f>MIN('02_Данные'!N414,AE414)</f>
        <v/>
      </c>
      <c r="AG414" s="10">
        <f>AE414-AF414</f>
        <v/>
      </c>
      <c r="AH414" s="10">
        <f>MIN('02_Данные'!S414,AG414)</f>
        <v/>
      </c>
      <c r="AI414" s="10">
        <f>AG414-AH414</f>
        <v/>
      </c>
      <c r="AJ414" s="10">
        <f>MIN('02_Данные'!P414,AI414)</f>
        <v/>
      </c>
      <c r="AK414" s="10">
        <f>AI414-AJ414</f>
        <v/>
      </c>
      <c r="AL414" s="10">
        <f>MIN('02_Данные'!O414,AK414)</f>
        <v/>
      </c>
      <c r="AM414" s="10">
        <f>AK414-AL414</f>
        <v/>
      </c>
      <c r="AN414" s="10">
        <f>MIN('02_Данные'!Q414,AM414)</f>
        <v/>
      </c>
      <c r="AO414" s="10">
        <f>AM414-AN414</f>
        <v/>
      </c>
      <c r="AP414" s="10">
        <f>MIN('02_Данные'!R414,AO414)</f>
        <v/>
      </c>
      <c r="AQ414" s="10">
        <f>AO414-AP414</f>
        <v/>
      </c>
      <c r="AR414" s="10">
        <f>AQ414+'02_Данные'!H414</f>
        <v/>
      </c>
      <c r="AS414" s="10">
        <f>MIN('02_Данные'!T414,AR414)</f>
        <v/>
      </c>
      <c r="AT414" s="10">
        <f>AR414-AS414</f>
        <v/>
      </c>
      <c r="AU414" s="10">
        <f>MIN('02_Данные'!U414,AT414)</f>
        <v/>
      </c>
      <c r="AV414" s="10">
        <f>AT414-AU414</f>
        <v/>
      </c>
      <c r="AW414" s="10">
        <f>MIN('02_Данные'!V414,AV414)</f>
        <v/>
      </c>
      <c r="AX414" s="10">
        <f>AV414-AW414</f>
        <v/>
      </c>
      <c r="AY414" s="10">
        <f>MIN('02_Данные'!AA414,AX414)</f>
        <v/>
      </c>
      <c r="AZ414" s="10">
        <f>AX414-AY414</f>
        <v/>
      </c>
      <c r="BA414" s="10">
        <f>MIN('02_Данные'!X414,AZ414)</f>
        <v/>
      </c>
      <c r="BB414" s="10">
        <f>AZ414-BA414</f>
        <v/>
      </c>
      <c r="BC414" s="10">
        <f>MIN('02_Данные'!W414,BB414)</f>
        <v/>
      </c>
      <c r="BD414" s="10">
        <f>BB414-BC414</f>
        <v/>
      </c>
      <c r="BE414" s="10">
        <f>MIN('02_Данные'!Y414,BD414)</f>
        <v/>
      </c>
      <c r="BF414" s="10">
        <f>BD414-BE414</f>
        <v/>
      </c>
      <c r="BG414" s="10">
        <f>MIN('02_Данные'!Z414,BF414)</f>
        <v/>
      </c>
      <c r="BH414" s="10">
        <f>BF414-BG414</f>
        <v/>
      </c>
      <c r="BI414" s="10">
        <f>BH414+'02_Данные'!I414</f>
        <v/>
      </c>
      <c r="BJ414" s="10">
        <f>MIN('02_Данные'!AB414,BI414)</f>
        <v/>
      </c>
      <c r="BK414" s="10">
        <f>BI414-BJ414</f>
        <v/>
      </c>
      <c r="BL414" s="10">
        <f>MIN('02_Данные'!AC414,BK414)</f>
        <v/>
      </c>
      <c r="BM414" s="10">
        <f>BK414-BL414</f>
        <v/>
      </c>
      <c r="BN414" s="10">
        <f>MIN('02_Данные'!AD414,BM414)</f>
        <v/>
      </c>
      <c r="BO414" s="10">
        <f>BM414-BN414</f>
        <v/>
      </c>
      <c r="BP414" s="10">
        <f>MIN('02_Данные'!AI414,BO414)</f>
        <v/>
      </c>
      <c r="BQ414" s="10">
        <f>BO414-BP414</f>
        <v/>
      </c>
      <c r="BR414" s="10">
        <f>MIN('02_Данные'!AF414,BQ414)</f>
        <v/>
      </c>
      <c r="BS414" s="10">
        <f>BQ414-BR414</f>
        <v/>
      </c>
      <c r="BT414" s="10">
        <f>MIN('02_Данные'!AE414,BS414)</f>
        <v/>
      </c>
      <c r="BU414" s="10">
        <f>BS414-BT414</f>
        <v/>
      </c>
      <c r="BV414" s="10">
        <f>MIN('02_Данные'!AG414,BU414)</f>
        <v/>
      </c>
      <c r="BW414" s="10">
        <f>BU414-BV414</f>
        <v/>
      </c>
      <c r="BX414" s="10">
        <f>MIN('02_Данные'!AH414,BW414)</f>
        <v/>
      </c>
      <c r="BY414" s="10">
        <f>BW414-BX414</f>
        <v/>
      </c>
      <c r="BZ414" s="10">
        <f>BY414+'02_Данные'!J414</f>
        <v/>
      </c>
      <c r="CA414" s="10">
        <f>MIN('02_Данные'!AJ414,BZ414)</f>
        <v/>
      </c>
      <c r="CB414" s="10">
        <f>BZ414-CA414</f>
        <v/>
      </c>
      <c r="CC414" s="10">
        <f>MIN('02_Данные'!AK414,CB414)</f>
        <v/>
      </c>
      <c r="CD414" s="10">
        <f>CB414-CC414</f>
        <v/>
      </c>
      <c r="CE414" s="10">
        <f>MIN('02_Данные'!AL414,CD414)</f>
        <v/>
      </c>
      <c r="CF414" s="10">
        <f>CD414-CE414</f>
        <v/>
      </c>
      <c r="CG414" s="10">
        <f>MIN('02_Данные'!AQ414,CF414)</f>
        <v/>
      </c>
      <c r="CH414" s="10">
        <f>CF414-CG414</f>
        <v/>
      </c>
      <c r="CI414" s="10">
        <f>MIN('02_Данные'!AN414,CH414)</f>
        <v/>
      </c>
      <c r="CJ414" s="10">
        <f>CH414-CI414</f>
        <v/>
      </c>
      <c r="CK414" s="10">
        <f>MIN('02_Данные'!AM414,CJ414)</f>
        <v/>
      </c>
      <c r="CL414" s="10">
        <f>CJ414-CK414</f>
        <v/>
      </c>
      <c r="CM414" s="10">
        <f>MIN('02_Данные'!AO414,CL414)</f>
        <v/>
      </c>
      <c r="CN414" s="10">
        <f>CL414-CM414</f>
        <v/>
      </c>
      <c r="CO414" s="10">
        <f>MIN('02_Данные'!AP414,CN414)</f>
        <v/>
      </c>
      <c r="CP414" s="10">
        <f>CN414-CO414</f>
        <v/>
      </c>
      <c r="CQ414" s="10">
        <f>CP414+'02_Данные'!K414</f>
        <v/>
      </c>
      <c r="CR414" s="10">
        <f>MIN('02_Данные'!AR414,CQ414)</f>
        <v/>
      </c>
      <c r="CS414" s="10">
        <f>CQ414-CR414</f>
        <v/>
      </c>
      <c r="CT414" s="10">
        <f>MIN('02_Данные'!AS414,CS414)</f>
        <v/>
      </c>
      <c r="CU414" s="10">
        <f>CS414-CT414</f>
        <v/>
      </c>
      <c r="CV414" s="10">
        <f>MIN('02_Данные'!AT414,CU414)</f>
        <v/>
      </c>
      <c r="CW414" s="10">
        <f>CU414-CV414</f>
        <v/>
      </c>
      <c r="CX414" s="10">
        <f>MIN('02_Данные'!AY414,CW414)</f>
        <v/>
      </c>
      <c r="CY414" s="10">
        <f>CW414-CX414</f>
        <v/>
      </c>
      <c r="CZ414" s="10">
        <f>MIN('02_Данные'!AV414,CY414)</f>
        <v/>
      </c>
      <c r="DA414" s="10">
        <f>CY414-CZ414</f>
        <v/>
      </c>
      <c r="DB414" s="10">
        <f>MIN('02_Данные'!AU414,DA414)</f>
        <v/>
      </c>
      <c r="DC414" s="10">
        <f>DA414-DB414</f>
        <v/>
      </c>
      <c r="DD414" s="10">
        <f>MIN('02_Данные'!AW414,DC414)</f>
        <v/>
      </c>
      <c r="DE414" s="10">
        <f>DC414-DD414</f>
        <v/>
      </c>
      <c r="DF414" s="10">
        <f>MIN('02_Данные'!AX414,DE414)</f>
        <v/>
      </c>
      <c r="DG414" s="10">
        <f>DE414-DF414</f>
        <v/>
      </c>
    </row>
    <row r="415">
      <c r="A415" s="9">
        <f>'02_Данные'!B415</f>
        <v/>
      </c>
      <c r="B415" s="9">
        <f>'02_Данные'!E415</f>
        <v/>
      </c>
      <c r="C415" s="10">
        <f>'02_Данные'!F415+'02_Данные'!G415+'02_Данные'!H415+'02_Данные'!I415+'02_Данные'!J415+'02_Данные'!K415</f>
        <v/>
      </c>
      <c r="D415" s="10">
        <f>SUM('02_Данные'!L415:'02_Данные'!AY415)</f>
        <v/>
      </c>
      <c r="E415" s="10">
        <f>MAX(0,D415-C415)</f>
        <v/>
      </c>
      <c r="F415" s="15">
        <f>IF(E415&gt;0.0001,"ДЕФИЦИТ",IF(Y415&gt;0.0001,"ПРОФИЦИТ","БАЛАНС"))</f>
        <v/>
      </c>
      <c r="G415" s="10">
        <f>AB415+AS415+BJ415+CA415+CR415</f>
        <v/>
      </c>
      <c r="H415" s="10">
        <f>AD415+AU415+BL415+CC415+CT415</f>
        <v/>
      </c>
      <c r="I415" s="10">
        <f>AF415+AW415+BN415+CE415+CV415</f>
        <v/>
      </c>
      <c r="J415" s="10">
        <f>AL415+BC415+BT415+CK415+DB415</f>
        <v/>
      </c>
      <c r="K415" s="10">
        <f>AJ415+BA415+BR415+CI415+CZ415</f>
        <v/>
      </c>
      <c r="L415" s="10">
        <f>AN415+BE415+BV415+CM415+DD415</f>
        <v/>
      </c>
      <c r="M415" s="10">
        <f>AP415+BG415+BX415+CO415+DF415</f>
        <v/>
      </c>
      <c r="N415" s="10">
        <f>AH415+AY415+BP415+CG415+CX415</f>
        <v/>
      </c>
      <c r="O415" s="10">
        <f>SUM(G415:N415)</f>
        <v/>
      </c>
      <c r="P415" s="10">
        <f>IFERROR(G415*MIN(1,'01_Нормативы'!$C$4/SUM(G$2:G$429)),0)</f>
        <v/>
      </c>
      <c r="Q415" s="10">
        <f>IFERROR(H415*MIN(1,'01_Нормативы'!$C$5/SUM(H$2:H$429)),0)</f>
        <v/>
      </c>
      <c r="R415" s="10">
        <f>IFERROR(I415*MIN(1,'01_Нормативы'!$C$6/SUM(I$2:I$429)),0)</f>
        <v/>
      </c>
      <c r="S415" s="10">
        <f>IFERROR(J415*MIN(1,'01_Нормативы'!$C$7/SUM(J$2:J$429)),0)</f>
        <v/>
      </c>
      <c r="T415" s="10">
        <f>IFERROR(K415*MIN(1,'01_Нормативы'!$C$8/SUM(K$2:K$429)),0)</f>
        <v/>
      </c>
      <c r="U415" s="10">
        <f>IFERROR(L415*MIN(1,'01_Нормативы'!$C$9/SUM(L$2:L$429)),0)</f>
        <v/>
      </c>
      <c r="V415" s="10">
        <f>IFERROR(M415*MIN(1,'01_Нормативы'!$C$10/SUM(M$2:M$429)),0)</f>
        <v/>
      </c>
      <c r="W415" s="10">
        <f>IFERROR(N415*MIN(1,'01_Нормативы'!$C$11/SUM(N$2:N$429)),0)</f>
        <v/>
      </c>
      <c r="X415" s="10">
        <f>SUM(P415:W415)</f>
        <v/>
      </c>
      <c r="Y415" s="10">
        <f>MAX(0,C415-X415)</f>
        <v/>
      </c>
      <c r="Z415" s="10">
        <f>IF(D415=0,100,X415/D415*100)</f>
        <v/>
      </c>
      <c r="AA415" s="10">
        <f>'02_Данные'!F415+'02_Данные'!G415</f>
        <v/>
      </c>
      <c r="AB415" s="10">
        <f>MIN('02_Данные'!L415,AA415)</f>
        <v/>
      </c>
      <c r="AC415" s="10">
        <f>AA415-AB415</f>
        <v/>
      </c>
      <c r="AD415" s="10">
        <f>MIN('02_Данные'!M415,AC415)</f>
        <v/>
      </c>
      <c r="AE415" s="10">
        <f>AC415-AD415</f>
        <v/>
      </c>
      <c r="AF415" s="10">
        <f>MIN('02_Данные'!N415,AE415)</f>
        <v/>
      </c>
      <c r="AG415" s="10">
        <f>AE415-AF415</f>
        <v/>
      </c>
      <c r="AH415" s="10">
        <f>MIN('02_Данные'!S415,AG415)</f>
        <v/>
      </c>
      <c r="AI415" s="10">
        <f>AG415-AH415</f>
        <v/>
      </c>
      <c r="AJ415" s="10">
        <f>MIN('02_Данные'!P415,AI415)</f>
        <v/>
      </c>
      <c r="AK415" s="10">
        <f>AI415-AJ415</f>
        <v/>
      </c>
      <c r="AL415" s="10">
        <f>MIN('02_Данные'!O415,AK415)</f>
        <v/>
      </c>
      <c r="AM415" s="10">
        <f>AK415-AL415</f>
        <v/>
      </c>
      <c r="AN415" s="10">
        <f>MIN('02_Данные'!Q415,AM415)</f>
        <v/>
      </c>
      <c r="AO415" s="10">
        <f>AM415-AN415</f>
        <v/>
      </c>
      <c r="AP415" s="10">
        <f>MIN('02_Данные'!R415,AO415)</f>
        <v/>
      </c>
      <c r="AQ415" s="10">
        <f>AO415-AP415</f>
        <v/>
      </c>
      <c r="AR415" s="10">
        <f>AQ415+'02_Данные'!H415</f>
        <v/>
      </c>
      <c r="AS415" s="10">
        <f>MIN('02_Данные'!T415,AR415)</f>
        <v/>
      </c>
      <c r="AT415" s="10">
        <f>AR415-AS415</f>
        <v/>
      </c>
      <c r="AU415" s="10">
        <f>MIN('02_Данные'!U415,AT415)</f>
        <v/>
      </c>
      <c r="AV415" s="10">
        <f>AT415-AU415</f>
        <v/>
      </c>
      <c r="AW415" s="10">
        <f>MIN('02_Данные'!V415,AV415)</f>
        <v/>
      </c>
      <c r="AX415" s="10">
        <f>AV415-AW415</f>
        <v/>
      </c>
      <c r="AY415" s="10">
        <f>MIN('02_Данные'!AA415,AX415)</f>
        <v/>
      </c>
      <c r="AZ415" s="10">
        <f>AX415-AY415</f>
        <v/>
      </c>
      <c r="BA415" s="10">
        <f>MIN('02_Данные'!X415,AZ415)</f>
        <v/>
      </c>
      <c r="BB415" s="10">
        <f>AZ415-BA415</f>
        <v/>
      </c>
      <c r="BC415" s="10">
        <f>MIN('02_Данные'!W415,BB415)</f>
        <v/>
      </c>
      <c r="BD415" s="10">
        <f>BB415-BC415</f>
        <v/>
      </c>
      <c r="BE415" s="10">
        <f>MIN('02_Данные'!Y415,BD415)</f>
        <v/>
      </c>
      <c r="BF415" s="10">
        <f>BD415-BE415</f>
        <v/>
      </c>
      <c r="BG415" s="10">
        <f>MIN('02_Данные'!Z415,BF415)</f>
        <v/>
      </c>
      <c r="BH415" s="10">
        <f>BF415-BG415</f>
        <v/>
      </c>
      <c r="BI415" s="10">
        <f>BH415+'02_Данные'!I415</f>
        <v/>
      </c>
      <c r="BJ415" s="10">
        <f>MIN('02_Данные'!AB415,BI415)</f>
        <v/>
      </c>
      <c r="BK415" s="10">
        <f>BI415-BJ415</f>
        <v/>
      </c>
      <c r="BL415" s="10">
        <f>MIN('02_Данные'!AC415,BK415)</f>
        <v/>
      </c>
      <c r="BM415" s="10">
        <f>BK415-BL415</f>
        <v/>
      </c>
      <c r="BN415" s="10">
        <f>MIN('02_Данные'!AD415,BM415)</f>
        <v/>
      </c>
      <c r="BO415" s="10">
        <f>BM415-BN415</f>
        <v/>
      </c>
      <c r="BP415" s="10">
        <f>MIN('02_Данные'!AI415,BO415)</f>
        <v/>
      </c>
      <c r="BQ415" s="10">
        <f>BO415-BP415</f>
        <v/>
      </c>
      <c r="BR415" s="10">
        <f>MIN('02_Данные'!AF415,BQ415)</f>
        <v/>
      </c>
      <c r="BS415" s="10">
        <f>BQ415-BR415</f>
        <v/>
      </c>
      <c r="BT415" s="10">
        <f>MIN('02_Данные'!AE415,BS415)</f>
        <v/>
      </c>
      <c r="BU415" s="10">
        <f>BS415-BT415</f>
        <v/>
      </c>
      <c r="BV415" s="10">
        <f>MIN('02_Данные'!AG415,BU415)</f>
        <v/>
      </c>
      <c r="BW415" s="10">
        <f>BU415-BV415</f>
        <v/>
      </c>
      <c r="BX415" s="10">
        <f>MIN('02_Данные'!AH415,BW415)</f>
        <v/>
      </c>
      <c r="BY415" s="10">
        <f>BW415-BX415</f>
        <v/>
      </c>
      <c r="BZ415" s="10">
        <f>BY415+'02_Данные'!J415</f>
        <v/>
      </c>
      <c r="CA415" s="10">
        <f>MIN('02_Данные'!AJ415,BZ415)</f>
        <v/>
      </c>
      <c r="CB415" s="10">
        <f>BZ415-CA415</f>
        <v/>
      </c>
      <c r="CC415" s="10">
        <f>MIN('02_Данные'!AK415,CB415)</f>
        <v/>
      </c>
      <c r="CD415" s="10">
        <f>CB415-CC415</f>
        <v/>
      </c>
      <c r="CE415" s="10">
        <f>MIN('02_Данные'!AL415,CD415)</f>
        <v/>
      </c>
      <c r="CF415" s="10">
        <f>CD415-CE415</f>
        <v/>
      </c>
      <c r="CG415" s="10">
        <f>MIN('02_Данные'!AQ415,CF415)</f>
        <v/>
      </c>
      <c r="CH415" s="10">
        <f>CF415-CG415</f>
        <v/>
      </c>
      <c r="CI415" s="10">
        <f>MIN('02_Данные'!AN415,CH415)</f>
        <v/>
      </c>
      <c r="CJ415" s="10">
        <f>CH415-CI415</f>
        <v/>
      </c>
      <c r="CK415" s="10">
        <f>MIN('02_Данные'!AM415,CJ415)</f>
        <v/>
      </c>
      <c r="CL415" s="10">
        <f>CJ415-CK415</f>
        <v/>
      </c>
      <c r="CM415" s="10">
        <f>MIN('02_Данные'!AO415,CL415)</f>
        <v/>
      </c>
      <c r="CN415" s="10">
        <f>CL415-CM415</f>
        <v/>
      </c>
      <c r="CO415" s="10">
        <f>MIN('02_Данные'!AP415,CN415)</f>
        <v/>
      </c>
      <c r="CP415" s="10">
        <f>CN415-CO415</f>
        <v/>
      </c>
      <c r="CQ415" s="10">
        <f>CP415+'02_Данные'!K415</f>
        <v/>
      </c>
      <c r="CR415" s="10">
        <f>MIN('02_Данные'!AR415,CQ415)</f>
        <v/>
      </c>
      <c r="CS415" s="10">
        <f>CQ415-CR415</f>
        <v/>
      </c>
      <c r="CT415" s="10">
        <f>MIN('02_Данные'!AS415,CS415)</f>
        <v/>
      </c>
      <c r="CU415" s="10">
        <f>CS415-CT415</f>
        <v/>
      </c>
      <c r="CV415" s="10">
        <f>MIN('02_Данные'!AT415,CU415)</f>
        <v/>
      </c>
      <c r="CW415" s="10">
        <f>CU415-CV415</f>
        <v/>
      </c>
      <c r="CX415" s="10">
        <f>MIN('02_Данные'!AY415,CW415)</f>
        <v/>
      </c>
      <c r="CY415" s="10">
        <f>CW415-CX415</f>
        <v/>
      </c>
      <c r="CZ415" s="10">
        <f>MIN('02_Данные'!AV415,CY415)</f>
        <v/>
      </c>
      <c r="DA415" s="10">
        <f>CY415-CZ415</f>
        <v/>
      </c>
      <c r="DB415" s="10">
        <f>MIN('02_Данные'!AU415,DA415)</f>
        <v/>
      </c>
      <c r="DC415" s="10">
        <f>DA415-DB415</f>
        <v/>
      </c>
      <c r="DD415" s="10">
        <f>MIN('02_Данные'!AW415,DC415)</f>
        <v/>
      </c>
      <c r="DE415" s="10">
        <f>DC415-DD415</f>
        <v/>
      </c>
      <c r="DF415" s="10">
        <f>MIN('02_Данные'!AX415,DE415)</f>
        <v/>
      </c>
      <c r="DG415" s="10">
        <f>DE415-DF415</f>
        <v/>
      </c>
    </row>
    <row r="416">
      <c r="A416" s="9">
        <f>'02_Данные'!B416</f>
        <v/>
      </c>
      <c r="B416" s="9">
        <f>'02_Данные'!E416</f>
        <v/>
      </c>
      <c r="C416" s="10">
        <f>'02_Данные'!F416+'02_Данные'!G416+'02_Данные'!H416+'02_Данные'!I416+'02_Данные'!J416+'02_Данные'!K416</f>
        <v/>
      </c>
      <c r="D416" s="10">
        <f>SUM('02_Данные'!L416:'02_Данные'!AY416)</f>
        <v/>
      </c>
      <c r="E416" s="10">
        <f>MAX(0,D416-C416)</f>
        <v/>
      </c>
      <c r="F416" s="15">
        <f>IF(E416&gt;0.0001,"ДЕФИЦИТ",IF(Y416&gt;0.0001,"ПРОФИЦИТ","БАЛАНС"))</f>
        <v/>
      </c>
      <c r="G416" s="10">
        <f>AB416+AS416+BJ416+CA416+CR416</f>
        <v/>
      </c>
      <c r="H416" s="10">
        <f>AD416+AU416+BL416+CC416+CT416</f>
        <v/>
      </c>
      <c r="I416" s="10">
        <f>AF416+AW416+BN416+CE416+CV416</f>
        <v/>
      </c>
      <c r="J416" s="10">
        <f>AL416+BC416+BT416+CK416+DB416</f>
        <v/>
      </c>
      <c r="K416" s="10">
        <f>AJ416+BA416+BR416+CI416+CZ416</f>
        <v/>
      </c>
      <c r="L416" s="10">
        <f>AN416+BE416+BV416+CM416+DD416</f>
        <v/>
      </c>
      <c r="M416" s="10">
        <f>AP416+BG416+BX416+CO416+DF416</f>
        <v/>
      </c>
      <c r="N416" s="10">
        <f>AH416+AY416+BP416+CG416+CX416</f>
        <v/>
      </c>
      <c r="O416" s="10">
        <f>SUM(G416:N416)</f>
        <v/>
      </c>
      <c r="P416" s="10">
        <f>IFERROR(G416*MIN(1,'01_Нормативы'!$C$4/SUM(G$2:G$429)),0)</f>
        <v/>
      </c>
      <c r="Q416" s="10">
        <f>IFERROR(H416*MIN(1,'01_Нормативы'!$C$5/SUM(H$2:H$429)),0)</f>
        <v/>
      </c>
      <c r="R416" s="10">
        <f>IFERROR(I416*MIN(1,'01_Нормативы'!$C$6/SUM(I$2:I$429)),0)</f>
        <v/>
      </c>
      <c r="S416" s="10">
        <f>IFERROR(J416*MIN(1,'01_Нормативы'!$C$7/SUM(J$2:J$429)),0)</f>
        <v/>
      </c>
      <c r="T416" s="10">
        <f>IFERROR(K416*MIN(1,'01_Нормативы'!$C$8/SUM(K$2:K$429)),0)</f>
        <v/>
      </c>
      <c r="U416" s="10">
        <f>IFERROR(L416*MIN(1,'01_Нормативы'!$C$9/SUM(L$2:L$429)),0)</f>
        <v/>
      </c>
      <c r="V416" s="10">
        <f>IFERROR(M416*MIN(1,'01_Нормативы'!$C$10/SUM(M$2:M$429)),0)</f>
        <v/>
      </c>
      <c r="W416" s="10">
        <f>IFERROR(N416*MIN(1,'01_Нормативы'!$C$11/SUM(N$2:N$429)),0)</f>
        <v/>
      </c>
      <c r="X416" s="10">
        <f>SUM(P416:W416)</f>
        <v/>
      </c>
      <c r="Y416" s="10">
        <f>MAX(0,C416-X416)</f>
        <v/>
      </c>
      <c r="Z416" s="10">
        <f>IF(D416=0,100,X416/D416*100)</f>
        <v/>
      </c>
      <c r="AA416" s="10">
        <f>'02_Данные'!F416+'02_Данные'!G416</f>
        <v/>
      </c>
      <c r="AB416" s="10">
        <f>MIN('02_Данные'!L416,AA416)</f>
        <v/>
      </c>
      <c r="AC416" s="10">
        <f>AA416-AB416</f>
        <v/>
      </c>
      <c r="AD416" s="10">
        <f>MIN('02_Данные'!M416,AC416)</f>
        <v/>
      </c>
      <c r="AE416" s="10">
        <f>AC416-AD416</f>
        <v/>
      </c>
      <c r="AF416" s="10">
        <f>MIN('02_Данные'!N416,AE416)</f>
        <v/>
      </c>
      <c r="AG416" s="10">
        <f>AE416-AF416</f>
        <v/>
      </c>
      <c r="AH416" s="10">
        <f>MIN('02_Данные'!S416,AG416)</f>
        <v/>
      </c>
      <c r="AI416" s="10">
        <f>AG416-AH416</f>
        <v/>
      </c>
      <c r="AJ416" s="10">
        <f>MIN('02_Данные'!P416,AI416)</f>
        <v/>
      </c>
      <c r="AK416" s="10">
        <f>AI416-AJ416</f>
        <v/>
      </c>
      <c r="AL416" s="10">
        <f>MIN('02_Данные'!O416,AK416)</f>
        <v/>
      </c>
      <c r="AM416" s="10">
        <f>AK416-AL416</f>
        <v/>
      </c>
      <c r="AN416" s="10">
        <f>MIN('02_Данные'!Q416,AM416)</f>
        <v/>
      </c>
      <c r="AO416" s="10">
        <f>AM416-AN416</f>
        <v/>
      </c>
      <c r="AP416" s="10">
        <f>MIN('02_Данные'!R416,AO416)</f>
        <v/>
      </c>
      <c r="AQ416" s="10">
        <f>AO416-AP416</f>
        <v/>
      </c>
      <c r="AR416" s="10">
        <f>AQ416+'02_Данные'!H416</f>
        <v/>
      </c>
      <c r="AS416" s="10">
        <f>MIN('02_Данные'!T416,AR416)</f>
        <v/>
      </c>
      <c r="AT416" s="10">
        <f>AR416-AS416</f>
        <v/>
      </c>
      <c r="AU416" s="10">
        <f>MIN('02_Данные'!U416,AT416)</f>
        <v/>
      </c>
      <c r="AV416" s="10">
        <f>AT416-AU416</f>
        <v/>
      </c>
      <c r="AW416" s="10">
        <f>MIN('02_Данные'!V416,AV416)</f>
        <v/>
      </c>
      <c r="AX416" s="10">
        <f>AV416-AW416</f>
        <v/>
      </c>
      <c r="AY416" s="10">
        <f>MIN('02_Данные'!AA416,AX416)</f>
        <v/>
      </c>
      <c r="AZ416" s="10">
        <f>AX416-AY416</f>
        <v/>
      </c>
      <c r="BA416" s="10">
        <f>MIN('02_Данные'!X416,AZ416)</f>
        <v/>
      </c>
      <c r="BB416" s="10">
        <f>AZ416-BA416</f>
        <v/>
      </c>
      <c r="BC416" s="10">
        <f>MIN('02_Данные'!W416,BB416)</f>
        <v/>
      </c>
      <c r="BD416" s="10">
        <f>BB416-BC416</f>
        <v/>
      </c>
      <c r="BE416" s="10">
        <f>MIN('02_Данные'!Y416,BD416)</f>
        <v/>
      </c>
      <c r="BF416" s="10">
        <f>BD416-BE416</f>
        <v/>
      </c>
      <c r="BG416" s="10">
        <f>MIN('02_Данные'!Z416,BF416)</f>
        <v/>
      </c>
      <c r="BH416" s="10">
        <f>BF416-BG416</f>
        <v/>
      </c>
      <c r="BI416" s="10">
        <f>BH416+'02_Данные'!I416</f>
        <v/>
      </c>
      <c r="BJ416" s="10">
        <f>MIN('02_Данные'!AB416,BI416)</f>
        <v/>
      </c>
      <c r="BK416" s="10">
        <f>BI416-BJ416</f>
        <v/>
      </c>
      <c r="BL416" s="10">
        <f>MIN('02_Данные'!AC416,BK416)</f>
        <v/>
      </c>
      <c r="BM416" s="10">
        <f>BK416-BL416</f>
        <v/>
      </c>
      <c r="BN416" s="10">
        <f>MIN('02_Данные'!AD416,BM416)</f>
        <v/>
      </c>
      <c r="BO416" s="10">
        <f>BM416-BN416</f>
        <v/>
      </c>
      <c r="BP416" s="10">
        <f>MIN('02_Данные'!AI416,BO416)</f>
        <v/>
      </c>
      <c r="BQ416" s="10">
        <f>BO416-BP416</f>
        <v/>
      </c>
      <c r="BR416" s="10">
        <f>MIN('02_Данные'!AF416,BQ416)</f>
        <v/>
      </c>
      <c r="BS416" s="10">
        <f>BQ416-BR416</f>
        <v/>
      </c>
      <c r="BT416" s="10">
        <f>MIN('02_Данные'!AE416,BS416)</f>
        <v/>
      </c>
      <c r="BU416" s="10">
        <f>BS416-BT416</f>
        <v/>
      </c>
      <c r="BV416" s="10">
        <f>MIN('02_Данные'!AG416,BU416)</f>
        <v/>
      </c>
      <c r="BW416" s="10">
        <f>BU416-BV416</f>
        <v/>
      </c>
      <c r="BX416" s="10">
        <f>MIN('02_Данные'!AH416,BW416)</f>
        <v/>
      </c>
      <c r="BY416" s="10">
        <f>BW416-BX416</f>
        <v/>
      </c>
      <c r="BZ416" s="10">
        <f>BY416+'02_Данные'!J416</f>
        <v/>
      </c>
      <c r="CA416" s="10">
        <f>MIN('02_Данные'!AJ416,BZ416)</f>
        <v/>
      </c>
      <c r="CB416" s="10">
        <f>BZ416-CA416</f>
        <v/>
      </c>
      <c r="CC416" s="10">
        <f>MIN('02_Данные'!AK416,CB416)</f>
        <v/>
      </c>
      <c r="CD416" s="10">
        <f>CB416-CC416</f>
        <v/>
      </c>
      <c r="CE416" s="10">
        <f>MIN('02_Данные'!AL416,CD416)</f>
        <v/>
      </c>
      <c r="CF416" s="10">
        <f>CD416-CE416</f>
        <v/>
      </c>
      <c r="CG416" s="10">
        <f>MIN('02_Данные'!AQ416,CF416)</f>
        <v/>
      </c>
      <c r="CH416" s="10">
        <f>CF416-CG416</f>
        <v/>
      </c>
      <c r="CI416" s="10">
        <f>MIN('02_Данные'!AN416,CH416)</f>
        <v/>
      </c>
      <c r="CJ416" s="10">
        <f>CH416-CI416</f>
        <v/>
      </c>
      <c r="CK416" s="10">
        <f>MIN('02_Данные'!AM416,CJ416)</f>
        <v/>
      </c>
      <c r="CL416" s="10">
        <f>CJ416-CK416</f>
        <v/>
      </c>
      <c r="CM416" s="10">
        <f>MIN('02_Данные'!AO416,CL416)</f>
        <v/>
      </c>
      <c r="CN416" s="10">
        <f>CL416-CM416</f>
        <v/>
      </c>
      <c r="CO416" s="10">
        <f>MIN('02_Данные'!AP416,CN416)</f>
        <v/>
      </c>
      <c r="CP416" s="10">
        <f>CN416-CO416</f>
        <v/>
      </c>
      <c r="CQ416" s="10">
        <f>CP416+'02_Данные'!K416</f>
        <v/>
      </c>
      <c r="CR416" s="10">
        <f>MIN('02_Данные'!AR416,CQ416)</f>
        <v/>
      </c>
      <c r="CS416" s="10">
        <f>CQ416-CR416</f>
        <v/>
      </c>
      <c r="CT416" s="10">
        <f>MIN('02_Данные'!AS416,CS416)</f>
        <v/>
      </c>
      <c r="CU416" s="10">
        <f>CS416-CT416</f>
        <v/>
      </c>
      <c r="CV416" s="10">
        <f>MIN('02_Данные'!AT416,CU416)</f>
        <v/>
      </c>
      <c r="CW416" s="10">
        <f>CU416-CV416</f>
        <v/>
      </c>
      <c r="CX416" s="10">
        <f>MIN('02_Данные'!AY416,CW416)</f>
        <v/>
      </c>
      <c r="CY416" s="10">
        <f>CW416-CX416</f>
        <v/>
      </c>
      <c r="CZ416" s="10">
        <f>MIN('02_Данные'!AV416,CY416)</f>
        <v/>
      </c>
      <c r="DA416" s="10">
        <f>CY416-CZ416</f>
        <v/>
      </c>
      <c r="DB416" s="10">
        <f>MIN('02_Данные'!AU416,DA416)</f>
        <v/>
      </c>
      <c r="DC416" s="10">
        <f>DA416-DB416</f>
        <v/>
      </c>
      <c r="DD416" s="10">
        <f>MIN('02_Данные'!AW416,DC416)</f>
        <v/>
      </c>
      <c r="DE416" s="10">
        <f>DC416-DD416</f>
        <v/>
      </c>
      <c r="DF416" s="10">
        <f>MIN('02_Данные'!AX416,DE416)</f>
        <v/>
      </c>
      <c r="DG416" s="10">
        <f>DE416-DF416</f>
        <v/>
      </c>
    </row>
    <row r="417">
      <c r="A417" s="9">
        <f>'02_Данные'!B417</f>
        <v/>
      </c>
      <c r="B417" s="9">
        <f>'02_Данные'!E417</f>
        <v/>
      </c>
      <c r="C417" s="10">
        <f>'02_Данные'!F417+'02_Данные'!G417+'02_Данные'!H417+'02_Данные'!I417+'02_Данные'!J417+'02_Данные'!K417</f>
        <v/>
      </c>
      <c r="D417" s="10">
        <f>SUM('02_Данные'!L417:'02_Данные'!AY417)</f>
        <v/>
      </c>
      <c r="E417" s="10">
        <f>MAX(0,D417-C417)</f>
        <v/>
      </c>
      <c r="F417" s="15">
        <f>IF(E417&gt;0.0001,"ДЕФИЦИТ",IF(Y417&gt;0.0001,"ПРОФИЦИТ","БАЛАНС"))</f>
        <v/>
      </c>
      <c r="G417" s="10">
        <f>AB417+AS417+BJ417+CA417+CR417</f>
        <v/>
      </c>
      <c r="H417" s="10">
        <f>AD417+AU417+BL417+CC417+CT417</f>
        <v/>
      </c>
      <c r="I417" s="10">
        <f>AF417+AW417+BN417+CE417+CV417</f>
        <v/>
      </c>
      <c r="J417" s="10">
        <f>AL417+BC417+BT417+CK417+DB417</f>
        <v/>
      </c>
      <c r="K417" s="10">
        <f>AJ417+BA417+BR417+CI417+CZ417</f>
        <v/>
      </c>
      <c r="L417" s="10">
        <f>AN417+BE417+BV417+CM417+DD417</f>
        <v/>
      </c>
      <c r="M417" s="10">
        <f>AP417+BG417+BX417+CO417+DF417</f>
        <v/>
      </c>
      <c r="N417" s="10">
        <f>AH417+AY417+BP417+CG417+CX417</f>
        <v/>
      </c>
      <c r="O417" s="10">
        <f>SUM(G417:N417)</f>
        <v/>
      </c>
      <c r="P417" s="10">
        <f>IFERROR(G417*MIN(1,'01_Нормативы'!$C$4/SUM(G$2:G$429)),0)</f>
        <v/>
      </c>
      <c r="Q417" s="10">
        <f>IFERROR(H417*MIN(1,'01_Нормативы'!$C$5/SUM(H$2:H$429)),0)</f>
        <v/>
      </c>
      <c r="R417" s="10">
        <f>IFERROR(I417*MIN(1,'01_Нормативы'!$C$6/SUM(I$2:I$429)),0)</f>
        <v/>
      </c>
      <c r="S417" s="10">
        <f>IFERROR(J417*MIN(1,'01_Нормативы'!$C$7/SUM(J$2:J$429)),0)</f>
        <v/>
      </c>
      <c r="T417" s="10">
        <f>IFERROR(K417*MIN(1,'01_Нормативы'!$C$8/SUM(K$2:K$429)),0)</f>
        <v/>
      </c>
      <c r="U417" s="10">
        <f>IFERROR(L417*MIN(1,'01_Нормативы'!$C$9/SUM(L$2:L$429)),0)</f>
        <v/>
      </c>
      <c r="V417" s="10">
        <f>IFERROR(M417*MIN(1,'01_Нормативы'!$C$10/SUM(M$2:M$429)),0)</f>
        <v/>
      </c>
      <c r="W417" s="10">
        <f>IFERROR(N417*MIN(1,'01_Нормативы'!$C$11/SUM(N$2:N$429)),0)</f>
        <v/>
      </c>
      <c r="X417" s="10">
        <f>SUM(P417:W417)</f>
        <v/>
      </c>
      <c r="Y417" s="10">
        <f>MAX(0,C417-X417)</f>
        <v/>
      </c>
      <c r="Z417" s="10">
        <f>IF(D417=0,100,X417/D417*100)</f>
        <v/>
      </c>
      <c r="AA417" s="10">
        <f>'02_Данные'!F417+'02_Данные'!G417</f>
        <v/>
      </c>
      <c r="AB417" s="10">
        <f>MIN('02_Данные'!L417,AA417)</f>
        <v/>
      </c>
      <c r="AC417" s="10">
        <f>AA417-AB417</f>
        <v/>
      </c>
      <c r="AD417" s="10">
        <f>MIN('02_Данные'!M417,AC417)</f>
        <v/>
      </c>
      <c r="AE417" s="10">
        <f>AC417-AD417</f>
        <v/>
      </c>
      <c r="AF417" s="10">
        <f>MIN('02_Данные'!N417,AE417)</f>
        <v/>
      </c>
      <c r="AG417" s="10">
        <f>AE417-AF417</f>
        <v/>
      </c>
      <c r="AH417" s="10">
        <f>MIN('02_Данные'!S417,AG417)</f>
        <v/>
      </c>
      <c r="AI417" s="10">
        <f>AG417-AH417</f>
        <v/>
      </c>
      <c r="AJ417" s="10">
        <f>MIN('02_Данные'!P417,AI417)</f>
        <v/>
      </c>
      <c r="AK417" s="10">
        <f>AI417-AJ417</f>
        <v/>
      </c>
      <c r="AL417" s="10">
        <f>MIN('02_Данные'!O417,AK417)</f>
        <v/>
      </c>
      <c r="AM417" s="10">
        <f>AK417-AL417</f>
        <v/>
      </c>
      <c r="AN417" s="10">
        <f>MIN('02_Данные'!Q417,AM417)</f>
        <v/>
      </c>
      <c r="AO417" s="10">
        <f>AM417-AN417</f>
        <v/>
      </c>
      <c r="AP417" s="10">
        <f>MIN('02_Данные'!R417,AO417)</f>
        <v/>
      </c>
      <c r="AQ417" s="10">
        <f>AO417-AP417</f>
        <v/>
      </c>
      <c r="AR417" s="10">
        <f>AQ417+'02_Данные'!H417</f>
        <v/>
      </c>
      <c r="AS417" s="10">
        <f>MIN('02_Данные'!T417,AR417)</f>
        <v/>
      </c>
      <c r="AT417" s="10">
        <f>AR417-AS417</f>
        <v/>
      </c>
      <c r="AU417" s="10">
        <f>MIN('02_Данные'!U417,AT417)</f>
        <v/>
      </c>
      <c r="AV417" s="10">
        <f>AT417-AU417</f>
        <v/>
      </c>
      <c r="AW417" s="10">
        <f>MIN('02_Данные'!V417,AV417)</f>
        <v/>
      </c>
      <c r="AX417" s="10">
        <f>AV417-AW417</f>
        <v/>
      </c>
      <c r="AY417" s="10">
        <f>MIN('02_Данные'!AA417,AX417)</f>
        <v/>
      </c>
      <c r="AZ417" s="10">
        <f>AX417-AY417</f>
        <v/>
      </c>
      <c r="BA417" s="10">
        <f>MIN('02_Данные'!X417,AZ417)</f>
        <v/>
      </c>
      <c r="BB417" s="10">
        <f>AZ417-BA417</f>
        <v/>
      </c>
      <c r="BC417" s="10">
        <f>MIN('02_Данные'!W417,BB417)</f>
        <v/>
      </c>
      <c r="BD417" s="10">
        <f>BB417-BC417</f>
        <v/>
      </c>
      <c r="BE417" s="10">
        <f>MIN('02_Данные'!Y417,BD417)</f>
        <v/>
      </c>
      <c r="BF417" s="10">
        <f>BD417-BE417</f>
        <v/>
      </c>
      <c r="BG417" s="10">
        <f>MIN('02_Данные'!Z417,BF417)</f>
        <v/>
      </c>
      <c r="BH417" s="10">
        <f>BF417-BG417</f>
        <v/>
      </c>
      <c r="BI417" s="10">
        <f>BH417+'02_Данные'!I417</f>
        <v/>
      </c>
      <c r="BJ417" s="10">
        <f>MIN('02_Данные'!AB417,BI417)</f>
        <v/>
      </c>
      <c r="BK417" s="10">
        <f>BI417-BJ417</f>
        <v/>
      </c>
      <c r="BL417" s="10">
        <f>MIN('02_Данные'!AC417,BK417)</f>
        <v/>
      </c>
      <c r="BM417" s="10">
        <f>BK417-BL417</f>
        <v/>
      </c>
      <c r="BN417" s="10">
        <f>MIN('02_Данные'!AD417,BM417)</f>
        <v/>
      </c>
      <c r="BO417" s="10">
        <f>BM417-BN417</f>
        <v/>
      </c>
      <c r="BP417" s="10">
        <f>MIN('02_Данные'!AI417,BO417)</f>
        <v/>
      </c>
      <c r="BQ417" s="10">
        <f>BO417-BP417</f>
        <v/>
      </c>
      <c r="BR417" s="10">
        <f>MIN('02_Данные'!AF417,BQ417)</f>
        <v/>
      </c>
      <c r="BS417" s="10">
        <f>BQ417-BR417</f>
        <v/>
      </c>
      <c r="BT417" s="10">
        <f>MIN('02_Данные'!AE417,BS417)</f>
        <v/>
      </c>
      <c r="BU417" s="10">
        <f>BS417-BT417</f>
        <v/>
      </c>
      <c r="BV417" s="10">
        <f>MIN('02_Данные'!AG417,BU417)</f>
        <v/>
      </c>
      <c r="BW417" s="10">
        <f>BU417-BV417</f>
        <v/>
      </c>
      <c r="BX417" s="10">
        <f>MIN('02_Данные'!AH417,BW417)</f>
        <v/>
      </c>
      <c r="BY417" s="10">
        <f>BW417-BX417</f>
        <v/>
      </c>
      <c r="BZ417" s="10">
        <f>BY417+'02_Данные'!J417</f>
        <v/>
      </c>
      <c r="CA417" s="10">
        <f>MIN('02_Данные'!AJ417,BZ417)</f>
        <v/>
      </c>
      <c r="CB417" s="10">
        <f>BZ417-CA417</f>
        <v/>
      </c>
      <c r="CC417" s="10">
        <f>MIN('02_Данные'!AK417,CB417)</f>
        <v/>
      </c>
      <c r="CD417" s="10">
        <f>CB417-CC417</f>
        <v/>
      </c>
      <c r="CE417" s="10">
        <f>MIN('02_Данные'!AL417,CD417)</f>
        <v/>
      </c>
      <c r="CF417" s="10">
        <f>CD417-CE417</f>
        <v/>
      </c>
      <c r="CG417" s="10">
        <f>MIN('02_Данные'!AQ417,CF417)</f>
        <v/>
      </c>
      <c r="CH417" s="10">
        <f>CF417-CG417</f>
        <v/>
      </c>
      <c r="CI417" s="10">
        <f>MIN('02_Данные'!AN417,CH417)</f>
        <v/>
      </c>
      <c r="CJ417" s="10">
        <f>CH417-CI417</f>
        <v/>
      </c>
      <c r="CK417" s="10">
        <f>MIN('02_Данные'!AM417,CJ417)</f>
        <v/>
      </c>
      <c r="CL417" s="10">
        <f>CJ417-CK417</f>
        <v/>
      </c>
      <c r="CM417" s="10">
        <f>MIN('02_Данные'!AO417,CL417)</f>
        <v/>
      </c>
      <c r="CN417" s="10">
        <f>CL417-CM417</f>
        <v/>
      </c>
      <c r="CO417" s="10">
        <f>MIN('02_Данные'!AP417,CN417)</f>
        <v/>
      </c>
      <c r="CP417" s="10">
        <f>CN417-CO417</f>
        <v/>
      </c>
      <c r="CQ417" s="10">
        <f>CP417+'02_Данные'!K417</f>
        <v/>
      </c>
      <c r="CR417" s="10">
        <f>MIN('02_Данные'!AR417,CQ417)</f>
        <v/>
      </c>
      <c r="CS417" s="10">
        <f>CQ417-CR417</f>
        <v/>
      </c>
      <c r="CT417" s="10">
        <f>MIN('02_Данные'!AS417,CS417)</f>
        <v/>
      </c>
      <c r="CU417" s="10">
        <f>CS417-CT417</f>
        <v/>
      </c>
      <c r="CV417" s="10">
        <f>MIN('02_Данные'!AT417,CU417)</f>
        <v/>
      </c>
      <c r="CW417" s="10">
        <f>CU417-CV417</f>
        <v/>
      </c>
      <c r="CX417" s="10">
        <f>MIN('02_Данные'!AY417,CW417)</f>
        <v/>
      </c>
      <c r="CY417" s="10">
        <f>CW417-CX417</f>
        <v/>
      </c>
      <c r="CZ417" s="10">
        <f>MIN('02_Данные'!AV417,CY417)</f>
        <v/>
      </c>
      <c r="DA417" s="10">
        <f>CY417-CZ417</f>
        <v/>
      </c>
      <c r="DB417" s="10">
        <f>MIN('02_Данные'!AU417,DA417)</f>
        <v/>
      </c>
      <c r="DC417" s="10">
        <f>DA417-DB417</f>
        <v/>
      </c>
      <c r="DD417" s="10">
        <f>MIN('02_Данные'!AW417,DC417)</f>
        <v/>
      </c>
      <c r="DE417" s="10">
        <f>DC417-DD417</f>
        <v/>
      </c>
      <c r="DF417" s="10">
        <f>MIN('02_Данные'!AX417,DE417)</f>
        <v/>
      </c>
      <c r="DG417" s="10">
        <f>DE417-DF417</f>
        <v/>
      </c>
    </row>
    <row r="418">
      <c r="A418" s="9">
        <f>'02_Данные'!B418</f>
        <v/>
      </c>
      <c r="B418" s="9">
        <f>'02_Данные'!E418</f>
        <v/>
      </c>
      <c r="C418" s="10">
        <f>'02_Данные'!F418+'02_Данные'!G418+'02_Данные'!H418+'02_Данные'!I418+'02_Данные'!J418+'02_Данные'!K418</f>
        <v/>
      </c>
      <c r="D418" s="10">
        <f>SUM('02_Данные'!L418:'02_Данные'!AY418)</f>
        <v/>
      </c>
      <c r="E418" s="10">
        <f>MAX(0,D418-C418)</f>
        <v/>
      </c>
      <c r="F418" s="15">
        <f>IF(E418&gt;0.0001,"ДЕФИЦИТ",IF(Y418&gt;0.0001,"ПРОФИЦИТ","БАЛАНС"))</f>
        <v/>
      </c>
      <c r="G418" s="10">
        <f>AB418+AS418+BJ418+CA418+CR418</f>
        <v/>
      </c>
      <c r="H418" s="10">
        <f>AD418+AU418+BL418+CC418+CT418</f>
        <v/>
      </c>
      <c r="I418" s="10">
        <f>AF418+AW418+BN418+CE418+CV418</f>
        <v/>
      </c>
      <c r="J418" s="10">
        <f>AL418+BC418+BT418+CK418+DB418</f>
        <v/>
      </c>
      <c r="K418" s="10">
        <f>AJ418+BA418+BR418+CI418+CZ418</f>
        <v/>
      </c>
      <c r="L418" s="10">
        <f>AN418+BE418+BV418+CM418+DD418</f>
        <v/>
      </c>
      <c r="M418" s="10">
        <f>AP418+BG418+BX418+CO418+DF418</f>
        <v/>
      </c>
      <c r="N418" s="10">
        <f>AH418+AY418+BP418+CG418+CX418</f>
        <v/>
      </c>
      <c r="O418" s="10">
        <f>SUM(G418:N418)</f>
        <v/>
      </c>
      <c r="P418" s="10">
        <f>IFERROR(G418*MIN(1,'01_Нормативы'!$C$4/SUM(G$2:G$429)),0)</f>
        <v/>
      </c>
      <c r="Q418" s="10">
        <f>IFERROR(H418*MIN(1,'01_Нормативы'!$C$5/SUM(H$2:H$429)),0)</f>
        <v/>
      </c>
      <c r="R418" s="10">
        <f>IFERROR(I418*MIN(1,'01_Нормативы'!$C$6/SUM(I$2:I$429)),0)</f>
        <v/>
      </c>
      <c r="S418" s="10">
        <f>IFERROR(J418*MIN(1,'01_Нормативы'!$C$7/SUM(J$2:J$429)),0)</f>
        <v/>
      </c>
      <c r="T418" s="10">
        <f>IFERROR(K418*MIN(1,'01_Нормативы'!$C$8/SUM(K$2:K$429)),0)</f>
        <v/>
      </c>
      <c r="U418" s="10">
        <f>IFERROR(L418*MIN(1,'01_Нормативы'!$C$9/SUM(L$2:L$429)),0)</f>
        <v/>
      </c>
      <c r="V418" s="10">
        <f>IFERROR(M418*MIN(1,'01_Нормативы'!$C$10/SUM(M$2:M$429)),0)</f>
        <v/>
      </c>
      <c r="W418" s="10">
        <f>IFERROR(N418*MIN(1,'01_Нормативы'!$C$11/SUM(N$2:N$429)),0)</f>
        <v/>
      </c>
      <c r="X418" s="10">
        <f>SUM(P418:W418)</f>
        <v/>
      </c>
      <c r="Y418" s="10">
        <f>MAX(0,C418-X418)</f>
        <v/>
      </c>
      <c r="Z418" s="10">
        <f>IF(D418=0,100,X418/D418*100)</f>
        <v/>
      </c>
      <c r="AA418" s="10">
        <f>'02_Данные'!F418+'02_Данные'!G418</f>
        <v/>
      </c>
      <c r="AB418" s="10">
        <f>MIN('02_Данные'!L418,AA418)</f>
        <v/>
      </c>
      <c r="AC418" s="10">
        <f>AA418-AB418</f>
        <v/>
      </c>
      <c r="AD418" s="10">
        <f>MIN('02_Данные'!M418,AC418)</f>
        <v/>
      </c>
      <c r="AE418" s="10">
        <f>AC418-AD418</f>
        <v/>
      </c>
      <c r="AF418" s="10">
        <f>MIN('02_Данные'!N418,AE418)</f>
        <v/>
      </c>
      <c r="AG418" s="10">
        <f>AE418-AF418</f>
        <v/>
      </c>
      <c r="AH418" s="10">
        <f>MIN('02_Данные'!S418,AG418)</f>
        <v/>
      </c>
      <c r="AI418" s="10">
        <f>AG418-AH418</f>
        <v/>
      </c>
      <c r="AJ418" s="10">
        <f>MIN('02_Данные'!P418,AI418)</f>
        <v/>
      </c>
      <c r="AK418" s="10">
        <f>AI418-AJ418</f>
        <v/>
      </c>
      <c r="AL418" s="10">
        <f>MIN('02_Данные'!O418,AK418)</f>
        <v/>
      </c>
      <c r="AM418" s="10">
        <f>AK418-AL418</f>
        <v/>
      </c>
      <c r="AN418" s="10">
        <f>MIN('02_Данные'!Q418,AM418)</f>
        <v/>
      </c>
      <c r="AO418" s="10">
        <f>AM418-AN418</f>
        <v/>
      </c>
      <c r="AP418" s="10">
        <f>MIN('02_Данные'!R418,AO418)</f>
        <v/>
      </c>
      <c r="AQ418" s="10">
        <f>AO418-AP418</f>
        <v/>
      </c>
      <c r="AR418" s="10">
        <f>AQ418+'02_Данные'!H418</f>
        <v/>
      </c>
      <c r="AS418" s="10">
        <f>MIN('02_Данные'!T418,AR418)</f>
        <v/>
      </c>
      <c r="AT418" s="10">
        <f>AR418-AS418</f>
        <v/>
      </c>
      <c r="AU418" s="10">
        <f>MIN('02_Данные'!U418,AT418)</f>
        <v/>
      </c>
      <c r="AV418" s="10">
        <f>AT418-AU418</f>
        <v/>
      </c>
      <c r="AW418" s="10">
        <f>MIN('02_Данные'!V418,AV418)</f>
        <v/>
      </c>
      <c r="AX418" s="10">
        <f>AV418-AW418</f>
        <v/>
      </c>
      <c r="AY418" s="10">
        <f>MIN('02_Данные'!AA418,AX418)</f>
        <v/>
      </c>
      <c r="AZ418" s="10">
        <f>AX418-AY418</f>
        <v/>
      </c>
      <c r="BA418" s="10">
        <f>MIN('02_Данные'!X418,AZ418)</f>
        <v/>
      </c>
      <c r="BB418" s="10">
        <f>AZ418-BA418</f>
        <v/>
      </c>
      <c r="BC418" s="10">
        <f>MIN('02_Данные'!W418,BB418)</f>
        <v/>
      </c>
      <c r="BD418" s="10">
        <f>BB418-BC418</f>
        <v/>
      </c>
      <c r="BE418" s="10">
        <f>MIN('02_Данные'!Y418,BD418)</f>
        <v/>
      </c>
      <c r="BF418" s="10">
        <f>BD418-BE418</f>
        <v/>
      </c>
      <c r="BG418" s="10">
        <f>MIN('02_Данные'!Z418,BF418)</f>
        <v/>
      </c>
      <c r="BH418" s="10">
        <f>BF418-BG418</f>
        <v/>
      </c>
      <c r="BI418" s="10">
        <f>BH418+'02_Данные'!I418</f>
        <v/>
      </c>
      <c r="BJ418" s="10">
        <f>MIN('02_Данные'!AB418,BI418)</f>
        <v/>
      </c>
      <c r="BK418" s="10">
        <f>BI418-BJ418</f>
        <v/>
      </c>
      <c r="BL418" s="10">
        <f>MIN('02_Данные'!AC418,BK418)</f>
        <v/>
      </c>
      <c r="BM418" s="10">
        <f>BK418-BL418</f>
        <v/>
      </c>
      <c r="BN418" s="10">
        <f>MIN('02_Данные'!AD418,BM418)</f>
        <v/>
      </c>
      <c r="BO418" s="10">
        <f>BM418-BN418</f>
        <v/>
      </c>
      <c r="BP418" s="10">
        <f>MIN('02_Данные'!AI418,BO418)</f>
        <v/>
      </c>
      <c r="BQ418" s="10">
        <f>BO418-BP418</f>
        <v/>
      </c>
      <c r="BR418" s="10">
        <f>MIN('02_Данные'!AF418,BQ418)</f>
        <v/>
      </c>
      <c r="BS418" s="10">
        <f>BQ418-BR418</f>
        <v/>
      </c>
      <c r="BT418" s="10">
        <f>MIN('02_Данные'!AE418,BS418)</f>
        <v/>
      </c>
      <c r="BU418" s="10">
        <f>BS418-BT418</f>
        <v/>
      </c>
      <c r="BV418" s="10">
        <f>MIN('02_Данные'!AG418,BU418)</f>
        <v/>
      </c>
      <c r="BW418" s="10">
        <f>BU418-BV418</f>
        <v/>
      </c>
      <c r="BX418" s="10">
        <f>MIN('02_Данные'!AH418,BW418)</f>
        <v/>
      </c>
      <c r="BY418" s="10">
        <f>BW418-BX418</f>
        <v/>
      </c>
      <c r="BZ418" s="10">
        <f>BY418+'02_Данные'!J418</f>
        <v/>
      </c>
      <c r="CA418" s="10">
        <f>MIN('02_Данные'!AJ418,BZ418)</f>
        <v/>
      </c>
      <c r="CB418" s="10">
        <f>BZ418-CA418</f>
        <v/>
      </c>
      <c r="CC418" s="10">
        <f>MIN('02_Данные'!AK418,CB418)</f>
        <v/>
      </c>
      <c r="CD418" s="10">
        <f>CB418-CC418</f>
        <v/>
      </c>
      <c r="CE418" s="10">
        <f>MIN('02_Данные'!AL418,CD418)</f>
        <v/>
      </c>
      <c r="CF418" s="10">
        <f>CD418-CE418</f>
        <v/>
      </c>
      <c r="CG418" s="10">
        <f>MIN('02_Данные'!AQ418,CF418)</f>
        <v/>
      </c>
      <c r="CH418" s="10">
        <f>CF418-CG418</f>
        <v/>
      </c>
      <c r="CI418" s="10">
        <f>MIN('02_Данные'!AN418,CH418)</f>
        <v/>
      </c>
      <c r="CJ418" s="10">
        <f>CH418-CI418</f>
        <v/>
      </c>
      <c r="CK418" s="10">
        <f>MIN('02_Данные'!AM418,CJ418)</f>
        <v/>
      </c>
      <c r="CL418" s="10">
        <f>CJ418-CK418</f>
        <v/>
      </c>
      <c r="CM418" s="10">
        <f>MIN('02_Данные'!AO418,CL418)</f>
        <v/>
      </c>
      <c r="CN418" s="10">
        <f>CL418-CM418</f>
        <v/>
      </c>
      <c r="CO418" s="10">
        <f>MIN('02_Данные'!AP418,CN418)</f>
        <v/>
      </c>
      <c r="CP418" s="10">
        <f>CN418-CO418</f>
        <v/>
      </c>
      <c r="CQ418" s="10">
        <f>CP418+'02_Данные'!K418</f>
        <v/>
      </c>
      <c r="CR418" s="10">
        <f>MIN('02_Данные'!AR418,CQ418)</f>
        <v/>
      </c>
      <c r="CS418" s="10">
        <f>CQ418-CR418</f>
        <v/>
      </c>
      <c r="CT418" s="10">
        <f>MIN('02_Данные'!AS418,CS418)</f>
        <v/>
      </c>
      <c r="CU418" s="10">
        <f>CS418-CT418</f>
        <v/>
      </c>
      <c r="CV418" s="10">
        <f>MIN('02_Данные'!AT418,CU418)</f>
        <v/>
      </c>
      <c r="CW418" s="10">
        <f>CU418-CV418</f>
        <v/>
      </c>
      <c r="CX418" s="10">
        <f>MIN('02_Данные'!AY418,CW418)</f>
        <v/>
      </c>
      <c r="CY418" s="10">
        <f>CW418-CX418</f>
        <v/>
      </c>
      <c r="CZ418" s="10">
        <f>MIN('02_Данные'!AV418,CY418)</f>
        <v/>
      </c>
      <c r="DA418" s="10">
        <f>CY418-CZ418</f>
        <v/>
      </c>
      <c r="DB418" s="10">
        <f>MIN('02_Данные'!AU418,DA418)</f>
        <v/>
      </c>
      <c r="DC418" s="10">
        <f>DA418-DB418</f>
        <v/>
      </c>
      <c r="DD418" s="10">
        <f>MIN('02_Данные'!AW418,DC418)</f>
        <v/>
      </c>
      <c r="DE418" s="10">
        <f>DC418-DD418</f>
        <v/>
      </c>
      <c r="DF418" s="10">
        <f>MIN('02_Данные'!AX418,DE418)</f>
        <v/>
      </c>
      <c r="DG418" s="10">
        <f>DE418-DF418</f>
        <v/>
      </c>
    </row>
    <row r="419">
      <c r="A419" s="9">
        <f>'02_Данные'!B419</f>
        <v/>
      </c>
      <c r="B419" s="9">
        <f>'02_Данные'!E419</f>
        <v/>
      </c>
      <c r="C419" s="10">
        <f>'02_Данные'!F419+'02_Данные'!G419+'02_Данные'!H419+'02_Данные'!I419+'02_Данные'!J419+'02_Данные'!K419</f>
        <v/>
      </c>
      <c r="D419" s="10">
        <f>SUM('02_Данные'!L419:'02_Данные'!AY419)</f>
        <v/>
      </c>
      <c r="E419" s="10">
        <f>MAX(0,D419-C419)</f>
        <v/>
      </c>
      <c r="F419" s="15">
        <f>IF(E419&gt;0.0001,"ДЕФИЦИТ",IF(Y419&gt;0.0001,"ПРОФИЦИТ","БАЛАНС"))</f>
        <v/>
      </c>
      <c r="G419" s="10">
        <f>AB419+AS419+BJ419+CA419+CR419</f>
        <v/>
      </c>
      <c r="H419" s="10">
        <f>AD419+AU419+BL419+CC419+CT419</f>
        <v/>
      </c>
      <c r="I419" s="10">
        <f>AF419+AW419+BN419+CE419+CV419</f>
        <v/>
      </c>
      <c r="J419" s="10">
        <f>AL419+BC419+BT419+CK419+DB419</f>
        <v/>
      </c>
      <c r="K419" s="10">
        <f>AJ419+BA419+BR419+CI419+CZ419</f>
        <v/>
      </c>
      <c r="L419" s="10">
        <f>AN419+BE419+BV419+CM419+DD419</f>
        <v/>
      </c>
      <c r="M419" s="10">
        <f>AP419+BG419+BX419+CO419+DF419</f>
        <v/>
      </c>
      <c r="N419" s="10">
        <f>AH419+AY419+BP419+CG419+CX419</f>
        <v/>
      </c>
      <c r="O419" s="10">
        <f>SUM(G419:N419)</f>
        <v/>
      </c>
      <c r="P419" s="10">
        <f>IFERROR(G419*MIN(1,'01_Нормативы'!$C$4/SUM(G$2:G$429)),0)</f>
        <v/>
      </c>
      <c r="Q419" s="10">
        <f>IFERROR(H419*MIN(1,'01_Нормативы'!$C$5/SUM(H$2:H$429)),0)</f>
        <v/>
      </c>
      <c r="R419" s="10">
        <f>IFERROR(I419*MIN(1,'01_Нормативы'!$C$6/SUM(I$2:I$429)),0)</f>
        <v/>
      </c>
      <c r="S419" s="10">
        <f>IFERROR(J419*MIN(1,'01_Нормативы'!$C$7/SUM(J$2:J$429)),0)</f>
        <v/>
      </c>
      <c r="T419" s="10">
        <f>IFERROR(K419*MIN(1,'01_Нормативы'!$C$8/SUM(K$2:K$429)),0)</f>
        <v/>
      </c>
      <c r="U419" s="10">
        <f>IFERROR(L419*MIN(1,'01_Нормативы'!$C$9/SUM(L$2:L$429)),0)</f>
        <v/>
      </c>
      <c r="V419" s="10">
        <f>IFERROR(M419*MIN(1,'01_Нормативы'!$C$10/SUM(M$2:M$429)),0)</f>
        <v/>
      </c>
      <c r="W419" s="10">
        <f>IFERROR(N419*MIN(1,'01_Нормативы'!$C$11/SUM(N$2:N$429)),0)</f>
        <v/>
      </c>
      <c r="X419" s="10">
        <f>SUM(P419:W419)</f>
        <v/>
      </c>
      <c r="Y419" s="10">
        <f>MAX(0,C419-X419)</f>
        <v/>
      </c>
      <c r="Z419" s="10">
        <f>IF(D419=0,100,X419/D419*100)</f>
        <v/>
      </c>
      <c r="AA419" s="10">
        <f>'02_Данные'!F419+'02_Данные'!G419</f>
        <v/>
      </c>
      <c r="AB419" s="10">
        <f>MIN('02_Данные'!L419,AA419)</f>
        <v/>
      </c>
      <c r="AC419" s="10">
        <f>AA419-AB419</f>
        <v/>
      </c>
      <c r="AD419" s="10">
        <f>MIN('02_Данные'!M419,AC419)</f>
        <v/>
      </c>
      <c r="AE419" s="10">
        <f>AC419-AD419</f>
        <v/>
      </c>
      <c r="AF419" s="10">
        <f>MIN('02_Данные'!N419,AE419)</f>
        <v/>
      </c>
      <c r="AG419" s="10">
        <f>AE419-AF419</f>
        <v/>
      </c>
      <c r="AH419" s="10">
        <f>MIN('02_Данные'!S419,AG419)</f>
        <v/>
      </c>
      <c r="AI419" s="10">
        <f>AG419-AH419</f>
        <v/>
      </c>
      <c r="AJ419" s="10">
        <f>MIN('02_Данные'!P419,AI419)</f>
        <v/>
      </c>
      <c r="AK419" s="10">
        <f>AI419-AJ419</f>
        <v/>
      </c>
      <c r="AL419" s="10">
        <f>MIN('02_Данные'!O419,AK419)</f>
        <v/>
      </c>
      <c r="AM419" s="10">
        <f>AK419-AL419</f>
        <v/>
      </c>
      <c r="AN419" s="10">
        <f>MIN('02_Данные'!Q419,AM419)</f>
        <v/>
      </c>
      <c r="AO419" s="10">
        <f>AM419-AN419</f>
        <v/>
      </c>
      <c r="AP419" s="10">
        <f>MIN('02_Данные'!R419,AO419)</f>
        <v/>
      </c>
      <c r="AQ419" s="10">
        <f>AO419-AP419</f>
        <v/>
      </c>
      <c r="AR419" s="10">
        <f>AQ419+'02_Данные'!H419</f>
        <v/>
      </c>
      <c r="AS419" s="10">
        <f>MIN('02_Данные'!T419,AR419)</f>
        <v/>
      </c>
      <c r="AT419" s="10">
        <f>AR419-AS419</f>
        <v/>
      </c>
      <c r="AU419" s="10">
        <f>MIN('02_Данные'!U419,AT419)</f>
        <v/>
      </c>
      <c r="AV419" s="10">
        <f>AT419-AU419</f>
        <v/>
      </c>
      <c r="AW419" s="10">
        <f>MIN('02_Данные'!V419,AV419)</f>
        <v/>
      </c>
      <c r="AX419" s="10">
        <f>AV419-AW419</f>
        <v/>
      </c>
      <c r="AY419" s="10">
        <f>MIN('02_Данные'!AA419,AX419)</f>
        <v/>
      </c>
      <c r="AZ419" s="10">
        <f>AX419-AY419</f>
        <v/>
      </c>
      <c r="BA419" s="10">
        <f>MIN('02_Данные'!X419,AZ419)</f>
        <v/>
      </c>
      <c r="BB419" s="10">
        <f>AZ419-BA419</f>
        <v/>
      </c>
      <c r="BC419" s="10">
        <f>MIN('02_Данные'!W419,BB419)</f>
        <v/>
      </c>
      <c r="BD419" s="10">
        <f>BB419-BC419</f>
        <v/>
      </c>
      <c r="BE419" s="10">
        <f>MIN('02_Данные'!Y419,BD419)</f>
        <v/>
      </c>
      <c r="BF419" s="10">
        <f>BD419-BE419</f>
        <v/>
      </c>
      <c r="BG419" s="10">
        <f>MIN('02_Данные'!Z419,BF419)</f>
        <v/>
      </c>
      <c r="BH419" s="10">
        <f>BF419-BG419</f>
        <v/>
      </c>
      <c r="BI419" s="10">
        <f>BH419+'02_Данные'!I419</f>
        <v/>
      </c>
      <c r="BJ419" s="10">
        <f>MIN('02_Данные'!AB419,BI419)</f>
        <v/>
      </c>
      <c r="BK419" s="10">
        <f>BI419-BJ419</f>
        <v/>
      </c>
      <c r="BL419" s="10">
        <f>MIN('02_Данные'!AC419,BK419)</f>
        <v/>
      </c>
      <c r="BM419" s="10">
        <f>BK419-BL419</f>
        <v/>
      </c>
      <c r="BN419" s="10">
        <f>MIN('02_Данные'!AD419,BM419)</f>
        <v/>
      </c>
      <c r="BO419" s="10">
        <f>BM419-BN419</f>
        <v/>
      </c>
      <c r="BP419" s="10">
        <f>MIN('02_Данные'!AI419,BO419)</f>
        <v/>
      </c>
      <c r="BQ419" s="10">
        <f>BO419-BP419</f>
        <v/>
      </c>
      <c r="BR419" s="10">
        <f>MIN('02_Данные'!AF419,BQ419)</f>
        <v/>
      </c>
      <c r="BS419" s="10">
        <f>BQ419-BR419</f>
        <v/>
      </c>
      <c r="BT419" s="10">
        <f>MIN('02_Данные'!AE419,BS419)</f>
        <v/>
      </c>
      <c r="BU419" s="10">
        <f>BS419-BT419</f>
        <v/>
      </c>
      <c r="BV419" s="10">
        <f>MIN('02_Данные'!AG419,BU419)</f>
        <v/>
      </c>
      <c r="BW419" s="10">
        <f>BU419-BV419</f>
        <v/>
      </c>
      <c r="BX419" s="10">
        <f>MIN('02_Данные'!AH419,BW419)</f>
        <v/>
      </c>
      <c r="BY419" s="10">
        <f>BW419-BX419</f>
        <v/>
      </c>
      <c r="BZ419" s="10">
        <f>BY419+'02_Данные'!J419</f>
        <v/>
      </c>
      <c r="CA419" s="10">
        <f>MIN('02_Данные'!AJ419,BZ419)</f>
        <v/>
      </c>
      <c r="CB419" s="10">
        <f>BZ419-CA419</f>
        <v/>
      </c>
      <c r="CC419" s="10">
        <f>MIN('02_Данные'!AK419,CB419)</f>
        <v/>
      </c>
      <c r="CD419" s="10">
        <f>CB419-CC419</f>
        <v/>
      </c>
      <c r="CE419" s="10">
        <f>MIN('02_Данные'!AL419,CD419)</f>
        <v/>
      </c>
      <c r="CF419" s="10">
        <f>CD419-CE419</f>
        <v/>
      </c>
      <c r="CG419" s="10">
        <f>MIN('02_Данные'!AQ419,CF419)</f>
        <v/>
      </c>
      <c r="CH419" s="10">
        <f>CF419-CG419</f>
        <v/>
      </c>
      <c r="CI419" s="10">
        <f>MIN('02_Данные'!AN419,CH419)</f>
        <v/>
      </c>
      <c r="CJ419" s="10">
        <f>CH419-CI419</f>
        <v/>
      </c>
      <c r="CK419" s="10">
        <f>MIN('02_Данные'!AM419,CJ419)</f>
        <v/>
      </c>
      <c r="CL419" s="10">
        <f>CJ419-CK419</f>
        <v/>
      </c>
      <c r="CM419" s="10">
        <f>MIN('02_Данные'!AO419,CL419)</f>
        <v/>
      </c>
      <c r="CN419" s="10">
        <f>CL419-CM419</f>
        <v/>
      </c>
      <c r="CO419" s="10">
        <f>MIN('02_Данные'!AP419,CN419)</f>
        <v/>
      </c>
      <c r="CP419" s="10">
        <f>CN419-CO419</f>
        <v/>
      </c>
      <c r="CQ419" s="10">
        <f>CP419+'02_Данные'!K419</f>
        <v/>
      </c>
      <c r="CR419" s="10">
        <f>MIN('02_Данные'!AR419,CQ419)</f>
        <v/>
      </c>
      <c r="CS419" s="10">
        <f>CQ419-CR419</f>
        <v/>
      </c>
      <c r="CT419" s="10">
        <f>MIN('02_Данные'!AS419,CS419)</f>
        <v/>
      </c>
      <c r="CU419" s="10">
        <f>CS419-CT419</f>
        <v/>
      </c>
      <c r="CV419" s="10">
        <f>MIN('02_Данные'!AT419,CU419)</f>
        <v/>
      </c>
      <c r="CW419" s="10">
        <f>CU419-CV419</f>
        <v/>
      </c>
      <c r="CX419" s="10">
        <f>MIN('02_Данные'!AY419,CW419)</f>
        <v/>
      </c>
      <c r="CY419" s="10">
        <f>CW419-CX419</f>
        <v/>
      </c>
      <c r="CZ419" s="10">
        <f>MIN('02_Данные'!AV419,CY419)</f>
        <v/>
      </c>
      <c r="DA419" s="10">
        <f>CY419-CZ419</f>
        <v/>
      </c>
      <c r="DB419" s="10">
        <f>MIN('02_Данные'!AU419,DA419)</f>
        <v/>
      </c>
      <c r="DC419" s="10">
        <f>DA419-DB419</f>
        <v/>
      </c>
      <c r="DD419" s="10">
        <f>MIN('02_Данные'!AW419,DC419)</f>
        <v/>
      </c>
      <c r="DE419" s="10">
        <f>DC419-DD419</f>
        <v/>
      </c>
      <c r="DF419" s="10">
        <f>MIN('02_Данные'!AX419,DE419)</f>
        <v/>
      </c>
      <c r="DG419" s="10">
        <f>DE419-DF419</f>
        <v/>
      </c>
    </row>
    <row r="420">
      <c r="A420" s="9">
        <f>'02_Данные'!B420</f>
        <v/>
      </c>
      <c r="B420" s="9">
        <f>'02_Данные'!E420</f>
        <v/>
      </c>
      <c r="C420" s="10">
        <f>'02_Данные'!F420+'02_Данные'!G420+'02_Данные'!H420+'02_Данные'!I420+'02_Данные'!J420+'02_Данные'!K420</f>
        <v/>
      </c>
      <c r="D420" s="10">
        <f>SUM('02_Данные'!L420:'02_Данные'!AY420)</f>
        <v/>
      </c>
      <c r="E420" s="10">
        <f>MAX(0,D420-C420)</f>
        <v/>
      </c>
      <c r="F420" s="15">
        <f>IF(E420&gt;0.0001,"ДЕФИЦИТ",IF(Y420&gt;0.0001,"ПРОФИЦИТ","БАЛАНС"))</f>
        <v/>
      </c>
      <c r="G420" s="10">
        <f>AB420+AS420+BJ420+CA420+CR420</f>
        <v/>
      </c>
      <c r="H420" s="10">
        <f>AD420+AU420+BL420+CC420+CT420</f>
        <v/>
      </c>
      <c r="I420" s="10">
        <f>AF420+AW420+BN420+CE420+CV420</f>
        <v/>
      </c>
      <c r="J420" s="10">
        <f>AL420+BC420+BT420+CK420+DB420</f>
        <v/>
      </c>
      <c r="K420" s="10">
        <f>AJ420+BA420+BR420+CI420+CZ420</f>
        <v/>
      </c>
      <c r="L420" s="10">
        <f>AN420+BE420+BV420+CM420+DD420</f>
        <v/>
      </c>
      <c r="M420" s="10">
        <f>AP420+BG420+BX420+CO420+DF420</f>
        <v/>
      </c>
      <c r="N420" s="10">
        <f>AH420+AY420+BP420+CG420+CX420</f>
        <v/>
      </c>
      <c r="O420" s="10">
        <f>SUM(G420:N420)</f>
        <v/>
      </c>
      <c r="P420" s="10">
        <f>IFERROR(G420*MIN(1,'01_Нормативы'!$C$4/SUM(G$2:G$429)),0)</f>
        <v/>
      </c>
      <c r="Q420" s="10">
        <f>IFERROR(H420*MIN(1,'01_Нормативы'!$C$5/SUM(H$2:H$429)),0)</f>
        <v/>
      </c>
      <c r="R420" s="10">
        <f>IFERROR(I420*MIN(1,'01_Нормативы'!$C$6/SUM(I$2:I$429)),0)</f>
        <v/>
      </c>
      <c r="S420" s="10">
        <f>IFERROR(J420*MIN(1,'01_Нормативы'!$C$7/SUM(J$2:J$429)),0)</f>
        <v/>
      </c>
      <c r="T420" s="10">
        <f>IFERROR(K420*MIN(1,'01_Нормативы'!$C$8/SUM(K$2:K$429)),0)</f>
        <v/>
      </c>
      <c r="U420" s="10">
        <f>IFERROR(L420*MIN(1,'01_Нормативы'!$C$9/SUM(L$2:L$429)),0)</f>
        <v/>
      </c>
      <c r="V420" s="10">
        <f>IFERROR(M420*MIN(1,'01_Нормативы'!$C$10/SUM(M$2:M$429)),0)</f>
        <v/>
      </c>
      <c r="W420" s="10">
        <f>IFERROR(N420*MIN(1,'01_Нормативы'!$C$11/SUM(N$2:N$429)),0)</f>
        <v/>
      </c>
      <c r="X420" s="10">
        <f>SUM(P420:W420)</f>
        <v/>
      </c>
      <c r="Y420" s="10">
        <f>MAX(0,C420-X420)</f>
        <v/>
      </c>
      <c r="Z420" s="10">
        <f>IF(D420=0,100,X420/D420*100)</f>
        <v/>
      </c>
      <c r="AA420" s="10">
        <f>'02_Данные'!F420+'02_Данные'!G420</f>
        <v/>
      </c>
      <c r="AB420" s="10">
        <f>MIN('02_Данные'!L420,AA420)</f>
        <v/>
      </c>
      <c r="AC420" s="10">
        <f>AA420-AB420</f>
        <v/>
      </c>
      <c r="AD420" s="10">
        <f>MIN('02_Данные'!M420,AC420)</f>
        <v/>
      </c>
      <c r="AE420" s="10">
        <f>AC420-AD420</f>
        <v/>
      </c>
      <c r="AF420" s="10">
        <f>MIN('02_Данные'!N420,AE420)</f>
        <v/>
      </c>
      <c r="AG420" s="10">
        <f>AE420-AF420</f>
        <v/>
      </c>
      <c r="AH420" s="10">
        <f>MIN('02_Данные'!S420,AG420)</f>
        <v/>
      </c>
      <c r="AI420" s="10">
        <f>AG420-AH420</f>
        <v/>
      </c>
      <c r="AJ420" s="10">
        <f>MIN('02_Данные'!P420,AI420)</f>
        <v/>
      </c>
      <c r="AK420" s="10">
        <f>AI420-AJ420</f>
        <v/>
      </c>
      <c r="AL420" s="10">
        <f>MIN('02_Данные'!O420,AK420)</f>
        <v/>
      </c>
      <c r="AM420" s="10">
        <f>AK420-AL420</f>
        <v/>
      </c>
      <c r="AN420" s="10">
        <f>MIN('02_Данные'!Q420,AM420)</f>
        <v/>
      </c>
      <c r="AO420" s="10">
        <f>AM420-AN420</f>
        <v/>
      </c>
      <c r="AP420" s="10">
        <f>MIN('02_Данные'!R420,AO420)</f>
        <v/>
      </c>
      <c r="AQ420" s="10">
        <f>AO420-AP420</f>
        <v/>
      </c>
      <c r="AR420" s="10">
        <f>AQ420+'02_Данные'!H420</f>
        <v/>
      </c>
      <c r="AS420" s="10">
        <f>MIN('02_Данные'!T420,AR420)</f>
        <v/>
      </c>
      <c r="AT420" s="10">
        <f>AR420-AS420</f>
        <v/>
      </c>
      <c r="AU420" s="10">
        <f>MIN('02_Данные'!U420,AT420)</f>
        <v/>
      </c>
      <c r="AV420" s="10">
        <f>AT420-AU420</f>
        <v/>
      </c>
      <c r="AW420" s="10">
        <f>MIN('02_Данные'!V420,AV420)</f>
        <v/>
      </c>
      <c r="AX420" s="10">
        <f>AV420-AW420</f>
        <v/>
      </c>
      <c r="AY420" s="10">
        <f>MIN('02_Данные'!AA420,AX420)</f>
        <v/>
      </c>
      <c r="AZ420" s="10">
        <f>AX420-AY420</f>
        <v/>
      </c>
      <c r="BA420" s="10">
        <f>MIN('02_Данные'!X420,AZ420)</f>
        <v/>
      </c>
      <c r="BB420" s="10">
        <f>AZ420-BA420</f>
        <v/>
      </c>
      <c r="BC420" s="10">
        <f>MIN('02_Данные'!W420,BB420)</f>
        <v/>
      </c>
      <c r="BD420" s="10">
        <f>BB420-BC420</f>
        <v/>
      </c>
      <c r="BE420" s="10">
        <f>MIN('02_Данные'!Y420,BD420)</f>
        <v/>
      </c>
      <c r="BF420" s="10">
        <f>BD420-BE420</f>
        <v/>
      </c>
      <c r="BG420" s="10">
        <f>MIN('02_Данные'!Z420,BF420)</f>
        <v/>
      </c>
      <c r="BH420" s="10">
        <f>BF420-BG420</f>
        <v/>
      </c>
      <c r="BI420" s="10">
        <f>BH420+'02_Данные'!I420</f>
        <v/>
      </c>
      <c r="BJ420" s="10">
        <f>MIN('02_Данные'!AB420,BI420)</f>
        <v/>
      </c>
      <c r="BK420" s="10">
        <f>BI420-BJ420</f>
        <v/>
      </c>
      <c r="BL420" s="10">
        <f>MIN('02_Данные'!AC420,BK420)</f>
        <v/>
      </c>
      <c r="BM420" s="10">
        <f>BK420-BL420</f>
        <v/>
      </c>
      <c r="BN420" s="10">
        <f>MIN('02_Данные'!AD420,BM420)</f>
        <v/>
      </c>
      <c r="BO420" s="10">
        <f>BM420-BN420</f>
        <v/>
      </c>
      <c r="BP420" s="10">
        <f>MIN('02_Данные'!AI420,BO420)</f>
        <v/>
      </c>
      <c r="BQ420" s="10">
        <f>BO420-BP420</f>
        <v/>
      </c>
      <c r="BR420" s="10">
        <f>MIN('02_Данные'!AF420,BQ420)</f>
        <v/>
      </c>
      <c r="BS420" s="10">
        <f>BQ420-BR420</f>
        <v/>
      </c>
      <c r="BT420" s="10">
        <f>MIN('02_Данные'!AE420,BS420)</f>
        <v/>
      </c>
      <c r="BU420" s="10">
        <f>BS420-BT420</f>
        <v/>
      </c>
      <c r="BV420" s="10">
        <f>MIN('02_Данные'!AG420,BU420)</f>
        <v/>
      </c>
      <c r="BW420" s="10">
        <f>BU420-BV420</f>
        <v/>
      </c>
      <c r="BX420" s="10">
        <f>MIN('02_Данные'!AH420,BW420)</f>
        <v/>
      </c>
      <c r="BY420" s="10">
        <f>BW420-BX420</f>
        <v/>
      </c>
      <c r="BZ420" s="10">
        <f>BY420+'02_Данные'!J420</f>
        <v/>
      </c>
      <c r="CA420" s="10">
        <f>MIN('02_Данные'!AJ420,BZ420)</f>
        <v/>
      </c>
      <c r="CB420" s="10">
        <f>BZ420-CA420</f>
        <v/>
      </c>
      <c r="CC420" s="10">
        <f>MIN('02_Данные'!AK420,CB420)</f>
        <v/>
      </c>
      <c r="CD420" s="10">
        <f>CB420-CC420</f>
        <v/>
      </c>
      <c r="CE420" s="10">
        <f>MIN('02_Данные'!AL420,CD420)</f>
        <v/>
      </c>
      <c r="CF420" s="10">
        <f>CD420-CE420</f>
        <v/>
      </c>
      <c r="CG420" s="10">
        <f>MIN('02_Данные'!AQ420,CF420)</f>
        <v/>
      </c>
      <c r="CH420" s="10">
        <f>CF420-CG420</f>
        <v/>
      </c>
      <c r="CI420" s="10">
        <f>MIN('02_Данные'!AN420,CH420)</f>
        <v/>
      </c>
      <c r="CJ420" s="10">
        <f>CH420-CI420</f>
        <v/>
      </c>
      <c r="CK420" s="10">
        <f>MIN('02_Данные'!AM420,CJ420)</f>
        <v/>
      </c>
      <c r="CL420" s="10">
        <f>CJ420-CK420</f>
        <v/>
      </c>
      <c r="CM420" s="10">
        <f>MIN('02_Данные'!AO420,CL420)</f>
        <v/>
      </c>
      <c r="CN420" s="10">
        <f>CL420-CM420</f>
        <v/>
      </c>
      <c r="CO420" s="10">
        <f>MIN('02_Данные'!AP420,CN420)</f>
        <v/>
      </c>
      <c r="CP420" s="10">
        <f>CN420-CO420</f>
        <v/>
      </c>
      <c r="CQ420" s="10">
        <f>CP420+'02_Данные'!K420</f>
        <v/>
      </c>
      <c r="CR420" s="10">
        <f>MIN('02_Данные'!AR420,CQ420)</f>
        <v/>
      </c>
      <c r="CS420" s="10">
        <f>CQ420-CR420</f>
        <v/>
      </c>
      <c r="CT420" s="10">
        <f>MIN('02_Данные'!AS420,CS420)</f>
        <v/>
      </c>
      <c r="CU420" s="10">
        <f>CS420-CT420</f>
        <v/>
      </c>
      <c r="CV420" s="10">
        <f>MIN('02_Данные'!AT420,CU420)</f>
        <v/>
      </c>
      <c r="CW420" s="10">
        <f>CU420-CV420</f>
        <v/>
      </c>
      <c r="CX420" s="10">
        <f>MIN('02_Данные'!AY420,CW420)</f>
        <v/>
      </c>
      <c r="CY420" s="10">
        <f>CW420-CX420</f>
        <v/>
      </c>
      <c r="CZ420" s="10">
        <f>MIN('02_Данные'!AV420,CY420)</f>
        <v/>
      </c>
      <c r="DA420" s="10">
        <f>CY420-CZ420</f>
        <v/>
      </c>
      <c r="DB420" s="10">
        <f>MIN('02_Данные'!AU420,DA420)</f>
        <v/>
      </c>
      <c r="DC420" s="10">
        <f>DA420-DB420</f>
        <v/>
      </c>
      <c r="DD420" s="10">
        <f>MIN('02_Данные'!AW420,DC420)</f>
        <v/>
      </c>
      <c r="DE420" s="10">
        <f>DC420-DD420</f>
        <v/>
      </c>
      <c r="DF420" s="10">
        <f>MIN('02_Данные'!AX420,DE420)</f>
        <v/>
      </c>
      <c r="DG420" s="10">
        <f>DE420-DF420</f>
        <v/>
      </c>
    </row>
    <row r="421">
      <c r="A421" s="9">
        <f>'02_Данные'!B421</f>
        <v/>
      </c>
      <c r="B421" s="9">
        <f>'02_Данные'!E421</f>
        <v/>
      </c>
      <c r="C421" s="10">
        <f>'02_Данные'!F421+'02_Данные'!G421+'02_Данные'!H421+'02_Данные'!I421+'02_Данные'!J421+'02_Данные'!K421</f>
        <v/>
      </c>
      <c r="D421" s="10">
        <f>SUM('02_Данные'!L421:'02_Данные'!AY421)</f>
        <v/>
      </c>
      <c r="E421" s="10">
        <f>MAX(0,D421-C421)</f>
        <v/>
      </c>
      <c r="F421" s="15">
        <f>IF(E421&gt;0.0001,"ДЕФИЦИТ",IF(Y421&gt;0.0001,"ПРОФИЦИТ","БАЛАНС"))</f>
        <v/>
      </c>
      <c r="G421" s="10">
        <f>AB421+AS421+BJ421+CA421+CR421</f>
        <v/>
      </c>
      <c r="H421" s="10">
        <f>AD421+AU421+BL421+CC421+CT421</f>
        <v/>
      </c>
      <c r="I421" s="10">
        <f>AF421+AW421+BN421+CE421+CV421</f>
        <v/>
      </c>
      <c r="J421" s="10">
        <f>AL421+BC421+BT421+CK421+DB421</f>
        <v/>
      </c>
      <c r="K421" s="10">
        <f>AJ421+BA421+BR421+CI421+CZ421</f>
        <v/>
      </c>
      <c r="L421" s="10">
        <f>AN421+BE421+BV421+CM421+DD421</f>
        <v/>
      </c>
      <c r="M421" s="10">
        <f>AP421+BG421+BX421+CO421+DF421</f>
        <v/>
      </c>
      <c r="N421" s="10">
        <f>AH421+AY421+BP421+CG421+CX421</f>
        <v/>
      </c>
      <c r="O421" s="10">
        <f>SUM(G421:N421)</f>
        <v/>
      </c>
      <c r="P421" s="10">
        <f>IFERROR(G421*MIN(1,'01_Нормативы'!$C$4/SUM(G$2:G$429)),0)</f>
        <v/>
      </c>
      <c r="Q421" s="10">
        <f>IFERROR(H421*MIN(1,'01_Нормативы'!$C$5/SUM(H$2:H$429)),0)</f>
        <v/>
      </c>
      <c r="R421" s="10">
        <f>IFERROR(I421*MIN(1,'01_Нормативы'!$C$6/SUM(I$2:I$429)),0)</f>
        <v/>
      </c>
      <c r="S421" s="10">
        <f>IFERROR(J421*MIN(1,'01_Нормативы'!$C$7/SUM(J$2:J$429)),0)</f>
        <v/>
      </c>
      <c r="T421" s="10">
        <f>IFERROR(K421*MIN(1,'01_Нормативы'!$C$8/SUM(K$2:K$429)),0)</f>
        <v/>
      </c>
      <c r="U421" s="10">
        <f>IFERROR(L421*MIN(1,'01_Нормативы'!$C$9/SUM(L$2:L$429)),0)</f>
        <v/>
      </c>
      <c r="V421" s="10">
        <f>IFERROR(M421*MIN(1,'01_Нормативы'!$C$10/SUM(M$2:M$429)),0)</f>
        <v/>
      </c>
      <c r="W421" s="10">
        <f>IFERROR(N421*MIN(1,'01_Нормативы'!$C$11/SUM(N$2:N$429)),0)</f>
        <v/>
      </c>
      <c r="X421" s="10">
        <f>SUM(P421:W421)</f>
        <v/>
      </c>
      <c r="Y421" s="10">
        <f>MAX(0,C421-X421)</f>
        <v/>
      </c>
      <c r="Z421" s="10">
        <f>IF(D421=0,100,X421/D421*100)</f>
        <v/>
      </c>
      <c r="AA421" s="10">
        <f>'02_Данные'!F421+'02_Данные'!G421</f>
        <v/>
      </c>
      <c r="AB421" s="10">
        <f>MIN('02_Данные'!L421,AA421)</f>
        <v/>
      </c>
      <c r="AC421" s="10">
        <f>AA421-AB421</f>
        <v/>
      </c>
      <c r="AD421" s="10">
        <f>MIN('02_Данные'!M421,AC421)</f>
        <v/>
      </c>
      <c r="AE421" s="10">
        <f>AC421-AD421</f>
        <v/>
      </c>
      <c r="AF421" s="10">
        <f>MIN('02_Данные'!N421,AE421)</f>
        <v/>
      </c>
      <c r="AG421" s="10">
        <f>AE421-AF421</f>
        <v/>
      </c>
      <c r="AH421" s="10">
        <f>MIN('02_Данные'!S421,AG421)</f>
        <v/>
      </c>
      <c r="AI421" s="10">
        <f>AG421-AH421</f>
        <v/>
      </c>
      <c r="AJ421" s="10">
        <f>MIN('02_Данные'!P421,AI421)</f>
        <v/>
      </c>
      <c r="AK421" s="10">
        <f>AI421-AJ421</f>
        <v/>
      </c>
      <c r="AL421" s="10">
        <f>MIN('02_Данные'!O421,AK421)</f>
        <v/>
      </c>
      <c r="AM421" s="10">
        <f>AK421-AL421</f>
        <v/>
      </c>
      <c r="AN421" s="10">
        <f>MIN('02_Данные'!Q421,AM421)</f>
        <v/>
      </c>
      <c r="AO421" s="10">
        <f>AM421-AN421</f>
        <v/>
      </c>
      <c r="AP421" s="10">
        <f>MIN('02_Данные'!R421,AO421)</f>
        <v/>
      </c>
      <c r="AQ421" s="10">
        <f>AO421-AP421</f>
        <v/>
      </c>
      <c r="AR421" s="10">
        <f>AQ421+'02_Данные'!H421</f>
        <v/>
      </c>
      <c r="AS421" s="10">
        <f>MIN('02_Данные'!T421,AR421)</f>
        <v/>
      </c>
      <c r="AT421" s="10">
        <f>AR421-AS421</f>
        <v/>
      </c>
      <c r="AU421" s="10">
        <f>MIN('02_Данные'!U421,AT421)</f>
        <v/>
      </c>
      <c r="AV421" s="10">
        <f>AT421-AU421</f>
        <v/>
      </c>
      <c r="AW421" s="10">
        <f>MIN('02_Данные'!V421,AV421)</f>
        <v/>
      </c>
      <c r="AX421" s="10">
        <f>AV421-AW421</f>
        <v/>
      </c>
      <c r="AY421" s="10">
        <f>MIN('02_Данные'!AA421,AX421)</f>
        <v/>
      </c>
      <c r="AZ421" s="10">
        <f>AX421-AY421</f>
        <v/>
      </c>
      <c r="BA421" s="10">
        <f>MIN('02_Данные'!X421,AZ421)</f>
        <v/>
      </c>
      <c r="BB421" s="10">
        <f>AZ421-BA421</f>
        <v/>
      </c>
      <c r="BC421" s="10">
        <f>MIN('02_Данные'!W421,BB421)</f>
        <v/>
      </c>
      <c r="BD421" s="10">
        <f>BB421-BC421</f>
        <v/>
      </c>
      <c r="BE421" s="10">
        <f>MIN('02_Данные'!Y421,BD421)</f>
        <v/>
      </c>
      <c r="BF421" s="10">
        <f>BD421-BE421</f>
        <v/>
      </c>
      <c r="BG421" s="10">
        <f>MIN('02_Данные'!Z421,BF421)</f>
        <v/>
      </c>
      <c r="BH421" s="10">
        <f>BF421-BG421</f>
        <v/>
      </c>
      <c r="BI421" s="10">
        <f>BH421+'02_Данные'!I421</f>
        <v/>
      </c>
      <c r="BJ421" s="10">
        <f>MIN('02_Данные'!AB421,BI421)</f>
        <v/>
      </c>
      <c r="BK421" s="10">
        <f>BI421-BJ421</f>
        <v/>
      </c>
      <c r="BL421" s="10">
        <f>MIN('02_Данные'!AC421,BK421)</f>
        <v/>
      </c>
      <c r="BM421" s="10">
        <f>BK421-BL421</f>
        <v/>
      </c>
      <c r="BN421" s="10">
        <f>MIN('02_Данные'!AD421,BM421)</f>
        <v/>
      </c>
      <c r="BO421" s="10">
        <f>BM421-BN421</f>
        <v/>
      </c>
      <c r="BP421" s="10">
        <f>MIN('02_Данные'!AI421,BO421)</f>
        <v/>
      </c>
      <c r="BQ421" s="10">
        <f>BO421-BP421</f>
        <v/>
      </c>
      <c r="BR421" s="10">
        <f>MIN('02_Данные'!AF421,BQ421)</f>
        <v/>
      </c>
      <c r="BS421" s="10">
        <f>BQ421-BR421</f>
        <v/>
      </c>
      <c r="BT421" s="10">
        <f>MIN('02_Данные'!AE421,BS421)</f>
        <v/>
      </c>
      <c r="BU421" s="10">
        <f>BS421-BT421</f>
        <v/>
      </c>
      <c r="BV421" s="10">
        <f>MIN('02_Данные'!AG421,BU421)</f>
        <v/>
      </c>
      <c r="BW421" s="10">
        <f>BU421-BV421</f>
        <v/>
      </c>
      <c r="BX421" s="10">
        <f>MIN('02_Данные'!AH421,BW421)</f>
        <v/>
      </c>
      <c r="BY421" s="10">
        <f>BW421-BX421</f>
        <v/>
      </c>
      <c r="BZ421" s="10">
        <f>BY421+'02_Данные'!J421</f>
        <v/>
      </c>
      <c r="CA421" s="10">
        <f>MIN('02_Данные'!AJ421,BZ421)</f>
        <v/>
      </c>
      <c r="CB421" s="10">
        <f>BZ421-CA421</f>
        <v/>
      </c>
      <c r="CC421" s="10">
        <f>MIN('02_Данные'!AK421,CB421)</f>
        <v/>
      </c>
      <c r="CD421" s="10">
        <f>CB421-CC421</f>
        <v/>
      </c>
      <c r="CE421" s="10">
        <f>MIN('02_Данные'!AL421,CD421)</f>
        <v/>
      </c>
      <c r="CF421" s="10">
        <f>CD421-CE421</f>
        <v/>
      </c>
      <c r="CG421" s="10">
        <f>MIN('02_Данные'!AQ421,CF421)</f>
        <v/>
      </c>
      <c r="CH421" s="10">
        <f>CF421-CG421</f>
        <v/>
      </c>
      <c r="CI421" s="10">
        <f>MIN('02_Данные'!AN421,CH421)</f>
        <v/>
      </c>
      <c r="CJ421" s="10">
        <f>CH421-CI421</f>
        <v/>
      </c>
      <c r="CK421" s="10">
        <f>MIN('02_Данные'!AM421,CJ421)</f>
        <v/>
      </c>
      <c r="CL421" s="10">
        <f>CJ421-CK421</f>
        <v/>
      </c>
      <c r="CM421" s="10">
        <f>MIN('02_Данные'!AO421,CL421)</f>
        <v/>
      </c>
      <c r="CN421" s="10">
        <f>CL421-CM421</f>
        <v/>
      </c>
      <c r="CO421" s="10">
        <f>MIN('02_Данные'!AP421,CN421)</f>
        <v/>
      </c>
      <c r="CP421" s="10">
        <f>CN421-CO421</f>
        <v/>
      </c>
      <c r="CQ421" s="10">
        <f>CP421+'02_Данные'!K421</f>
        <v/>
      </c>
      <c r="CR421" s="10">
        <f>MIN('02_Данные'!AR421,CQ421)</f>
        <v/>
      </c>
      <c r="CS421" s="10">
        <f>CQ421-CR421</f>
        <v/>
      </c>
      <c r="CT421" s="10">
        <f>MIN('02_Данные'!AS421,CS421)</f>
        <v/>
      </c>
      <c r="CU421" s="10">
        <f>CS421-CT421</f>
        <v/>
      </c>
      <c r="CV421" s="10">
        <f>MIN('02_Данные'!AT421,CU421)</f>
        <v/>
      </c>
      <c r="CW421" s="10">
        <f>CU421-CV421</f>
        <v/>
      </c>
      <c r="CX421" s="10">
        <f>MIN('02_Данные'!AY421,CW421)</f>
        <v/>
      </c>
      <c r="CY421" s="10">
        <f>CW421-CX421</f>
        <v/>
      </c>
      <c r="CZ421" s="10">
        <f>MIN('02_Данные'!AV421,CY421)</f>
        <v/>
      </c>
      <c r="DA421" s="10">
        <f>CY421-CZ421</f>
        <v/>
      </c>
      <c r="DB421" s="10">
        <f>MIN('02_Данные'!AU421,DA421)</f>
        <v/>
      </c>
      <c r="DC421" s="10">
        <f>DA421-DB421</f>
        <v/>
      </c>
      <c r="DD421" s="10">
        <f>MIN('02_Данные'!AW421,DC421)</f>
        <v/>
      </c>
      <c r="DE421" s="10">
        <f>DC421-DD421</f>
        <v/>
      </c>
      <c r="DF421" s="10">
        <f>MIN('02_Данные'!AX421,DE421)</f>
        <v/>
      </c>
      <c r="DG421" s="10">
        <f>DE421-DF421</f>
        <v/>
      </c>
    </row>
    <row r="422">
      <c r="A422" s="9">
        <f>'02_Данные'!B422</f>
        <v/>
      </c>
      <c r="B422" s="9">
        <f>'02_Данные'!E422</f>
        <v/>
      </c>
      <c r="C422" s="10">
        <f>'02_Данные'!F422+'02_Данные'!G422+'02_Данные'!H422+'02_Данные'!I422+'02_Данные'!J422+'02_Данные'!K422</f>
        <v/>
      </c>
      <c r="D422" s="10">
        <f>SUM('02_Данные'!L422:'02_Данные'!AY422)</f>
        <v/>
      </c>
      <c r="E422" s="10">
        <f>MAX(0,D422-C422)</f>
        <v/>
      </c>
      <c r="F422" s="15">
        <f>IF(E422&gt;0.0001,"ДЕФИЦИТ",IF(Y422&gt;0.0001,"ПРОФИЦИТ","БАЛАНС"))</f>
        <v/>
      </c>
      <c r="G422" s="10">
        <f>AB422+AS422+BJ422+CA422+CR422</f>
        <v/>
      </c>
      <c r="H422" s="10">
        <f>AD422+AU422+BL422+CC422+CT422</f>
        <v/>
      </c>
      <c r="I422" s="10">
        <f>AF422+AW422+BN422+CE422+CV422</f>
        <v/>
      </c>
      <c r="J422" s="10">
        <f>AL422+BC422+BT422+CK422+DB422</f>
        <v/>
      </c>
      <c r="K422" s="10">
        <f>AJ422+BA422+BR422+CI422+CZ422</f>
        <v/>
      </c>
      <c r="L422" s="10">
        <f>AN422+BE422+BV422+CM422+DD422</f>
        <v/>
      </c>
      <c r="M422" s="10">
        <f>AP422+BG422+BX422+CO422+DF422</f>
        <v/>
      </c>
      <c r="N422" s="10">
        <f>AH422+AY422+BP422+CG422+CX422</f>
        <v/>
      </c>
      <c r="O422" s="10">
        <f>SUM(G422:N422)</f>
        <v/>
      </c>
      <c r="P422" s="10">
        <f>IFERROR(G422*MIN(1,'01_Нормативы'!$C$4/SUM(G$2:G$429)),0)</f>
        <v/>
      </c>
      <c r="Q422" s="10">
        <f>IFERROR(H422*MIN(1,'01_Нормативы'!$C$5/SUM(H$2:H$429)),0)</f>
        <v/>
      </c>
      <c r="R422" s="10">
        <f>IFERROR(I422*MIN(1,'01_Нормативы'!$C$6/SUM(I$2:I$429)),0)</f>
        <v/>
      </c>
      <c r="S422" s="10">
        <f>IFERROR(J422*MIN(1,'01_Нормативы'!$C$7/SUM(J$2:J$429)),0)</f>
        <v/>
      </c>
      <c r="T422" s="10">
        <f>IFERROR(K422*MIN(1,'01_Нормативы'!$C$8/SUM(K$2:K$429)),0)</f>
        <v/>
      </c>
      <c r="U422" s="10">
        <f>IFERROR(L422*MIN(1,'01_Нормативы'!$C$9/SUM(L$2:L$429)),0)</f>
        <v/>
      </c>
      <c r="V422" s="10">
        <f>IFERROR(M422*MIN(1,'01_Нормативы'!$C$10/SUM(M$2:M$429)),0)</f>
        <v/>
      </c>
      <c r="W422" s="10">
        <f>IFERROR(N422*MIN(1,'01_Нормативы'!$C$11/SUM(N$2:N$429)),0)</f>
        <v/>
      </c>
      <c r="X422" s="10">
        <f>SUM(P422:W422)</f>
        <v/>
      </c>
      <c r="Y422" s="10">
        <f>MAX(0,C422-X422)</f>
        <v/>
      </c>
      <c r="Z422" s="10">
        <f>IF(D422=0,100,X422/D422*100)</f>
        <v/>
      </c>
      <c r="AA422" s="10">
        <f>'02_Данные'!F422+'02_Данные'!G422</f>
        <v/>
      </c>
      <c r="AB422" s="10">
        <f>MIN('02_Данные'!L422,AA422)</f>
        <v/>
      </c>
      <c r="AC422" s="10">
        <f>AA422-AB422</f>
        <v/>
      </c>
      <c r="AD422" s="10">
        <f>MIN('02_Данные'!M422,AC422)</f>
        <v/>
      </c>
      <c r="AE422" s="10">
        <f>AC422-AD422</f>
        <v/>
      </c>
      <c r="AF422" s="10">
        <f>MIN('02_Данные'!N422,AE422)</f>
        <v/>
      </c>
      <c r="AG422" s="10">
        <f>AE422-AF422</f>
        <v/>
      </c>
      <c r="AH422" s="10">
        <f>MIN('02_Данные'!S422,AG422)</f>
        <v/>
      </c>
      <c r="AI422" s="10">
        <f>AG422-AH422</f>
        <v/>
      </c>
      <c r="AJ422" s="10">
        <f>MIN('02_Данные'!P422,AI422)</f>
        <v/>
      </c>
      <c r="AK422" s="10">
        <f>AI422-AJ422</f>
        <v/>
      </c>
      <c r="AL422" s="10">
        <f>MIN('02_Данные'!O422,AK422)</f>
        <v/>
      </c>
      <c r="AM422" s="10">
        <f>AK422-AL422</f>
        <v/>
      </c>
      <c r="AN422" s="10">
        <f>MIN('02_Данные'!Q422,AM422)</f>
        <v/>
      </c>
      <c r="AO422" s="10">
        <f>AM422-AN422</f>
        <v/>
      </c>
      <c r="AP422" s="10">
        <f>MIN('02_Данные'!R422,AO422)</f>
        <v/>
      </c>
      <c r="AQ422" s="10">
        <f>AO422-AP422</f>
        <v/>
      </c>
      <c r="AR422" s="10">
        <f>AQ422+'02_Данные'!H422</f>
        <v/>
      </c>
      <c r="AS422" s="10">
        <f>MIN('02_Данные'!T422,AR422)</f>
        <v/>
      </c>
      <c r="AT422" s="10">
        <f>AR422-AS422</f>
        <v/>
      </c>
      <c r="AU422" s="10">
        <f>MIN('02_Данные'!U422,AT422)</f>
        <v/>
      </c>
      <c r="AV422" s="10">
        <f>AT422-AU422</f>
        <v/>
      </c>
      <c r="AW422" s="10">
        <f>MIN('02_Данные'!V422,AV422)</f>
        <v/>
      </c>
      <c r="AX422" s="10">
        <f>AV422-AW422</f>
        <v/>
      </c>
      <c r="AY422" s="10">
        <f>MIN('02_Данные'!AA422,AX422)</f>
        <v/>
      </c>
      <c r="AZ422" s="10">
        <f>AX422-AY422</f>
        <v/>
      </c>
      <c r="BA422" s="10">
        <f>MIN('02_Данные'!X422,AZ422)</f>
        <v/>
      </c>
      <c r="BB422" s="10">
        <f>AZ422-BA422</f>
        <v/>
      </c>
      <c r="BC422" s="10">
        <f>MIN('02_Данные'!W422,BB422)</f>
        <v/>
      </c>
      <c r="BD422" s="10">
        <f>BB422-BC422</f>
        <v/>
      </c>
      <c r="BE422" s="10">
        <f>MIN('02_Данные'!Y422,BD422)</f>
        <v/>
      </c>
      <c r="BF422" s="10">
        <f>BD422-BE422</f>
        <v/>
      </c>
      <c r="BG422" s="10">
        <f>MIN('02_Данные'!Z422,BF422)</f>
        <v/>
      </c>
      <c r="BH422" s="10">
        <f>BF422-BG422</f>
        <v/>
      </c>
      <c r="BI422" s="10">
        <f>BH422+'02_Данные'!I422</f>
        <v/>
      </c>
      <c r="BJ422" s="10">
        <f>MIN('02_Данные'!AB422,BI422)</f>
        <v/>
      </c>
      <c r="BK422" s="10">
        <f>BI422-BJ422</f>
        <v/>
      </c>
      <c r="BL422" s="10">
        <f>MIN('02_Данные'!AC422,BK422)</f>
        <v/>
      </c>
      <c r="BM422" s="10">
        <f>BK422-BL422</f>
        <v/>
      </c>
      <c r="BN422" s="10">
        <f>MIN('02_Данные'!AD422,BM422)</f>
        <v/>
      </c>
      <c r="BO422" s="10">
        <f>BM422-BN422</f>
        <v/>
      </c>
      <c r="BP422" s="10">
        <f>MIN('02_Данные'!AI422,BO422)</f>
        <v/>
      </c>
      <c r="BQ422" s="10">
        <f>BO422-BP422</f>
        <v/>
      </c>
      <c r="BR422" s="10">
        <f>MIN('02_Данные'!AF422,BQ422)</f>
        <v/>
      </c>
      <c r="BS422" s="10">
        <f>BQ422-BR422</f>
        <v/>
      </c>
      <c r="BT422" s="10">
        <f>MIN('02_Данные'!AE422,BS422)</f>
        <v/>
      </c>
      <c r="BU422" s="10">
        <f>BS422-BT422</f>
        <v/>
      </c>
      <c r="BV422" s="10">
        <f>MIN('02_Данные'!AG422,BU422)</f>
        <v/>
      </c>
      <c r="BW422" s="10">
        <f>BU422-BV422</f>
        <v/>
      </c>
      <c r="BX422" s="10">
        <f>MIN('02_Данные'!AH422,BW422)</f>
        <v/>
      </c>
      <c r="BY422" s="10">
        <f>BW422-BX422</f>
        <v/>
      </c>
      <c r="BZ422" s="10">
        <f>BY422+'02_Данные'!J422</f>
        <v/>
      </c>
      <c r="CA422" s="10">
        <f>MIN('02_Данные'!AJ422,BZ422)</f>
        <v/>
      </c>
      <c r="CB422" s="10">
        <f>BZ422-CA422</f>
        <v/>
      </c>
      <c r="CC422" s="10">
        <f>MIN('02_Данные'!AK422,CB422)</f>
        <v/>
      </c>
      <c r="CD422" s="10">
        <f>CB422-CC422</f>
        <v/>
      </c>
      <c r="CE422" s="10">
        <f>MIN('02_Данные'!AL422,CD422)</f>
        <v/>
      </c>
      <c r="CF422" s="10">
        <f>CD422-CE422</f>
        <v/>
      </c>
      <c r="CG422" s="10">
        <f>MIN('02_Данные'!AQ422,CF422)</f>
        <v/>
      </c>
      <c r="CH422" s="10">
        <f>CF422-CG422</f>
        <v/>
      </c>
      <c r="CI422" s="10">
        <f>MIN('02_Данные'!AN422,CH422)</f>
        <v/>
      </c>
      <c r="CJ422" s="10">
        <f>CH422-CI422</f>
        <v/>
      </c>
      <c r="CK422" s="10">
        <f>MIN('02_Данные'!AM422,CJ422)</f>
        <v/>
      </c>
      <c r="CL422" s="10">
        <f>CJ422-CK422</f>
        <v/>
      </c>
      <c r="CM422" s="10">
        <f>MIN('02_Данные'!AO422,CL422)</f>
        <v/>
      </c>
      <c r="CN422" s="10">
        <f>CL422-CM422</f>
        <v/>
      </c>
      <c r="CO422" s="10">
        <f>MIN('02_Данные'!AP422,CN422)</f>
        <v/>
      </c>
      <c r="CP422" s="10">
        <f>CN422-CO422</f>
        <v/>
      </c>
      <c r="CQ422" s="10">
        <f>CP422+'02_Данные'!K422</f>
        <v/>
      </c>
      <c r="CR422" s="10">
        <f>MIN('02_Данные'!AR422,CQ422)</f>
        <v/>
      </c>
      <c r="CS422" s="10">
        <f>CQ422-CR422</f>
        <v/>
      </c>
      <c r="CT422" s="10">
        <f>MIN('02_Данные'!AS422,CS422)</f>
        <v/>
      </c>
      <c r="CU422" s="10">
        <f>CS422-CT422</f>
        <v/>
      </c>
      <c r="CV422" s="10">
        <f>MIN('02_Данные'!AT422,CU422)</f>
        <v/>
      </c>
      <c r="CW422" s="10">
        <f>CU422-CV422</f>
        <v/>
      </c>
      <c r="CX422" s="10">
        <f>MIN('02_Данные'!AY422,CW422)</f>
        <v/>
      </c>
      <c r="CY422" s="10">
        <f>CW422-CX422</f>
        <v/>
      </c>
      <c r="CZ422" s="10">
        <f>MIN('02_Данные'!AV422,CY422)</f>
        <v/>
      </c>
      <c r="DA422" s="10">
        <f>CY422-CZ422</f>
        <v/>
      </c>
      <c r="DB422" s="10">
        <f>MIN('02_Данные'!AU422,DA422)</f>
        <v/>
      </c>
      <c r="DC422" s="10">
        <f>DA422-DB422</f>
        <v/>
      </c>
      <c r="DD422" s="10">
        <f>MIN('02_Данные'!AW422,DC422)</f>
        <v/>
      </c>
      <c r="DE422" s="10">
        <f>DC422-DD422</f>
        <v/>
      </c>
      <c r="DF422" s="10">
        <f>MIN('02_Данные'!AX422,DE422)</f>
        <v/>
      </c>
      <c r="DG422" s="10">
        <f>DE422-DF422</f>
        <v/>
      </c>
    </row>
    <row r="423">
      <c r="A423" s="9">
        <f>'02_Данные'!B423</f>
        <v/>
      </c>
      <c r="B423" s="9">
        <f>'02_Данные'!E423</f>
        <v/>
      </c>
      <c r="C423" s="10">
        <f>'02_Данные'!F423+'02_Данные'!G423+'02_Данные'!H423+'02_Данные'!I423+'02_Данные'!J423+'02_Данные'!K423</f>
        <v/>
      </c>
      <c r="D423" s="10">
        <f>SUM('02_Данные'!L423:'02_Данные'!AY423)</f>
        <v/>
      </c>
      <c r="E423" s="10">
        <f>MAX(0,D423-C423)</f>
        <v/>
      </c>
      <c r="F423" s="15">
        <f>IF(E423&gt;0.0001,"ДЕФИЦИТ",IF(Y423&gt;0.0001,"ПРОФИЦИТ","БАЛАНС"))</f>
        <v/>
      </c>
      <c r="G423" s="10">
        <f>AB423+AS423+BJ423+CA423+CR423</f>
        <v/>
      </c>
      <c r="H423" s="10">
        <f>AD423+AU423+BL423+CC423+CT423</f>
        <v/>
      </c>
      <c r="I423" s="10">
        <f>AF423+AW423+BN423+CE423+CV423</f>
        <v/>
      </c>
      <c r="J423" s="10">
        <f>AL423+BC423+BT423+CK423+DB423</f>
        <v/>
      </c>
      <c r="K423" s="10">
        <f>AJ423+BA423+BR423+CI423+CZ423</f>
        <v/>
      </c>
      <c r="L423" s="10">
        <f>AN423+BE423+BV423+CM423+DD423</f>
        <v/>
      </c>
      <c r="M423" s="10">
        <f>AP423+BG423+BX423+CO423+DF423</f>
        <v/>
      </c>
      <c r="N423" s="10">
        <f>AH423+AY423+BP423+CG423+CX423</f>
        <v/>
      </c>
      <c r="O423" s="10">
        <f>SUM(G423:N423)</f>
        <v/>
      </c>
      <c r="P423" s="10">
        <f>IFERROR(G423*MIN(1,'01_Нормативы'!$C$4/SUM(G$2:G$429)),0)</f>
        <v/>
      </c>
      <c r="Q423" s="10">
        <f>IFERROR(H423*MIN(1,'01_Нормативы'!$C$5/SUM(H$2:H$429)),0)</f>
        <v/>
      </c>
      <c r="R423" s="10">
        <f>IFERROR(I423*MIN(1,'01_Нормативы'!$C$6/SUM(I$2:I$429)),0)</f>
        <v/>
      </c>
      <c r="S423" s="10">
        <f>IFERROR(J423*MIN(1,'01_Нормативы'!$C$7/SUM(J$2:J$429)),0)</f>
        <v/>
      </c>
      <c r="T423" s="10">
        <f>IFERROR(K423*MIN(1,'01_Нормативы'!$C$8/SUM(K$2:K$429)),0)</f>
        <v/>
      </c>
      <c r="U423" s="10">
        <f>IFERROR(L423*MIN(1,'01_Нормативы'!$C$9/SUM(L$2:L$429)),0)</f>
        <v/>
      </c>
      <c r="V423" s="10">
        <f>IFERROR(M423*MIN(1,'01_Нормативы'!$C$10/SUM(M$2:M$429)),0)</f>
        <v/>
      </c>
      <c r="W423" s="10">
        <f>IFERROR(N423*MIN(1,'01_Нормативы'!$C$11/SUM(N$2:N$429)),0)</f>
        <v/>
      </c>
      <c r="X423" s="10">
        <f>SUM(P423:W423)</f>
        <v/>
      </c>
      <c r="Y423" s="10">
        <f>MAX(0,C423-X423)</f>
        <v/>
      </c>
      <c r="Z423" s="10">
        <f>IF(D423=0,100,X423/D423*100)</f>
        <v/>
      </c>
      <c r="AA423" s="10">
        <f>'02_Данные'!F423+'02_Данные'!G423</f>
        <v/>
      </c>
      <c r="AB423" s="10">
        <f>MIN('02_Данные'!L423,AA423)</f>
        <v/>
      </c>
      <c r="AC423" s="10">
        <f>AA423-AB423</f>
        <v/>
      </c>
      <c r="AD423" s="10">
        <f>MIN('02_Данные'!M423,AC423)</f>
        <v/>
      </c>
      <c r="AE423" s="10">
        <f>AC423-AD423</f>
        <v/>
      </c>
      <c r="AF423" s="10">
        <f>MIN('02_Данные'!N423,AE423)</f>
        <v/>
      </c>
      <c r="AG423" s="10">
        <f>AE423-AF423</f>
        <v/>
      </c>
      <c r="AH423" s="10">
        <f>MIN('02_Данные'!S423,AG423)</f>
        <v/>
      </c>
      <c r="AI423" s="10">
        <f>AG423-AH423</f>
        <v/>
      </c>
      <c r="AJ423" s="10">
        <f>MIN('02_Данные'!P423,AI423)</f>
        <v/>
      </c>
      <c r="AK423" s="10">
        <f>AI423-AJ423</f>
        <v/>
      </c>
      <c r="AL423" s="10">
        <f>MIN('02_Данные'!O423,AK423)</f>
        <v/>
      </c>
      <c r="AM423" s="10">
        <f>AK423-AL423</f>
        <v/>
      </c>
      <c r="AN423" s="10">
        <f>MIN('02_Данные'!Q423,AM423)</f>
        <v/>
      </c>
      <c r="AO423" s="10">
        <f>AM423-AN423</f>
        <v/>
      </c>
      <c r="AP423" s="10">
        <f>MIN('02_Данные'!R423,AO423)</f>
        <v/>
      </c>
      <c r="AQ423" s="10">
        <f>AO423-AP423</f>
        <v/>
      </c>
      <c r="AR423" s="10">
        <f>AQ423+'02_Данные'!H423</f>
        <v/>
      </c>
      <c r="AS423" s="10">
        <f>MIN('02_Данные'!T423,AR423)</f>
        <v/>
      </c>
      <c r="AT423" s="10">
        <f>AR423-AS423</f>
        <v/>
      </c>
      <c r="AU423" s="10">
        <f>MIN('02_Данные'!U423,AT423)</f>
        <v/>
      </c>
      <c r="AV423" s="10">
        <f>AT423-AU423</f>
        <v/>
      </c>
      <c r="AW423" s="10">
        <f>MIN('02_Данные'!V423,AV423)</f>
        <v/>
      </c>
      <c r="AX423" s="10">
        <f>AV423-AW423</f>
        <v/>
      </c>
      <c r="AY423" s="10">
        <f>MIN('02_Данные'!AA423,AX423)</f>
        <v/>
      </c>
      <c r="AZ423" s="10">
        <f>AX423-AY423</f>
        <v/>
      </c>
      <c r="BA423" s="10">
        <f>MIN('02_Данные'!X423,AZ423)</f>
        <v/>
      </c>
      <c r="BB423" s="10">
        <f>AZ423-BA423</f>
        <v/>
      </c>
      <c r="BC423" s="10">
        <f>MIN('02_Данные'!W423,BB423)</f>
        <v/>
      </c>
      <c r="BD423" s="10">
        <f>BB423-BC423</f>
        <v/>
      </c>
      <c r="BE423" s="10">
        <f>MIN('02_Данные'!Y423,BD423)</f>
        <v/>
      </c>
      <c r="BF423" s="10">
        <f>BD423-BE423</f>
        <v/>
      </c>
      <c r="BG423" s="10">
        <f>MIN('02_Данные'!Z423,BF423)</f>
        <v/>
      </c>
      <c r="BH423" s="10">
        <f>BF423-BG423</f>
        <v/>
      </c>
      <c r="BI423" s="10">
        <f>BH423+'02_Данные'!I423</f>
        <v/>
      </c>
      <c r="BJ423" s="10">
        <f>MIN('02_Данные'!AB423,BI423)</f>
        <v/>
      </c>
      <c r="BK423" s="10">
        <f>BI423-BJ423</f>
        <v/>
      </c>
      <c r="BL423" s="10">
        <f>MIN('02_Данные'!AC423,BK423)</f>
        <v/>
      </c>
      <c r="BM423" s="10">
        <f>BK423-BL423</f>
        <v/>
      </c>
      <c r="BN423" s="10">
        <f>MIN('02_Данные'!AD423,BM423)</f>
        <v/>
      </c>
      <c r="BO423" s="10">
        <f>BM423-BN423</f>
        <v/>
      </c>
      <c r="BP423" s="10">
        <f>MIN('02_Данные'!AI423,BO423)</f>
        <v/>
      </c>
      <c r="BQ423" s="10">
        <f>BO423-BP423</f>
        <v/>
      </c>
      <c r="BR423" s="10">
        <f>MIN('02_Данные'!AF423,BQ423)</f>
        <v/>
      </c>
      <c r="BS423" s="10">
        <f>BQ423-BR423</f>
        <v/>
      </c>
      <c r="BT423" s="10">
        <f>MIN('02_Данные'!AE423,BS423)</f>
        <v/>
      </c>
      <c r="BU423" s="10">
        <f>BS423-BT423</f>
        <v/>
      </c>
      <c r="BV423" s="10">
        <f>MIN('02_Данные'!AG423,BU423)</f>
        <v/>
      </c>
      <c r="BW423" s="10">
        <f>BU423-BV423</f>
        <v/>
      </c>
      <c r="BX423" s="10">
        <f>MIN('02_Данные'!AH423,BW423)</f>
        <v/>
      </c>
      <c r="BY423" s="10">
        <f>BW423-BX423</f>
        <v/>
      </c>
      <c r="BZ423" s="10">
        <f>BY423+'02_Данные'!J423</f>
        <v/>
      </c>
      <c r="CA423" s="10">
        <f>MIN('02_Данные'!AJ423,BZ423)</f>
        <v/>
      </c>
      <c r="CB423" s="10">
        <f>BZ423-CA423</f>
        <v/>
      </c>
      <c r="CC423" s="10">
        <f>MIN('02_Данные'!AK423,CB423)</f>
        <v/>
      </c>
      <c r="CD423" s="10">
        <f>CB423-CC423</f>
        <v/>
      </c>
      <c r="CE423" s="10">
        <f>MIN('02_Данные'!AL423,CD423)</f>
        <v/>
      </c>
      <c r="CF423" s="10">
        <f>CD423-CE423</f>
        <v/>
      </c>
      <c r="CG423" s="10">
        <f>MIN('02_Данные'!AQ423,CF423)</f>
        <v/>
      </c>
      <c r="CH423" s="10">
        <f>CF423-CG423</f>
        <v/>
      </c>
      <c r="CI423" s="10">
        <f>MIN('02_Данные'!AN423,CH423)</f>
        <v/>
      </c>
      <c r="CJ423" s="10">
        <f>CH423-CI423</f>
        <v/>
      </c>
      <c r="CK423" s="10">
        <f>MIN('02_Данные'!AM423,CJ423)</f>
        <v/>
      </c>
      <c r="CL423" s="10">
        <f>CJ423-CK423</f>
        <v/>
      </c>
      <c r="CM423" s="10">
        <f>MIN('02_Данные'!AO423,CL423)</f>
        <v/>
      </c>
      <c r="CN423" s="10">
        <f>CL423-CM423</f>
        <v/>
      </c>
      <c r="CO423" s="10">
        <f>MIN('02_Данные'!AP423,CN423)</f>
        <v/>
      </c>
      <c r="CP423" s="10">
        <f>CN423-CO423</f>
        <v/>
      </c>
      <c r="CQ423" s="10">
        <f>CP423+'02_Данные'!K423</f>
        <v/>
      </c>
      <c r="CR423" s="10">
        <f>MIN('02_Данные'!AR423,CQ423)</f>
        <v/>
      </c>
      <c r="CS423" s="10">
        <f>CQ423-CR423</f>
        <v/>
      </c>
      <c r="CT423" s="10">
        <f>MIN('02_Данные'!AS423,CS423)</f>
        <v/>
      </c>
      <c r="CU423" s="10">
        <f>CS423-CT423</f>
        <v/>
      </c>
      <c r="CV423" s="10">
        <f>MIN('02_Данные'!AT423,CU423)</f>
        <v/>
      </c>
      <c r="CW423" s="10">
        <f>CU423-CV423</f>
        <v/>
      </c>
      <c r="CX423" s="10">
        <f>MIN('02_Данные'!AY423,CW423)</f>
        <v/>
      </c>
      <c r="CY423" s="10">
        <f>CW423-CX423</f>
        <v/>
      </c>
      <c r="CZ423" s="10">
        <f>MIN('02_Данные'!AV423,CY423)</f>
        <v/>
      </c>
      <c r="DA423" s="10">
        <f>CY423-CZ423</f>
        <v/>
      </c>
      <c r="DB423" s="10">
        <f>MIN('02_Данные'!AU423,DA423)</f>
        <v/>
      </c>
      <c r="DC423" s="10">
        <f>DA423-DB423</f>
        <v/>
      </c>
      <c r="DD423" s="10">
        <f>MIN('02_Данные'!AW423,DC423)</f>
        <v/>
      </c>
      <c r="DE423" s="10">
        <f>DC423-DD423</f>
        <v/>
      </c>
      <c r="DF423" s="10">
        <f>MIN('02_Данные'!AX423,DE423)</f>
        <v/>
      </c>
      <c r="DG423" s="10">
        <f>DE423-DF423</f>
        <v/>
      </c>
    </row>
    <row r="424">
      <c r="A424" s="9">
        <f>'02_Данные'!B424</f>
        <v/>
      </c>
      <c r="B424" s="9">
        <f>'02_Данные'!E424</f>
        <v/>
      </c>
      <c r="C424" s="10">
        <f>'02_Данные'!F424+'02_Данные'!G424+'02_Данные'!H424+'02_Данные'!I424+'02_Данные'!J424+'02_Данные'!K424</f>
        <v/>
      </c>
      <c r="D424" s="10">
        <f>SUM('02_Данные'!L424:'02_Данные'!AY424)</f>
        <v/>
      </c>
      <c r="E424" s="10">
        <f>MAX(0,D424-C424)</f>
        <v/>
      </c>
      <c r="F424" s="15">
        <f>IF(E424&gt;0.0001,"ДЕФИЦИТ",IF(Y424&gt;0.0001,"ПРОФИЦИТ","БАЛАНС"))</f>
        <v/>
      </c>
      <c r="G424" s="10">
        <f>AB424+AS424+BJ424+CA424+CR424</f>
        <v/>
      </c>
      <c r="H424" s="10">
        <f>AD424+AU424+BL424+CC424+CT424</f>
        <v/>
      </c>
      <c r="I424" s="10">
        <f>AF424+AW424+BN424+CE424+CV424</f>
        <v/>
      </c>
      <c r="J424" s="10">
        <f>AL424+BC424+BT424+CK424+DB424</f>
        <v/>
      </c>
      <c r="K424" s="10">
        <f>AJ424+BA424+BR424+CI424+CZ424</f>
        <v/>
      </c>
      <c r="L424" s="10">
        <f>AN424+BE424+BV424+CM424+DD424</f>
        <v/>
      </c>
      <c r="M424" s="10">
        <f>AP424+BG424+BX424+CO424+DF424</f>
        <v/>
      </c>
      <c r="N424" s="10">
        <f>AH424+AY424+BP424+CG424+CX424</f>
        <v/>
      </c>
      <c r="O424" s="10">
        <f>SUM(G424:N424)</f>
        <v/>
      </c>
      <c r="P424" s="10">
        <f>IFERROR(G424*MIN(1,'01_Нормативы'!$C$4/SUM(G$2:G$429)),0)</f>
        <v/>
      </c>
      <c r="Q424" s="10">
        <f>IFERROR(H424*MIN(1,'01_Нормативы'!$C$5/SUM(H$2:H$429)),0)</f>
        <v/>
      </c>
      <c r="R424" s="10">
        <f>IFERROR(I424*MIN(1,'01_Нормативы'!$C$6/SUM(I$2:I$429)),0)</f>
        <v/>
      </c>
      <c r="S424" s="10">
        <f>IFERROR(J424*MIN(1,'01_Нормативы'!$C$7/SUM(J$2:J$429)),0)</f>
        <v/>
      </c>
      <c r="T424" s="10">
        <f>IFERROR(K424*MIN(1,'01_Нормативы'!$C$8/SUM(K$2:K$429)),0)</f>
        <v/>
      </c>
      <c r="U424" s="10">
        <f>IFERROR(L424*MIN(1,'01_Нормативы'!$C$9/SUM(L$2:L$429)),0)</f>
        <v/>
      </c>
      <c r="V424" s="10">
        <f>IFERROR(M424*MIN(1,'01_Нормативы'!$C$10/SUM(M$2:M$429)),0)</f>
        <v/>
      </c>
      <c r="W424" s="10">
        <f>IFERROR(N424*MIN(1,'01_Нормативы'!$C$11/SUM(N$2:N$429)),0)</f>
        <v/>
      </c>
      <c r="X424" s="10">
        <f>SUM(P424:W424)</f>
        <v/>
      </c>
      <c r="Y424" s="10">
        <f>MAX(0,C424-X424)</f>
        <v/>
      </c>
      <c r="Z424" s="10">
        <f>IF(D424=0,100,X424/D424*100)</f>
        <v/>
      </c>
      <c r="AA424" s="10">
        <f>'02_Данные'!F424+'02_Данные'!G424</f>
        <v/>
      </c>
      <c r="AB424" s="10">
        <f>MIN('02_Данные'!L424,AA424)</f>
        <v/>
      </c>
      <c r="AC424" s="10">
        <f>AA424-AB424</f>
        <v/>
      </c>
      <c r="AD424" s="10">
        <f>MIN('02_Данные'!M424,AC424)</f>
        <v/>
      </c>
      <c r="AE424" s="10">
        <f>AC424-AD424</f>
        <v/>
      </c>
      <c r="AF424" s="10">
        <f>MIN('02_Данные'!N424,AE424)</f>
        <v/>
      </c>
      <c r="AG424" s="10">
        <f>AE424-AF424</f>
        <v/>
      </c>
      <c r="AH424" s="10">
        <f>MIN('02_Данные'!S424,AG424)</f>
        <v/>
      </c>
      <c r="AI424" s="10">
        <f>AG424-AH424</f>
        <v/>
      </c>
      <c r="AJ424" s="10">
        <f>MIN('02_Данные'!P424,AI424)</f>
        <v/>
      </c>
      <c r="AK424" s="10">
        <f>AI424-AJ424</f>
        <v/>
      </c>
      <c r="AL424" s="10">
        <f>MIN('02_Данные'!O424,AK424)</f>
        <v/>
      </c>
      <c r="AM424" s="10">
        <f>AK424-AL424</f>
        <v/>
      </c>
      <c r="AN424" s="10">
        <f>MIN('02_Данные'!Q424,AM424)</f>
        <v/>
      </c>
      <c r="AO424" s="10">
        <f>AM424-AN424</f>
        <v/>
      </c>
      <c r="AP424" s="10">
        <f>MIN('02_Данные'!R424,AO424)</f>
        <v/>
      </c>
      <c r="AQ424" s="10">
        <f>AO424-AP424</f>
        <v/>
      </c>
      <c r="AR424" s="10">
        <f>AQ424+'02_Данные'!H424</f>
        <v/>
      </c>
      <c r="AS424" s="10">
        <f>MIN('02_Данные'!T424,AR424)</f>
        <v/>
      </c>
      <c r="AT424" s="10">
        <f>AR424-AS424</f>
        <v/>
      </c>
      <c r="AU424" s="10">
        <f>MIN('02_Данные'!U424,AT424)</f>
        <v/>
      </c>
      <c r="AV424" s="10">
        <f>AT424-AU424</f>
        <v/>
      </c>
      <c r="AW424" s="10">
        <f>MIN('02_Данные'!V424,AV424)</f>
        <v/>
      </c>
      <c r="AX424" s="10">
        <f>AV424-AW424</f>
        <v/>
      </c>
      <c r="AY424" s="10">
        <f>MIN('02_Данные'!AA424,AX424)</f>
        <v/>
      </c>
      <c r="AZ424" s="10">
        <f>AX424-AY424</f>
        <v/>
      </c>
      <c r="BA424" s="10">
        <f>MIN('02_Данные'!X424,AZ424)</f>
        <v/>
      </c>
      <c r="BB424" s="10">
        <f>AZ424-BA424</f>
        <v/>
      </c>
      <c r="BC424" s="10">
        <f>MIN('02_Данные'!W424,BB424)</f>
        <v/>
      </c>
      <c r="BD424" s="10">
        <f>BB424-BC424</f>
        <v/>
      </c>
      <c r="BE424" s="10">
        <f>MIN('02_Данные'!Y424,BD424)</f>
        <v/>
      </c>
      <c r="BF424" s="10">
        <f>BD424-BE424</f>
        <v/>
      </c>
      <c r="BG424" s="10">
        <f>MIN('02_Данные'!Z424,BF424)</f>
        <v/>
      </c>
      <c r="BH424" s="10">
        <f>BF424-BG424</f>
        <v/>
      </c>
      <c r="BI424" s="10">
        <f>BH424+'02_Данные'!I424</f>
        <v/>
      </c>
      <c r="BJ424" s="10">
        <f>MIN('02_Данные'!AB424,BI424)</f>
        <v/>
      </c>
      <c r="BK424" s="10">
        <f>BI424-BJ424</f>
        <v/>
      </c>
      <c r="BL424" s="10">
        <f>MIN('02_Данные'!AC424,BK424)</f>
        <v/>
      </c>
      <c r="BM424" s="10">
        <f>BK424-BL424</f>
        <v/>
      </c>
      <c r="BN424" s="10">
        <f>MIN('02_Данные'!AD424,BM424)</f>
        <v/>
      </c>
      <c r="BO424" s="10">
        <f>BM424-BN424</f>
        <v/>
      </c>
      <c r="BP424" s="10">
        <f>MIN('02_Данные'!AI424,BO424)</f>
        <v/>
      </c>
      <c r="BQ424" s="10">
        <f>BO424-BP424</f>
        <v/>
      </c>
      <c r="BR424" s="10">
        <f>MIN('02_Данные'!AF424,BQ424)</f>
        <v/>
      </c>
      <c r="BS424" s="10">
        <f>BQ424-BR424</f>
        <v/>
      </c>
      <c r="BT424" s="10">
        <f>MIN('02_Данные'!AE424,BS424)</f>
        <v/>
      </c>
      <c r="BU424" s="10">
        <f>BS424-BT424</f>
        <v/>
      </c>
      <c r="BV424" s="10">
        <f>MIN('02_Данные'!AG424,BU424)</f>
        <v/>
      </c>
      <c r="BW424" s="10">
        <f>BU424-BV424</f>
        <v/>
      </c>
      <c r="BX424" s="10">
        <f>MIN('02_Данные'!AH424,BW424)</f>
        <v/>
      </c>
      <c r="BY424" s="10">
        <f>BW424-BX424</f>
        <v/>
      </c>
      <c r="BZ424" s="10">
        <f>BY424+'02_Данные'!J424</f>
        <v/>
      </c>
      <c r="CA424" s="10">
        <f>MIN('02_Данные'!AJ424,BZ424)</f>
        <v/>
      </c>
      <c r="CB424" s="10">
        <f>BZ424-CA424</f>
        <v/>
      </c>
      <c r="CC424" s="10">
        <f>MIN('02_Данные'!AK424,CB424)</f>
        <v/>
      </c>
      <c r="CD424" s="10">
        <f>CB424-CC424</f>
        <v/>
      </c>
      <c r="CE424" s="10">
        <f>MIN('02_Данные'!AL424,CD424)</f>
        <v/>
      </c>
      <c r="CF424" s="10">
        <f>CD424-CE424</f>
        <v/>
      </c>
      <c r="CG424" s="10">
        <f>MIN('02_Данные'!AQ424,CF424)</f>
        <v/>
      </c>
      <c r="CH424" s="10">
        <f>CF424-CG424</f>
        <v/>
      </c>
      <c r="CI424" s="10">
        <f>MIN('02_Данные'!AN424,CH424)</f>
        <v/>
      </c>
      <c r="CJ424" s="10">
        <f>CH424-CI424</f>
        <v/>
      </c>
      <c r="CK424" s="10">
        <f>MIN('02_Данные'!AM424,CJ424)</f>
        <v/>
      </c>
      <c r="CL424" s="10">
        <f>CJ424-CK424</f>
        <v/>
      </c>
      <c r="CM424" s="10">
        <f>MIN('02_Данные'!AO424,CL424)</f>
        <v/>
      </c>
      <c r="CN424" s="10">
        <f>CL424-CM424</f>
        <v/>
      </c>
      <c r="CO424" s="10">
        <f>MIN('02_Данные'!AP424,CN424)</f>
        <v/>
      </c>
      <c r="CP424" s="10">
        <f>CN424-CO424</f>
        <v/>
      </c>
      <c r="CQ424" s="10">
        <f>CP424+'02_Данные'!K424</f>
        <v/>
      </c>
      <c r="CR424" s="10">
        <f>MIN('02_Данные'!AR424,CQ424)</f>
        <v/>
      </c>
      <c r="CS424" s="10">
        <f>CQ424-CR424</f>
        <v/>
      </c>
      <c r="CT424" s="10">
        <f>MIN('02_Данные'!AS424,CS424)</f>
        <v/>
      </c>
      <c r="CU424" s="10">
        <f>CS424-CT424</f>
        <v/>
      </c>
      <c r="CV424" s="10">
        <f>MIN('02_Данные'!AT424,CU424)</f>
        <v/>
      </c>
      <c r="CW424" s="10">
        <f>CU424-CV424</f>
        <v/>
      </c>
      <c r="CX424" s="10">
        <f>MIN('02_Данные'!AY424,CW424)</f>
        <v/>
      </c>
      <c r="CY424" s="10">
        <f>CW424-CX424</f>
        <v/>
      </c>
      <c r="CZ424" s="10">
        <f>MIN('02_Данные'!AV424,CY424)</f>
        <v/>
      </c>
      <c r="DA424" s="10">
        <f>CY424-CZ424</f>
        <v/>
      </c>
      <c r="DB424" s="10">
        <f>MIN('02_Данные'!AU424,DA424)</f>
        <v/>
      </c>
      <c r="DC424" s="10">
        <f>DA424-DB424</f>
        <v/>
      </c>
      <c r="DD424" s="10">
        <f>MIN('02_Данные'!AW424,DC424)</f>
        <v/>
      </c>
      <c r="DE424" s="10">
        <f>DC424-DD424</f>
        <v/>
      </c>
      <c r="DF424" s="10">
        <f>MIN('02_Данные'!AX424,DE424)</f>
        <v/>
      </c>
      <c r="DG424" s="10">
        <f>DE424-DF424</f>
        <v/>
      </c>
    </row>
    <row r="425">
      <c r="A425" s="9">
        <f>'02_Данные'!B425</f>
        <v/>
      </c>
      <c r="B425" s="9">
        <f>'02_Данные'!E425</f>
        <v/>
      </c>
      <c r="C425" s="10">
        <f>'02_Данные'!F425+'02_Данные'!G425+'02_Данные'!H425+'02_Данные'!I425+'02_Данные'!J425+'02_Данные'!K425</f>
        <v/>
      </c>
      <c r="D425" s="10">
        <f>SUM('02_Данные'!L425:'02_Данные'!AY425)</f>
        <v/>
      </c>
      <c r="E425" s="10">
        <f>MAX(0,D425-C425)</f>
        <v/>
      </c>
      <c r="F425" s="15">
        <f>IF(E425&gt;0.0001,"ДЕФИЦИТ",IF(Y425&gt;0.0001,"ПРОФИЦИТ","БАЛАНС"))</f>
        <v/>
      </c>
      <c r="G425" s="10">
        <f>AB425+AS425+BJ425+CA425+CR425</f>
        <v/>
      </c>
      <c r="H425" s="10">
        <f>AD425+AU425+BL425+CC425+CT425</f>
        <v/>
      </c>
      <c r="I425" s="10">
        <f>AF425+AW425+BN425+CE425+CV425</f>
        <v/>
      </c>
      <c r="J425" s="10">
        <f>AL425+BC425+BT425+CK425+DB425</f>
        <v/>
      </c>
      <c r="K425" s="10">
        <f>AJ425+BA425+BR425+CI425+CZ425</f>
        <v/>
      </c>
      <c r="L425" s="10">
        <f>AN425+BE425+BV425+CM425+DD425</f>
        <v/>
      </c>
      <c r="M425" s="10">
        <f>AP425+BG425+BX425+CO425+DF425</f>
        <v/>
      </c>
      <c r="N425" s="10">
        <f>AH425+AY425+BP425+CG425+CX425</f>
        <v/>
      </c>
      <c r="O425" s="10">
        <f>SUM(G425:N425)</f>
        <v/>
      </c>
      <c r="P425" s="10">
        <f>IFERROR(G425*MIN(1,'01_Нормативы'!$C$4/SUM(G$2:G$429)),0)</f>
        <v/>
      </c>
      <c r="Q425" s="10">
        <f>IFERROR(H425*MIN(1,'01_Нормативы'!$C$5/SUM(H$2:H$429)),0)</f>
        <v/>
      </c>
      <c r="R425" s="10">
        <f>IFERROR(I425*MIN(1,'01_Нормативы'!$C$6/SUM(I$2:I$429)),0)</f>
        <v/>
      </c>
      <c r="S425" s="10">
        <f>IFERROR(J425*MIN(1,'01_Нормативы'!$C$7/SUM(J$2:J$429)),0)</f>
        <v/>
      </c>
      <c r="T425" s="10">
        <f>IFERROR(K425*MIN(1,'01_Нормативы'!$C$8/SUM(K$2:K$429)),0)</f>
        <v/>
      </c>
      <c r="U425" s="10">
        <f>IFERROR(L425*MIN(1,'01_Нормативы'!$C$9/SUM(L$2:L$429)),0)</f>
        <v/>
      </c>
      <c r="V425" s="10">
        <f>IFERROR(M425*MIN(1,'01_Нормативы'!$C$10/SUM(M$2:M$429)),0)</f>
        <v/>
      </c>
      <c r="W425" s="10">
        <f>IFERROR(N425*MIN(1,'01_Нормативы'!$C$11/SUM(N$2:N$429)),0)</f>
        <v/>
      </c>
      <c r="X425" s="10">
        <f>SUM(P425:W425)</f>
        <v/>
      </c>
      <c r="Y425" s="10">
        <f>MAX(0,C425-X425)</f>
        <v/>
      </c>
      <c r="Z425" s="10">
        <f>IF(D425=0,100,X425/D425*100)</f>
        <v/>
      </c>
      <c r="AA425" s="10">
        <f>'02_Данные'!F425+'02_Данные'!G425</f>
        <v/>
      </c>
      <c r="AB425" s="10">
        <f>MIN('02_Данные'!L425,AA425)</f>
        <v/>
      </c>
      <c r="AC425" s="10">
        <f>AA425-AB425</f>
        <v/>
      </c>
      <c r="AD425" s="10">
        <f>MIN('02_Данные'!M425,AC425)</f>
        <v/>
      </c>
      <c r="AE425" s="10">
        <f>AC425-AD425</f>
        <v/>
      </c>
      <c r="AF425" s="10">
        <f>MIN('02_Данные'!N425,AE425)</f>
        <v/>
      </c>
      <c r="AG425" s="10">
        <f>AE425-AF425</f>
        <v/>
      </c>
      <c r="AH425" s="10">
        <f>MIN('02_Данные'!S425,AG425)</f>
        <v/>
      </c>
      <c r="AI425" s="10">
        <f>AG425-AH425</f>
        <v/>
      </c>
      <c r="AJ425" s="10">
        <f>MIN('02_Данные'!P425,AI425)</f>
        <v/>
      </c>
      <c r="AK425" s="10">
        <f>AI425-AJ425</f>
        <v/>
      </c>
      <c r="AL425" s="10">
        <f>MIN('02_Данные'!O425,AK425)</f>
        <v/>
      </c>
      <c r="AM425" s="10">
        <f>AK425-AL425</f>
        <v/>
      </c>
      <c r="AN425" s="10">
        <f>MIN('02_Данные'!Q425,AM425)</f>
        <v/>
      </c>
      <c r="AO425" s="10">
        <f>AM425-AN425</f>
        <v/>
      </c>
      <c r="AP425" s="10">
        <f>MIN('02_Данные'!R425,AO425)</f>
        <v/>
      </c>
      <c r="AQ425" s="10">
        <f>AO425-AP425</f>
        <v/>
      </c>
      <c r="AR425" s="10">
        <f>AQ425+'02_Данные'!H425</f>
        <v/>
      </c>
      <c r="AS425" s="10">
        <f>MIN('02_Данные'!T425,AR425)</f>
        <v/>
      </c>
      <c r="AT425" s="10">
        <f>AR425-AS425</f>
        <v/>
      </c>
      <c r="AU425" s="10">
        <f>MIN('02_Данные'!U425,AT425)</f>
        <v/>
      </c>
      <c r="AV425" s="10">
        <f>AT425-AU425</f>
        <v/>
      </c>
      <c r="AW425" s="10">
        <f>MIN('02_Данные'!V425,AV425)</f>
        <v/>
      </c>
      <c r="AX425" s="10">
        <f>AV425-AW425</f>
        <v/>
      </c>
      <c r="AY425" s="10">
        <f>MIN('02_Данные'!AA425,AX425)</f>
        <v/>
      </c>
      <c r="AZ425" s="10">
        <f>AX425-AY425</f>
        <v/>
      </c>
      <c r="BA425" s="10">
        <f>MIN('02_Данные'!X425,AZ425)</f>
        <v/>
      </c>
      <c r="BB425" s="10">
        <f>AZ425-BA425</f>
        <v/>
      </c>
      <c r="BC425" s="10">
        <f>MIN('02_Данные'!W425,BB425)</f>
        <v/>
      </c>
      <c r="BD425" s="10">
        <f>BB425-BC425</f>
        <v/>
      </c>
      <c r="BE425" s="10">
        <f>MIN('02_Данные'!Y425,BD425)</f>
        <v/>
      </c>
      <c r="BF425" s="10">
        <f>BD425-BE425</f>
        <v/>
      </c>
      <c r="BG425" s="10">
        <f>MIN('02_Данные'!Z425,BF425)</f>
        <v/>
      </c>
      <c r="BH425" s="10">
        <f>BF425-BG425</f>
        <v/>
      </c>
      <c r="BI425" s="10">
        <f>BH425+'02_Данные'!I425</f>
        <v/>
      </c>
      <c r="BJ425" s="10">
        <f>MIN('02_Данные'!AB425,BI425)</f>
        <v/>
      </c>
      <c r="BK425" s="10">
        <f>BI425-BJ425</f>
        <v/>
      </c>
      <c r="BL425" s="10">
        <f>MIN('02_Данные'!AC425,BK425)</f>
        <v/>
      </c>
      <c r="BM425" s="10">
        <f>BK425-BL425</f>
        <v/>
      </c>
      <c r="BN425" s="10">
        <f>MIN('02_Данные'!AD425,BM425)</f>
        <v/>
      </c>
      <c r="BO425" s="10">
        <f>BM425-BN425</f>
        <v/>
      </c>
      <c r="BP425" s="10">
        <f>MIN('02_Данные'!AI425,BO425)</f>
        <v/>
      </c>
      <c r="BQ425" s="10">
        <f>BO425-BP425</f>
        <v/>
      </c>
      <c r="BR425" s="10">
        <f>MIN('02_Данные'!AF425,BQ425)</f>
        <v/>
      </c>
      <c r="BS425" s="10">
        <f>BQ425-BR425</f>
        <v/>
      </c>
      <c r="BT425" s="10">
        <f>MIN('02_Данные'!AE425,BS425)</f>
        <v/>
      </c>
      <c r="BU425" s="10">
        <f>BS425-BT425</f>
        <v/>
      </c>
      <c r="BV425" s="10">
        <f>MIN('02_Данные'!AG425,BU425)</f>
        <v/>
      </c>
      <c r="BW425" s="10">
        <f>BU425-BV425</f>
        <v/>
      </c>
      <c r="BX425" s="10">
        <f>MIN('02_Данные'!AH425,BW425)</f>
        <v/>
      </c>
      <c r="BY425" s="10">
        <f>BW425-BX425</f>
        <v/>
      </c>
      <c r="BZ425" s="10">
        <f>BY425+'02_Данные'!J425</f>
        <v/>
      </c>
      <c r="CA425" s="10">
        <f>MIN('02_Данные'!AJ425,BZ425)</f>
        <v/>
      </c>
      <c r="CB425" s="10">
        <f>BZ425-CA425</f>
        <v/>
      </c>
      <c r="CC425" s="10">
        <f>MIN('02_Данные'!AK425,CB425)</f>
        <v/>
      </c>
      <c r="CD425" s="10">
        <f>CB425-CC425</f>
        <v/>
      </c>
      <c r="CE425" s="10">
        <f>MIN('02_Данные'!AL425,CD425)</f>
        <v/>
      </c>
      <c r="CF425" s="10">
        <f>CD425-CE425</f>
        <v/>
      </c>
      <c r="CG425" s="10">
        <f>MIN('02_Данные'!AQ425,CF425)</f>
        <v/>
      </c>
      <c r="CH425" s="10">
        <f>CF425-CG425</f>
        <v/>
      </c>
      <c r="CI425" s="10">
        <f>MIN('02_Данные'!AN425,CH425)</f>
        <v/>
      </c>
      <c r="CJ425" s="10">
        <f>CH425-CI425</f>
        <v/>
      </c>
      <c r="CK425" s="10">
        <f>MIN('02_Данные'!AM425,CJ425)</f>
        <v/>
      </c>
      <c r="CL425" s="10">
        <f>CJ425-CK425</f>
        <v/>
      </c>
      <c r="CM425" s="10">
        <f>MIN('02_Данные'!AO425,CL425)</f>
        <v/>
      </c>
      <c r="CN425" s="10">
        <f>CL425-CM425</f>
        <v/>
      </c>
      <c r="CO425" s="10">
        <f>MIN('02_Данные'!AP425,CN425)</f>
        <v/>
      </c>
      <c r="CP425" s="10">
        <f>CN425-CO425</f>
        <v/>
      </c>
      <c r="CQ425" s="10">
        <f>CP425+'02_Данные'!K425</f>
        <v/>
      </c>
      <c r="CR425" s="10">
        <f>MIN('02_Данные'!AR425,CQ425)</f>
        <v/>
      </c>
      <c r="CS425" s="10">
        <f>CQ425-CR425</f>
        <v/>
      </c>
      <c r="CT425" s="10">
        <f>MIN('02_Данные'!AS425,CS425)</f>
        <v/>
      </c>
      <c r="CU425" s="10">
        <f>CS425-CT425</f>
        <v/>
      </c>
      <c r="CV425" s="10">
        <f>MIN('02_Данные'!AT425,CU425)</f>
        <v/>
      </c>
      <c r="CW425" s="10">
        <f>CU425-CV425</f>
        <v/>
      </c>
      <c r="CX425" s="10">
        <f>MIN('02_Данные'!AY425,CW425)</f>
        <v/>
      </c>
      <c r="CY425" s="10">
        <f>CW425-CX425</f>
        <v/>
      </c>
      <c r="CZ425" s="10">
        <f>MIN('02_Данные'!AV425,CY425)</f>
        <v/>
      </c>
      <c r="DA425" s="10">
        <f>CY425-CZ425</f>
        <v/>
      </c>
      <c r="DB425" s="10">
        <f>MIN('02_Данные'!AU425,DA425)</f>
        <v/>
      </c>
      <c r="DC425" s="10">
        <f>DA425-DB425</f>
        <v/>
      </c>
      <c r="DD425" s="10">
        <f>MIN('02_Данные'!AW425,DC425)</f>
        <v/>
      </c>
      <c r="DE425" s="10">
        <f>DC425-DD425</f>
        <v/>
      </c>
      <c r="DF425" s="10">
        <f>MIN('02_Данные'!AX425,DE425)</f>
        <v/>
      </c>
      <c r="DG425" s="10">
        <f>DE425-DF425</f>
        <v/>
      </c>
    </row>
    <row r="426">
      <c r="A426" s="9">
        <f>'02_Данные'!B426</f>
        <v/>
      </c>
      <c r="B426" s="9">
        <f>'02_Данные'!E426</f>
        <v/>
      </c>
      <c r="C426" s="10">
        <f>'02_Данные'!F426+'02_Данные'!G426+'02_Данные'!H426+'02_Данные'!I426+'02_Данные'!J426+'02_Данные'!K426</f>
        <v/>
      </c>
      <c r="D426" s="10">
        <f>SUM('02_Данные'!L426:'02_Данные'!AY426)</f>
        <v/>
      </c>
      <c r="E426" s="10">
        <f>MAX(0,D426-C426)</f>
        <v/>
      </c>
      <c r="F426" s="15">
        <f>IF(E426&gt;0.0001,"ДЕФИЦИТ",IF(Y426&gt;0.0001,"ПРОФИЦИТ","БАЛАНС"))</f>
        <v/>
      </c>
      <c r="G426" s="10">
        <f>AB426+AS426+BJ426+CA426+CR426</f>
        <v/>
      </c>
      <c r="H426" s="10">
        <f>AD426+AU426+BL426+CC426+CT426</f>
        <v/>
      </c>
      <c r="I426" s="10">
        <f>AF426+AW426+BN426+CE426+CV426</f>
        <v/>
      </c>
      <c r="J426" s="10">
        <f>AL426+BC426+BT426+CK426+DB426</f>
        <v/>
      </c>
      <c r="K426" s="10">
        <f>AJ426+BA426+BR426+CI426+CZ426</f>
        <v/>
      </c>
      <c r="L426" s="10">
        <f>AN426+BE426+BV426+CM426+DD426</f>
        <v/>
      </c>
      <c r="M426" s="10">
        <f>AP426+BG426+BX426+CO426+DF426</f>
        <v/>
      </c>
      <c r="N426" s="10">
        <f>AH426+AY426+BP426+CG426+CX426</f>
        <v/>
      </c>
      <c r="O426" s="10">
        <f>SUM(G426:N426)</f>
        <v/>
      </c>
      <c r="P426" s="10">
        <f>IFERROR(G426*MIN(1,'01_Нормативы'!$C$4/SUM(G$2:G$429)),0)</f>
        <v/>
      </c>
      <c r="Q426" s="10">
        <f>IFERROR(H426*MIN(1,'01_Нормативы'!$C$5/SUM(H$2:H$429)),0)</f>
        <v/>
      </c>
      <c r="R426" s="10">
        <f>IFERROR(I426*MIN(1,'01_Нормативы'!$C$6/SUM(I$2:I$429)),0)</f>
        <v/>
      </c>
      <c r="S426" s="10">
        <f>IFERROR(J426*MIN(1,'01_Нормативы'!$C$7/SUM(J$2:J$429)),0)</f>
        <v/>
      </c>
      <c r="T426" s="10">
        <f>IFERROR(K426*MIN(1,'01_Нормативы'!$C$8/SUM(K$2:K$429)),0)</f>
        <v/>
      </c>
      <c r="U426" s="10">
        <f>IFERROR(L426*MIN(1,'01_Нормативы'!$C$9/SUM(L$2:L$429)),0)</f>
        <v/>
      </c>
      <c r="V426" s="10">
        <f>IFERROR(M426*MIN(1,'01_Нормативы'!$C$10/SUM(M$2:M$429)),0)</f>
        <v/>
      </c>
      <c r="W426" s="10">
        <f>IFERROR(N426*MIN(1,'01_Нормативы'!$C$11/SUM(N$2:N$429)),0)</f>
        <v/>
      </c>
      <c r="X426" s="10">
        <f>SUM(P426:W426)</f>
        <v/>
      </c>
      <c r="Y426" s="10">
        <f>MAX(0,C426-X426)</f>
        <v/>
      </c>
      <c r="Z426" s="10">
        <f>IF(D426=0,100,X426/D426*100)</f>
        <v/>
      </c>
      <c r="AA426" s="10">
        <f>'02_Данные'!F426+'02_Данные'!G426</f>
        <v/>
      </c>
      <c r="AB426" s="10">
        <f>MIN('02_Данные'!L426,AA426)</f>
        <v/>
      </c>
      <c r="AC426" s="10">
        <f>AA426-AB426</f>
        <v/>
      </c>
      <c r="AD426" s="10">
        <f>MIN('02_Данные'!M426,AC426)</f>
        <v/>
      </c>
      <c r="AE426" s="10">
        <f>AC426-AD426</f>
        <v/>
      </c>
      <c r="AF426" s="10">
        <f>MIN('02_Данные'!N426,AE426)</f>
        <v/>
      </c>
      <c r="AG426" s="10">
        <f>AE426-AF426</f>
        <v/>
      </c>
      <c r="AH426" s="10">
        <f>MIN('02_Данные'!S426,AG426)</f>
        <v/>
      </c>
      <c r="AI426" s="10">
        <f>AG426-AH426</f>
        <v/>
      </c>
      <c r="AJ426" s="10">
        <f>MIN('02_Данные'!P426,AI426)</f>
        <v/>
      </c>
      <c r="AK426" s="10">
        <f>AI426-AJ426</f>
        <v/>
      </c>
      <c r="AL426" s="10">
        <f>MIN('02_Данные'!O426,AK426)</f>
        <v/>
      </c>
      <c r="AM426" s="10">
        <f>AK426-AL426</f>
        <v/>
      </c>
      <c r="AN426" s="10">
        <f>MIN('02_Данные'!Q426,AM426)</f>
        <v/>
      </c>
      <c r="AO426" s="10">
        <f>AM426-AN426</f>
        <v/>
      </c>
      <c r="AP426" s="10">
        <f>MIN('02_Данные'!R426,AO426)</f>
        <v/>
      </c>
      <c r="AQ426" s="10">
        <f>AO426-AP426</f>
        <v/>
      </c>
      <c r="AR426" s="10">
        <f>AQ426+'02_Данные'!H426</f>
        <v/>
      </c>
      <c r="AS426" s="10">
        <f>MIN('02_Данные'!T426,AR426)</f>
        <v/>
      </c>
      <c r="AT426" s="10">
        <f>AR426-AS426</f>
        <v/>
      </c>
      <c r="AU426" s="10">
        <f>MIN('02_Данные'!U426,AT426)</f>
        <v/>
      </c>
      <c r="AV426" s="10">
        <f>AT426-AU426</f>
        <v/>
      </c>
      <c r="AW426" s="10">
        <f>MIN('02_Данные'!V426,AV426)</f>
        <v/>
      </c>
      <c r="AX426" s="10">
        <f>AV426-AW426</f>
        <v/>
      </c>
      <c r="AY426" s="10">
        <f>MIN('02_Данные'!AA426,AX426)</f>
        <v/>
      </c>
      <c r="AZ426" s="10">
        <f>AX426-AY426</f>
        <v/>
      </c>
      <c r="BA426" s="10">
        <f>MIN('02_Данные'!X426,AZ426)</f>
        <v/>
      </c>
      <c r="BB426" s="10">
        <f>AZ426-BA426</f>
        <v/>
      </c>
      <c r="BC426" s="10">
        <f>MIN('02_Данные'!W426,BB426)</f>
        <v/>
      </c>
      <c r="BD426" s="10">
        <f>BB426-BC426</f>
        <v/>
      </c>
      <c r="BE426" s="10">
        <f>MIN('02_Данные'!Y426,BD426)</f>
        <v/>
      </c>
      <c r="BF426" s="10">
        <f>BD426-BE426</f>
        <v/>
      </c>
      <c r="BG426" s="10">
        <f>MIN('02_Данные'!Z426,BF426)</f>
        <v/>
      </c>
      <c r="BH426" s="10">
        <f>BF426-BG426</f>
        <v/>
      </c>
      <c r="BI426" s="10">
        <f>BH426+'02_Данные'!I426</f>
        <v/>
      </c>
      <c r="BJ426" s="10">
        <f>MIN('02_Данные'!AB426,BI426)</f>
        <v/>
      </c>
      <c r="BK426" s="10">
        <f>BI426-BJ426</f>
        <v/>
      </c>
      <c r="BL426" s="10">
        <f>MIN('02_Данные'!AC426,BK426)</f>
        <v/>
      </c>
      <c r="BM426" s="10">
        <f>BK426-BL426</f>
        <v/>
      </c>
      <c r="BN426" s="10">
        <f>MIN('02_Данные'!AD426,BM426)</f>
        <v/>
      </c>
      <c r="BO426" s="10">
        <f>BM426-BN426</f>
        <v/>
      </c>
      <c r="BP426" s="10">
        <f>MIN('02_Данные'!AI426,BO426)</f>
        <v/>
      </c>
      <c r="BQ426" s="10">
        <f>BO426-BP426</f>
        <v/>
      </c>
      <c r="BR426" s="10">
        <f>MIN('02_Данные'!AF426,BQ426)</f>
        <v/>
      </c>
      <c r="BS426" s="10">
        <f>BQ426-BR426</f>
        <v/>
      </c>
      <c r="BT426" s="10">
        <f>MIN('02_Данные'!AE426,BS426)</f>
        <v/>
      </c>
      <c r="BU426" s="10">
        <f>BS426-BT426</f>
        <v/>
      </c>
      <c r="BV426" s="10">
        <f>MIN('02_Данные'!AG426,BU426)</f>
        <v/>
      </c>
      <c r="BW426" s="10">
        <f>BU426-BV426</f>
        <v/>
      </c>
      <c r="BX426" s="10">
        <f>MIN('02_Данные'!AH426,BW426)</f>
        <v/>
      </c>
      <c r="BY426" s="10">
        <f>BW426-BX426</f>
        <v/>
      </c>
      <c r="BZ426" s="10">
        <f>BY426+'02_Данные'!J426</f>
        <v/>
      </c>
      <c r="CA426" s="10">
        <f>MIN('02_Данные'!AJ426,BZ426)</f>
        <v/>
      </c>
      <c r="CB426" s="10">
        <f>BZ426-CA426</f>
        <v/>
      </c>
      <c r="CC426" s="10">
        <f>MIN('02_Данные'!AK426,CB426)</f>
        <v/>
      </c>
      <c r="CD426" s="10">
        <f>CB426-CC426</f>
        <v/>
      </c>
      <c r="CE426" s="10">
        <f>MIN('02_Данные'!AL426,CD426)</f>
        <v/>
      </c>
      <c r="CF426" s="10">
        <f>CD426-CE426</f>
        <v/>
      </c>
      <c r="CG426" s="10">
        <f>MIN('02_Данные'!AQ426,CF426)</f>
        <v/>
      </c>
      <c r="CH426" s="10">
        <f>CF426-CG426</f>
        <v/>
      </c>
      <c r="CI426" s="10">
        <f>MIN('02_Данные'!AN426,CH426)</f>
        <v/>
      </c>
      <c r="CJ426" s="10">
        <f>CH426-CI426</f>
        <v/>
      </c>
      <c r="CK426" s="10">
        <f>MIN('02_Данные'!AM426,CJ426)</f>
        <v/>
      </c>
      <c r="CL426" s="10">
        <f>CJ426-CK426</f>
        <v/>
      </c>
      <c r="CM426" s="10">
        <f>MIN('02_Данные'!AO426,CL426)</f>
        <v/>
      </c>
      <c r="CN426" s="10">
        <f>CL426-CM426</f>
        <v/>
      </c>
      <c r="CO426" s="10">
        <f>MIN('02_Данные'!AP426,CN426)</f>
        <v/>
      </c>
      <c r="CP426" s="10">
        <f>CN426-CO426</f>
        <v/>
      </c>
      <c r="CQ426" s="10">
        <f>CP426+'02_Данные'!K426</f>
        <v/>
      </c>
      <c r="CR426" s="10">
        <f>MIN('02_Данные'!AR426,CQ426)</f>
        <v/>
      </c>
      <c r="CS426" s="10">
        <f>CQ426-CR426</f>
        <v/>
      </c>
      <c r="CT426" s="10">
        <f>MIN('02_Данные'!AS426,CS426)</f>
        <v/>
      </c>
      <c r="CU426" s="10">
        <f>CS426-CT426</f>
        <v/>
      </c>
      <c r="CV426" s="10">
        <f>MIN('02_Данные'!AT426,CU426)</f>
        <v/>
      </c>
      <c r="CW426" s="10">
        <f>CU426-CV426</f>
        <v/>
      </c>
      <c r="CX426" s="10">
        <f>MIN('02_Данные'!AY426,CW426)</f>
        <v/>
      </c>
      <c r="CY426" s="10">
        <f>CW426-CX426</f>
        <v/>
      </c>
      <c r="CZ426" s="10">
        <f>MIN('02_Данные'!AV426,CY426)</f>
        <v/>
      </c>
      <c r="DA426" s="10">
        <f>CY426-CZ426</f>
        <v/>
      </c>
      <c r="DB426" s="10">
        <f>MIN('02_Данные'!AU426,DA426)</f>
        <v/>
      </c>
      <c r="DC426" s="10">
        <f>DA426-DB426</f>
        <v/>
      </c>
      <c r="DD426" s="10">
        <f>MIN('02_Данные'!AW426,DC426)</f>
        <v/>
      </c>
      <c r="DE426" s="10">
        <f>DC426-DD426</f>
        <v/>
      </c>
      <c r="DF426" s="10">
        <f>MIN('02_Данные'!AX426,DE426)</f>
        <v/>
      </c>
      <c r="DG426" s="10">
        <f>DE426-DF426</f>
        <v/>
      </c>
    </row>
    <row r="427">
      <c r="A427" s="9">
        <f>'02_Данные'!B427</f>
        <v/>
      </c>
      <c r="B427" s="9">
        <f>'02_Данные'!E427</f>
        <v/>
      </c>
      <c r="C427" s="10">
        <f>'02_Данные'!F427+'02_Данные'!G427+'02_Данные'!H427+'02_Данные'!I427+'02_Данные'!J427+'02_Данные'!K427</f>
        <v/>
      </c>
      <c r="D427" s="10">
        <f>SUM('02_Данные'!L427:'02_Данные'!AY427)</f>
        <v/>
      </c>
      <c r="E427" s="10">
        <f>MAX(0,D427-C427)</f>
        <v/>
      </c>
      <c r="F427" s="15">
        <f>IF(E427&gt;0.0001,"ДЕФИЦИТ",IF(Y427&gt;0.0001,"ПРОФИЦИТ","БАЛАНС"))</f>
        <v/>
      </c>
      <c r="G427" s="10">
        <f>AB427+AS427+BJ427+CA427+CR427</f>
        <v/>
      </c>
      <c r="H427" s="10">
        <f>AD427+AU427+BL427+CC427+CT427</f>
        <v/>
      </c>
      <c r="I427" s="10">
        <f>AF427+AW427+BN427+CE427+CV427</f>
        <v/>
      </c>
      <c r="J427" s="10">
        <f>AL427+BC427+BT427+CK427+DB427</f>
        <v/>
      </c>
      <c r="K427" s="10">
        <f>AJ427+BA427+BR427+CI427+CZ427</f>
        <v/>
      </c>
      <c r="L427" s="10">
        <f>AN427+BE427+BV427+CM427+DD427</f>
        <v/>
      </c>
      <c r="M427" s="10">
        <f>AP427+BG427+BX427+CO427+DF427</f>
        <v/>
      </c>
      <c r="N427" s="10">
        <f>AH427+AY427+BP427+CG427+CX427</f>
        <v/>
      </c>
      <c r="O427" s="10">
        <f>SUM(G427:N427)</f>
        <v/>
      </c>
      <c r="P427" s="10">
        <f>IFERROR(G427*MIN(1,'01_Нормативы'!$C$4/SUM(G$2:G$429)),0)</f>
        <v/>
      </c>
      <c r="Q427" s="10">
        <f>IFERROR(H427*MIN(1,'01_Нормативы'!$C$5/SUM(H$2:H$429)),0)</f>
        <v/>
      </c>
      <c r="R427" s="10">
        <f>IFERROR(I427*MIN(1,'01_Нормативы'!$C$6/SUM(I$2:I$429)),0)</f>
        <v/>
      </c>
      <c r="S427" s="10">
        <f>IFERROR(J427*MIN(1,'01_Нормативы'!$C$7/SUM(J$2:J$429)),0)</f>
        <v/>
      </c>
      <c r="T427" s="10">
        <f>IFERROR(K427*MIN(1,'01_Нормативы'!$C$8/SUM(K$2:K$429)),0)</f>
        <v/>
      </c>
      <c r="U427" s="10">
        <f>IFERROR(L427*MIN(1,'01_Нормативы'!$C$9/SUM(L$2:L$429)),0)</f>
        <v/>
      </c>
      <c r="V427" s="10">
        <f>IFERROR(M427*MIN(1,'01_Нормативы'!$C$10/SUM(M$2:M$429)),0)</f>
        <v/>
      </c>
      <c r="W427" s="10">
        <f>IFERROR(N427*MIN(1,'01_Нормативы'!$C$11/SUM(N$2:N$429)),0)</f>
        <v/>
      </c>
      <c r="X427" s="10">
        <f>SUM(P427:W427)</f>
        <v/>
      </c>
      <c r="Y427" s="10">
        <f>MAX(0,C427-X427)</f>
        <v/>
      </c>
      <c r="Z427" s="10">
        <f>IF(D427=0,100,X427/D427*100)</f>
        <v/>
      </c>
      <c r="AA427" s="10">
        <f>'02_Данные'!F427+'02_Данные'!G427</f>
        <v/>
      </c>
      <c r="AB427" s="10">
        <f>MIN('02_Данные'!L427,AA427)</f>
        <v/>
      </c>
      <c r="AC427" s="10">
        <f>AA427-AB427</f>
        <v/>
      </c>
      <c r="AD427" s="10">
        <f>MIN('02_Данные'!M427,AC427)</f>
        <v/>
      </c>
      <c r="AE427" s="10">
        <f>AC427-AD427</f>
        <v/>
      </c>
      <c r="AF427" s="10">
        <f>MIN('02_Данные'!N427,AE427)</f>
        <v/>
      </c>
      <c r="AG427" s="10">
        <f>AE427-AF427</f>
        <v/>
      </c>
      <c r="AH427" s="10">
        <f>MIN('02_Данные'!S427,AG427)</f>
        <v/>
      </c>
      <c r="AI427" s="10">
        <f>AG427-AH427</f>
        <v/>
      </c>
      <c r="AJ427" s="10">
        <f>MIN('02_Данные'!P427,AI427)</f>
        <v/>
      </c>
      <c r="AK427" s="10">
        <f>AI427-AJ427</f>
        <v/>
      </c>
      <c r="AL427" s="10">
        <f>MIN('02_Данные'!O427,AK427)</f>
        <v/>
      </c>
      <c r="AM427" s="10">
        <f>AK427-AL427</f>
        <v/>
      </c>
      <c r="AN427" s="10">
        <f>MIN('02_Данные'!Q427,AM427)</f>
        <v/>
      </c>
      <c r="AO427" s="10">
        <f>AM427-AN427</f>
        <v/>
      </c>
      <c r="AP427" s="10">
        <f>MIN('02_Данные'!R427,AO427)</f>
        <v/>
      </c>
      <c r="AQ427" s="10">
        <f>AO427-AP427</f>
        <v/>
      </c>
      <c r="AR427" s="10">
        <f>AQ427+'02_Данные'!H427</f>
        <v/>
      </c>
      <c r="AS427" s="10">
        <f>MIN('02_Данные'!T427,AR427)</f>
        <v/>
      </c>
      <c r="AT427" s="10">
        <f>AR427-AS427</f>
        <v/>
      </c>
      <c r="AU427" s="10">
        <f>MIN('02_Данные'!U427,AT427)</f>
        <v/>
      </c>
      <c r="AV427" s="10">
        <f>AT427-AU427</f>
        <v/>
      </c>
      <c r="AW427" s="10">
        <f>MIN('02_Данные'!V427,AV427)</f>
        <v/>
      </c>
      <c r="AX427" s="10">
        <f>AV427-AW427</f>
        <v/>
      </c>
      <c r="AY427" s="10">
        <f>MIN('02_Данные'!AA427,AX427)</f>
        <v/>
      </c>
      <c r="AZ427" s="10">
        <f>AX427-AY427</f>
        <v/>
      </c>
      <c r="BA427" s="10">
        <f>MIN('02_Данные'!X427,AZ427)</f>
        <v/>
      </c>
      <c r="BB427" s="10">
        <f>AZ427-BA427</f>
        <v/>
      </c>
      <c r="BC427" s="10">
        <f>MIN('02_Данные'!W427,BB427)</f>
        <v/>
      </c>
      <c r="BD427" s="10">
        <f>BB427-BC427</f>
        <v/>
      </c>
      <c r="BE427" s="10">
        <f>MIN('02_Данные'!Y427,BD427)</f>
        <v/>
      </c>
      <c r="BF427" s="10">
        <f>BD427-BE427</f>
        <v/>
      </c>
      <c r="BG427" s="10">
        <f>MIN('02_Данные'!Z427,BF427)</f>
        <v/>
      </c>
      <c r="BH427" s="10">
        <f>BF427-BG427</f>
        <v/>
      </c>
      <c r="BI427" s="10">
        <f>BH427+'02_Данные'!I427</f>
        <v/>
      </c>
      <c r="BJ427" s="10">
        <f>MIN('02_Данные'!AB427,BI427)</f>
        <v/>
      </c>
      <c r="BK427" s="10">
        <f>BI427-BJ427</f>
        <v/>
      </c>
      <c r="BL427" s="10">
        <f>MIN('02_Данные'!AC427,BK427)</f>
        <v/>
      </c>
      <c r="BM427" s="10">
        <f>BK427-BL427</f>
        <v/>
      </c>
      <c r="BN427" s="10">
        <f>MIN('02_Данные'!AD427,BM427)</f>
        <v/>
      </c>
      <c r="BO427" s="10">
        <f>BM427-BN427</f>
        <v/>
      </c>
      <c r="BP427" s="10">
        <f>MIN('02_Данные'!AI427,BO427)</f>
        <v/>
      </c>
      <c r="BQ427" s="10">
        <f>BO427-BP427</f>
        <v/>
      </c>
      <c r="BR427" s="10">
        <f>MIN('02_Данные'!AF427,BQ427)</f>
        <v/>
      </c>
      <c r="BS427" s="10">
        <f>BQ427-BR427</f>
        <v/>
      </c>
      <c r="BT427" s="10">
        <f>MIN('02_Данные'!AE427,BS427)</f>
        <v/>
      </c>
      <c r="BU427" s="10">
        <f>BS427-BT427</f>
        <v/>
      </c>
      <c r="BV427" s="10">
        <f>MIN('02_Данные'!AG427,BU427)</f>
        <v/>
      </c>
      <c r="BW427" s="10">
        <f>BU427-BV427</f>
        <v/>
      </c>
      <c r="BX427" s="10">
        <f>MIN('02_Данные'!AH427,BW427)</f>
        <v/>
      </c>
      <c r="BY427" s="10">
        <f>BW427-BX427</f>
        <v/>
      </c>
      <c r="BZ427" s="10">
        <f>BY427+'02_Данные'!J427</f>
        <v/>
      </c>
      <c r="CA427" s="10">
        <f>MIN('02_Данные'!AJ427,BZ427)</f>
        <v/>
      </c>
      <c r="CB427" s="10">
        <f>BZ427-CA427</f>
        <v/>
      </c>
      <c r="CC427" s="10">
        <f>MIN('02_Данные'!AK427,CB427)</f>
        <v/>
      </c>
      <c r="CD427" s="10">
        <f>CB427-CC427</f>
        <v/>
      </c>
      <c r="CE427" s="10">
        <f>MIN('02_Данные'!AL427,CD427)</f>
        <v/>
      </c>
      <c r="CF427" s="10">
        <f>CD427-CE427</f>
        <v/>
      </c>
      <c r="CG427" s="10">
        <f>MIN('02_Данные'!AQ427,CF427)</f>
        <v/>
      </c>
      <c r="CH427" s="10">
        <f>CF427-CG427</f>
        <v/>
      </c>
      <c r="CI427" s="10">
        <f>MIN('02_Данные'!AN427,CH427)</f>
        <v/>
      </c>
      <c r="CJ427" s="10">
        <f>CH427-CI427</f>
        <v/>
      </c>
      <c r="CK427" s="10">
        <f>MIN('02_Данные'!AM427,CJ427)</f>
        <v/>
      </c>
      <c r="CL427" s="10">
        <f>CJ427-CK427</f>
        <v/>
      </c>
      <c r="CM427" s="10">
        <f>MIN('02_Данные'!AO427,CL427)</f>
        <v/>
      </c>
      <c r="CN427" s="10">
        <f>CL427-CM427</f>
        <v/>
      </c>
      <c r="CO427" s="10">
        <f>MIN('02_Данные'!AP427,CN427)</f>
        <v/>
      </c>
      <c r="CP427" s="10">
        <f>CN427-CO427</f>
        <v/>
      </c>
      <c r="CQ427" s="10">
        <f>CP427+'02_Данные'!K427</f>
        <v/>
      </c>
      <c r="CR427" s="10">
        <f>MIN('02_Данные'!AR427,CQ427)</f>
        <v/>
      </c>
      <c r="CS427" s="10">
        <f>CQ427-CR427</f>
        <v/>
      </c>
      <c r="CT427" s="10">
        <f>MIN('02_Данные'!AS427,CS427)</f>
        <v/>
      </c>
      <c r="CU427" s="10">
        <f>CS427-CT427</f>
        <v/>
      </c>
      <c r="CV427" s="10">
        <f>MIN('02_Данные'!AT427,CU427)</f>
        <v/>
      </c>
      <c r="CW427" s="10">
        <f>CU427-CV427</f>
        <v/>
      </c>
      <c r="CX427" s="10">
        <f>MIN('02_Данные'!AY427,CW427)</f>
        <v/>
      </c>
      <c r="CY427" s="10">
        <f>CW427-CX427</f>
        <v/>
      </c>
      <c r="CZ427" s="10">
        <f>MIN('02_Данные'!AV427,CY427)</f>
        <v/>
      </c>
      <c r="DA427" s="10">
        <f>CY427-CZ427</f>
        <v/>
      </c>
      <c r="DB427" s="10">
        <f>MIN('02_Данные'!AU427,DA427)</f>
        <v/>
      </c>
      <c r="DC427" s="10">
        <f>DA427-DB427</f>
        <v/>
      </c>
      <c r="DD427" s="10">
        <f>MIN('02_Данные'!AW427,DC427)</f>
        <v/>
      </c>
      <c r="DE427" s="10">
        <f>DC427-DD427</f>
        <v/>
      </c>
      <c r="DF427" s="10">
        <f>MIN('02_Данные'!AX427,DE427)</f>
        <v/>
      </c>
      <c r="DG427" s="10">
        <f>DE427-DF427</f>
        <v/>
      </c>
    </row>
    <row r="428">
      <c r="A428" s="9">
        <f>'02_Данные'!B428</f>
        <v/>
      </c>
      <c r="B428" s="9">
        <f>'02_Данные'!E428</f>
        <v/>
      </c>
      <c r="C428" s="10">
        <f>'02_Данные'!F428+'02_Данные'!G428+'02_Данные'!H428+'02_Данные'!I428+'02_Данные'!J428+'02_Данные'!K428</f>
        <v/>
      </c>
      <c r="D428" s="10">
        <f>SUM('02_Данные'!L428:'02_Данные'!AY428)</f>
        <v/>
      </c>
      <c r="E428" s="10">
        <f>MAX(0,D428-C428)</f>
        <v/>
      </c>
      <c r="F428" s="15">
        <f>IF(E428&gt;0.0001,"ДЕФИЦИТ",IF(Y428&gt;0.0001,"ПРОФИЦИТ","БАЛАНС"))</f>
        <v/>
      </c>
      <c r="G428" s="10">
        <f>AB428+AS428+BJ428+CA428+CR428</f>
        <v/>
      </c>
      <c r="H428" s="10">
        <f>AD428+AU428+BL428+CC428+CT428</f>
        <v/>
      </c>
      <c r="I428" s="10">
        <f>AF428+AW428+BN428+CE428+CV428</f>
        <v/>
      </c>
      <c r="J428" s="10">
        <f>AL428+BC428+BT428+CK428+DB428</f>
        <v/>
      </c>
      <c r="K428" s="10">
        <f>AJ428+BA428+BR428+CI428+CZ428</f>
        <v/>
      </c>
      <c r="L428" s="10">
        <f>AN428+BE428+BV428+CM428+DD428</f>
        <v/>
      </c>
      <c r="M428" s="10">
        <f>AP428+BG428+BX428+CO428+DF428</f>
        <v/>
      </c>
      <c r="N428" s="10">
        <f>AH428+AY428+BP428+CG428+CX428</f>
        <v/>
      </c>
      <c r="O428" s="10">
        <f>SUM(G428:N428)</f>
        <v/>
      </c>
      <c r="P428" s="10">
        <f>IFERROR(G428*MIN(1,'01_Нормативы'!$C$4/SUM(G$2:G$429)),0)</f>
        <v/>
      </c>
      <c r="Q428" s="10">
        <f>IFERROR(H428*MIN(1,'01_Нормативы'!$C$5/SUM(H$2:H$429)),0)</f>
        <v/>
      </c>
      <c r="R428" s="10">
        <f>IFERROR(I428*MIN(1,'01_Нормативы'!$C$6/SUM(I$2:I$429)),0)</f>
        <v/>
      </c>
      <c r="S428" s="10">
        <f>IFERROR(J428*MIN(1,'01_Нормативы'!$C$7/SUM(J$2:J$429)),0)</f>
        <v/>
      </c>
      <c r="T428" s="10">
        <f>IFERROR(K428*MIN(1,'01_Нормативы'!$C$8/SUM(K$2:K$429)),0)</f>
        <v/>
      </c>
      <c r="U428" s="10">
        <f>IFERROR(L428*MIN(1,'01_Нормативы'!$C$9/SUM(L$2:L$429)),0)</f>
        <v/>
      </c>
      <c r="V428" s="10">
        <f>IFERROR(M428*MIN(1,'01_Нормативы'!$C$10/SUM(M$2:M$429)),0)</f>
        <v/>
      </c>
      <c r="W428" s="10">
        <f>IFERROR(N428*MIN(1,'01_Нормативы'!$C$11/SUM(N$2:N$429)),0)</f>
        <v/>
      </c>
      <c r="X428" s="10">
        <f>SUM(P428:W428)</f>
        <v/>
      </c>
      <c r="Y428" s="10">
        <f>MAX(0,C428-X428)</f>
        <v/>
      </c>
      <c r="Z428" s="10">
        <f>IF(D428=0,100,X428/D428*100)</f>
        <v/>
      </c>
      <c r="AA428" s="10">
        <f>'02_Данные'!F428+'02_Данные'!G428</f>
        <v/>
      </c>
      <c r="AB428" s="10">
        <f>MIN('02_Данные'!L428,AA428)</f>
        <v/>
      </c>
      <c r="AC428" s="10">
        <f>AA428-AB428</f>
        <v/>
      </c>
      <c r="AD428" s="10">
        <f>MIN('02_Данные'!M428,AC428)</f>
        <v/>
      </c>
      <c r="AE428" s="10">
        <f>AC428-AD428</f>
        <v/>
      </c>
      <c r="AF428" s="10">
        <f>MIN('02_Данные'!N428,AE428)</f>
        <v/>
      </c>
      <c r="AG428" s="10">
        <f>AE428-AF428</f>
        <v/>
      </c>
      <c r="AH428" s="10">
        <f>MIN('02_Данные'!S428,AG428)</f>
        <v/>
      </c>
      <c r="AI428" s="10">
        <f>AG428-AH428</f>
        <v/>
      </c>
      <c r="AJ428" s="10">
        <f>MIN('02_Данные'!P428,AI428)</f>
        <v/>
      </c>
      <c r="AK428" s="10">
        <f>AI428-AJ428</f>
        <v/>
      </c>
      <c r="AL428" s="10">
        <f>MIN('02_Данные'!O428,AK428)</f>
        <v/>
      </c>
      <c r="AM428" s="10">
        <f>AK428-AL428</f>
        <v/>
      </c>
      <c r="AN428" s="10">
        <f>MIN('02_Данные'!Q428,AM428)</f>
        <v/>
      </c>
      <c r="AO428" s="10">
        <f>AM428-AN428</f>
        <v/>
      </c>
      <c r="AP428" s="10">
        <f>MIN('02_Данные'!R428,AO428)</f>
        <v/>
      </c>
      <c r="AQ428" s="10">
        <f>AO428-AP428</f>
        <v/>
      </c>
      <c r="AR428" s="10">
        <f>AQ428+'02_Данные'!H428</f>
        <v/>
      </c>
      <c r="AS428" s="10">
        <f>MIN('02_Данные'!T428,AR428)</f>
        <v/>
      </c>
      <c r="AT428" s="10">
        <f>AR428-AS428</f>
        <v/>
      </c>
      <c r="AU428" s="10">
        <f>MIN('02_Данные'!U428,AT428)</f>
        <v/>
      </c>
      <c r="AV428" s="10">
        <f>AT428-AU428</f>
        <v/>
      </c>
      <c r="AW428" s="10">
        <f>MIN('02_Данные'!V428,AV428)</f>
        <v/>
      </c>
      <c r="AX428" s="10">
        <f>AV428-AW428</f>
        <v/>
      </c>
      <c r="AY428" s="10">
        <f>MIN('02_Данные'!AA428,AX428)</f>
        <v/>
      </c>
      <c r="AZ428" s="10">
        <f>AX428-AY428</f>
        <v/>
      </c>
      <c r="BA428" s="10">
        <f>MIN('02_Данные'!X428,AZ428)</f>
        <v/>
      </c>
      <c r="BB428" s="10">
        <f>AZ428-BA428</f>
        <v/>
      </c>
      <c r="BC428" s="10">
        <f>MIN('02_Данные'!W428,BB428)</f>
        <v/>
      </c>
      <c r="BD428" s="10">
        <f>BB428-BC428</f>
        <v/>
      </c>
      <c r="BE428" s="10">
        <f>MIN('02_Данные'!Y428,BD428)</f>
        <v/>
      </c>
      <c r="BF428" s="10">
        <f>BD428-BE428</f>
        <v/>
      </c>
      <c r="BG428" s="10">
        <f>MIN('02_Данные'!Z428,BF428)</f>
        <v/>
      </c>
      <c r="BH428" s="10">
        <f>BF428-BG428</f>
        <v/>
      </c>
      <c r="BI428" s="10">
        <f>BH428+'02_Данные'!I428</f>
        <v/>
      </c>
      <c r="BJ428" s="10">
        <f>MIN('02_Данные'!AB428,BI428)</f>
        <v/>
      </c>
      <c r="BK428" s="10">
        <f>BI428-BJ428</f>
        <v/>
      </c>
      <c r="BL428" s="10">
        <f>MIN('02_Данные'!AC428,BK428)</f>
        <v/>
      </c>
      <c r="BM428" s="10">
        <f>BK428-BL428</f>
        <v/>
      </c>
      <c r="BN428" s="10">
        <f>MIN('02_Данные'!AD428,BM428)</f>
        <v/>
      </c>
      <c r="BO428" s="10">
        <f>BM428-BN428</f>
        <v/>
      </c>
      <c r="BP428" s="10">
        <f>MIN('02_Данные'!AI428,BO428)</f>
        <v/>
      </c>
      <c r="BQ428" s="10">
        <f>BO428-BP428</f>
        <v/>
      </c>
      <c r="BR428" s="10">
        <f>MIN('02_Данные'!AF428,BQ428)</f>
        <v/>
      </c>
      <c r="BS428" s="10">
        <f>BQ428-BR428</f>
        <v/>
      </c>
      <c r="BT428" s="10">
        <f>MIN('02_Данные'!AE428,BS428)</f>
        <v/>
      </c>
      <c r="BU428" s="10">
        <f>BS428-BT428</f>
        <v/>
      </c>
      <c r="BV428" s="10">
        <f>MIN('02_Данные'!AG428,BU428)</f>
        <v/>
      </c>
      <c r="BW428" s="10">
        <f>BU428-BV428</f>
        <v/>
      </c>
      <c r="BX428" s="10">
        <f>MIN('02_Данные'!AH428,BW428)</f>
        <v/>
      </c>
      <c r="BY428" s="10">
        <f>BW428-BX428</f>
        <v/>
      </c>
      <c r="BZ428" s="10">
        <f>BY428+'02_Данные'!J428</f>
        <v/>
      </c>
      <c r="CA428" s="10">
        <f>MIN('02_Данные'!AJ428,BZ428)</f>
        <v/>
      </c>
      <c r="CB428" s="10">
        <f>BZ428-CA428</f>
        <v/>
      </c>
      <c r="CC428" s="10">
        <f>MIN('02_Данные'!AK428,CB428)</f>
        <v/>
      </c>
      <c r="CD428" s="10">
        <f>CB428-CC428</f>
        <v/>
      </c>
      <c r="CE428" s="10">
        <f>MIN('02_Данные'!AL428,CD428)</f>
        <v/>
      </c>
      <c r="CF428" s="10">
        <f>CD428-CE428</f>
        <v/>
      </c>
      <c r="CG428" s="10">
        <f>MIN('02_Данные'!AQ428,CF428)</f>
        <v/>
      </c>
      <c r="CH428" s="10">
        <f>CF428-CG428</f>
        <v/>
      </c>
      <c r="CI428" s="10">
        <f>MIN('02_Данные'!AN428,CH428)</f>
        <v/>
      </c>
      <c r="CJ428" s="10">
        <f>CH428-CI428</f>
        <v/>
      </c>
      <c r="CK428" s="10">
        <f>MIN('02_Данные'!AM428,CJ428)</f>
        <v/>
      </c>
      <c r="CL428" s="10">
        <f>CJ428-CK428</f>
        <v/>
      </c>
      <c r="CM428" s="10">
        <f>MIN('02_Данные'!AO428,CL428)</f>
        <v/>
      </c>
      <c r="CN428" s="10">
        <f>CL428-CM428</f>
        <v/>
      </c>
      <c r="CO428" s="10">
        <f>MIN('02_Данные'!AP428,CN428)</f>
        <v/>
      </c>
      <c r="CP428" s="10">
        <f>CN428-CO428</f>
        <v/>
      </c>
      <c r="CQ428" s="10">
        <f>CP428+'02_Данные'!K428</f>
        <v/>
      </c>
      <c r="CR428" s="10">
        <f>MIN('02_Данные'!AR428,CQ428)</f>
        <v/>
      </c>
      <c r="CS428" s="10">
        <f>CQ428-CR428</f>
        <v/>
      </c>
      <c r="CT428" s="10">
        <f>MIN('02_Данные'!AS428,CS428)</f>
        <v/>
      </c>
      <c r="CU428" s="10">
        <f>CS428-CT428</f>
        <v/>
      </c>
      <c r="CV428" s="10">
        <f>MIN('02_Данные'!AT428,CU428)</f>
        <v/>
      </c>
      <c r="CW428" s="10">
        <f>CU428-CV428</f>
        <v/>
      </c>
      <c r="CX428" s="10">
        <f>MIN('02_Данные'!AY428,CW428)</f>
        <v/>
      </c>
      <c r="CY428" s="10">
        <f>CW428-CX428</f>
        <v/>
      </c>
      <c r="CZ428" s="10">
        <f>MIN('02_Данные'!AV428,CY428)</f>
        <v/>
      </c>
      <c r="DA428" s="10">
        <f>CY428-CZ428</f>
        <v/>
      </c>
      <c r="DB428" s="10">
        <f>MIN('02_Данные'!AU428,DA428)</f>
        <v/>
      </c>
      <c r="DC428" s="10">
        <f>DA428-DB428</f>
        <v/>
      </c>
      <c r="DD428" s="10">
        <f>MIN('02_Данные'!AW428,DC428)</f>
        <v/>
      </c>
      <c r="DE428" s="10">
        <f>DC428-DD428</f>
        <v/>
      </c>
      <c r="DF428" s="10">
        <f>MIN('02_Данные'!AX428,DE428)</f>
        <v/>
      </c>
      <c r="DG428" s="10">
        <f>DE428-DF428</f>
        <v/>
      </c>
    </row>
    <row r="429">
      <c r="A429" s="9">
        <f>'02_Данные'!B429</f>
        <v/>
      </c>
      <c r="B429" s="9">
        <f>'02_Данные'!E429</f>
        <v/>
      </c>
      <c r="C429" s="10">
        <f>'02_Данные'!F429+'02_Данные'!G429+'02_Данные'!H429+'02_Данные'!I429+'02_Данные'!J429+'02_Данные'!K429</f>
        <v/>
      </c>
      <c r="D429" s="10">
        <f>SUM('02_Данные'!L429:'02_Данные'!AY429)</f>
        <v/>
      </c>
      <c r="E429" s="10">
        <f>MAX(0,D429-C429)</f>
        <v/>
      </c>
      <c r="F429" s="15">
        <f>IF(E429&gt;0.0001,"ДЕФИЦИТ",IF(Y429&gt;0.0001,"ПРОФИЦИТ","БАЛАНС"))</f>
        <v/>
      </c>
      <c r="G429" s="10">
        <f>AB429+AS429+BJ429+CA429+CR429</f>
        <v/>
      </c>
      <c r="H429" s="10">
        <f>AD429+AU429+BL429+CC429+CT429</f>
        <v/>
      </c>
      <c r="I429" s="10">
        <f>AF429+AW429+BN429+CE429+CV429</f>
        <v/>
      </c>
      <c r="J429" s="10">
        <f>AL429+BC429+BT429+CK429+DB429</f>
        <v/>
      </c>
      <c r="K429" s="10">
        <f>AJ429+BA429+BR429+CI429+CZ429</f>
        <v/>
      </c>
      <c r="L429" s="10">
        <f>AN429+BE429+BV429+CM429+DD429</f>
        <v/>
      </c>
      <c r="M429" s="10">
        <f>AP429+BG429+BX429+CO429+DF429</f>
        <v/>
      </c>
      <c r="N429" s="10">
        <f>AH429+AY429+BP429+CG429+CX429</f>
        <v/>
      </c>
      <c r="O429" s="10">
        <f>SUM(G429:N429)</f>
        <v/>
      </c>
      <c r="P429" s="10">
        <f>IFERROR(G429*MIN(1,'01_Нормативы'!$C$4/SUM(G$2:G$429)),0)</f>
        <v/>
      </c>
      <c r="Q429" s="10">
        <f>IFERROR(H429*MIN(1,'01_Нормативы'!$C$5/SUM(H$2:H$429)),0)</f>
        <v/>
      </c>
      <c r="R429" s="10">
        <f>IFERROR(I429*MIN(1,'01_Нормативы'!$C$6/SUM(I$2:I$429)),0)</f>
        <v/>
      </c>
      <c r="S429" s="10">
        <f>IFERROR(J429*MIN(1,'01_Нормативы'!$C$7/SUM(J$2:J$429)),0)</f>
        <v/>
      </c>
      <c r="T429" s="10">
        <f>IFERROR(K429*MIN(1,'01_Нормативы'!$C$8/SUM(K$2:K$429)),0)</f>
        <v/>
      </c>
      <c r="U429" s="10">
        <f>IFERROR(L429*MIN(1,'01_Нормативы'!$C$9/SUM(L$2:L$429)),0)</f>
        <v/>
      </c>
      <c r="V429" s="10">
        <f>IFERROR(M429*MIN(1,'01_Нормативы'!$C$10/SUM(M$2:M$429)),0)</f>
        <v/>
      </c>
      <c r="W429" s="10">
        <f>IFERROR(N429*MIN(1,'01_Нормативы'!$C$11/SUM(N$2:N$429)),0)</f>
        <v/>
      </c>
      <c r="X429" s="10">
        <f>SUM(P429:W429)</f>
        <v/>
      </c>
      <c r="Y429" s="10">
        <f>MAX(0,C429-X429)</f>
        <v/>
      </c>
      <c r="Z429" s="10">
        <f>IF(D429=0,100,X429/D429*100)</f>
        <v/>
      </c>
      <c r="AA429" s="10">
        <f>'02_Данные'!F429+'02_Данные'!G429</f>
        <v/>
      </c>
      <c r="AB429" s="10">
        <f>MIN('02_Данные'!L429,AA429)</f>
        <v/>
      </c>
      <c r="AC429" s="10">
        <f>AA429-AB429</f>
        <v/>
      </c>
      <c r="AD429" s="10">
        <f>MIN('02_Данные'!M429,AC429)</f>
        <v/>
      </c>
      <c r="AE429" s="10">
        <f>AC429-AD429</f>
        <v/>
      </c>
      <c r="AF429" s="10">
        <f>MIN('02_Данные'!N429,AE429)</f>
        <v/>
      </c>
      <c r="AG429" s="10">
        <f>AE429-AF429</f>
        <v/>
      </c>
      <c r="AH429" s="10">
        <f>MIN('02_Данные'!S429,AG429)</f>
        <v/>
      </c>
      <c r="AI429" s="10">
        <f>AG429-AH429</f>
        <v/>
      </c>
      <c r="AJ429" s="10">
        <f>MIN('02_Данные'!P429,AI429)</f>
        <v/>
      </c>
      <c r="AK429" s="10">
        <f>AI429-AJ429</f>
        <v/>
      </c>
      <c r="AL429" s="10">
        <f>MIN('02_Данные'!O429,AK429)</f>
        <v/>
      </c>
      <c r="AM429" s="10">
        <f>AK429-AL429</f>
        <v/>
      </c>
      <c r="AN429" s="10">
        <f>MIN('02_Данные'!Q429,AM429)</f>
        <v/>
      </c>
      <c r="AO429" s="10">
        <f>AM429-AN429</f>
        <v/>
      </c>
      <c r="AP429" s="10">
        <f>MIN('02_Данные'!R429,AO429)</f>
        <v/>
      </c>
      <c r="AQ429" s="10">
        <f>AO429-AP429</f>
        <v/>
      </c>
      <c r="AR429" s="10">
        <f>AQ429+'02_Данные'!H429</f>
        <v/>
      </c>
      <c r="AS429" s="10">
        <f>MIN('02_Данные'!T429,AR429)</f>
        <v/>
      </c>
      <c r="AT429" s="10">
        <f>AR429-AS429</f>
        <v/>
      </c>
      <c r="AU429" s="10">
        <f>MIN('02_Данные'!U429,AT429)</f>
        <v/>
      </c>
      <c r="AV429" s="10">
        <f>AT429-AU429</f>
        <v/>
      </c>
      <c r="AW429" s="10">
        <f>MIN('02_Данные'!V429,AV429)</f>
        <v/>
      </c>
      <c r="AX429" s="10">
        <f>AV429-AW429</f>
        <v/>
      </c>
      <c r="AY429" s="10">
        <f>MIN('02_Данные'!AA429,AX429)</f>
        <v/>
      </c>
      <c r="AZ429" s="10">
        <f>AX429-AY429</f>
        <v/>
      </c>
      <c r="BA429" s="10">
        <f>MIN('02_Данные'!X429,AZ429)</f>
        <v/>
      </c>
      <c r="BB429" s="10">
        <f>AZ429-BA429</f>
        <v/>
      </c>
      <c r="BC429" s="10">
        <f>MIN('02_Данные'!W429,BB429)</f>
        <v/>
      </c>
      <c r="BD429" s="10">
        <f>BB429-BC429</f>
        <v/>
      </c>
      <c r="BE429" s="10">
        <f>MIN('02_Данные'!Y429,BD429)</f>
        <v/>
      </c>
      <c r="BF429" s="10">
        <f>BD429-BE429</f>
        <v/>
      </c>
      <c r="BG429" s="10">
        <f>MIN('02_Данные'!Z429,BF429)</f>
        <v/>
      </c>
      <c r="BH429" s="10">
        <f>BF429-BG429</f>
        <v/>
      </c>
      <c r="BI429" s="10">
        <f>BH429+'02_Данные'!I429</f>
        <v/>
      </c>
      <c r="BJ429" s="10">
        <f>MIN('02_Данные'!AB429,BI429)</f>
        <v/>
      </c>
      <c r="BK429" s="10">
        <f>BI429-BJ429</f>
        <v/>
      </c>
      <c r="BL429" s="10">
        <f>MIN('02_Данные'!AC429,BK429)</f>
        <v/>
      </c>
      <c r="BM429" s="10">
        <f>BK429-BL429</f>
        <v/>
      </c>
      <c r="BN429" s="10">
        <f>MIN('02_Данные'!AD429,BM429)</f>
        <v/>
      </c>
      <c r="BO429" s="10">
        <f>BM429-BN429</f>
        <v/>
      </c>
      <c r="BP429" s="10">
        <f>MIN('02_Данные'!AI429,BO429)</f>
        <v/>
      </c>
      <c r="BQ429" s="10">
        <f>BO429-BP429</f>
        <v/>
      </c>
      <c r="BR429" s="10">
        <f>MIN('02_Данные'!AF429,BQ429)</f>
        <v/>
      </c>
      <c r="BS429" s="10">
        <f>BQ429-BR429</f>
        <v/>
      </c>
      <c r="BT429" s="10">
        <f>MIN('02_Данные'!AE429,BS429)</f>
        <v/>
      </c>
      <c r="BU429" s="10">
        <f>BS429-BT429</f>
        <v/>
      </c>
      <c r="BV429" s="10">
        <f>MIN('02_Данные'!AG429,BU429)</f>
        <v/>
      </c>
      <c r="BW429" s="10">
        <f>BU429-BV429</f>
        <v/>
      </c>
      <c r="BX429" s="10">
        <f>MIN('02_Данные'!AH429,BW429)</f>
        <v/>
      </c>
      <c r="BY429" s="10">
        <f>BW429-BX429</f>
        <v/>
      </c>
      <c r="BZ429" s="10">
        <f>BY429+'02_Данные'!J429</f>
        <v/>
      </c>
      <c r="CA429" s="10">
        <f>MIN('02_Данные'!AJ429,BZ429)</f>
        <v/>
      </c>
      <c r="CB429" s="10">
        <f>BZ429-CA429</f>
        <v/>
      </c>
      <c r="CC429" s="10">
        <f>MIN('02_Данные'!AK429,CB429)</f>
        <v/>
      </c>
      <c r="CD429" s="10">
        <f>CB429-CC429</f>
        <v/>
      </c>
      <c r="CE429" s="10">
        <f>MIN('02_Данные'!AL429,CD429)</f>
        <v/>
      </c>
      <c r="CF429" s="10">
        <f>CD429-CE429</f>
        <v/>
      </c>
      <c r="CG429" s="10">
        <f>MIN('02_Данные'!AQ429,CF429)</f>
        <v/>
      </c>
      <c r="CH429" s="10">
        <f>CF429-CG429</f>
        <v/>
      </c>
      <c r="CI429" s="10">
        <f>MIN('02_Данные'!AN429,CH429)</f>
        <v/>
      </c>
      <c r="CJ429" s="10">
        <f>CH429-CI429</f>
        <v/>
      </c>
      <c r="CK429" s="10">
        <f>MIN('02_Данные'!AM429,CJ429)</f>
        <v/>
      </c>
      <c r="CL429" s="10">
        <f>CJ429-CK429</f>
        <v/>
      </c>
      <c r="CM429" s="10">
        <f>MIN('02_Данные'!AO429,CL429)</f>
        <v/>
      </c>
      <c r="CN429" s="10">
        <f>CL429-CM429</f>
        <v/>
      </c>
      <c r="CO429" s="10">
        <f>MIN('02_Данные'!AP429,CN429)</f>
        <v/>
      </c>
      <c r="CP429" s="10">
        <f>CN429-CO429</f>
        <v/>
      </c>
      <c r="CQ429" s="10">
        <f>CP429+'02_Данные'!K429</f>
        <v/>
      </c>
      <c r="CR429" s="10">
        <f>MIN('02_Данные'!AR429,CQ429)</f>
        <v/>
      </c>
      <c r="CS429" s="10">
        <f>CQ429-CR429</f>
        <v/>
      </c>
      <c r="CT429" s="10">
        <f>MIN('02_Данные'!AS429,CS429)</f>
        <v/>
      </c>
      <c r="CU429" s="10">
        <f>CS429-CT429</f>
        <v/>
      </c>
      <c r="CV429" s="10">
        <f>MIN('02_Данные'!AT429,CU429)</f>
        <v/>
      </c>
      <c r="CW429" s="10">
        <f>CU429-CV429</f>
        <v/>
      </c>
      <c r="CX429" s="10">
        <f>MIN('02_Данные'!AY429,CW429)</f>
        <v/>
      </c>
      <c r="CY429" s="10">
        <f>CW429-CX429</f>
        <v/>
      </c>
      <c r="CZ429" s="10">
        <f>MIN('02_Данные'!AV429,CY429)</f>
        <v/>
      </c>
      <c r="DA429" s="10">
        <f>CY429-CZ429</f>
        <v/>
      </c>
      <c r="DB429" s="10">
        <f>MIN('02_Данные'!AU429,DA429)</f>
        <v/>
      </c>
      <c r="DC429" s="10">
        <f>DA429-DB429</f>
        <v/>
      </c>
      <c r="DD429" s="10">
        <f>MIN('02_Данные'!AW429,DC429)</f>
        <v/>
      </c>
      <c r="DE429" s="10">
        <f>DC429-DD429</f>
        <v/>
      </c>
      <c r="DF429" s="10">
        <f>MIN('02_Данные'!AX429,DE429)</f>
        <v/>
      </c>
      <c r="DG429" s="10">
        <f>DE429-DF429</f>
        <v/>
      </c>
    </row>
    <row r="431">
      <c r="A431" s="13" t="inlineStr">
        <is>
          <t>Зелёные ячейки = формулы. Столбцы P-W = итоговый план после урезки до лимита канала (ТЗ). Сырой G-N = до урезки.</t>
        </is>
      </c>
    </row>
  </sheetData>
  <autoFilter ref="A1:Z429"/>
  <mergeCells count="1">
    <mergeCell ref="A431:J431"/>
  </mergeCells>
  <conditionalFormatting sqref="F2:F429">
    <cfRule type="expression" priority="1" dxfId="0">
      <formula>$F2="ДЕФИЦИТ"</formula>
    </cfRule>
    <cfRule type="expression" priority="2" dxfId="1">
      <formula>$F2="ПРОФИЦИТ"</formula>
    </cfRule>
    <cfRule type="expression" priority="3" dxfId="2">
      <formula>$F2="БАЛАНС"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Сводка по каналам (всё формулами)</t>
        </is>
      </c>
    </row>
    <row r="2"/>
    <row r="3" ht="36" customHeight="1">
      <c r="A3" s="8" t="inlineStr">
        <is>
          <t>Канал</t>
        </is>
      </c>
      <c r="B3" s="8" t="inlineStr">
        <is>
          <t>Цель_т</t>
        </is>
      </c>
      <c r="C3" s="8" t="inlineStr">
        <is>
          <t>Цель_кг</t>
        </is>
      </c>
      <c r="D3" s="8" t="inlineStr">
        <is>
          <t>Сырой_план_кг</t>
        </is>
      </c>
      <c r="E3" s="8" t="inlineStr">
        <is>
          <t>Итоговый_план_кг</t>
        </is>
      </c>
      <c r="F3" s="8" t="inlineStr">
        <is>
          <t>Итоговый_план_т</t>
        </is>
      </c>
      <c r="G3" s="8" t="inlineStr">
        <is>
          <t>Отклонение_кг</t>
        </is>
      </c>
      <c r="H3" s="8" t="inlineStr">
        <is>
          <t>Отклонение_%</t>
        </is>
      </c>
    </row>
    <row r="4">
      <c r="A4" s="9" t="inlineStr">
        <is>
          <t>ФС промо</t>
        </is>
      </c>
      <c r="B4" s="10">
        <f>'01_Нормативы'!B4</f>
        <v/>
      </c>
      <c r="C4" s="10">
        <f>'01_Нормативы'!C4</f>
        <v/>
      </c>
      <c r="D4" s="10">
        <f>SUM('03_Расчёт'!G2:G429)</f>
        <v/>
      </c>
      <c r="E4" s="10">
        <f>SUM('03_Расчёт'!P2:P429)</f>
        <v/>
      </c>
      <c r="F4" s="10">
        <f>E4/1000</f>
        <v/>
      </c>
      <c r="G4" s="10">
        <f>E4-C4</f>
        <v/>
      </c>
      <c r="H4" s="10">
        <f>IF(C4=0,0,(E4/C4-1)*100)</f>
        <v/>
      </c>
    </row>
    <row r="5">
      <c r="A5" s="9" t="inlineStr">
        <is>
          <t>ФС рег</t>
        </is>
      </c>
      <c r="B5" s="10">
        <f>'01_Нормативы'!B5</f>
        <v/>
      </c>
      <c r="C5" s="10">
        <f>'01_Нормативы'!C5</f>
        <v/>
      </c>
      <c r="D5" s="10">
        <f>SUM('03_Расчёт'!H2:H429)</f>
        <v/>
      </c>
      <c r="E5" s="10">
        <f>SUM('03_Расчёт'!Q2:Q429)</f>
        <v/>
      </c>
      <c r="F5" s="10">
        <f>E5/1000</f>
        <v/>
      </c>
      <c r="G5" s="10">
        <f>E5-C5</f>
        <v/>
      </c>
      <c r="H5" s="10">
        <f>IF(C5=0,0,(E5/C5-1)*100)</f>
        <v/>
      </c>
    </row>
    <row r="6">
      <c r="A6" s="9" t="inlineStr">
        <is>
          <t>РДЦ</t>
        </is>
      </c>
      <c r="B6" s="10">
        <f>'01_Нормативы'!B6</f>
        <v/>
      </c>
      <c r="C6" s="10">
        <f>'01_Нормативы'!C6</f>
        <v/>
      </c>
      <c r="D6" s="10">
        <f>SUM('03_Расчёт'!I2:I429)</f>
        <v/>
      </c>
      <c r="E6" s="10">
        <f>SUM('03_Расчёт'!R2:R429)</f>
        <v/>
      </c>
      <c r="F6" s="10">
        <f>E6/1000</f>
        <v/>
      </c>
      <c r="G6" s="10">
        <f>E6-C6</f>
        <v/>
      </c>
      <c r="H6" s="10">
        <f>IF(C6=0,0,(E6/C6-1)*100)</f>
        <v/>
      </c>
    </row>
    <row r="7">
      <c r="A7" s="9" t="inlineStr">
        <is>
          <t>ФТ</t>
        </is>
      </c>
      <c r="B7" s="10">
        <f>'01_Нормативы'!B7</f>
        <v/>
      </c>
      <c r="C7" s="10">
        <f>'01_Нормативы'!C7</f>
        <v/>
      </c>
      <c r="D7" s="10">
        <f>SUM('03_Расчёт'!J2:J429)</f>
        <v/>
      </c>
      <c r="E7" s="10">
        <f>SUM('03_Расчёт'!S2:S429)</f>
        <v/>
      </c>
      <c r="F7" s="10">
        <f>E7/1000</f>
        <v/>
      </c>
      <c r="G7" s="10">
        <f>E7-C7</f>
        <v/>
      </c>
      <c r="H7" s="10">
        <f>IF(C7=0,0,(E7/C7-1)*100)</f>
        <v/>
      </c>
    </row>
    <row r="8">
      <c r="A8" s="9" t="inlineStr">
        <is>
          <t>ЭК</t>
        </is>
      </c>
      <c r="B8" s="10">
        <f>'01_Нормативы'!B8</f>
        <v/>
      </c>
      <c r="C8" s="10">
        <f>'01_Нормативы'!C8</f>
        <v/>
      </c>
      <c r="D8" s="10">
        <f>SUM('03_Расчёт'!K2:K429)</f>
        <v/>
      </c>
      <c r="E8" s="10">
        <f>SUM('03_Расчёт'!T2:T429)</f>
        <v/>
      </c>
      <c r="F8" s="10">
        <f>E8/1000</f>
        <v/>
      </c>
      <c r="G8" s="10">
        <f>E8-C8</f>
        <v/>
      </c>
      <c r="H8" s="10">
        <f>IF(C8=0,0,(E8/C8-1)*100)</f>
        <v/>
      </c>
    </row>
    <row r="9">
      <c r="A9" s="9" t="inlineStr">
        <is>
          <t>КПи</t>
        </is>
      </c>
      <c r="B9" s="10">
        <f>'01_Нормативы'!B9</f>
        <v/>
      </c>
      <c r="C9" s="10">
        <f>'01_Нормативы'!C9</f>
        <v/>
      </c>
      <c r="D9" s="10">
        <f>SUM('03_Расчёт'!L2:L429)</f>
        <v/>
      </c>
      <c r="E9" s="10">
        <f>SUM('03_Расчёт'!U2:U429)</f>
        <v/>
      </c>
      <c r="F9" s="10">
        <f>E9/1000</f>
        <v/>
      </c>
      <c r="G9" s="10">
        <f>E9-C9</f>
        <v/>
      </c>
      <c r="H9" s="10">
        <f>IF(C9=0,0,(E9/C9-1)*100)</f>
        <v/>
      </c>
    </row>
    <row r="10">
      <c r="A10" s="9" t="inlineStr">
        <is>
          <t>E-commerce</t>
        </is>
      </c>
      <c r="B10" s="10">
        <f>'01_Нормативы'!B10</f>
        <v/>
      </c>
      <c r="C10" s="10">
        <f>'01_Нормативы'!C10</f>
        <v/>
      </c>
      <c r="D10" s="10">
        <f>SUM('03_Расчёт'!M2:M429)</f>
        <v/>
      </c>
      <c r="E10" s="10">
        <f>SUM('03_Расчёт'!V2:V429)</f>
        <v/>
      </c>
      <c r="F10" s="10">
        <f>E10/1000</f>
        <v/>
      </c>
      <c r="G10" s="10">
        <f>E10-C10</f>
        <v/>
      </c>
      <c r="H10" s="10">
        <f>IF(C10=0,0,(E10/C10-1)*100)</f>
        <v/>
      </c>
    </row>
    <row r="11">
      <c r="A11" s="9" t="inlineStr">
        <is>
          <t>РКП</t>
        </is>
      </c>
      <c r="B11" s="10">
        <f>'01_Нормативы'!B11</f>
        <v/>
      </c>
      <c r="C11" s="10">
        <f>'01_Нормативы'!C11</f>
        <v/>
      </c>
      <c r="D11" s="10">
        <f>SUM('03_Расчёт'!N2:N429)</f>
        <v/>
      </c>
      <c r="E11" s="10">
        <f>SUM('03_Расчёт'!W2:W429)</f>
        <v/>
      </c>
      <c r="F11" s="10">
        <f>E11/1000</f>
        <v/>
      </c>
      <c r="G11" s="10">
        <f>E11-C11</f>
        <v/>
      </c>
      <c r="H11" s="10">
        <f>IF(C11=0,0,(E11/C11-1)*100)</f>
        <v/>
      </c>
    </row>
    <row r="12">
      <c r="A12" s="16" t="inlineStr">
        <is>
          <t>ИТОГО</t>
        </is>
      </c>
      <c r="B12" s="16">
        <f>SUM(B4:B11)</f>
        <v/>
      </c>
      <c r="C12" s="16">
        <f>SUM(C4:C11)</f>
        <v/>
      </c>
      <c r="D12" s="16">
        <f>SUM(D4:D11)</f>
        <v/>
      </c>
      <c r="E12" s="16">
        <f>SUM(E4:E11)</f>
        <v/>
      </c>
      <c r="F12" s="16">
        <f>SUM(F4:F11)</f>
        <v/>
      </c>
      <c r="G12" s="16">
        <f>SUM(G4:G11)</f>
        <v/>
      </c>
    </row>
    <row r="13"/>
    <row r="14">
      <c r="A14" s="17" t="inlineStr">
        <is>
          <t>Проверка: итоговый план канала не должен превышать Цель_кг (отклонение &lt;= 0 с учётом округления).</t>
        </is>
      </c>
    </row>
    <row r="15">
      <c r="A15" t="inlineStr">
        <is>
          <t>Число дефицитных SKU:</t>
        </is>
      </c>
      <c r="B15" s="14">
        <f>COUNTIF('03_Расчёт'!F2:F429,"ДЕФИЦИТ")</f>
        <v/>
      </c>
    </row>
    <row r="16">
      <c r="A16" t="inlineStr">
        <is>
          <t>Число профицитных SKU:</t>
        </is>
      </c>
      <c r="B16" s="14">
        <f>COUNTIF('03_Расчёт'!F2:F429,"ПРОФИЦИТ")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Как пользоваться: на листе 03_Расчёт включи Автофильтр по столбцу «Статус» = ДЕФИЦИТ.</t>
        </is>
      </c>
    </row>
    <row r="3">
      <c r="A3" s="13" t="inlineStr">
        <is>
          <t>Ниже — формулы, которые подтягивают топ строк с дефицитом (по убыванию). Для сдачи достаточно фильтра на 03.</t>
        </is>
      </c>
    </row>
    <row r="5" ht="36" customHeight="1">
      <c r="A5" s="8" t="inlineStr">
        <is>
          <t>Код</t>
        </is>
      </c>
      <c r="B5" s="8" t="inlineStr">
        <is>
          <t>Тип</t>
        </is>
      </c>
      <c r="C5" s="8" t="inlineStr">
        <is>
          <t>Доступно</t>
        </is>
      </c>
      <c r="D5" s="8" t="inlineStr">
        <is>
          <t>Спрос</t>
        </is>
      </c>
      <c r="E5" s="8" t="inlineStr">
        <is>
          <t>Дефицит</t>
        </is>
      </c>
      <c r="F5" s="8" t="inlineStr">
        <is>
          <t>План_итого</t>
        </is>
      </c>
      <c r="G5" s="8" t="inlineStr">
        <is>
          <t>Fill_%</t>
        </is>
      </c>
    </row>
    <row r="6">
      <c r="A6" s="19" t="inlineStr">
        <is>
          <t>Смотри лист 03_Расчёт, столбцы A-F и P-X. Отфильтруй Статус=ДЕФИЦИТ и скопируй видимые строки на лист «К сдаче» при необходимости.</t>
        </is>
      </c>
    </row>
    <row r="8">
      <c r="A8" t="inlineStr">
        <is>
          <t>Количество дефицитных:</t>
        </is>
      </c>
      <c r="B8" s="14">
        <f>COUNTIF('03_Расчёт'!F:F,"ДЕФИЦИТ")</f>
        <v/>
      </c>
    </row>
    <row r="9">
      <c r="A9" t="inlineStr">
        <is>
          <t>Сумма дефицита, кг:</t>
        </is>
      </c>
      <c r="B9" s="14">
        <f>SUMIF('03_Расчёт'!F:F,"ДЕФИЦИТ",'03_Расчёт'!E:E)</f>
        <v/>
      </c>
    </row>
  </sheetData>
  <mergeCells count="2">
    <mergeCell ref="A6:G6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0" t="inlineStr">
        <is>
          <t>ПОЯСНИТЕЛЬНАЯ ЗАПИСКА (перепиши своими словами перед отправкой)</t>
        </is>
      </c>
    </row>
    <row r="2">
      <c r="A2" s="21" t="inlineStr"/>
    </row>
    <row r="3">
      <c r="A3" s="20" t="inlineStr">
        <is>
          <t>1. Список дефицитных позиций</t>
        </is>
      </c>
    </row>
    <row r="4">
      <c r="A4" s="21" t="inlineStr">
        <is>
          <t>Дефицит = позиции, где остаток на начало + выпуск по неделям &lt; суммы прогноза каналов.</t>
        </is>
      </c>
    </row>
    <row r="5">
      <c r="A5" s="21" t="inlineStr">
        <is>
          <t>Список: лист 03_Расчёт, фильтр Статус=ДЕФИЦИТ (оранжевый). Количество и сумма — на листе 04/05 (формулы COUNTIF/SUMIF).</t>
        </is>
      </c>
    </row>
    <row r="6">
      <c r="A6" s="21" t="inlineStr"/>
    </row>
    <row r="7">
      <c r="A7" s="20" t="inlineStr">
        <is>
          <t>2. Почему распределение именно такое</t>
        </is>
      </c>
    </row>
    <row r="8">
      <c r="A8" s="21" t="inlineStr">
        <is>
          <t>При нехватке товара действует приоритет каналов: ФС промо → ФС рег → РДЦ → РКП → ЭК → ФТ → КПи → E-commerce.</t>
        </is>
      </c>
    </row>
    <row r="9">
      <c r="A9" s="21" t="inlineStr">
        <is>
          <t>Расчёт понедельный: доступно = переходящий остаток + выпуск недели; остаток переносится на следующую неделю.</t>
        </is>
      </c>
    </row>
    <row r="10">
      <c r="A10" s="21" t="inlineStr">
        <is>
          <t>После сборки сырого плана сумма по каналу ограничивается целевым планом канала (тонны×1000) пропорциональным коэффициентом.</t>
        </is>
      </c>
    </row>
    <row r="11">
      <c r="A11" s="21" t="inlineStr">
        <is>
          <t>План производства не увеличивался. Целевой остаток не использовался.</t>
        </is>
      </c>
    </row>
    <row r="12">
      <c r="A12" s="21" t="inlineStr"/>
    </row>
    <row r="13">
      <c r="A13" s="20" t="inlineStr">
        <is>
          <t>3. Риски при дефиците</t>
        </is>
      </c>
    </row>
    <row r="14">
      <c r="A14" s="21" t="inlineStr">
        <is>
          <t>- Штрафы / cut-off промо и потеря полки в федеральных сетях</t>
        </is>
      </c>
    </row>
    <row r="15">
      <c r="A15" s="21" t="inlineStr">
        <is>
          <t>- Снижение OTIF и рост OOS в регионах (РДЦ)</t>
        </is>
      </c>
    </row>
    <row r="16">
      <c r="A16" s="21" t="inlineStr">
        <is>
          <t>- Искажение сигнала спроса (overforecast в следующем цикле)</t>
        </is>
      </c>
    </row>
    <row r="17">
      <c r="A17" s="21" t="inlineStr">
        <is>
          <t>- Уход спроса к аналогам и конкурентам</t>
        </is>
      </c>
    </row>
    <row r="18">
      <c r="A18" s="21" t="inlineStr">
        <is>
          <t>- Заморозка капитала в профицитных остатках при дефиците хитов</t>
        </is>
      </c>
    </row>
    <row r="19">
      <c r="A19" s="21" t="inlineStr"/>
    </row>
    <row r="20">
      <c r="A20" s="20" t="inlineStr">
        <is>
          <t>4. Действия</t>
        </is>
      </c>
    </row>
    <row r="21">
      <c r="A21" s="21" t="inlineStr">
        <is>
          <t>1) Short-list дефицита на S&amp;OP с Sales/Marketing</t>
        </is>
      </c>
    </row>
    <row r="22">
      <c r="A22" s="21" t="inlineStr">
        <is>
          <t>2) Запрос Production на переброску внутри лимита выпуска</t>
        </is>
      </c>
    </row>
    <row r="23">
      <c r="A23" s="21" t="inlineStr">
        <is>
          <t>3) Сокращение промо/extra по хроническому дефициту, субституты из профицита</t>
        </is>
      </c>
    </row>
    <row r="24">
      <c r="A24" s="21" t="inlineStr">
        <is>
          <t>4) Weekly контроль остатка на 1–2 недели вперёд</t>
        </is>
      </c>
    </row>
    <row r="25">
      <c r="A25" s="21" t="inlineStr">
        <is>
          <t>5) Эскалация: accept OOS / cut channel / replan — с фиксацией решения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Мини-пример на 1 SKU (чтобы устно объяснить логику)</t>
        </is>
      </c>
    </row>
    <row r="3">
      <c r="A3" t="inlineStr">
        <is>
          <t>Вход (синий) — можно менять и смотреть, как пересчитывается зелёное</t>
        </is>
      </c>
    </row>
    <row r="5">
      <c r="A5" t="inlineStr">
        <is>
          <t>Остаток нач</t>
        </is>
      </c>
      <c r="B5" s="19" t="n">
        <v>8000</v>
      </c>
    </row>
    <row r="6">
      <c r="A6" t="inlineStr">
        <is>
          <t>Выпуск н1</t>
        </is>
      </c>
      <c r="B6" t="inlineStr">
        <is>
          <t>Выпуск н2</t>
        </is>
      </c>
      <c r="C6" t="inlineStr">
        <is>
          <t>Выпуск н3</t>
        </is>
      </c>
      <c r="D6" t="inlineStr">
        <is>
          <t>Выпуск н4</t>
        </is>
      </c>
      <c r="E6" t="inlineStr">
        <is>
          <t>Выпуск н5</t>
        </is>
      </c>
    </row>
    <row r="7">
      <c r="A7" s="19" t="n">
        <v>0</v>
      </c>
      <c r="B7" s="19" t="n">
        <v>1000</v>
      </c>
      <c r="C7" s="19" t="n">
        <v>0</v>
      </c>
      <c r="D7" s="19" t="n">
        <v>0</v>
      </c>
      <c r="E7" s="19" t="n">
        <v>0</v>
      </c>
    </row>
    <row r="9">
      <c r="A9" t="inlineStr">
        <is>
          <t>Прогноз н1 ФС промо / ФС рег / РДЦ</t>
        </is>
      </c>
    </row>
    <row r="10">
      <c r="A10" s="19" t="n">
        <v>3000</v>
      </c>
      <c r="B10" s="19" t="n">
        <v>2000</v>
      </c>
      <c r="C10" s="19" t="n">
        <v>2000</v>
      </c>
    </row>
    <row r="12">
      <c r="A12" t="inlineStr">
        <is>
          <t>Неделя 1 доступно</t>
        </is>
      </c>
      <c r="B12" s="14">
        <f>B5+A7</f>
        <v/>
      </c>
    </row>
    <row r="13">
      <c r="A13" t="inlineStr">
        <is>
          <t>План ФС промо н1</t>
        </is>
      </c>
      <c r="B13" s="14">
        <f>MIN(A10,B12)</f>
        <v/>
      </c>
    </row>
    <row r="14">
      <c r="A14" t="inlineStr">
        <is>
          <t>Остаток после промо</t>
        </is>
      </c>
      <c r="B14" s="14">
        <f>B12-B13</f>
        <v/>
      </c>
    </row>
    <row r="15">
      <c r="A15" t="inlineStr">
        <is>
          <t>План ФС рег н1</t>
        </is>
      </c>
      <c r="B15" s="14">
        <f>MIN(B10,B14)</f>
        <v/>
      </c>
    </row>
    <row r="16">
      <c r="A16" t="inlineStr">
        <is>
          <t>Остаток после рег</t>
        </is>
      </c>
      <c r="B16" s="14">
        <f>B14-B15</f>
        <v/>
      </c>
    </row>
    <row r="17">
      <c r="A17" t="inlineStr">
        <is>
          <t>План РДЦ н1</t>
        </is>
      </c>
      <c r="B17" s="14">
        <f>MIN(C10,B16)</f>
        <v/>
      </c>
    </row>
    <row r="18">
      <c r="A18" t="inlineStr">
        <is>
          <t>Остаток конец н1</t>
        </is>
      </c>
      <c r="B18" s="14">
        <f>B16-B17</f>
        <v/>
      </c>
    </row>
    <row r="20">
      <c r="A20" t="inlineStr">
        <is>
          <t>Неделя 2 доступно (= остаток н1 + выпуск н2)</t>
        </is>
      </c>
      <c r="B20" s="14">
        <f>B18+B7</f>
        <v/>
      </c>
    </row>
    <row r="21">
      <c r="A21" t="inlineStr">
        <is>
          <t>Прогноз н2 (промо/рег/рдц)</t>
        </is>
      </c>
    </row>
    <row r="22">
      <c r="A22" s="19" t="n">
        <v>2000</v>
      </c>
      <c r="B22" s="19" t="n">
        <v>2000</v>
      </c>
      <c r="C22" s="19" t="n">
        <v>1000</v>
      </c>
    </row>
    <row r="23">
      <c r="A23" t="inlineStr">
        <is>
          <t>План ФС промо н2</t>
        </is>
      </c>
      <c r="B23" s="14">
        <f>MIN(A22,B20)</f>
        <v/>
      </c>
    </row>
    <row r="24">
      <c r="A24" t="inlineStr">
        <is>
          <t>Ост после промо н2</t>
        </is>
      </c>
      <c r="B24" s="14">
        <f>B20-B23</f>
        <v/>
      </c>
    </row>
    <row r="25">
      <c r="A25" t="inlineStr">
        <is>
          <t>План ФС рег н2</t>
        </is>
      </c>
      <c r="B25" s="14">
        <f>MIN(B22,B24)</f>
        <v/>
      </c>
    </row>
    <row r="26">
      <c r="A26" t="inlineStr">
        <is>
          <t>Ост после рег н2</t>
        </is>
      </c>
      <c r="B26" s="14">
        <f>B24-B25</f>
        <v/>
      </c>
    </row>
    <row r="27">
      <c r="A27" t="inlineStr">
        <is>
          <t>План РДЦ н2</t>
        </is>
      </c>
      <c r="B27" s="14">
        <f>MIN(C22,B26)</f>
        <v/>
      </c>
    </row>
    <row r="28">
      <c r="A28" t="inlineStr">
        <is>
          <t>Остаток конец н2</t>
        </is>
      </c>
      <c r="B28" s="14">
        <f>B26-B27</f>
        <v/>
      </c>
    </row>
    <row r="30">
      <c r="A30" s="22" t="inlineStr">
        <is>
          <t>Вывод: на н2 товара меньше спроса — режется младший канал (РДЦ), старшие закрываются раньше.</t>
        </is>
      </c>
    </row>
  </sheetData>
  <mergeCells count="1">
    <mergeCell ref="A30:D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Легенда цветов</t>
        </is>
      </c>
    </row>
    <row r="2">
      <c r="A2" s="19" t="inlineStr">
        <is>
          <t>Синий — ввод (данные ТЗ)</t>
        </is>
      </c>
    </row>
    <row r="3">
      <c r="A3" s="14" t="inlineStr">
        <is>
          <t>Зелёный — формула / решение</t>
        </is>
      </c>
    </row>
    <row r="4">
      <c r="A4" s="13" t="inlineStr">
        <is>
          <t>Жёлтый — нормативы и текст</t>
        </is>
      </c>
    </row>
    <row r="5">
      <c r="A5" s="22" t="inlineStr">
        <is>
          <t>Оранжевый — дефицит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2026-09-09T16:58:59Z</dcterms:created>
  <dcterms:modified xmlns:dcterms="http://purl.org/dc/terms/" xmlns:xsi="http://www.w3.org/2001/XMLSchema-instance" xsi:type="dcterms:W3CDTF">2026-09-09T16:59:02Z</dcterms:modified>
</cp:coreProperties>
</file>