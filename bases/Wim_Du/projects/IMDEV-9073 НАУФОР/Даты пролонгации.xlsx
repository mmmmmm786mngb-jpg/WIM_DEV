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Yurasheva\Documents\"/>
    </mc:Choice>
  </mc:AlternateContent>
  <bookViews>
    <workbookView xWindow="0" yWindow="0" windowWidth="28800" windowHeight="12000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" i="1" l="1"/>
  <c r="J19" i="1"/>
  <c r="J18" i="1"/>
  <c r="J17" i="1"/>
  <c r="J16" i="1"/>
  <c r="J15" i="1"/>
  <c r="J12" i="1"/>
  <c r="J11" i="1"/>
  <c r="J10" i="1"/>
  <c r="J9" i="1"/>
</calcChain>
</file>

<file path=xl/comments1.xml><?xml version="1.0" encoding="utf-8"?>
<comments xmlns="http://schemas.openxmlformats.org/spreadsheetml/2006/main">
  <authors>
    <author>Yurasheva, Yulia</author>
  </authors>
  <commentList>
    <comment ref="J15" authorId="0" shapeId="0">
      <text>
        <r>
          <rPr>
            <b/>
            <sz val="9"/>
            <color indexed="81"/>
            <rFont val="Tahoma"/>
            <charset val="1"/>
          </rPr>
          <t>Yurasheva, Yulia:</t>
        </r>
        <r>
          <rPr>
            <sz val="9"/>
            <color indexed="81"/>
            <rFont val="Tahoma"/>
            <charset val="1"/>
          </rPr>
          <t xml:space="preserve">
для примера тут не учитывала количество дней в невисокосных годах
</t>
        </r>
      </text>
    </comment>
  </commentList>
</comments>
</file>

<file path=xl/sharedStrings.xml><?xml version="1.0" encoding="utf-8"?>
<sst xmlns="http://schemas.openxmlformats.org/spreadsheetml/2006/main" count="20" uniqueCount="13">
  <si>
    <t>Отчетная дата</t>
  </si>
  <si>
    <t>Дата заключения</t>
  </si>
  <si>
    <t>Срок действия</t>
  </si>
  <si>
    <t>Дата пролонгации</t>
  </si>
  <si>
    <t>До отчетной даты</t>
  </si>
  <si>
    <t>До нового Срока действия</t>
  </si>
  <si>
    <t>тогда дата 13.09.2025 идет в отчет</t>
  </si>
  <si>
    <t>данная дата больше Отчетной даты</t>
  </si>
  <si>
    <t>тогда дата 09.09.2021 идет в отчет, т к нам нужно рассчитать дату последней пролонгации</t>
  </si>
  <si>
    <t>Находим даты и количества пролонгаций до Отчетной даты</t>
  </si>
  <si>
    <t>Порядок заполнения колонки Дата последней пролонгации, если не заполнено поле Действует до:</t>
  </si>
  <si>
    <t>Порядок заполнения колонки Дата последней пролонгации, если  заполнено поле Действует до и проставлен крыж Пролонгация договора:</t>
  </si>
  <si>
    <t>Если дата в Действует до меньше Отчетной даты, а поле Срок действия не заполнено, то оставлять значение пусто, не заполнять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</si>
</sst>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4" borderId="0" xfId="0" applyFill="1"/>
    <xf numFmtId="14" fontId="0" fillId="4" borderId="0" xfId="0" applyNumberFormat="1" applyFill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1" fillId="2" borderId="0" xfId="1"/>
    <xf numFmtId="14" fontId="1" fillId="2" borderId="0" xfId="1" applyNumberFormat="1"/>
    <xf numFmtId="14" fontId="2" fillId="3" borderId="0" xfId="2" applyNumberFormat="1"/>
    <xf numFmtId="0" fontId="5" fillId="4" borderId="0" xfId="0" applyFont="1" applyFill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21</xdr:row>
      <xdr:rowOff>0</xdr:rowOff>
    </xdr:from>
    <xdr:to>
      <xdr:col>10</xdr:col>
      <xdr:colOff>981075</xdr:colOff>
      <xdr:row>33</xdr:row>
      <xdr:rowOff>152400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3848100"/>
          <a:ext cx="8582025" cy="243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1133475</xdr:colOff>
      <xdr:row>21</xdr:row>
      <xdr:rowOff>95250</xdr:rowOff>
    </xdr:from>
    <xdr:to>
      <xdr:col>26</xdr:col>
      <xdr:colOff>76200</xdr:colOff>
      <xdr:row>33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6350" y="3943350"/>
          <a:ext cx="9258300" cy="219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H3:K38"/>
  <sheetViews>
    <sheetView tabSelected="1" topLeftCell="A13" workbookViewId="0">
      <selection activeCell="D16" sqref="D16"/>
    </sheetView>
  </sheetViews>
  <sheetFormatPr defaultRowHeight="15" x14ac:dyDescent="0.25"/>
  <cols>
    <col min="7" max="7" width="2.7109375" customWidth="1"/>
    <col min="8" max="8" width="15.140625" customWidth="1"/>
    <col min="9" max="9" width="26.5703125" customWidth="1"/>
    <col min="10" max="10" width="17.140625" customWidth="1"/>
    <col min="11" max="11" width="17.5703125" customWidth="1"/>
  </cols>
  <sheetData>
    <row r="3" spans="8:11" x14ac:dyDescent="0.25">
      <c r="H3" s="10" t="s">
        <v>10</v>
      </c>
    </row>
    <row r="4" spans="8:11" x14ac:dyDescent="0.25">
      <c r="H4" s="10"/>
    </row>
    <row r="6" spans="8:11" x14ac:dyDescent="0.25">
      <c r="H6" s="2" t="s">
        <v>0</v>
      </c>
      <c r="I6" s="3">
        <v>46112</v>
      </c>
    </row>
    <row r="8" spans="8:11" ht="15.75" thickBot="1" x14ac:dyDescent="0.3">
      <c r="I8" t="s">
        <v>1</v>
      </c>
      <c r="J8" s="1">
        <v>44088</v>
      </c>
    </row>
    <row r="9" spans="8:11" ht="15.75" thickBot="1" x14ac:dyDescent="0.3">
      <c r="I9" t="s">
        <v>2</v>
      </c>
      <c r="J9" s="6">
        <f>5*365</f>
        <v>1825</v>
      </c>
    </row>
    <row r="10" spans="8:11" ht="15.75" thickBot="1" x14ac:dyDescent="0.3">
      <c r="I10" t="s">
        <v>3</v>
      </c>
      <c r="J10" s="8">
        <f>J8+J9</f>
        <v>45913</v>
      </c>
    </row>
    <row r="11" spans="8:11" x14ac:dyDescent="0.25">
      <c r="I11" t="s">
        <v>4</v>
      </c>
      <c r="J11" s="4">
        <f>I6-J10</f>
        <v>199</v>
      </c>
      <c r="K11" t="s">
        <v>6</v>
      </c>
    </row>
    <row r="12" spans="8:11" ht="15.75" thickBot="1" x14ac:dyDescent="0.3">
      <c r="I12" t="s">
        <v>5</v>
      </c>
      <c r="J12" s="5">
        <f>J9-J11</f>
        <v>1626</v>
      </c>
    </row>
    <row r="14" spans="8:11" x14ac:dyDescent="0.25">
      <c r="I14" t="s">
        <v>1</v>
      </c>
      <c r="J14" s="1">
        <v>37148</v>
      </c>
    </row>
    <row r="15" spans="8:11" x14ac:dyDescent="0.25">
      <c r="I15" t="s">
        <v>2</v>
      </c>
      <c r="J15">
        <f>5*365</f>
        <v>1825</v>
      </c>
    </row>
    <row r="16" spans="8:11" x14ac:dyDescent="0.25">
      <c r="I16" t="s">
        <v>3</v>
      </c>
      <c r="J16" s="1">
        <f>J14+J15</f>
        <v>38973</v>
      </c>
      <c r="K16" t="s">
        <v>9</v>
      </c>
    </row>
    <row r="17" spans="9:11" x14ac:dyDescent="0.25">
      <c r="I17" t="s">
        <v>3</v>
      </c>
      <c r="J17" s="1">
        <f>J16+J15</f>
        <v>40798</v>
      </c>
    </row>
    <row r="18" spans="9:11" x14ac:dyDescent="0.25">
      <c r="I18" t="s">
        <v>3</v>
      </c>
      <c r="J18" s="1">
        <f>J17+J15</f>
        <v>42623</v>
      </c>
    </row>
    <row r="19" spans="9:11" x14ac:dyDescent="0.25">
      <c r="I19" t="s">
        <v>3</v>
      </c>
      <c r="J19" s="8">
        <f>J18+J15</f>
        <v>44448</v>
      </c>
      <c r="K19" t="s">
        <v>8</v>
      </c>
    </row>
    <row r="20" spans="9:11" x14ac:dyDescent="0.25">
      <c r="I20" t="s">
        <v>3</v>
      </c>
      <c r="J20" s="9">
        <f>J19+J15</f>
        <v>46273</v>
      </c>
      <c r="K20" t="s">
        <v>7</v>
      </c>
    </row>
    <row r="36" spans="9:9" x14ac:dyDescent="0.25">
      <c r="I36" s="10" t="s">
        <v>11</v>
      </c>
    </row>
    <row r="38" spans="9:9" x14ac:dyDescent="0.25">
      <c r="I38" s="7" t="s">
        <v>12</v>
      </c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Yurasheva, Yulia</dc:creator>
  <cp:lastModifiedBy>Yurasheva, Yulia</cp:lastModifiedBy>
  <dcterms:created xsi:type="dcterms:W3CDTF">2026-06-18T15:00:02Z</dcterms:created>
  <dcterms:modified xsi:type="dcterms:W3CDTF">2026-06-19T08:47:39Z</dcterms:modified>
</cp:coreProperties>
</file>