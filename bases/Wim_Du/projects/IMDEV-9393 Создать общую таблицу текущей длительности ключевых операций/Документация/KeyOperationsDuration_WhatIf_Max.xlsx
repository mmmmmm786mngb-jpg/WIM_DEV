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ценарий по потокам (макс)" sheetId="1" state="visible" r:id="rId1"/>
    <sheet xmlns:r="http://schemas.openxmlformats.org/officeDocument/2006/relationships" name="Как пользоваться" sheetId="2" state="visible" r:id="rId2"/>
  </sheets>
  <definedNames>
    <definedName name="_xlnm._FilterDatabase" localSheetId="0" hidden="1">'Сценарий по потокам (макс)'!$A$4:$U$35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b val="1"/>
      <color rgb="0017365D"/>
      <sz val="12"/>
    </font>
    <font>
      <color rgb="00455A64"/>
      <sz val="9"/>
    </font>
    <font>
      <b val="1"/>
      <color rgb="00FFFFFF"/>
      <sz val="10"/>
    </font>
    <font>
      <b val="1"/>
      <color rgb="0017365D"/>
      <sz val="11"/>
    </font>
    <font>
      <sz val="10"/>
    </font>
    <font>
      <b val="1"/>
      <sz val="10"/>
    </font>
    <font>
      <b val="1"/>
      <color rgb="00E65100"/>
      <sz val="11"/>
    </font>
    <font>
      <i val="1"/>
      <color rgb="00424242"/>
      <sz val="10"/>
    </font>
    <font>
      <color rgb="0001579B"/>
      <sz val="10"/>
    </font>
    <font>
      <sz val="9"/>
    </font>
    <font>
      <b val="1"/>
      <color rgb="000277BD"/>
      <sz val="14"/>
    </font>
    <font>
      <b val="1"/>
      <color rgb="0001579B"/>
      <sz val="10"/>
    </font>
  </fonts>
  <fills count="1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F6C00"/>
      </patternFill>
    </fill>
    <fill>
      <patternFill patternType="solid">
        <fgColor rgb="00616161"/>
      </patternFill>
    </fill>
    <fill>
      <patternFill patternType="solid">
        <fgColor rgb="000277BD"/>
      </patternFill>
    </fill>
    <fill>
      <patternFill patternType="solid">
        <fgColor rgb="00D6E2F0"/>
      </patternFill>
    </fill>
    <fill>
      <patternFill patternType="solid">
        <fgColor rgb="00FDECEA"/>
      </patternFill>
    </fill>
    <fill>
      <patternFill patternType="solid">
        <fgColor rgb="00FFEB3B"/>
      </patternFill>
    </fill>
    <fill>
      <patternFill patternType="solid">
        <fgColor rgb="00BDBDBD"/>
      </patternFill>
    </fill>
    <fill>
      <patternFill patternType="solid">
        <fgColor rgb="00B3E5FC"/>
      </patternFill>
    </fill>
    <fill>
      <patternFill patternType="solid">
        <fgColor rgb="00EAF7EE"/>
      </patternFill>
    </fill>
    <fill>
      <patternFill patternType="solid">
        <fgColor rgb="00FFF8E1"/>
      </patternFill>
    </fill>
    <fill>
      <patternFill patternType="solid">
        <fgColor rgb="00FFF9C4"/>
      </patternFill>
    </fill>
    <fill>
      <patternFill patternType="solid">
        <fgColor rgb="00E9ECEF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bottom" wrapText="1"/>
    </xf>
    <xf numFmtId="0" fontId="3" fillId="3" borderId="1" applyAlignment="1" pivotButton="0" quotePrefix="0" xfId="0">
      <alignment vertical="bottom" wrapText="1"/>
    </xf>
    <xf numFmtId="0" fontId="3" fillId="4" borderId="1" applyAlignment="1" pivotButton="0" quotePrefix="0" xfId="0">
      <alignment vertical="bottom" wrapText="1"/>
    </xf>
    <xf numFmtId="0" fontId="3" fillId="5" borderId="1" applyAlignment="1" pivotButton="0" quotePrefix="0" xfId="0">
      <alignment vertical="bottom" wrapText="1"/>
    </xf>
    <xf numFmtId="0" fontId="4" fillId="6" borderId="1" pivotButton="0" quotePrefix="0" xfId="0"/>
    <xf numFmtId="0" fontId="0" fillId="6" borderId="1" pivotButton="0" quotePrefix="0" xfId="0"/>
    <xf numFmtId="0" fontId="5" fillId="7" borderId="1" applyAlignment="1" pivotButton="0" quotePrefix="0" xfId="0">
      <alignment horizontal="right" vertical="top"/>
    </xf>
    <xf numFmtId="0" fontId="6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 wrapText="1"/>
    </xf>
    <xf numFmtId="1" fontId="7" fillId="8" borderId="1" applyAlignment="1" pivotButton="0" quotePrefix="0" xfId="0">
      <alignment horizontal="right" vertical="top"/>
    </xf>
    <xf numFmtId="164" fontId="8" fillId="9" borderId="1" applyAlignment="1" pivotButton="0" quotePrefix="0" xfId="0">
      <alignment horizontal="right" vertical="top"/>
    </xf>
    <xf numFmtId="164" fontId="7" fillId="8" borderId="1" applyAlignment="1" pivotButton="0" quotePrefix="0" xfId="0">
      <alignment horizontal="right" vertical="top"/>
    </xf>
    <xf numFmtId="164" fontId="9" fillId="10" borderId="1" applyAlignment="1" pivotButton="0" quotePrefix="0" xfId="0">
      <alignment horizontal="right" vertical="top"/>
    </xf>
    <xf numFmtId="164" fontId="9" fillId="10" borderId="1" applyAlignment="1" pivotButton="0" quotePrefix="0" xfId="0">
      <alignment horizontal="right" vertical="top"/>
    </xf>
    <xf numFmtId="0" fontId="9" fillId="10" borderId="1" applyAlignment="1" pivotButton="0" quotePrefix="0" xfId="0">
      <alignment horizontal="right" vertical="top"/>
    </xf>
    <xf numFmtId="0" fontId="10" fillId="7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right" vertical="top"/>
    </xf>
    <xf numFmtId="0" fontId="6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right" vertical="top"/>
    </xf>
    <xf numFmtId="0" fontId="6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/>
    </xf>
    <xf numFmtId="0" fontId="5" fillId="12" borderId="1" applyAlignment="1" pivotButton="0" quotePrefix="0" xfId="0">
      <alignment horizontal="left" vertical="top" wrapText="1"/>
    </xf>
    <xf numFmtId="1" fontId="7" fillId="13" borderId="1" applyAlignment="1" pivotButton="0" quotePrefix="0" xfId="0">
      <alignment horizontal="right" vertical="top"/>
    </xf>
    <xf numFmtId="0" fontId="10" fillId="12" borderId="1" applyAlignment="1" pivotButton="0" quotePrefix="0" xfId="0">
      <alignment vertical="top" wrapText="1"/>
    </xf>
    <xf numFmtId="0" fontId="5" fillId="14" borderId="1" applyAlignment="1" pivotButton="0" quotePrefix="0" xfId="0">
      <alignment horizontal="right" vertical="top"/>
    </xf>
    <xf numFmtId="0" fontId="6" fillId="14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/>
    </xf>
    <xf numFmtId="0" fontId="5" fillId="14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right" vertical="top"/>
    </xf>
    <xf numFmtId="0" fontId="7" fillId="8" borderId="1" applyAlignment="1" pivotButton="0" quotePrefix="0" xfId="0">
      <alignment horizontal="right" vertical="top"/>
    </xf>
    <xf numFmtId="0" fontId="10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horizontal="right" vertical="top"/>
    </xf>
    <xf numFmtId="0" fontId="6" fillId="15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/>
    </xf>
    <xf numFmtId="0" fontId="5" fillId="15" borderId="1" applyAlignment="1" pivotButton="0" quotePrefix="0" xfId="0">
      <alignment horizontal="left" vertical="top" wrapText="1"/>
    </xf>
    <xf numFmtId="0" fontId="10" fillId="15" borderId="1" applyAlignment="1" pivotButton="0" quotePrefix="0" xfId="0">
      <alignment vertical="top" wrapText="1"/>
    </xf>
    <xf numFmtId="0" fontId="11" fillId="0" borderId="0" pivotButton="0" quotePrefix="0" xfId="0"/>
    <xf numFmtId="0" fontId="12" fillId="1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1B5E20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1" customWidth="1" min="3" max="3"/>
    <col width="18" customWidth="1" min="4" max="4"/>
    <col width="28" customWidth="1" min="5" max="5"/>
    <col width="12" customWidth="1" min="6" max="6"/>
    <col width="9" customWidth="1" min="7" max="7"/>
    <col width="10" customWidth="1" min="8" max="8"/>
    <col width="11" customWidth="1" min="9" max="9"/>
    <col width="10" customWidth="1" min="10" max="10"/>
    <col width="11" customWidth="1" min="11" max="11"/>
    <col width="10" customWidth="1" min="12" max="12"/>
    <col width="12" customWidth="1" min="13" max="13"/>
    <col width="8" customWidth="1" min="14" max="14"/>
    <col width="12" customWidth="1" min="15" max="15"/>
    <col width="12" customWidth="1" min="16" max="16"/>
    <col width="9" customWidth="1" min="17" max="17"/>
    <col width="10" customWidth="1" min="18" max="18"/>
    <col width="11" customWidth="1" min="19" max="19"/>
    <col width="11" customWidth="1" min="20" max="20"/>
    <col width="45" customWidth="1" min="21" max="21"/>
  </cols>
  <sheetData>
    <row r="1">
      <c r="A1" s="1" t="inlineStr">
        <is>
          <t>IMDEV-9393. What-If от ХУДШЕГО замера (Длительность макс). Жёлтые: "БУДЕТ ПОТОКОВ", "Окно, мин" и "Длительность макс". Голубые - формулы. Серая "Длительность сейчас" - справочно. Цель: 250 тыс. договоров. Сформировано 04.09.2026 14:58.</t>
        </is>
      </c>
    </row>
    <row r="2" ht="56" customHeight="1">
      <c r="A2" s="2" t="inlineStr">
        <is>
          <t>Формулы: Предел_тыс = база_тыс × Окно / Длительность_макс (база обычно 25; для загрузки/исполнения сделок - сделки на худшем замере/1000, допущение база x10 -&gt; сделки x10, 1 сделка = 1 договор); Прогноз x10 = Длительность_макс × 10; КВО = Предел × (БУДЕТ ПОТОКОВ / Потоков сейчас); Длительность при БУДЕТ = Длительность_макс × (Потоков сейчас / БУДЕТ); Ускорение = БУДЕТ / Сейчас; Запас = Окно − Длительность при БУДЕТ; Выдержит 250 тыс. = КВО &gt;= 250; Нужно потоков = CEILING(Потоков сейчас × 250 / Предел). Смена окна или длительности макс сразу пересчитывает предел и связанные колонки.</t>
        </is>
      </c>
    </row>
    <row r="4" ht="36" customHeight="1">
      <c r="A4" s="3" t="inlineStr">
        <is>
          <t>#</t>
        </is>
      </c>
      <c r="B4" s="3" t="inlineStr">
        <is>
          <t>Ключевая операция</t>
        </is>
      </c>
      <c r="C4" s="3" t="inlineStr">
        <is>
          <t>Периодичность</t>
        </is>
      </c>
      <c r="D4" s="3" t="inlineStr">
        <is>
          <t>Время запуска</t>
        </is>
      </c>
      <c r="E4" s="3" t="inlineStr">
        <is>
          <t>Объект</t>
        </is>
      </c>
      <c r="F4" s="3" t="inlineStr">
        <is>
          <t>Источник</t>
        </is>
      </c>
      <c r="G4" s="3" t="inlineStr">
        <is>
          <t>Потоков сейчас</t>
        </is>
      </c>
      <c r="H4" s="4" t="inlineStr">
        <is>
          <t>БУДЕТ ПОТОКОВ</t>
        </is>
      </c>
      <c r="I4" s="5" t="inlineStr">
        <is>
          <t>Длительность сейчас, мин</t>
        </is>
      </c>
      <c r="J4" s="4" t="inlineStr">
        <is>
          <t>Длительность макс, мин</t>
        </is>
      </c>
      <c r="K4" s="6" t="inlineStr">
        <is>
          <t>Прогноз x10 линейный, мин</t>
        </is>
      </c>
      <c r="L4" s="3" t="inlineStr">
        <is>
          <t>Зависит от клиентов</t>
        </is>
      </c>
      <c r="M4" s="6" t="inlineStr">
        <is>
          <t>Предел при текущих потоках, тыс.</t>
        </is>
      </c>
      <c r="N4" s="4" t="inlineStr">
        <is>
          <t>Окно, мин</t>
        </is>
      </c>
      <c r="O4" s="6" t="inlineStr">
        <is>
          <t>РАСЧЕТНОЕ КВО, тыс. договоров</t>
        </is>
      </c>
      <c r="P4" s="6" t="inlineStr">
        <is>
          <t>Длительность при БУДЕТ ПОТОКОВ, мин</t>
        </is>
      </c>
      <c r="Q4" s="6" t="inlineStr">
        <is>
          <t>Ускорение, раз</t>
        </is>
      </c>
      <c r="R4" s="6" t="inlineStr">
        <is>
          <t>Запас до окна, мин</t>
        </is>
      </c>
      <c r="S4" s="6" t="inlineStr">
        <is>
          <t>Выдержит 250 тыс.?</t>
        </is>
      </c>
      <c r="T4" s="6" t="inlineStr">
        <is>
          <t>Нужно потоков для 250 тыс.</t>
        </is>
      </c>
      <c r="U4" s="3" t="inlineStr">
        <is>
          <t>Комментарий</t>
        </is>
      </c>
    </row>
    <row r="5">
      <c r="A5" s="7" t="inlineStr">
        <is>
          <t>Загрузка и исполнение сделок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9" t="n">
        <v>1</v>
      </c>
      <c r="B6" s="10" t="inlineStr">
        <is>
          <t>Исполнение сделок (авто закрытие Т-1, Т-2)</t>
        </is>
      </c>
      <c r="C6" s="11" t="inlineStr">
        <is>
          <t>Ежедневно</t>
        </is>
      </c>
      <c r="D6" s="12" t="inlineStr">
        <is>
          <t>22:00, 1 раз, 22:00</t>
        </is>
      </c>
      <c r="E6" s="12" t="inlineStr">
        <is>
          <t>внИсполнениеСделокТ+2_ДУ</t>
        </is>
      </c>
      <c r="F6" s="11" t="inlineStr">
        <is>
          <t>ПРОД</t>
        </is>
      </c>
      <c r="G6" s="9" t="n">
        <v>6</v>
      </c>
      <c r="H6" s="13" t="n">
        <v>6</v>
      </c>
      <c r="I6" s="14" t="n">
        <v>40.6</v>
      </c>
      <c r="J6" s="15" t="n">
        <v>69.8</v>
      </c>
      <c r="K6" s="16">
        <f>IF(ISNUMBER(J6),J6*10,"-")</f>
        <v/>
      </c>
      <c r="L6" s="11" t="inlineStr">
        <is>
          <t>Да (через сделки)</t>
        </is>
      </c>
      <c r="M6" s="16">
        <f>IF(AND(ISNUMBER(J6),ISNUMBER(N6),J6&gt;0),25.119*N6/J6,"-")</f>
        <v/>
      </c>
      <c r="N6" s="13" t="n">
        <v>120</v>
      </c>
      <c r="O6" s="17">
        <f>IF(AND(ISNUMBER(M6),ISNUMBER(G6),ISNUMBER(H6),G6&gt;0,H6&gt;0),M6*H6/G6,IF(ISNUMBER(M6),M6,"-"))</f>
        <v/>
      </c>
      <c r="P6" s="17">
        <f>IF(AND(ISNUMBER(M6),ISNUMBER(G6),ISNUMBER(H6),G6&gt;0,H6&gt;0),J6*G6/H6,IF(ISNUMBER(J6),J6,"-"))</f>
        <v/>
      </c>
      <c r="Q6" s="17">
        <f>IF(AND(ISNUMBER(M6),ISNUMBER(G6),ISNUMBER(H6),G6&gt;0,H6&gt;0),H6/G6,1)</f>
        <v/>
      </c>
      <c r="R6" s="17">
        <f>IF(AND(ISNUMBER(N6),ISNUMBER(P6)),N6-P6,"-")</f>
        <v/>
      </c>
      <c r="S6" s="18">
        <f>IF(ISNUMBER(O6),IF(O6&gt;=250.0,"Да","Нет"),"-")</f>
        <v/>
      </c>
      <c r="T6" s="18">
        <f>IF(AND(ISNUMBER(M6),ISNUMBER(G6),ISNUMBER(H6),G6&gt;0,H6&gt;0),ROUNDUP(G6*250.0/M6,0),"-")</f>
        <v/>
      </c>
      <c r="U6" s="19" t="inlineStr">
        <is>
          <t>Предел линейно от худшего замера (1 сделка = 1 договор). Потоков сейчас 6.</t>
        </is>
      </c>
    </row>
    <row r="7">
      <c r="A7" s="9" t="n">
        <v>2</v>
      </c>
      <c r="B7" s="10" t="inlineStr">
        <is>
          <t>Загрузка сделок за дату Т, открытие плановой позиции сделок Т по РДУ</t>
        </is>
      </c>
      <c r="C7" s="11" t="inlineStr">
        <is>
          <t>Ежедневно</t>
        </is>
      </c>
      <c r="D7" s="12" t="inlineStr">
        <is>
          <t>12:30, 60 мин, 23:58</t>
        </is>
      </c>
      <c r="E7" s="12" t="inlineStr">
        <is>
          <t>внЗагрузкаСделокDU-NEW</t>
        </is>
      </c>
      <c r="F7" s="11" t="inlineStr">
        <is>
          <t>ПРОД</t>
        </is>
      </c>
      <c r="G7" s="9" t="n">
        <v>3</v>
      </c>
      <c r="H7" s="13" t="n">
        <v>3</v>
      </c>
      <c r="I7" s="14" t="n">
        <v>12.9</v>
      </c>
      <c r="J7" s="15" t="n">
        <v>29.3</v>
      </c>
      <c r="K7" s="16">
        <f>IF(ISNUMBER(J7),J7*10,"-")</f>
        <v/>
      </c>
      <c r="L7" s="11" t="inlineStr">
        <is>
          <t>Да (через сделки)</t>
        </is>
      </c>
      <c r="M7" s="16">
        <f>IF(AND(ISNUMBER(J7),ISNUMBER(N7),J7&gt;0),6.471*N7/J7,"-")</f>
        <v/>
      </c>
      <c r="N7" s="13" t="n">
        <v>120</v>
      </c>
      <c r="O7" s="17">
        <f>IF(AND(ISNUMBER(M7),ISNUMBER(G7),ISNUMBER(H7),G7&gt;0,H7&gt;0),M7*H7/G7,IF(ISNUMBER(M7),M7,"-"))</f>
        <v/>
      </c>
      <c r="P7" s="17">
        <f>IF(AND(ISNUMBER(M7),ISNUMBER(G7),ISNUMBER(H7),G7&gt;0,H7&gt;0),J7*G7/H7,IF(ISNUMBER(J7),J7,"-"))</f>
        <v/>
      </c>
      <c r="Q7" s="17">
        <f>IF(AND(ISNUMBER(M7),ISNUMBER(G7),ISNUMBER(H7),G7&gt;0,H7&gt;0),H7/G7,1)</f>
        <v/>
      </c>
      <c r="R7" s="17">
        <f>IF(AND(ISNUMBER(N7),ISNUMBER(P7)),N7-P7,"-")</f>
        <v/>
      </c>
      <c r="S7" s="18">
        <f>IF(ISNUMBER(O7),IF(O7&gt;=250.0,"Да","Нет"),"-")</f>
        <v/>
      </c>
      <c r="T7" s="18">
        <f>IF(AND(ISNUMBER(M7),ISNUMBER(G7),ISNUMBER(H7),G7&gt;0,H7&gt;0),ROUNDUP(G7*250.0/M7,0),"-")</f>
        <v/>
      </c>
      <c r="U7" s="19" t="inlineStr">
        <is>
          <t>Предел линейно от худшего цикла (1 сделка = 1 договор). Получение из Tibco - 1 поток; создание на ПРОД - 3 потока.</t>
        </is>
      </c>
    </row>
    <row r="8">
      <c r="A8" s="20" t="n">
        <v>3</v>
      </c>
      <c r="B8" s="21" t="inlineStr">
        <is>
          <t>Обработка отчётов брокера за Т-1</t>
        </is>
      </c>
      <c r="C8" s="22" t="inlineStr">
        <is>
          <t>Ежедневно</t>
        </is>
      </c>
      <c r="D8" s="23" t="inlineStr">
        <is>
          <t>5:05, 1 раз, 5:05</t>
        </is>
      </c>
      <c r="E8" s="23" t="inlineStr">
        <is>
          <t>внПакетныйОтчетБрокераДУ_ДВО</t>
        </is>
      </c>
      <c r="F8" s="22" t="inlineStr">
        <is>
          <t>ПРОД</t>
        </is>
      </c>
      <c r="G8" s="20" t="n">
        <v>6</v>
      </c>
      <c r="H8" s="13" t="n">
        <v>6</v>
      </c>
      <c r="I8" s="14" t="n">
        <v>3.5</v>
      </c>
      <c r="J8" s="15" t="n">
        <v>15.1</v>
      </c>
      <c r="K8" s="16">
        <f>IF(ISNUMBER(J8),J8*10,"-")</f>
        <v/>
      </c>
      <c r="L8" s="22" t="inlineStr">
        <is>
          <t>Да</t>
        </is>
      </c>
      <c r="M8" s="16">
        <f>IF(AND(ISNUMBER(J8),ISNUMBER(N8),J8&gt;0),25.0*N8/J8,"-")</f>
        <v/>
      </c>
      <c r="N8" s="13" t="n">
        <v>180</v>
      </c>
      <c r="O8" s="17">
        <f>IF(AND(ISNUMBER(M8),ISNUMBER(G8),ISNUMBER(H8),G8&gt;0,H8&gt;0),M8*H8/G8,IF(ISNUMBER(M8),M8,"-"))</f>
        <v/>
      </c>
      <c r="P8" s="17">
        <f>IF(AND(ISNUMBER(M8),ISNUMBER(G8),ISNUMBER(H8),G8&gt;0,H8&gt;0),J8*G8/H8,IF(ISNUMBER(J8),J8,"-"))</f>
        <v/>
      </c>
      <c r="Q8" s="17">
        <f>IF(AND(ISNUMBER(M8),ISNUMBER(G8),ISNUMBER(H8),G8&gt;0,H8&gt;0),H8/G8,1)</f>
        <v/>
      </c>
      <c r="R8" s="17">
        <f>IF(AND(ISNUMBER(N8),ISNUMBER(P8)),N8-P8,"-")</f>
        <v/>
      </c>
      <c r="S8" s="18">
        <f>IF(ISNUMBER(O8),IF(O8&gt;=250.0,"Да","Нет"),"-")</f>
        <v/>
      </c>
      <c r="T8" s="18">
        <f>IF(AND(ISNUMBER(M8),ISNUMBER(G8),ISNUMBER(H8),G8&gt;0,H8&gt;0),ROUNDUP(G8*250.0/M8,0),"-")</f>
        <v/>
      </c>
      <c r="U8" s="24" t="inlineStr">
        <is>
          <t>Потоки зашиты в коде числом 6 - предел без доработки.</t>
        </is>
      </c>
    </row>
    <row r="9">
      <c r="A9" s="7" t="inlineStr">
        <is>
          <t>Загрузка выписок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9" t="n">
        <v>4</v>
      </c>
      <c r="B10" s="10" t="inlineStr">
        <is>
          <t>Загрузка выписок банка</t>
        </is>
      </c>
      <c r="C10" s="11" t="inlineStr">
        <is>
          <t>Ежедневно</t>
        </is>
      </c>
      <c r="D10" s="12" t="inlineStr">
        <is>
          <t>9:09, 1 раз, 9:09</t>
        </is>
      </c>
      <c r="E10" s="12" t="inlineStr">
        <is>
          <t>внЗагрузкаВыписокДУ</t>
        </is>
      </c>
      <c r="F10" s="11" t="inlineStr">
        <is>
          <t>ПРОД</t>
        </is>
      </c>
      <c r="G10" s="9" t="n">
        <v>3</v>
      </c>
      <c r="H10" s="13" t="n">
        <v>3</v>
      </c>
      <c r="I10" s="14" t="n">
        <v>16.5</v>
      </c>
      <c r="J10" s="15" t="n">
        <v>73.3</v>
      </c>
      <c r="K10" s="16">
        <f>IF(ISNUMBER(J10),J10*10,"-")</f>
        <v/>
      </c>
      <c r="L10" s="11" t="inlineStr">
        <is>
          <t>Да</t>
        </is>
      </c>
      <c r="M10" s="16">
        <f>IF(AND(ISNUMBER(J10),ISNUMBER(N10),J10&gt;0),25.0*N10/J10,"-")</f>
        <v/>
      </c>
      <c r="N10" s="13" t="n">
        <v>60</v>
      </c>
      <c r="O10" s="17">
        <f>IF(AND(ISNUMBER(M10),ISNUMBER(G10),ISNUMBER(H10),G10&gt;0,H10&gt;0),M10*H10/G10,IF(ISNUMBER(M10),M10,"-"))</f>
        <v/>
      </c>
      <c r="P10" s="17">
        <f>IF(AND(ISNUMBER(M10),ISNUMBER(G10),ISNUMBER(H10),G10&gt;0,H10&gt;0),J10*G10/H10,IF(ISNUMBER(J10),J10,"-"))</f>
        <v/>
      </c>
      <c r="Q10" s="17">
        <f>IF(AND(ISNUMBER(M10),ISNUMBER(G10),ISNUMBER(H10),G10&gt;0,H10&gt;0),H10/G10,1)</f>
        <v/>
      </c>
      <c r="R10" s="17">
        <f>IF(AND(ISNUMBER(N10),ISNUMBER(P10)),N10-P10,"-")</f>
        <v/>
      </c>
      <c r="S10" s="18">
        <f>IF(ISNUMBER(O10),IF(O10&gt;=250.0,"Да","Нет"),"-")</f>
        <v/>
      </c>
      <c r="T10" s="18">
        <f>IF(AND(ISNUMBER(M10),ISNUMBER(G10),ISNUMBER(H10),G10&gt;0,H10&gt;0),ROUNDUP(G10*250.0/M10,0),"-")</f>
        <v/>
      </c>
      <c r="U10" s="19" t="inlineStr">
        <is>
          <t>Пул потоков настраивается реквизитом обработки, резерв ускорения есть. Многоэтапная операция: получение, разбор, создание документов.</t>
        </is>
      </c>
    </row>
    <row r="11">
      <c r="A11" s="25" t="n">
        <v>5</v>
      </c>
      <c r="B11" s="26" t="inlineStr">
        <is>
          <t>Сверка денежных средств</t>
        </is>
      </c>
      <c r="C11" s="27" t="inlineStr">
        <is>
          <t>Ежедневно</t>
        </is>
      </c>
      <c r="D11" s="28" t="inlineStr">
        <is>
          <t>14:30, 1 раз, 14:30</t>
        </is>
      </c>
      <c r="E11" s="28" t="inlineStr">
        <is>
          <t>внСверкаДенежныхСредств_обр</t>
        </is>
      </c>
      <c r="F11" s="27" t="inlineStr">
        <is>
          <t>ПРОД</t>
        </is>
      </c>
      <c r="G11" s="25" t="n">
        <v>1</v>
      </c>
      <c r="H11" s="29" t="n">
        <v>1</v>
      </c>
      <c r="I11" s="14" t="n">
        <v>3.4</v>
      </c>
      <c r="J11" s="15" t="n">
        <v>5</v>
      </c>
      <c r="K11" s="16">
        <f>IF(ISNUMBER(J11),J11*10,"-")</f>
        <v/>
      </c>
      <c r="L11" s="27" t="inlineStr">
        <is>
          <t>Да</t>
        </is>
      </c>
      <c r="M11" s="16">
        <f>IF(AND(ISNUMBER(J11),ISNUMBER(N11),J11&gt;0),25.0*N11/J11,"-")</f>
        <v/>
      </c>
      <c r="N11" s="13" t="n">
        <v>60</v>
      </c>
      <c r="O11" s="17">
        <f>IF(ISNUMBER(M11),M11,"-")</f>
        <v/>
      </c>
      <c r="P11" s="17">
        <f>IF(ISNUMBER(J11),J11,"-")</f>
        <v/>
      </c>
      <c r="Q11" s="17">
        <f>1</f>
        <v/>
      </c>
      <c r="R11" s="17">
        <f>IF(AND(ISNUMBER(N11),ISNUMBER(P11)),N11-P11,"-")</f>
        <v/>
      </c>
      <c r="S11" s="18">
        <f>IF(ISNUMBER(O11),IF(O11&gt;=250.0,"Да","Нет"),"-")</f>
        <v/>
      </c>
      <c r="T11" s="18">
        <f>"-"</f>
        <v/>
      </c>
      <c r="U11" s="30" t="inlineStr">
        <is>
          <t>Однопоточная агрегатная сверка. При росте базы в 10 раз выходит за окно 60 минут.</t>
        </is>
      </c>
    </row>
    <row r="12">
      <c r="A12" s="20" t="n">
        <v>6</v>
      </c>
      <c r="B12" s="21" t="inlineStr">
        <is>
          <t>Сверка денежных средств ЕРС</t>
        </is>
      </c>
      <c r="C12" s="22" t="inlineStr">
        <is>
          <t>Ежедневно</t>
        </is>
      </c>
      <c r="D12" s="23" t="inlineStr">
        <is>
          <t>17:00, 1 раз, 17:00</t>
        </is>
      </c>
      <c r="E12" s="23" t="inlineStr">
        <is>
          <t>внСверкаДенежныхСредствНаЕРС_обр</t>
        </is>
      </c>
      <c r="F12" s="22" t="inlineStr">
        <is>
          <t>ПРОД</t>
        </is>
      </c>
      <c r="G12" s="20" t="n">
        <v>1</v>
      </c>
      <c r="H12" s="29" t="n">
        <v>1</v>
      </c>
      <c r="I12" s="14" t="n">
        <v>0.06</v>
      </c>
      <c r="J12" s="15" t="n">
        <v>0.3</v>
      </c>
      <c r="K12" s="16">
        <f>IF(ISNUMBER(J12),J12*10,"-")</f>
        <v/>
      </c>
      <c r="L12" s="22" t="inlineStr">
        <is>
          <t>Нет</t>
        </is>
      </c>
      <c r="M12" s="16" t="inlineStr">
        <is>
          <t>-</t>
        </is>
      </c>
      <c r="N12" s="13" t="n">
        <v>60</v>
      </c>
      <c r="O12" s="17">
        <f>IF(ISNUMBER(M12),M12,"-")</f>
        <v/>
      </c>
      <c r="P12" s="17">
        <f>IF(ISNUMBER(J12),J12,"-")</f>
        <v/>
      </c>
      <c r="Q12" s="17">
        <f>1</f>
        <v/>
      </c>
      <c r="R12" s="17">
        <f>IF(AND(ISNUMBER(N12),ISNUMBER(P12)),N12-P12,"-")</f>
        <v/>
      </c>
      <c r="S12" s="18">
        <f>IF(ISNUMBER(O12),IF(O12&gt;=250.0,"Да","Нет"),"-")</f>
        <v/>
      </c>
      <c r="T12" s="18">
        <f>"-"</f>
        <v/>
      </c>
      <c r="U12" s="24" t="inlineStr">
        <is>
          <t>Не зависит от количества договоров - сверка идёт по 10 счетам ЕРС.</t>
        </is>
      </c>
    </row>
    <row r="13">
      <c r="A13" s="20" t="n">
        <v>7</v>
      </c>
      <c r="B13" s="21" t="inlineStr">
        <is>
          <t>Перевод денежных средств на биржу (формирование п/п) датой Т</t>
        </is>
      </c>
      <c r="C13" s="22" t="inlineStr">
        <is>
          <t>Ежедневно</t>
        </is>
      </c>
      <c r="D13" s="23" t="inlineStr">
        <is>
          <t>9:30, 5 мин, 23:55</t>
        </is>
      </c>
      <c r="E13" s="23" t="inlineStr">
        <is>
          <t>внСинхронизацияНСИ (ФоновоеВыполнениеПоручения)</t>
        </is>
      </c>
      <c r="F13" s="22" t="inlineStr">
        <is>
          <t>ПРОД</t>
        </is>
      </c>
      <c r="G13" s="20" t="n">
        <v>1</v>
      </c>
      <c r="H13" s="29" t="n">
        <v>1</v>
      </c>
      <c r="I13" s="14" t="n">
        <v>0.08</v>
      </c>
      <c r="J13" s="15" t="n">
        <v>0.34</v>
      </c>
      <c r="K13" s="16">
        <f>IF(ISNUMBER(J13),J13*10,"-")</f>
        <v/>
      </c>
      <c r="L13" s="22" t="inlineStr">
        <is>
          <t>Да</t>
        </is>
      </c>
      <c r="M13" s="16">
        <f>IF(AND(ISNUMBER(J13),ISNUMBER(N13),J13&gt;0),25.0*N13/J13,"-")</f>
        <v/>
      </c>
      <c r="N13" s="13" t="n">
        <v>30</v>
      </c>
      <c r="O13" s="17">
        <f>IF(ISNUMBER(M13),M13,"-")</f>
        <v/>
      </c>
      <c r="P13" s="17">
        <f>IF(ISNUMBER(J13),J13,"-")</f>
        <v/>
      </c>
      <c r="Q13" s="17">
        <f>1</f>
        <v/>
      </c>
      <c r="R13" s="17">
        <f>IF(AND(ISNUMBER(N13),ISNUMBER(P13)),N13-P13,"-")</f>
        <v/>
      </c>
      <c r="S13" s="18">
        <f>IF(ISNUMBER(O13),IF(O13&gt;=250.0,"Да","Нет"),"-")</f>
        <v/>
      </c>
      <c r="T13" s="18">
        <f>"-"</f>
        <v/>
      </c>
      <c r="U13" s="24" t="inlineStr">
        <is>
          <t>ОЦЕНОЧНО: маппинг операции на внСинхронизацияНСИ требует подтверждения у постановщика. Замер снят по ключу поручений.</t>
        </is>
      </c>
    </row>
    <row r="14">
      <c r="A14" s="7" t="inlineStr">
        <is>
          <t>Загрузка котировок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A15" s="20" t="n">
        <v>8</v>
      </c>
      <c r="B15" s="21" t="inlineStr">
        <is>
          <t>Загрузка котировок 1-й сеанс за дату Т-1</t>
        </is>
      </c>
      <c r="C15" s="22" t="inlineStr">
        <is>
          <t>Ежедневно</t>
        </is>
      </c>
      <c r="D15" s="23" t="inlineStr">
        <is>
          <t>9:00, 1 раз, 9:00</t>
        </is>
      </c>
      <c r="E15" s="23" t="inlineStr">
        <is>
          <t>внЗагрузкаКотировокДУ</t>
        </is>
      </c>
      <c r="F15" s="22" t="inlineStr">
        <is>
          <t>ПРОД</t>
        </is>
      </c>
      <c r="G15" s="20" t="n">
        <v>1</v>
      </c>
      <c r="H15" s="29" t="n">
        <v>1</v>
      </c>
      <c r="I15" s="14" t="n">
        <v>3.3</v>
      </c>
      <c r="J15" s="15" t="n">
        <v>5</v>
      </c>
      <c r="K15" s="16">
        <f>IF(ISNUMBER(J15),J15*10,"-")</f>
        <v/>
      </c>
      <c r="L15" s="22" t="inlineStr">
        <is>
          <t>Нет</t>
        </is>
      </c>
      <c r="M15" s="16" t="inlineStr">
        <is>
          <t>-</t>
        </is>
      </c>
      <c r="N15" s="13" t="n">
        <v>30</v>
      </c>
      <c r="O15" s="17">
        <f>IF(ISNUMBER(M15),M15,"-")</f>
        <v/>
      </c>
      <c r="P15" s="17">
        <f>IF(ISNUMBER(J15),J15,"-")</f>
        <v/>
      </c>
      <c r="Q15" s="17">
        <f>1</f>
        <v/>
      </c>
      <c r="R15" s="17">
        <f>IF(AND(ISNUMBER(N15),ISNUMBER(P15)),N15-P15,"-")</f>
        <v/>
      </c>
      <c r="S15" s="18">
        <f>IF(ISNUMBER(O15),IF(O15&gt;=250.0,"Да","Нет"),"-")</f>
        <v/>
      </c>
      <c r="T15" s="18">
        <f>"-"</f>
        <v/>
      </c>
      <c r="U15" s="24" t="inlineStr">
        <is>
          <t>Не зависит от количества договоров - объём задают инструменты.</t>
        </is>
      </c>
    </row>
    <row r="16">
      <c r="A16" s="20" t="n">
        <v>9</v>
      </c>
      <c r="B16" s="21" t="inlineStr">
        <is>
          <t>Сверка загрузки котировок</t>
        </is>
      </c>
      <c r="C16" s="22" t="inlineStr">
        <is>
          <t>Ежедневно</t>
        </is>
      </c>
      <c r="D16" s="23" t="inlineStr">
        <is>
          <t>9:15, 1 раз, 9:15</t>
        </is>
      </c>
      <c r="E16" s="23" t="inlineStr">
        <is>
          <t>внОтчетКонтрольКотировок</t>
        </is>
      </c>
      <c r="F16" s="22" t="inlineStr">
        <is>
          <t>ПРОД</t>
        </is>
      </c>
      <c r="G16" s="20" t="n">
        <v>1</v>
      </c>
      <c r="H16" s="29" t="n">
        <v>1</v>
      </c>
      <c r="I16" s="14" t="n">
        <v>0.1</v>
      </c>
      <c r="J16" s="15" t="n">
        <v>0.33</v>
      </c>
      <c r="K16" s="16">
        <f>IF(ISNUMBER(J16),J16*10,"-")</f>
        <v/>
      </c>
      <c r="L16" s="22" t="inlineStr">
        <is>
          <t>Нет</t>
        </is>
      </c>
      <c r="M16" s="16" t="inlineStr">
        <is>
          <t>-</t>
        </is>
      </c>
      <c r="N16" s="13" t="n">
        <v>60</v>
      </c>
      <c r="O16" s="17">
        <f>IF(ISNUMBER(M16),M16,"-")</f>
        <v/>
      </c>
      <c r="P16" s="17">
        <f>IF(ISNUMBER(J16),J16,"-")</f>
        <v/>
      </c>
      <c r="Q16" s="17">
        <f>1</f>
        <v/>
      </c>
      <c r="R16" s="17">
        <f>IF(AND(ISNUMBER(N16),ISNUMBER(P16)),N16-P16,"-")</f>
        <v/>
      </c>
      <c r="S16" s="18">
        <f>IF(ISNUMBER(O16),IF(O16&gt;=250.0,"Да","Нет"),"-")</f>
        <v/>
      </c>
      <c r="T16" s="18">
        <f>"-"</f>
        <v/>
      </c>
      <c r="U16" s="24" t="inlineStr">
        <is>
          <t>Не зависит от количества договоров - объём задают инструменты.</t>
        </is>
      </c>
    </row>
    <row r="17">
      <c r="A17" s="20" t="n">
        <v>10</v>
      </c>
      <c r="B17" s="21" t="inlineStr">
        <is>
          <t>Загрузка котировок финальная за Т-1</t>
        </is>
      </c>
      <c r="C17" s="22" t="inlineStr">
        <is>
          <t>Ежедневно</t>
        </is>
      </c>
      <c r="D17" s="23" t="inlineStr">
        <is>
          <t>11:50, 1 раз, 11:50</t>
        </is>
      </c>
      <c r="E17" s="23" t="inlineStr">
        <is>
          <t>внЗагрузкаКотировокДУ</t>
        </is>
      </c>
      <c r="F17" s="22" t="inlineStr">
        <is>
          <t>ПРОД</t>
        </is>
      </c>
      <c r="G17" s="20" t="n">
        <v>1</v>
      </c>
      <c r="H17" s="29" t="n">
        <v>1</v>
      </c>
      <c r="I17" s="14" t="n">
        <v>2.7</v>
      </c>
      <c r="J17" s="15" t="n">
        <v>3.3</v>
      </c>
      <c r="K17" s="16">
        <f>IF(ISNUMBER(J17),J17*10,"-")</f>
        <v/>
      </c>
      <c r="L17" s="22" t="inlineStr">
        <is>
          <t>Нет</t>
        </is>
      </c>
      <c r="M17" s="16" t="inlineStr">
        <is>
          <t>-</t>
        </is>
      </c>
      <c r="N17" s="13" t="n">
        <v>30</v>
      </c>
      <c r="O17" s="17">
        <f>IF(ISNUMBER(M17),M17,"-")</f>
        <v/>
      </c>
      <c r="P17" s="17">
        <f>IF(ISNUMBER(J17),J17,"-")</f>
        <v/>
      </c>
      <c r="Q17" s="17">
        <f>1</f>
        <v/>
      </c>
      <c r="R17" s="17">
        <f>IF(AND(ISNUMBER(N17),ISNUMBER(P17)),N17-P17,"-")</f>
        <v/>
      </c>
      <c r="S17" s="18">
        <f>IF(ISNUMBER(O17),IF(O17&gt;=250.0,"Да","Нет"),"-")</f>
        <v/>
      </c>
      <c r="T17" s="18">
        <f>"-"</f>
        <v/>
      </c>
      <c r="U17" s="24" t="inlineStr">
        <is>
          <t>Не зависит от количества договоров - объём задают инструменты.</t>
        </is>
      </c>
    </row>
    <row r="18">
      <c r="A18" s="7" t="inlineStr">
        <is>
          <t>Сверки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A19" s="20" t="n">
        <v>11</v>
      </c>
      <c r="B19" s="21" t="inlineStr">
        <is>
          <t>Сверка с отчётом брокера</t>
        </is>
      </c>
      <c r="C19" s="22" t="inlineStr">
        <is>
          <t>Ежедневно</t>
        </is>
      </c>
      <c r="D19" s="23" t="inlineStr">
        <is>
          <t>9:00, 60 мин, 12:00</t>
        </is>
      </c>
      <c r="E19" s="23" t="inlineStr">
        <is>
          <t>внСверкаCделокДУСОтчетомБрокера</t>
        </is>
      </c>
      <c r="F19" s="22" t="inlineStr">
        <is>
          <t>ПРОД</t>
        </is>
      </c>
      <c r="G19" s="20" t="n">
        <v>1</v>
      </c>
      <c r="H19" s="29" t="n">
        <v>1</v>
      </c>
      <c r="I19" s="14" t="n">
        <v>1.7</v>
      </c>
      <c r="J19" s="15" t="n">
        <v>5.8</v>
      </c>
      <c r="K19" s="16">
        <f>IF(ISNUMBER(J19),J19*10,"-")</f>
        <v/>
      </c>
      <c r="L19" s="22" t="inlineStr">
        <is>
          <t>Да (через сделки)</t>
        </is>
      </c>
      <c r="M19" s="16">
        <f>IF(AND(ISNUMBER(J19),ISNUMBER(N19),J19&gt;0),25.0*N19/J19,"-")</f>
        <v/>
      </c>
      <c r="N19" s="13" t="n">
        <v>60</v>
      </c>
      <c r="O19" s="17">
        <f>IF(ISNUMBER(M19),M19,"-")</f>
        <v/>
      </c>
      <c r="P19" s="17">
        <f>IF(ISNUMBER(J19),J19,"-")</f>
        <v/>
      </c>
      <c r="Q19" s="17">
        <f>1</f>
        <v/>
      </c>
      <c r="R19" s="17">
        <f>IF(AND(ISNUMBER(N19),ISNUMBER(P19)),N19-P19,"-")</f>
        <v/>
      </c>
      <c r="S19" s="18">
        <f>IF(ISNUMBER(O19),IF(O19&gt;=250.0,"Да","Нет"),"-")</f>
        <v/>
      </c>
      <c r="T19" s="18">
        <f>"-"</f>
        <v/>
      </c>
      <c r="U19" s="24" t="inlineStr">
        <is>
          <t>Однопоточная. В расчёт берётся только контур без проведения ("фоновое выполнение", РДУ). Контур с проведением ("фоновое проведение") - для сделок НЕ РДУ, в расчётах не учитывается (он примерно в 9 раз тяжелее и к Розничному ДУ не относится).</t>
        </is>
      </c>
    </row>
    <row r="20">
      <c r="A20" s="25" t="n">
        <v>12</v>
      </c>
      <c r="B20" s="26" t="inlineStr">
        <is>
          <t>Сверка остатков ЦБ с депозитарием</t>
        </is>
      </c>
      <c r="C20" s="27" t="inlineStr">
        <is>
          <t>Ежедневно</t>
        </is>
      </c>
      <c r="D20" s="28" t="inlineStr">
        <is>
          <t>12:00, 1 раз, 12:00</t>
        </is>
      </c>
      <c r="E20" s="28" t="inlineStr">
        <is>
          <t>внСверкаЦБ</t>
        </is>
      </c>
      <c r="F20" s="27" t="inlineStr">
        <is>
          <t>ПРОД</t>
        </is>
      </c>
      <c r="G20" s="25" t="n">
        <v>1</v>
      </c>
      <c r="H20" s="29" t="n">
        <v>1</v>
      </c>
      <c r="I20" s="14" t="n">
        <v>3.8</v>
      </c>
      <c r="J20" s="15" t="n">
        <v>7.3</v>
      </c>
      <c r="K20" s="16">
        <f>IF(ISNUMBER(J20),J20*10,"-")</f>
        <v/>
      </c>
      <c r="L20" s="27" t="inlineStr">
        <is>
          <t>Да</t>
        </is>
      </c>
      <c r="M20" s="16">
        <f>IF(AND(ISNUMBER(J20),ISNUMBER(N20),J20&gt;0),25.0*N20/J20,"-")</f>
        <v/>
      </c>
      <c r="N20" s="13" t="n">
        <v>60</v>
      </c>
      <c r="O20" s="17">
        <f>IF(ISNUMBER(M20),M20,"-")</f>
        <v/>
      </c>
      <c r="P20" s="17">
        <f>IF(ISNUMBER(J20),J20,"-")</f>
        <v/>
      </c>
      <c r="Q20" s="17">
        <f>1</f>
        <v/>
      </c>
      <c r="R20" s="17">
        <f>IF(AND(ISNUMBER(N20),ISNUMBER(P20)),N20-P20,"-")</f>
        <v/>
      </c>
      <c r="S20" s="18">
        <f>IF(ISNUMBER(O20),IF(O20&gt;=250.0,"Да","Нет"),"-")</f>
        <v/>
      </c>
      <c r="T20" s="18">
        <f>"-"</f>
        <v/>
      </c>
      <c r="U20" s="30" t="inlineStr">
        <is>
          <t>Однопоточная, объём строк прямо пропорционален числу договоров.</t>
        </is>
      </c>
    </row>
    <row r="21">
      <c r="A21" s="20" t="n">
        <v>13</v>
      </c>
      <c r="B21" s="21" t="inlineStr">
        <is>
          <t>Сверка API сигнал vs Реестры платежей
реальное название: Отчёт по отрицательным остаткам на р/с</t>
        </is>
      </c>
      <c r="C21" s="22" t="inlineStr">
        <is>
          <t>Ежедневно</t>
        </is>
      </c>
      <c r="D21" s="23" t="inlineStr">
        <is>
          <t>10:53, 1 раз, 10:53</t>
        </is>
      </c>
      <c r="E21" s="23" t="inlineStr">
        <is>
          <t>внОтрицательныеОстаткиНаАналитическомСчете (IMDEV-8274)</t>
        </is>
      </c>
      <c r="F21" s="22" t="inlineStr">
        <is>
          <t>ПРОД</t>
        </is>
      </c>
      <c r="G21" s="20" t="n">
        <v>1</v>
      </c>
      <c r="H21" s="29" t="n">
        <v>1</v>
      </c>
      <c r="I21" s="14" t="n">
        <v>0.01</v>
      </c>
      <c r="J21" s="15" t="n">
        <v>0.01</v>
      </c>
      <c r="K21" s="16">
        <f>IF(ISNUMBER(J21),J21*10,"-")</f>
        <v/>
      </c>
      <c r="L21" s="22" t="inlineStr">
        <is>
          <t>Да</t>
        </is>
      </c>
      <c r="M21" s="16">
        <f>IF(AND(ISNUMBER(J21),ISNUMBER(N21),J21&gt;0),25.0*N21/J21,"-")</f>
        <v/>
      </c>
      <c r="N21" s="13" t="n">
        <v>60</v>
      </c>
      <c r="O21" s="17">
        <f>IF(ISNUMBER(M21),M21,"-")</f>
        <v/>
      </c>
      <c r="P21" s="17">
        <f>IF(ISNUMBER(J21),J21,"-")</f>
        <v/>
      </c>
      <c r="Q21" s="17">
        <f>1</f>
        <v/>
      </c>
      <c r="R21" s="17">
        <f>IF(AND(ISNUMBER(N21),ISNUMBER(P21)),N21-P21,"-")</f>
        <v/>
      </c>
      <c r="S21" s="18">
        <f>IF(ISNUMBER(O21),IF(O21&gt;=250.0,"Да","Нет"),"-")</f>
        <v/>
      </c>
      <c r="T21" s="18">
        <f>"-"</f>
        <v/>
      </c>
      <c r="U21" s="24" t="inlineStr">
        <is>
          <t>Реальное название: Отчёт по отрицательным остаткам на р/с (внОтрицательныеОстаткиНаАналитическомСчете). В списке технического архитектора указано как "Сверка API сигнал vs Реестры платежей" (уточнено в IMDEV-9336 / IMDEV-8274). Замеры есть.</t>
        </is>
      </c>
    </row>
    <row r="22">
      <c r="A22" s="7" t="inlineStr">
        <is>
          <t>Договоры РДУ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20" t="n">
        <v>14</v>
      </c>
      <c r="B23" s="21" t="inlineStr">
        <is>
          <t>Процесс расторжения РДУ</t>
        </is>
      </c>
      <c r="C23" s="22" t="inlineStr">
        <is>
          <t>Ежедневно</t>
        </is>
      </c>
      <c r="D23" s="23" t="inlineStr">
        <is>
          <t>7:00, 10 мин, 22:52</t>
        </is>
      </c>
      <c r="E23" s="23" t="inlineStr">
        <is>
          <t>внРасторжениеДоговоровРозничногоДУ</t>
        </is>
      </c>
      <c r="F23" s="22" t="inlineStr">
        <is>
          <t>ПРОД</t>
        </is>
      </c>
      <c r="G23" s="20" t="n">
        <v>1</v>
      </c>
      <c r="H23" s="29" t="n">
        <v>1</v>
      </c>
      <c r="I23" s="14" t="n">
        <v>0.02</v>
      </c>
      <c r="J23" s="15" t="n">
        <v>0.3</v>
      </c>
      <c r="K23" s="16">
        <f>IF(ISNUMBER(J23),J23*10,"-")</f>
        <v/>
      </c>
      <c r="L23" s="22" t="inlineStr">
        <is>
          <t>Да</t>
        </is>
      </c>
      <c r="M23" s="16">
        <f>IF(AND(ISNUMBER(J23),ISNUMBER(N23),J23&gt;0),25.0*N23/J23,"-")</f>
        <v/>
      </c>
      <c r="N23" s="13" t="n">
        <v>10</v>
      </c>
      <c r="O23" s="17">
        <f>IF(ISNUMBER(M23),M23,"-")</f>
        <v/>
      </c>
      <c r="P23" s="17">
        <f>IF(ISNUMBER(J23),J23,"-")</f>
        <v/>
      </c>
      <c r="Q23" s="17">
        <f>1</f>
        <v/>
      </c>
      <c r="R23" s="17">
        <f>IF(AND(ISNUMBER(N23),ISNUMBER(P23)),N23-P23,"-")</f>
        <v/>
      </c>
      <c r="S23" s="18">
        <f>IF(ISNUMBER(O23),IF(O23&gt;=250.0,"Да","Нет"),"-")</f>
        <v/>
      </c>
      <c r="T23" s="18">
        <f>"-"</f>
        <v/>
      </c>
      <c r="U23" s="24" t="inlineStr">
        <is>
          <t>Запускается каждые 10 минут, поток расторжений растёт пропорционально базе.</t>
        </is>
      </c>
    </row>
    <row r="24">
      <c r="A24" s="25" t="n">
        <v>15</v>
      </c>
      <c r="B24" s="26" t="inlineStr">
        <is>
          <t>Загрузка договоров РДУ за дату Т, карточки клиента, автозаполнение аналитики для ВУ</t>
        </is>
      </c>
      <c r="C24" s="27" t="inlineStr">
        <is>
          <t>Ежедневно</t>
        </is>
      </c>
      <c r="D24" s="28" t="inlineStr">
        <is>
          <t>7:02, 10 мин, 23:52</t>
        </is>
      </c>
      <c r="E24" s="28" t="inlineStr">
        <is>
          <t>внСинхронизацияНСИ (ФоновоеВыполнение)</t>
        </is>
      </c>
      <c r="F24" s="27" t="inlineStr">
        <is>
          <t>ПРОД</t>
        </is>
      </c>
      <c r="G24" s="25" t="n">
        <v>1</v>
      </c>
      <c r="H24" s="29" t="n">
        <v>1</v>
      </c>
      <c r="I24" s="14" t="n">
        <v>1.6</v>
      </c>
      <c r="J24" s="15" t="n">
        <v>7.3</v>
      </c>
      <c r="K24" s="16">
        <f>IF(ISNUMBER(J24),J24*10,"-")</f>
        <v/>
      </c>
      <c r="L24" s="27" t="inlineStr">
        <is>
          <t>Да</t>
        </is>
      </c>
      <c r="M24" s="16">
        <f>IF(AND(ISNUMBER(J24),ISNUMBER(N24),J24&gt;0),25.0*N24/J24,"-")</f>
        <v/>
      </c>
      <c r="N24" s="13" t="n">
        <v>30</v>
      </c>
      <c r="O24" s="17">
        <f>IF(ISNUMBER(M24),M24,"-")</f>
        <v/>
      </c>
      <c r="P24" s="17">
        <f>IF(ISNUMBER(J24),J24,"-")</f>
        <v/>
      </c>
      <c r="Q24" s="17">
        <f>1</f>
        <v/>
      </c>
      <c r="R24" s="17">
        <f>IF(AND(ISNUMBER(N24),ISNUMBER(P24)),N24-P24,"-")</f>
        <v/>
      </c>
      <c r="S24" s="18">
        <f>IF(ISNUMBER(O24),IF(O24&gt;=250.0,"Да","Нет"),"-")</f>
        <v/>
      </c>
      <c r="T24" s="18">
        <f>"-"</f>
        <v/>
      </c>
      <c r="U24" s="30" t="inlineStr">
        <is>
          <t>Однопоточный обмен с 1С:ДО. В расчёт берётся средний вес замера (новые объекты за запуск), прогноз x10 = длительность при среднем весе, умноженном на 10. Не путать с полным объёмом базы договоров.</t>
        </is>
      </c>
    </row>
    <row r="25">
      <c r="A25" s="7" t="inlineStr">
        <is>
          <t>Регламентные операции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A26" s="9" t="n">
        <v>16</v>
      </c>
      <c r="B26" s="10" t="inlineStr">
        <is>
          <t>Вечерние регламентные операции, расчёт РСА/СЧА за Т-1</t>
        </is>
      </c>
      <c r="C26" s="11" t="inlineStr">
        <is>
          <t>Ежедневно</t>
        </is>
      </c>
      <c r="D26" s="12" t="inlineStr">
        <is>
          <t>11:46, 1 раз, 11:46</t>
        </is>
      </c>
      <c r="E26" s="12" t="inlineStr">
        <is>
          <t>Справочник.РегламентныеПериоды + Документ.ПланРегламентныхОперацийДУ</t>
        </is>
      </c>
      <c r="F26" s="11" t="inlineStr">
        <is>
          <t>Разработческая база</t>
        </is>
      </c>
      <c r="G26" s="9" t="n">
        <v>12</v>
      </c>
      <c r="H26" s="13" t="n">
        <v>12</v>
      </c>
      <c r="I26" s="14" t="n">
        <v>42.4</v>
      </c>
      <c r="J26" s="15" t="n">
        <v>44.9</v>
      </c>
      <c r="K26" s="16">
        <f>IF(ISNUMBER(J26),J26*10,"-")</f>
        <v/>
      </c>
      <c r="L26" s="11" t="inlineStr">
        <is>
          <t>Да</t>
        </is>
      </c>
      <c r="M26" s="16">
        <f>IF(AND(ISNUMBER(J26),ISNUMBER(N26),J26&gt;0),25.0*N26/J26,"-")</f>
        <v/>
      </c>
      <c r="N26" s="13" t="n">
        <v>180</v>
      </c>
      <c r="O26" s="17">
        <f>IF(AND(ISNUMBER(M26),ISNUMBER(G26),ISNUMBER(H26),G26&gt;0,H26&gt;0),M26*H26/G26,IF(ISNUMBER(M26),M26,"-"))</f>
        <v/>
      </c>
      <c r="P26" s="17">
        <f>IF(AND(ISNUMBER(M26),ISNUMBER(G26),ISNUMBER(H26),G26&gt;0,H26&gt;0),J26*G26/H26,IF(ISNUMBER(J26),J26,"-"))</f>
        <v/>
      </c>
      <c r="Q26" s="17">
        <f>IF(AND(ISNUMBER(M26),ISNUMBER(G26),ISNUMBER(H26),G26&gt;0,H26&gt;0),H26/G26,1)</f>
        <v/>
      </c>
      <c r="R26" s="17">
        <f>IF(AND(ISNUMBER(N26),ISNUMBER(P26)),N26-P26,"-")</f>
        <v/>
      </c>
      <c r="S26" s="18">
        <f>IF(ISNUMBER(O26),IF(O26&gt;=250.0,"Да","Нет"),"-")</f>
        <v/>
      </c>
      <c r="T26" s="18">
        <f>IF(AND(ISNUMBER(M26),ISNUMBER(G26),ISNUMBER(H26),G26&gt;0,H26&gt;0),ROUNDUP(G26*250.0/M26,0),"-")</f>
        <v/>
      </c>
      <c r="U26" s="19" t="inlineStr">
        <is>
          <t>Длительность - с разработческой базы после оптимизации IMDEV-8863.1 (фоновые); на ПРОД до выкладки та же операция шла около 118 минут (ускорение примерно в 2 раза). Время запуска - по замерам ПРОД.</t>
        </is>
      </c>
    </row>
    <row r="27">
      <c r="A27" s="9" t="n">
        <v>17</v>
      </c>
      <c r="B27" s="10" t="inlineStr">
        <is>
          <t>Утренние регламентные операции, начисления % по депозитам, РЕПО, НКД, погашения за дату Т</t>
        </is>
      </c>
      <c r="C27" s="11" t="inlineStr">
        <is>
          <t>Ежедневно</t>
        </is>
      </c>
      <c r="D27" s="12" t="inlineStr">
        <is>
          <t>14:23, 1 раз, 14:23</t>
        </is>
      </c>
      <c r="E27" s="12" t="inlineStr">
        <is>
          <t>Справочник.РегламентныеПериоды + Документ.ПланРегламентныхОперацийДУ</t>
        </is>
      </c>
      <c r="F27" s="11" t="inlineStr">
        <is>
          <t>ПРОД</t>
        </is>
      </c>
      <c r="G27" s="9" t="n">
        <v>12</v>
      </c>
      <c r="H27" s="13" t="n">
        <v>12</v>
      </c>
      <c r="I27" s="14" t="n">
        <v>30.1</v>
      </c>
      <c r="J27" s="15" t="n">
        <v>30.1</v>
      </c>
      <c r="K27" s="16">
        <f>IF(ISNUMBER(J27),J27*10,"-")</f>
        <v/>
      </c>
      <c r="L27" s="11" t="inlineStr">
        <is>
          <t>Да</t>
        </is>
      </c>
      <c r="M27" s="16">
        <f>IF(AND(ISNUMBER(J27),ISNUMBER(N27),J27&gt;0),25.0*N27/J27,"-")</f>
        <v/>
      </c>
      <c r="N27" s="13" t="n">
        <v>180</v>
      </c>
      <c r="O27" s="17">
        <f>IF(AND(ISNUMBER(M27),ISNUMBER(G27),ISNUMBER(H27),G27&gt;0,H27&gt;0),M27*H27/G27,IF(ISNUMBER(M27),M27,"-"))</f>
        <v/>
      </c>
      <c r="P27" s="17">
        <f>IF(AND(ISNUMBER(M27),ISNUMBER(G27),ISNUMBER(H27),G27&gt;0,H27&gt;0),J27*G27/H27,IF(ISNUMBER(J27),J27,"-"))</f>
        <v/>
      </c>
      <c r="Q27" s="17">
        <f>IF(AND(ISNUMBER(M27),ISNUMBER(G27),ISNUMBER(H27),G27&gt;0,H27&gt;0),H27/G27,1)</f>
        <v/>
      </c>
      <c r="R27" s="17">
        <f>IF(AND(ISNUMBER(N27),ISNUMBER(P27)),N27-P27,"-")</f>
        <v/>
      </c>
      <c r="S27" s="18">
        <f>IF(ISNUMBER(O27),IF(O27&gt;=250.0,"Да","Нет"),"-")</f>
        <v/>
      </c>
      <c r="T27" s="18">
        <f>IF(AND(ISNUMBER(M27),ISNUMBER(G27),ISNUMBER(H27),G27&gt;0,H27&gt;0),ROUNDUP(G27*250.0/M27,0),"-")</f>
        <v/>
      </c>
      <c r="U27" s="19" t="inlineStr">
        <is>
          <t>Замер на ПРОД ещё до выкладки IMDEV-8863.1. Длительность пересчитана с ускорением x2 по эффекту той же доработки на вечерних регламентах. На полном объёме зафиксирован один прогон - точность оценки ограничена.</t>
        </is>
      </c>
    </row>
    <row r="28">
      <c r="A28" s="7" t="inlineStr">
        <is>
          <t>Вознаграждение и отчётность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A29" s="9" t="n">
        <v>18</v>
      </c>
      <c r="B29" s="10" t="inlineStr">
        <is>
          <t>Начисление вознаграждения</t>
        </is>
      </c>
      <c r="C29" s="11" t="inlineStr">
        <is>
          <t>Ежеквартально</t>
        </is>
      </c>
      <c r="D29" s="12" t="inlineStr">
        <is>
          <t>-, 1 раз/квартал, -</t>
        </is>
      </c>
      <c r="E29" s="12" t="inlineStr">
        <is>
          <t>внНачислениеВознаграждения_РозничноеДУ</t>
        </is>
      </c>
      <c r="F29" s="11" t="inlineStr">
        <is>
          <t>DR (IMDEV-9153)</t>
        </is>
      </c>
      <c r="G29" s="9" t="n">
        <v>12</v>
      </c>
      <c r="H29" s="13" t="n">
        <v>12</v>
      </c>
      <c r="I29" s="14" t="n">
        <v>64.59999999999999</v>
      </c>
      <c r="J29" s="15" t="n">
        <v>64.59999999999999</v>
      </c>
      <c r="K29" s="16">
        <f>IF(ISNUMBER(J29),J29*10,"-")</f>
        <v/>
      </c>
      <c r="L29" s="11" t="inlineStr">
        <is>
          <t>Да</t>
        </is>
      </c>
      <c r="M29" s="16">
        <f>IF(AND(ISNUMBER(J29),ISNUMBER(N29),J29&gt;0),25.0*N29/J29,"-")</f>
        <v/>
      </c>
      <c r="N29" s="13" t="n">
        <v>480</v>
      </c>
      <c r="O29" s="17">
        <f>IF(AND(ISNUMBER(M29),ISNUMBER(G29),ISNUMBER(H29),G29&gt;0,H29&gt;0),M29*H29/G29,IF(ISNUMBER(M29),M29,"-"))</f>
        <v/>
      </c>
      <c r="P29" s="17">
        <f>IF(AND(ISNUMBER(M29),ISNUMBER(G29),ISNUMBER(H29),G29&gt;0,H29&gt;0),J29*G29/H29,IF(ISNUMBER(J29),J29,"-"))</f>
        <v/>
      </c>
      <c r="Q29" s="17">
        <f>IF(AND(ISNUMBER(M29),ISNUMBER(G29),ISNUMBER(H29),G29&gt;0,H29&gt;0),H29/G29,1)</f>
        <v/>
      </c>
      <c r="R29" s="17">
        <f>IF(AND(ISNUMBER(N29),ISNUMBER(P29)),N29-P29,"-")</f>
        <v/>
      </c>
      <c r="S29" s="18">
        <f>IF(ISNUMBER(O29),IF(O29&gt;=250.0,"Да","Нет"),"-")</f>
        <v/>
      </c>
      <c r="T29" s="18">
        <f>IF(AND(ISNUMBER(M29),ISNUMBER(G29),ISNUMBER(H29),G29&gt;0,H29&gt;0),ROUNDUP(G29*250.0/M29,0),"-")</f>
        <v/>
      </c>
      <c r="U29" s="19" t="inlineStr">
        <is>
          <t>Замер полного объёма из IMDEV-9153 (DR): 1 ч 04 мин 34 сек на 20 467 договоров после параллельной оптимизации. Последовательно было 9 ч 52 мин. В ПРОД-выгрузке ЗамерыВремени массового квартального прогона нет.</t>
        </is>
      </c>
    </row>
    <row r="30">
      <c r="A30" s="31" t="n">
        <v>19</v>
      </c>
      <c r="B30" s="32" t="inlineStr">
        <is>
          <t>Оплата вознаграждения</t>
        </is>
      </c>
      <c r="C30" s="33" t="inlineStr">
        <is>
          <t>Ежеквартально</t>
        </is>
      </c>
      <c r="D30" s="34" t="inlineStr">
        <is>
          <t>-</t>
        </is>
      </c>
      <c r="E30" s="34" t="inlineStr">
        <is>
          <t>внОплатаКЗПоКлиентамРДУ (замер не реализован)</t>
        </is>
      </c>
      <c r="F30" s="33" t="inlineStr">
        <is>
          <t>ПРОД</t>
        </is>
      </c>
      <c r="G30" s="31" t="n">
        <v>1</v>
      </c>
      <c r="H30" s="29" t="n">
        <v>1</v>
      </c>
      <c r="I30" s="35" t="inlineStr">
        <is>
          <t>нет замеров</t>
        </is>
      </c>
      <c r="J30" s="36" t="inlineStr">
        <is>
          <t>нет замеров</t>
        </is>
      </c>
      <c r="K30" s="16" t="inlineStr">
        <is>
          <t>-</t>
        </is>
      </c>
      <c r="L30" s="33" t="inlineStr">
        <is>
          <t>Да</t>
        </is>
      </c>
      <c r="M30" s="16" t="inlineStr">
        <is>
          <t>-</t>
        </is>
      </c>
      <c r="N30" s="13" t="n">
        <v>480</v>
      </c>
      <c r="O30" s="17">
        <f>IF(ISNUMBER(M30),M30,"-")</f>
        <v/>
      </c>
      <c r="P30" s="17">
        <f>IF(ISNUMBER(J30),J30,"-")</f>
        <v/>
      </c>
      <c r="Q30" s="17">
        <f>1</f>
        <v/>
      </c>
      <c r="R30" s="17">
        <f>IF(AND(ISNUMBER(N30),ISNUMBER(P30)),N30-P30,"-")</f>
        <v/>
      </c>
      <c r="S30" s="18">
        <f>IF(ISNUMBER(O30),IF(O30&gt;=250.0,"Да","Нет"),"-")</f>
        <v/>
      </c>
      <c r="T30" s="18">
        <f>"-"</f>
        <v/>
      </c>
      <c r="U30" s="37" t="inlineStr">
        <is>
          <t>Замер в код внОплатаКЗПоКлиентамРДУ не вставлен. Длительность и прогноз не рассчитываются - в таблице прочерк. Нужно добавить замер в обработку.</t>
        </is>
      </c>
    </row>
    <row r="31">
      <c r="A31" s="38" t="n">
        <v>20</v>
      </c>
      <c r="B31" s="39" t="inlineStr">
        <is>
          <t>Массовое построение Отчётов РДУ и выгрузка в КК</t>
        </is>
      </c>
      <c r="C31" s="40" t="inlineStr">
        <is>
          <t>Ежеквартально</t>
        </is>
      </c>
      <c r="D31" s="41" t="inlineStr">
        <is>
          <t>17:00, 1 раз, 17:00</t>
        </is>
      </c>
      <c r="E31" s="41" t="inlineStr">
        <is>
          <t>внОтчетУправляющегоДУсогласно482П_v15 + внЗапускПоРасписаниюОтчетаУправляющегоДУ</t>
        </is>
      </c>
      <c r="F31" s="40" t="inlineStr">
        <is>
          <t>ПРОД</t>
        </is>
      </c>
      <c r="G31" s="38" t="n">
        <v>10</v>
      </c>
      <c r="H31" s="29" t="n">
        <v>10</v>
      </c>
      <c r="I31" s="14" t="n">
        <v>4.7</v>
      </c>
      <c r="J31" s="15" t="n">
        <v>8.199999999999999</v>
      </c>
      <c r="K31" s="16">
        <f>IF(ISNUMBER(J31),J31*10,"-")</f>
        <v/>
      </c>
      <c r="L31" s="40" t="inlineStr">
        <is>
          <t>Да</t>
        </is>
      </c>
      <c r="M31" s="16" t="inlineStr">
        <is>
          <t>-</t>
        </is>
      </c>
      <c r="N31" s="13" t="n">
        <v>480</v>
      </c>
      <c r="O31" s="17">
        <f>IF(ISNUMBER(M31),M31,"-")</f>
        <v/>
      </c>
      <c r="P31" s="17">
        <f>IF(ISNUMBER(J31),J31,"-")</f>
        <v/>
      </c>
      <c r="Q31" s="17">
        <f>1</f>
        <v/>
      </c>
      <c r="R31" s="17">
        <f>IF(AND(ISNUMBER(N31),ISNUMBER(P31)),N31-P31,"-")</f>
        <v/>
      </c>
      <c r="S31" s="18">
        <f>IF(ISNUMBER(O31),IF(O31&gt;=250.0,"Да","Нет"),"-")</f>
        <v/>
      </c>
      <c r="T31" s="18">
        <f>"-"</f>
        <v/>
      </c>
      <c r="U31" s="42" t="inlineStr">
        <is>
          <t>Показано среднее за день по поштучным замерам (не полный квартальный прогон). Ср. 4.7 мин/день, ср. 20 договоров/день. Прогноз и предел не указываются до квартальной выгрузки массового ключа ("Отчет Управляющего ДУ 482П РозничноеДУ выгрузка").</t>
        </is>
      </c>
    </row>
    <row r="32">
      <c r="A32" s="7" t="inlineStr">
        <is>
          <t>Дополнительно выявлено (в списке технического архитектора не было)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A33" s="20" t="n">
        <v>21</v>
      </c>
      <c r="B33" s="21" t="inlineStr">
        <is>
          <t>Выгрузка данных в кабинет клиента ДУ (экспорт HNWI)</t>
        </is>
      </c>
      <c r="C33" s="22" t="inlineStr">
        <is>
          <t>Ежедневно</t>
        </is>
      </c>
      <c r="D33" s="23" t="inlineStr">
        <is>
          <t>10:00, 10 мин, 23:52</t>
        </is>
      </c>
      <c r="E33" s="23" t="inlineStr">
        <is>
          <t>внЭкспортДанныхКабиентHNWI_DU</t>
        </is>
      </c>
      <c r="F33" s="22" t="inlineStr">
        <is>
          <t>ПРОД</t>
        </is>
      </c>
      <c r="G33" s="20" t="n">
        <v>1</v>
      </c>
      <c r="H33" s="29" t="n">
        <v>1</v>
      </c>
      <c r="I33" s="14" t="n">
        <v>0.1</v>
      </c>
      <c r="J33" s="15" t="n">
        <v>79.40000000000001</v>
      </c>
      <c r="K33" s="16">
        <f>IF(ISNUMBER(J33),J33*10,"-")</f>
        <v/>
      </c>
      <c r="L33" s="22" t="inlineStr">
        <is>
          <t>Да</t>
        </is>
      </c>
      <c r="M33" s="16">
        <f>IF(AND(ISNUMBER(J33),ISNUMBER(N33),J33&gt;0),25.0*N33/J33,"-")</f>
        <v/>
      </c>
      <c r="N33" s="13" t="n">
        <v>10</v>
      </c>
      <c r="O33" s="17">
        <f>IF(ISNUMBER(M33),M33,"-")</f>
        <v/>
      </c>
      <c r="P33" s="17">
        <f>IF(ISNUMBER(J33),J33,"-")</f>
        <v/>
      </c>
      <c r="Q33" s="17">
        <f>1</f>
        <v/>
      </c>
      <c r="R33" s="17">
        <f>IF(AND(ISNUMBER(N33),ISNUMBER(P33)),N33-P33,"-")</f>
        <v/>
      </c>
      <c r="S33" s="18">
        <f>IF(ISNUMBER(O33),IF(O33&gt;=250.0,"Да","Нет"),"-")</f>
        <v/>
      </c>
      <c r="T33" s="18">
        <f>"-"</f>
        <v/>
      </c>
      <c r="U33" s="24" t="inlineStr">
        <is>
          <t>Аналог узкого места МО (выгрузка в кабинет клиента). Здесь работает инкрементально каждые 10 минут, поэтому длительность одного прогона мала, но есть прогоны до 79 минут.</t>
        </is>
      </c>
    </row>
    <row r="34">
      <c r="A34" s="20" t="n">
        <v>22</v>
      </c>
      <c r="B34" s="21" t="inlineStr">
        <is>
          <t>Распределение доходов по ценным бумагам</t>
        </is>
      </c>
      <c r="C34" s="22" t="inlineStr">
        <is>
          <t>Ежедневно</t>
        </is>
      </c>
      <c r="D34" s="23" t="inlineStr">
        <is>
          <t>15:00, 1 раз, 15:00</t>
        </is>
      </c>
      <c r="E34" s="23" t="inlineStr">
        <is>
          <t>внРаспределениеДоходовПоЦеннымБумагам</t>
        </is>
      </c>
      <c r="F34" s="22" t="inlineStr">
        <is>
          <t>ПРОД</t>
        </is>
      </c>
      <c r="G34" s="20" t="n">
        <v>12</v>
      </c>
      <c r="H34" s="13" t="n">
        <v>12</v>
      </c>
      <c r="I34" s="14" t="n">
        <v>15.7</v>
      </c>
      <c r="J34" s="15" t="n">
        <v>15.7</v>
      </c>
      <c r="K34" s="16">
        <f>IF(ISNUMBER(J34),J34*10,"-")</f>
        <v/>
      </c>
      <c r="L34" s="22" t="inlineStr">
        <is>
          <t>Да</t>
        </is>
      </c>
      <c r="M34" s="16">
        <f>IF(AND(ISNUMBER(J34),ISNUMBER(N34),J34&gt;0),25.0*N34/J34,"-")</f>
        <v/>
      </c>
      <c r="N34" s="13" t="n">
        <v>480</v>
      </c>
      <c r="O34" s="17">
        <f>IF(AND(ISNUMBER(M34),ISNUMBER(G34),ISNUMBER(H34),G34&gt;0,H34&gt;0),M34*H34/G34,IF(ISNUMBER(M34),M34,"-"))</f>
        <v/>
      </c>
      <c r="P34" s="17">
        <f>IF(AND(ISNUMBER(M34),ISNUMBER(G34),ISNUMBER(H34),G34&gt;0,H34&gt;0),J34*G34/H34,IF(ISNUMBER(J34),J34,"-"))</f>
        <v/>
      </c>
      <c r="Q34" s="17">
        <f>IF(AND(ISNUMBER(M34),ISNUMBER(G34),ISNUMBER(H34),G34&gt;0,H34&gt;0),H34/G34,1)</f>
        <v/>
      </c>
      <c r="R34" s="17">
        <f>IF(AND(ISNUMBER(N34),ISNUMBER(P34)),N34-P34,"-")</f>
        <v/>
      </c>
      <c r="S34" s="18">
        <f>IF(ISNUMBER(O34),IF(O34&gt;=250.0,"Да","Нет"),"-")</f>
        <v/>
      </c>
      <c r="T34" s="18">
        <f>IF(AND(ISNUMBER(M34),ISNUMBER(G34),ISNUMBER(H34),G34&gt;0,H34&gt;0),ROUNDUP(G34*250.0/M34,0),"-")</f>
        <v/>
      </c>
      <c r="U34" s="24" t="inlineStr">
        <is>
          <t>В выгрузке всего один замер - статистика недостаточна.</t>
        </is>
      </c>
    </row>
    <row r="35">
      <c r="A35" s="20" t="n">
        <v>23</v>
      </c>
      <c r="B35" s="21" t="inlineStr">
        <is>
          <t>Расчёт вознаграждения РДУ (ожидаемые платежи)</t>
        </is>
      </c>
      <c r="C35" s="22" t="inlineStr">
        <is>
          <t>Ежедневно</t>
        </is>
      </c>
      <c r="D35" s="23" t="inlineStr">
        <is>
          <t>8:00, 1 раз, 8:00</t>
        </is>
      </c>
      <c r="E35" s="23" t="inlineStr">
        <is>
          <t>внРасчетВознагражденияРозничногоДУ</t>
        </is>
      </c>
      <c r="F35" s="22" t="inlineStr">
        <is>
          <t>ПРОД</t>
        </is>
      </c>
      <c r="G35" s="20" t="n">
        <v>1</v>
      </c>
      <c r="H35" s="29" t="n">
        <v>1</v>
      </c>
      <c r="I35" s="14" t="n">
        <v>0.19</v>
      </c>
      <c r="J35" s="15" t="n">
        <v>0.33</v>
      </c>
      <c r="K35" s="16">
        <f>IF(ISNUMBER(J35),J35*10,"-")</f>
        <v/>
      </c>
      <c r="L35" s="22" t="inlineStr">
        <is>
          <t>Да</t>
        </is>
      </c>
      <c r="M35" s="16">
        <f>IF(AND(ISNUMBER(J35),ISNUMBER(N35),J35&gt;0),25.0*N35/J35,"-")</f>
        <v/>
      </c>
      <c r="N35" s="13" t="n">
        <v>60</v>
      </c>
      <c r="O35" s="17">
        <f>IF(ISNUMBER(M35),M35,"-")</f>
        <v/>
      </c>
      <c r="P35" s="17">
        <f>IF(ISNUMBER(J35),J35,"-")</f>
        <v/>
      </c>
      <c r="Q35" s="17">
        <f>1</f>
        <v/>
      </c>
      <c r="R35" s="17">
        <f>IF(AND(ISNUMBER(N35),ISNUMBER(P35)),N35-P35,"-")</f>
        <v/>
      </c>
      <c r="S35" s="18">
        <f>IF(ISNUMBER(O35),IF(O35&gt;=250.0,"Да","Нет"),"-")</f>
        <v/>
      </c>
      <c r="T35" s="18">
        <f>"-"</f>
        <v/>
      </c>
      <c r="U35" s="24" t="inlineStr">
        <is>
          <t>В наблюдаемом периоде ДоговоровКРасчету = 0, то есть замерено холостое прохождение. Нагрузочная оценка требует прогона в квартальную дату.</t>
        </is>
      </c>
    </row>
  </sheetData>
  <autoFilter ref="A4:U35"/>
  <mergeCells count="10">
    <mergeCell ref="A18:U18"/>
    <mergeCell ref="A22:U22"/>
    <mergeCell ref="A2:U2"/>
    <mergeCell ref="A25:U25"/>
    <mergeCell ref="A5:U5"/>
    <mergeCell ref="A28:U28"/>
    <mergeCell ref="A32:U32"/>
    <mergeCell ref="A14:U14"/>
    <mergeCell ref="A1:U1"/>
    <mergeCell ref="A9:U9"/>
  </mergeCells>
  <conditionalFormatting sqref="S5:S35">
    <cfRule type="cellIs" priority="1" operator="equal" dxfId="0">
      <formula>"Нет"</formula>
    </cfRule>
    <cfRule type="cellIs" priority="2" operator="equal" dxfId="1">
      <formula>"Да"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3" t="inlineStr">
        <is>
          <t>Как пользоваться (вариант от макс-длительности)</t>
        </is>
      </c>
    </row>
    <row r="3" ht="48" customHeight="1">
      <c r="A3" s="44" t="inlineStr">
        <is>
          <t>Вариант Max</t>
        </is>
      </c>
      <c r="B3" s="45" t="inlineStr">
        <is>
          <t>Этот файл считает сценарий от ХУДШЕГО замера (колонка "Длительность макс"). Исходный KeyOperationsDuration_WhatIf.xlsx не меняется.</t>
        </is>
      </c>
    </row>
    <row r="4" ht="48" customHeight="1">
      <c r="A4" s="44" t="inlineStr">
        <is>
          <t>Жёлтые колонки</t>
        </is>
      </c>
      <c r="B4" s="45" t="inlineStr">
        <is>
          <t>Редактируйте "БУДЕТ ПОТОКОВ", "Окно, мин" и "Длительность макс". Смена окна или макс-длительности сразу пересчитывает предел и все голубые колонки.</t>
        </is>
      </c>
    </row>
    <row r="5" ht="48" customHeight="1">
      <c r="A5" s="44" t="inlineStr">
        <is>
          <t>Серая колонка</t>
        </is>
      </c>
      <c r="B5" s="45" t="inlineStr">
        <is>
          <t>"Длительность сейчас" - справочно (медиана). В расчёты What-If не входит.</t>
        </is>
      </c>
    </row>
    <row r="6" ht="48" customHeight="1">
      <c r="A6" s="44" t="inlineStr">
        <is>
          <t>Предел при текущих потоках, тыс.</t>
        </is>
      </c>
      <c r="B6" s="45" t="inlineStr">
        <is>
          <t>Формула: база_тыс × Окно / Длительность_макс. Обычные операции: база = 25 тыс. договоров. Загрузка и исполнение сделок: база = сделки на худшем замере / 1000 (допущение: база x10 -&gt; сделки x10, 1 сделка = 1 договор).</t>
        </is>
      </c>
    </row>
    <row r="7" ht="48" customHeight="1">
      <c r="A7" s="44" t="inlineStr">
        <is>
          <t>Прогноз x10 линейный</t>
        </is>
      </c>
      <c r="B7" s="45" t="inlineStr">
        <is>
          <t>Длительность_макс × 10.</t>
        </is>
      </c>
    </row>
    <row r="8" ht="48" customHeight="1">
      <c r="A8" s="44" t="inlineStr">
        <is>
          <t>РАСЧЕТНОЕ КВО</t>
        </is>
      </c>
      <c r="B8" s="45" t="inlineStr">
        <is>
          <t>Предел × (БУДЕТ ПОТОКОВ / Потоков сейчас).</t>
        </is>
      </c>
    </row>
    <row r="9" ht="48" customHeight="1">
      <c r="A9" s="44" t="inlineStr">
        <is>
          <t>Длительность при БУДЕТ ПОТОКОВ</t>
        </is>
      </c>
      <c r="B9" s="45" t="inlineStr">
        <is>
          <t>Длительность_макс × (Потоков сейчас / БУДЕТ ПОТОКОВ).</t>
        </is>
      </c>
    </row>
    <row r="10" ht="48" customHeight="1">
      <c r="A10" s="44" t="inlineStr">
        <is>
          <t>Выдержит 250 тыс.?</t>
        </is>
      </c>
      <c r="B10" s="45" t="inlineStr">
        <is>
          <t>Да, если РАСЧЕТНОЕ КВО &gt;= 250.</t>
        </is>
      </c>
    </row>
    <row r="11" ht="48" customHeight="1">
      <c r="A11" s="44" t="inlineStr">
        <is>
          <t>Важно</t>
        </is>
      </c>
      <c r="B11" s="45" t="inlineStr">
        <is>
          <t>Оценочная модель для обсуждения. Реальное ускорение от потоков нужно подтверждать замером.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2026-09-04T11:59:09Z</dcterms:created>
  <dcterms:modified xmlns:dcterms="http://purl.org/dc/terms/" xmlns:xsi="http://www.w3.org/2001/XMLSchema-instance" xsi:type="dcterms:W3CDTF">2026-09-04T11:59:09Z</dcterms:modified>
</cp:coreProperties>
</file>